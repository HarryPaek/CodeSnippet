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4775"/>
  </bookViews>
  <sheets>
    <sheet name="UT" sheetId="1" r:id="rId1"/>
    <sheet name="Sheet1" sheetId="2" r:id="rId2"/>
    <sheet name="DCS to ESD(UTIL_161204)" sheetId="3" r:id="rId3"/>
  </sheets>
  <definedNames>
    <definedName name="_xlnm._FilterDatabase" localSheetId="2" hidden="1">'DCS to ESD(UTIL_161204)'!$A$2:$AA$26</definedName>
    <definedName name="_xlnm._FilterDatabase" localSheetId="0" hidden="1">UT!$A$1:$FZ$500</definedName>
    <definedName name="_xlnm.Print_Area" localSheetId="2">'DCS to ESD(UTIL_161204)'!$A$1:$S$31</definedName>
    <definedName name="_xlnm.Print_Titles" localSheetId="2">'DCS to ESD(UTIL_161204)'!$1:$2</definedName>
  </definedNames>
  <calcPr calcId="152511"/>
</workbook>
</file>

<file path=xl/calcChain.xml><?xml version="1.0" encoding="utf-8"?>
<calcChain xmlns="http://schemas.openxmlformats.org/spreadsheetml/2006/main">
  <c r="EZ334" i="1" l="1"/>
  <c r="EZ344" i="1"/>
  <c r="EZ354" i="1"/>
  <c r="EZ398" i="1"/>
  <c r="EZ400" i="1"/>
  <c r="EZ418" i="1"/>
  <c r="EZ423" i="1"/>
  <c r="EZ483" i="1"/>
  <c r="EZ485" i="1"/>
  <c r="EZ487" i="1"/>
  <c r="EZ491" i="1"/>
  <c r="EZ493" i="1"/>
  <c r="EZ495" i="1"/>
  <c r="EZ499" i="1"/>
  <c r="Z25" i="3"/>
  <c r="Y25" i="3"/>
  <c r="X25" i="3"/>
  <c r="W25" i="3"/>
  <c r="Z24" i="3"/>
  <c r="Y24" i="3"/>
  <c r="X24" i="3"/>
  <c r="W24" i="3"/>
  <c r="Z23" i="3"/>
  <c r="Y23" i="3"/>
  <c r="X23" i="3"/>
  <c r="W23" i="3"/>
  <c r="Z22" i="3"/>
  <c r="Y22" i="3"/>
  <c r="X22" i="3"/>
  <c r="W22" i="3"/>
  <c r="Z21" i="3"/>
  <c r="Y21" i="3"/>
  <c r="X21" i="3"/>
  <c r="W21" i="3"/>
  <c r="Z20" i="3"/>
  <c r="Y20" i="3"/>
  <c r="X20" i="3"/>
  <c r="W20" i="3"/>
  <c r="Z19" i="3"/>
  <c r="Y19" i="3"/>
  <c r="X19" i="3"/>
  <c r="W19" i="3"/>
  <c r="Z18" i="3"/>
  <c r="Y18" i="3"/>
  <c r="X18" i="3"/>
  <c r="W18" i="3"/>
  <c r="K18" i="3"/>
  <c r="Z17" i="3"/>
  <c r="Y17" i="3"/>
  <c r="X17" i="3"/>
  <c r="W17" i="3"/>
  <c r="N17" i="3"/>
  <c r="M17" i="3"/>
  <c r="Z16" i="3"/>
  <c r="Y16" i="3"/>
  <c r="X16" i="3"/>
  <c r="W16" i="3"/>
  <c r="N16" i="3"/>
  <c r="M16" i="3"/>
  <c r="Z15" i="3"/>
  <c r="Y15" i="3"/>
  <c r="X15" i="3"/>
  <c r="W15" i="3"/>
  <c r="N15" i="3"/>
  <c r="M15" i="3"/>
  <c r="Z14" i="3"/>
  <c r="Y14" i="3"/>
  <c r="X14" i="3"/>
  <c r="W14" i="3"/>
  <c r="N14" i="3"/>
  <c r="M14" i="3"/>
  <c r="Z13" i="3"/>
  <c r="Y13" i="3"/>
  <c r="X13" i="3"/>
  <c r="W13" i="3"/>
  <c r="N13" i="3"/>
  <c r="M13" i="3"/>
  <c r="Z12" i="3"/>
  <c r="Y12" i="3"/>
  <c r="X12" i="3"/>
  <c r="W12" i="3"/>
  <c r="N12" i="3"/>
  <c r="M12" i="3"/>
  <c r="Z11" i="3"/>
  <c r="Y11" i="3"/>
  <c r="X11" i="3"/>
  <c r="W11" i="3"/>
  <c r="N11" i="3"/>
  <c r="M11" i="3"/>
  <c r="K11" i="3"/>
  <c r="Z10" i="3"/>
  <c r="Y10" i="3"/>
  <c r="X10" i="3"/>
  <c r="W10" i="3"/>
  <c r="N10" i="3"/>
  <c r="M10" i="3"/>
  <c r="Z9" i="3"/>
  <c r="Y9" i="3"/>
  <c r="X9" i="3"/>
  <c r="W9" i="3"/>
  <c r="N9" i="3"/>
  <c r="M9" i="3"/>
  <c r="Z8" i="3"/>
  <c r="Y8" i="3"/>
  <c r="X8" i="3"/>
  <c r="W8" i="3"/>
  <c r="N8" i="3"/>
  <c r="M8" i="3"/>
  <c r="Z7" i="3"/>
  <c r="Y7" i="3"/>
  <c r="X7" i="3"/>
  <c r="W7" i="3"/>
  <c r="N7" i="3"/>
  <c r="M7" i="3"/>
  <c r="Z6" i="3"/>
  <c r="Y6" i="3"/>
  <c r="X6" i="3"/>
  <c r="W6" i="3"/>
  <c r="N6" i="3"/>
  <c r="M6" i="3"/>
  <c r="Z5" i="3"/>
  <c r="Y5" i="3"/>
  <c r="X5" i="3"/>
  <c r="W5" i="3"/>
  <c r="N5" i="3"/>
  <c r="M5" i="3"/>
  <c r="Z4" i="3"/>
  <c r="Y4" i="3"/>
  <c r="X4" i="3"/>
  <c r="W4" i="3"/>
  <c r="N4" i="3"/>
  <c r="M4" i="3"/>
  <c r="Z3" i="3"/>
  <c r="Y3" i="3"/>
  <c r="X3" i="3"/>
  <c r="W3" i="3"/>
  <c r="N3" i="3"/>
  <c r="M3" i="3"/>
  <c r="K3" i="3"/>
  <c r="ER246" i="1" l="1"/>
  <c r="ER244" i="1"/>
  <c r="ER242" i="1"/>
  <c r="ER240" i="1"/>
  <c r="ER238" i="1"/>
  <c r="ER236" i="1"/>
  <c r="ER234" i="1"/>
  <c r="ER232" i="1"/>
  <c r="ER230" i="1"/>
  <c r="ER178" i="1"/>
  <c r="ER176" i="1"/>
  <c r="ER170" i="1"/>
  <c r="ER168" i="1"/>
  <c r="ER154" i="1"/>
  <c r="ER152" i="1"/>
  <c r="ER144" i="1"/>
  <c r="ER142" i="1"/>
  <c r="ER128" i="1"/>
  <c r="ER126" i="1"/>
  <c r="EZ144" i="1" l="1"/>
  <c r="FA144" i="1"/>
  <c r="EZ170" i="1"/>
  <c r="FA170" i="1"/>
  <c r="EZ232" i="1"/>
  <c r="FA232" i="1"/>
  <c r="EZ240" i="1"/>
  <c r="FA240" i="1"/>
  <c r="FA126" i="1"/>
  <c r="EZ126" i="1"/>
  <c r="FA152" i="1"/>
  <c r="EZ152" i="1"/>
  <c r="FA176" i="1"/>
  <c r="EZ176" i="1"/>
  <c r="EZ234" i="1"/>
  <c r="FA234" i="1"/>
  <c r="EZ242" i="1"/>
  <c r="FA242" i="1"/>
  <c r="EZ128" i="1"/>
  <c r="FA128" i="1"/>
  <c r="EZ154" i="1"/>
  <c r="FA154" i="1"/>
  <c r="EZ178" i="1"/>
  <c r="FA178" i="1"/>
  <c r="EZ236" i="1"/>
  <c r="FA236" i="1"/>
  <c r="EZ244" i="1"/>
  <c r="FA244" i="1"/>
  <c r="EZ142" i="1"/>
  <c r="FA142" i="1"/>
  <c r="EZ168" i="1"/>
  <c r="FA168" i="1"/>
  <c r="EZ230" i="1"/>
  <c r="FA230" i="1"/>
  <c r="EZ238" i="1"/>
  <c r="FA238" i="1"/>
  <c r="EZ246" i="1"/>
  <c r="FA246" i="1"/>
  <c r="EV234" i="1"/>
  <c r="EV6" i="1"/>
  <c r="EV9" i="1"/>
  <c r="EV13" i="1"/>
  <c r="EV17" i="1"/>
  <c r="EV21" i="1"/>
  <c r="EV25" i="1"/>
  <c r="EV29" i="1"/>
  <c r="EV33" i="1"/>
  <c r="EV37" i="1"/>
  <c r="EV41" i="1"/>
  <c r="EV44" i="1"/>
  <c r="EV46" i="1"/>
  <c r="EV50" i="1"/>
  <c r="EV54" i="1"/>
  <c r="EV58" i="1"/>
  <c r="EV62" i="1"/>
  <c r="EV64" i="1"/>
  <c r="EV67" i="1"/>
  <c r="EV70" i="1"/>
  <c r="EV72" i="1"/>
  <c r="EV75" i="1"/>
  <c r="EV79" i="1"/>
  <c r="EV83" i="1"/>
  <c r="EV87" i="1"/>
  <c r="EV90" i="1"/>
  <c r="EV94" i="1"/>
  <c r="EV98" i="1"/>
  <c r="EV101" i="1"/>
  <c r="EV103" i="1"/>
  <c r="EV106" i="1"/>
  <c r="EV109" i="1"/>
  <c r="EV112" i="1"/>
  <c r="EV114" i="1"/>
  <c r="EV118" i="1"/>
  <c r="EV122" i="1"/>
  <c r="EV126" i="1"/>
  <c r="EV130" i="1"/>
  <c r="EV134" i="1"/>
  <c r="EV138" i="1"/>
  <c r="EV142" i="1"/>
  <c r="EV146" i="1"/>
  <c r="EV148" i="1"/>
  <c r="EV152" i="1"/>
  <c r="EV156" i="1"/>
  <c r="EV160" i="1"/>
  <c r="EV164" i="1"/>
  <c r="EV168" i="1"/>
  <c r="EV172" i="1"/>
  <c r="EV176" i="1"/>
  <c r="EV180" i="1"/>
  <c r="EV184" i="1"/>
  <c r="EV188" i="1"/>
  <c r="EV192" i="1"/>
  <c r="EV196" i="1"/>
  <c r="EV200" i="1"/>
  <c r="EV204" i="1"/>
  <c r="EV208" i="1"/>
  <c r="EV210" i="1"/>
  <c r="EV214" i="1"/>
  <c r="EV218" i="1"/>
  <c r="EV222" i="1"/>
  <c r="EV226" i="1"/>
  <c r="EV230" i="1"/>
  <c r="EV2" i="1" l="1"/>
  <c r="EW2" i="1" s="1"/>
  <c r="ET2" i="1"/>
  <c r="ET3" i="1"/>
  <c r="ET4" i="1"/>
  <c r="ET5" i="1"/>
  <c r="ET6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3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89" i="1"/>
  <c r="ET90" i="1"/>
  <c r="ET91" i="1"/>
  <c r="ET92" i="1"/>
  <c r="ET93" i="1"/>
  <c r="ET94" i="1"/>
  <c r="ET95" i="1"/>
  <c r="ET96" i="1"/>
  <c r="ET97" i="1"/>
  <c r="ET98" i="1"/>
  <c r="ET99" i="1"/>
  <c r="ET100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165" i="1"/>
  <c r="ET166" i="1"/>
  <c r="ET167" i="1"/>
  <c r="ET168" i="1"/>
  <c r="ET169" i="1"/>
  <c r="ET170" i="1"/>
  <c r="ET171" i="1"/>
  <c r="ET172" i="1"/>
  <c r="ET173" i="1"/>
  <c r="ET174" i="1"/>
  <c r="ET175" i="1"/>
  <c r="ET176" i="1"/>
  <c r="ET177" i="1"/>
  <c r="ET178" i="1"/>
  <c r="ET179" i="1"/>
  <c r="ET180" i="1"/>
  <c r="ET181" i="1"/>
  <c r="ET182" i="1"/>
  <c r="ET183" i="1"/>
  <c r="ET184" i="1"/>
  <c r="ET185" i="1"/>
  <c r="ET186" i="1"/>
  <c r="ET187" i="1"/>
  <c r="ET188" i="1"/>
  <c r="ET189" i="1"/>
  <c r="ET190" i="1"/>
  <c r="ET191" i="1"/>
  <c r="ET192" i="1"/>
  <c r="ET193" i="1"/>
  <c r="ET194" i="1"/>
  <c r="ET195" i="1"/>
  <c r="ET196" i="1"/>
  <c r="ET197" i="1"/>
  <c r="ET198" i="1"/>
  <c r="ET199" i="1"/>
  <c r="ET200" i="1"/>
  <c r="ET201" i="1"/>
  <c r="ET202" i="1"/>
  <c r="ET203" i="1"/>
  <c r="ET204" i="1"/>
  <c r="ET205" i="1"/>
  <c r="ET206" i="1"/>
  <c r="ET207" i="1"/>
  <c r="ET208" i="1"/>
  <c r="ET209" i="1"/>
  <c r="ET210" i="1"/>
  <c r="ET211" i="1"/>
  <c r="ET212" i="1"/>
  <c r="ET213" i="1"/>
  <c r="ET214" i="1"/>
  <c r="ET215" i="1"/>
  <c r="ET216" i="1"/>
  <c r="ET217" i="1"/>
  <c r="ET218" i="1"/>
  <c r="ET219" i="1"/>
  <c r="ET220" i="1"/>
  <c r="ET221" i="1"/>
  <c r="ET222" i="1"/>
  <c r="ET223" i="1"/>
  <c r="ET224" i="1"/>
  <c r="ET225" i="1"/>
  <c r="ET226" i="1"/>
  <c r="ET227" i="1"/>
  <c r="ET228" i="1"/>
  <c r="ET229" i="1"/>
  <c r="ET230" i="1"/>
  <c r="ET231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78" i="1"/>
  <c r="ET279" i="1"/>
  <c r="ET280" i="1"/>
  <c r="ET281" i="1"/>
  <c r="ET282" i="1"/>
  <c r="ET283" i="1"/>
  <c r="ET284" i="1"/>
  <c r="ET285" i="1"/>
  <c r="ET286" i="1"/>
  <c r="ET287" i="1"/>
  <c r="ET288" i="1"/>
  <c r="ET289" i="1"/>
  <c r="ET290" i="1"/>
  <c r="ET291" i="1"/>
  <c r="ET292" i="1"/>
  <c r="ET293" i="1"/>
  <c r="ET294" i="1"/>
  <c r="ET295" i="1"/>
  <c r="ET296" i="1"/>
  <c r="ET297" i="1"/>
  <c r="ET298" i="1"/>
  <c r="ET299" i="1"/>
  <c r="ET300" i="1"/>
  <c r="ET301" i="1"/>
  <c r="ET302" i="1"/>
  <c r="ET303" i="1"/>
  <c r="ET304" i="1"/>
  <c r="ET305" i="1"/>
  <c r="ET306" i="1"/>
  <c r="ET307" i="1"/>
  <c r="ET308" i="1"/>
  <c r="ET309" i="1"/>
  <c r="ET310" i="1"/>
  <c r="ET311" i="1"/>
  <c r="ET312" i="1"/>
  <c r="ET313" i="1"/>
  <c r="ET314" i="1"/>
  <c r="ET315" i="1"/>
  <c r="ET316" i="1"/>
  <c r="ET317" i="1"/>
  <c r="ET318" i="1"/>
  <c r="ET319" i="1"/>
  <c r="ET320" i="1"/>
  <c r="ET321" i="1"/>
  <c r="ET322" i="1"/>
  <c r="ET323" i="1"/>
  <c r="ET324" i="1"/>
  <c r="ET325" i="1"/>
  <c r="ET326" i="1"/>
  <c r="ET327" i="1"/>
  <c r="ET328" i="1"/>
  <c r="ET329" i="1"/>
  <c r="ET330" i="1"/>
  <c r="ET331" i="1"/>
  <c r="ET332" i="1"/>
  <c r="ET333" i="1"/>
  <c r="ET334" i="1"/>
  <c r="ET335" i="1"/>
  <c r="ET336" i="1"/>
  <c r="ET337" i="1"/>
  <c r="ET338" i="1"/>
  <c r="ET339" i="1"/>
  <c r="ET340" i="1"/>
  <c r="ET341" i="1"/>
  <c r="ET342" i="1"/>
  <c r="ET343" i="1"/>
  <c r="ET344" i="1"/>
  <c r="ET345" i="1"/>
  <c r="ET346" i="1"/>
  <c r="ET347" i="1"/>
  <c r="ET348" i="1"/>
  <c r="ET349" i="1"/>
  <c r="ET350" i="1"/>
  <c r="ET351" i="1"/>
  <c r="ET352" i="1"/>
  <c r="ET353" i="1"/>
  <c r="ET354" i="1"/>
  <c r="ET355" i="1"/>
  <c r="ET356" i="1"/>
  <c r="ET357" i="1"/>
  <c r="ET358" i="1"/>
  <c r="ET359" i="1"/>
  <c r="ET360" i="1"/>
  <c r="ET361" i="1"/>
  <c r="ET362" i="1"/>
  <c r="ET363" i="1"/>
  <c r="ET364" i="1"/>
  <c r="ET365" i="1"/>
  <c r="ET366" i="1"/>
  <c r="ET367" i="1"/>
  <c r="ET368" i="1"/>
  <c r="ET369" i="1"/>
  <c r="ET370" i="1"/>
  <c r="ET371" i="1"/>
  <c r="ET372" i="1"/>
  <c r="ET373" i="1"/>
  <c r="ET374" i="1"/>
  <c r="ET375" i="1"/>
  <c r="ET376" i="1"/>
  <c r="ET377" i="1"/>
  <c r="ET378" i="1"/>
  <c r="ET379" i="1"/>
  <c r="ET380" i="1"/>
  <c r="ET381" i="1"/>
  <c r="ET382" i="1"/>
  <c r="ET383" i="1"/>
  <c r="ET384" i="1"/>
  <c r="ET385" i="1"/>
  <c r="ET386" i="1"/>
  <c r="ET387" i="1"/>
  <c r="ET388" i="1"/>
  <c r="ET389" i="1"/>
  <c r="ET390" i="1"/>
  <c r="ET391" i="1"/>
  <c r="ET392" i="1"/>
  <c r="ET393" i="1"/>
  <c r="ET394" i="1"/>
  <c r="ET395" i="1"/>
  <c r="ET396" i="1"/>
  <c r="ET397" i="1"/>
  <c r="ET398" i="1"/>
  <c r="ET399" i="1"/>
  <c r="ET400" i="1"/>
  <c r="ET401" i="1"/>
  <c r="ET402" i="1"/>
  <c r="ET403" i="1"/>
  <c r="ET404" i="1"/>
  <c r="ET405" i="1"/>
  <c r="ET406" i="1"/>
  <c r="ET407" i="1"/>
  <c r="ET408" i="1"/>
  <c r="ET409" i="1"/>
  <c r="ET410" i="1"/>
  <c r="ET411" i="1"/>
  <c r="ET412" i="1"/>
  <c r="ET413" i="1"/>
  <c r="ET414" i="1"/>
  <c r="ET415" i="1"/>
  <c r="ET416" i="1"/>
  <c r="ET417" i="1"/>
  <c r="ET418" i="1"/>
  <c r="ET419" i="1"/>
  <c r="ET420" i="1"/>
  <c r="ET421" i="1"/>
  <c r="ET422" i="1"/>
  <c r="ET423" i="1"/>
  <c r="ET424" i="1"/>
  <c r="ET425" i="1"/>
  <c r="ET426" i="1"/>
  <c r="ET232" i="1"/>
  <c r="ET427" i="1"/>
  <c r="ET428" i="1"/>
  <c r="ET429" i="1"/>
  <c r="ET430" i="1"/>
  <c r="ET431" i="1"/>
  <c r="ET432" i="1"/>
  <c r="ET433" i="1"/>
  <c r="ET434" i="1"/>
  <c r="ET435" i="1"/>
  <c r="ET436" i="1"/>
  <c r="ET437" i="1"/>
  <c r="ET438" i="1"/>
  <c r="ET439" i="1"/>
  <c r="ET440" i="1"/>
  <c r="ET441" i="1"/>
  <c r="ET442" i="1"/>
  <c r="ET443" i="1"/>
  <c r="ET444" i="1"/>
  <c r="ET445" i="1"/>
  <c r="ET446" i="1"/>
  <c r="ET447" i="1"/>
  <c r="ET448" i="1"/>
  <c r="ET449" i="1"/>
  <c r="ET450" i="1"/>
  <c r="ET451" i="1"/>
  <c r="ET452" i="1"/>
  <c r="ET453" i="1"/>
  <c r="ET454" i="1"/>
  <c r="ET455" i="1"/>
  <c r="ET456" i="1"/>
  <c r="ET457" i="1"/>
  <c r="ET458" i="1"/>
  <c r="ET459" i="1"/>
  <c r="ET460" i="1"/>
  <c r="ET461" i="1"/>
  <c r="ET462" i="1"/>
  <c r="ET463" i="1"/>
  <c r="ET468" i="1"/>
  <c r="ET464" i="1"/>
  <c r="ET465" i="1"/>
  <c r="ET466" i="1"/>
  <c r="ET467" i="1"/>
  <c r="ET469" i="1"/>
  <c r="ET470" i="1"/>
  <c r="ET471" i="1"/>
  <c r="ET472" i="1"/>
  <c r="ET473" i="1"/>
  <c r="ET474" i="1"/>
  <c r="ET475" i="1"/>
  <c r="ET476" i="1"/>
  <c r="ET477" i="1"/>
  <c r="ET478" i="1"/>
  <c r="ET479" i="1"/>
  <c r="ET480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V3" i="1" l="1"/>
  <c r="EW3" i="1" s="1"/>
  <c r="EV4" i="1" s="1"/>
  <c r="EW4" i="1" s="1"/>
  <c r="EV5" i="1" s="1"/>
  <c r="EW5" i="1" s="1"/>
  <c r="EW6" i="1"/>
  <c r="EV7" i="1" s="1"/>
  <c r="ER499" i="1"/>
  <c r="ER495" i="1"/>
  <c r="ER493" i="1"/>
  <c r="ER491" i="1"/>
  <c r="ER487" i="1"/>
  <c r="ER485" i="1"/>
  <c r="ER483" i="1"/>
  <c r="ER423" i="1"/>
  <c r="ER418" i="1"/>
  <c r="ER400" i="1"/>
  <c r="ER398" i="1"/>
  <c r="ER471" i="1" l="1"/>
  <c r="ER464" i="1"/>
  <c r="ER480" i="1"/>
  <c r="ER458" i="1"/>
  <c r="ER420" i="1"/>
  <c r="ER412" i="1"/>
  <c r="ER409" i="1"/>
  <c r="ER405" i="1"/>
  <c r="ER402" i="1"/>
  <c r="ER395" i="1"/>
  <c r="ER392" i="1"/>
  <c r="ER386" i="1"/>
  <c r="ER362" i="1"/>
  <c r="ER365" i="1"/>
  <c r="ER356" i="1"/>
  <c r="ER354" i="1"/>
  <c r="ER346" i="1"/>
  <c r="ER156" i="1"/>
  <c r="FA157" i="1" s="1"/>
  <c r="ER344" i="1"/>
  <c r="ER336" i="1"/>
  <c r="ER334" i="1"/>
  <c r="ER329" i="1"/>
  <c r="ER326" i="1"/>
  <c r="EW7" i="1" l="1"/>
  <c r="EV8" i="1" s="1"/>
  <c r="EW8" i="1" l="1"/>
  <c r="EW9" i="1" s="1"/>
  <c r="EV10" i="1" s="1"/>
  <c r="EW10" i="1" l="1"/>
  <c r="EV11" i="1" s="1"/>
  <c r="ER226" i="1"/>
  <c r="FA227" i="1" s="1"/>
  <c r="ER222" i="1"/>
  <c r="FA223" i="1" s="1"/>
  <c r="ER218" i="1"/>
  <c r="FA219" i="1" s="1"/>
  <c r="ER214" i="1"/>
  <c r="FA215" i="1" s="1"/>
  <c r="ER210" i="1"/>
  <c r="FA211" i="1" s="1"/>
  <c r="ER148" i="1"/>
  <c r="FA149" i="1" s="1"/>
  <c r="EW11" i="1" l="1"/>
  <c r="EV12" i="1" s="1"/>
  <c r="ER122" i="1"/>
  <c r="FA123" i="1" s="1"/>
  <c r="ER118" i="1"/>
  <c r="FA119" i="1" s="1"/>
  <c r="ER114" i="1"/>
  <c r="FA115" i="1" s="1"/>
  <c r="ER172" i="1"/>
  <c r="FA173" i="1" s="1"/>
  <c r="ER164" i="1"/>
  <c r="FA165" i="1" s="1"/>
  <c r="ER160" i="1"/>
  <c r="FA161" i="1" s="1"/>
  <c r="ER138" i="1"/>
  <c r="FA139" i="1" s="1"/>
  <c r="ER134" i="1"/>
  <c r="FA135" i="1" s="1"/>
  <c r="ER130" i="1"/>
  <c r="FA131" i="1" s="1"/>
  <c r="ER182" i="1"/>
  <c r="ER180" i="1"/>
  <c r="ER88" i="1"/>
  <c r="EW12" i="1" l="1"/>
  <c r="EW13" i="1" l="1"/>
  <c r="EV14" i="1" s="1"/>
  <c r="DL4" i="1"/>
  <c r="DL6" i="1"/>
  <c r="DL7" i="1"/>
  <c r="DL10" i="1"/>
  <c r="DL11" i="1"/>
  <c r="DL13" i="1"/>
  <c r="DL25" i="1"/>
  <c r="DL28" i="1"/>
  <c r="DL29" i="1"/>
  <c r="DL14" i="1"/>
  <c r="DL31" i="1"/>
  <c r="DL33" i="1"/>
  <c r="DL35" i="1"/>
  <c r="DL36" i="1"/>
  <c r="DL5" i="1"/>
  <c r="DL8" i="1"/>
  <c r="DL12" i="1"/>
  <c r="DL26" i="1"/>
  <c r="DL30" i="1"/>
  <c r="DL32" i="1"/>
  <c r="DL38" i="1"/>
  <c r="DL40" i="1"/>
  <c r="DL41" i="1"/>
  <c r="DL43" i="1"/>
  <c r="DL45" i="1"/>
  <c r="DL46" i="1"/>
  <c r="DL48" i="1"/>
  <c r="DL49" i="1"/>
  <c r="DL37" i="1"/>
  <c r="DL15" i="1"/>
  <c r="DL39" i="1"/>
  <c r="DL50" i="1"/>
  <c r="DL54" i="1"/>
  <c r="DL42" i="1"/>
  <c r="DL44" i="1"/>
  <c r="DL56" i="1"/>
  <c r="DL58" i="1"/>
  <c r="DL47" i="1"/>
  <c r="DL60" i="1"/>
  <c r="DL52" i="1"/>
  <c r="DL62" i="1"/>
  <c r="DL61" i="1"/>
  <c r="DL64" i="1"/>
  <c r="DL66" i="1"/>
  <c r="DL67" i="1"/>
  <c r="DL69" i="1"/>
  <c r="DL71" i="1"/>
  <c r="DL72" i="1"/>
  <c r="DL74" i="1"/>
  <c r="DL75" i="1"/>
  <c r="DL76" i="1"/>
  <c r="DL77" i="1"/>
  <c r="DL78" i="1"/>
  <c r="DL79" i="1"/>
  <c r="DL80" i="1"/>
  <c r="DL81" i="1"/>
  <c r="DL82" i="1"/>
  <c r="DL83" i="1"/>
  <c r="DL84" i="1"/>
  <c r="DL85" i="1"/>
  <c r="DL86" i="1"/>
  <c r="DL87" i="1"/>
  <c r="DL65" i="1"/>
  <c r="DL89" i="1"/>
  <c r="DL68" i="1"/>
  <c r="DL91" i="1"/>
  <c r="DL70" i="1"/>
  <c r="DL92" i="1"/>
  <c r="DL93" i="1"/>
  <c r="DL94" i="1"/>
  <c r="DL95" i="1"/>
  <c r="DL96" i="1"/>
  <c r="DL97" i="1"/>
  <c r="DL98" i="1"/>
  <c r="DL100" i="1"/>
  <c r="DL102" i="1"/>
  <c r="DL103" i="1"/>
  <c r="DL105" i="1"/>
  <c r="DL106" i="1"/>
  <c r="DL108" i="1"/>
  <c r="DL109" i="1"/>
  <c r="DL111" i="1"/>
  <c r="DL113" i="1"/>
  <c r="DL114" i="1"/>
  <c r="DL115" i="1"/>
  <c r="DL118" i="1"/>
  <c r="DL120" i="1"/>
  <c r="DL122" i="1"/>
  <c r="DL123" i="1"/>
  <c r="DL126" i="1"/>
  <c r="DL128" i="1"/>
  <c r="DL130" i="1"/>
  <c r="DL131" i="1"/>
  <c r="DL134" i="1"/>
  <c r="DL135" i="1"/>
  <c r="DL142" i="1"/>
  <c r="DL144" i="1"/>
  <c r="DL138" i="1"/>
  <c r="DL139" i="1"/>
  <c r="DL146" i="1"/>
  <c r="DL147" i="1"/>
  <c r="DL148" i="1"/>
  <c r="DL149" i="1"/>
  <c r="DL152" i="1"/>
  <c r="DL154" i="1"/>
  <c r="DL156" i="1"/>
  <c r="DL157" i="1"/>
  <c r="DL160" i="1"/>
  <c r="DL161" i="1"/>
  <c r="DL164" i="1"/>
  <c r="DL165" i="1"/>
  <c r="DL168" i="1"/>
  <c r="DL170" i="1"/>
  <c r="DL172" i="1"/>
  <c r="DL173" i="1"/>
  <c r="DL176" i="1"/>
  <c r="DL178" i="1"/>
  <c r="DL117" i="1"/>
  <c r="DL116" i="1"/>
  <c r="DL119" i="1"/>
  <c r="DL121" i="1"/>
  <c r="DL125" i="1"/>
  <c r="DL124" i="1"/>
  <c r="DL127" i="1"/>
  <c r="DL129" i="1"/>
  <c r="DL133" i="1"/>
  <c r="DL132" i="1"/>
  <c r="DL137" i="1"/>
  <c r="DL136" i="1"/>
  <c r="DL143" i="1"/>
  <c r="DL145" i="1"/>
  <c r="DL141" i="1"/>
  <c r="DL140" i="1"/>
  <c r="DL73" i="1"/>
  <c r="DL99" i="1"/>
  <c r="DL101" i="1"/>
  <c r="DL180" i="1"/>
  <c r="DL182" i="1"/>
  <c r="DL104" i="1"/>
  <c r="DL107" i="1"/>
  <c r="DL16" i="1"/>
  <c r="DL112" i="1"/>
  <c r="DL110" i="1"/>
  <c r="DL184" i="1"/>
  <c r="DL185" i="1"/>
  <c r="DL186" i="1"/>
  <c r="DL187" i="1"/>
  <c r="DL188" i="1"/>
  <c r="DL189" i="1"/>
  <c r="DL190" i="1"/>
  <c r="DL191" i="1"/>
  <c r="DL192" i="1"/>
  <c r="DL193" i="1"/>
  <c r="DL194" i="1"/>
  <c r="DL195" i="1"/>
  <c r="DL196" i="1"/>
  <c r="DL197" i="1"/>
  <c r="DL198" i="1"/>
  <c r="DL199" i="1"/>
  <c r="DL200" i="1"/>
  <c r="DL201" i="1"/>
  <c r="DL202" i="1"/>
  <c r="DL203" i="1"/>
  <c r="DL204" i="1"/>
  <c r="DL205" i="1"/>
  <c r="DL206" i="1"/>
  <c r="DL207" i="1"/>
  <c r="DL208" i="1"/>
  <c r="DL209" i="1"/>
  <c r="DL210" i="1"/>
  <c r="DL211" i="1"/>
  <c r="DL214" i="1"/>
  <c r="DL215" i="1"/>
  <c r="DL218" i="1"/>
  <c r="DL219" i="1"/>
  <c r="DL222" i="1"/>
  <c r="DL223" i="1"/>
  <c r="DL226" i="1"/>
  <c r="DL227" i="1"/>
  <c r="DL230" i="1"/>
  <c r="DL232" i="1"/>
  <c r="DL234" i="1"/>
  <c r="DL236" i="1"/>
  <c r="DL238" i="1"/>
  <c r="DL240" i="1"/>
  <c r="DL242" i="1"/>
  <c r="DL244" i="1"/>
  <c r="DL246" i="1"/>
  <c r="DL151" i="1"/>
  <c r="DL150" i="1"/>
  <c r="DL153" i="1"/>
  <c r="DL155" i="1"/>
  <c r="DL158" i="1"/>
  <c r="DL163" i="1"/>
  <c r="DL162" i="1"/>
  <c r="DL167" i="1"/>
  <c r="DL166" i="1"/>
  <c r="DL169" i="1"/>
  <c r="DL171" i="1"/>
  <c r="DL175" i="1"/>
  <c r="DL174" i="1"/>
  <c r="DL177" i="1"/>
  <c r="DL179" i="1"/>
  <c r="DL248" i="1"/>
  <c r="DL17" i="1"/>
  <c r="DL18" i="1"/>
  <c r="DL19" i="1"/>
  <c r="DL20" i="1"/>
  <c r="DL21" i="1"/>
  <c r="DL22" i="1"/>
  <c r="DL23" i="1"/>
  <c r="DL24" i="1"/>
  <c r="DL249" i="1"/>
  <c r="DL250" i="1"/>
  <c r="DL3" i="1"/>
  <c r="DL251" i="1"/>
  <c r="DL252" i="1"/>
  <c r="DL9" i="1"/>
  <c r="DL253" i="1"/>
  <c r="DL254" i="1"/>
  <c r="DL255" i="1"/>
  <c r="DL256" i="1"/>
  <c r="DL27" i="1"/>
  <c r="DL257" i="1"/>
  <c r="DL258" i="1"/>
  <c r="DL259" i="1"/>
  <c r="DL260" i="1"/>
  <c r="DL34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75" i="1"/>
  <c r="DL276" i="1"/>
  <c r="DL277" i="1"/>
  <c r="DL278" i="1"/>
  <c r="DL279" i="1"/>
  <c r="DL280" i="1"/>
  <c r="DL281" i="1"/>
  <c r="DL282" i="1"/>
  <c r="DL283" i="1"/>
  <c r="DL284" i="1"/>
  <c r="DL285" i="1"/>
  <c r="DL286" i="1"/>
  <c r="DL287" i="1"/>
  <c r="DL288" i="1"/>
  <c r="DL289" i="1"/>
  <c r="DL290" i="1"/>
  <c r="DL291" i="1"/>
  <c r="DL292" i="1"/>
  <c r="DL293" i="1"/>
  <c r="DL294" i="1"/>
  <c r="DL295" i="1"/>
  <c r="DL296" i="1"/>
  <c r="DL297" i="1"/>
  <c r="DL298" i="1"/>
  <c r="DL299" i="1"/>
  <c r="DL300" i="1"/>
  <c r="DL301" i="1"/>
  <c r="DL302" i="1"/>
  <c r="DL303" i="1"/>
  <c r="DL304" i="1"/>
  <c r="DL305" i="1"/>
  <c r="DL306" i="1"/>
  <c r="DL307" i="1"/>
  <c r="DL308" i="1"/>
  <c r="DL309" i="1"/>
  <c r="DL310" i="1"/>
  <c r="DL311" i="1"/>
  <c r="DL312" i="1"/>
  <c r="DL313" i="1"/>
  <c r="DL314" i="1"/>
  <c r="DL315" i="1"/>
  <c r="DL316" i="1"/>
  <c r="DL317" i="1"/>
  <c r="DL318" i="1"/>
  <c r="DL319" i="1"/>
  <c r="DL320" i="1"/>
  <c r="DL321" i="1"/>
  <c r="DL322" i="1"/>
  <c r="DL323" i="1"/>
  <c r="DL324" i="1"/>
  <c r="DL325" i="1"/>
  <c r="DL326" i="1"/>
  <c r="DL327" i="1"/>
  <c r="DL329" i="1"/>
  <c r="DL330" i="1"/>
  <c r="DL332" i="1"/>
  <c r="DL333" i="1"/>
  <c r="DL335" i="1"/>
  <c r="DL334" i="1"/>
  <c r="DL336" i="1"/>
  <c r="DL337" i="1"/>
  <c r="DL339" i="1"/>
  <c r="DL340" i="1"/>
  <c r="DL341" i="1"/>
  <c r="DL342" i="1"/>
  <c r="DL343" i="1"/>
  <c r="DL345" i="1"/>
  <c r="DL344" i="1"/>
  <c r="DL346" i="1"/>
  <c r="DL347" i="1"/>
  <c r="DL349" i="1"/>
  <c r="DL350" i="1"/>
  <c r="DL351" i="1"/>
  <c r="DL352" i="1"/>
  <c r="DL353" i="1"/>
  <c r="DL355" i="1"/>
  <c r="DL354" i="1"/>
  <c r="DL356" i="1"/>
  <c r="DL357" i="1"/>
  <c r="DL359" i="1"/>
  <c r="DL360" i="1"/>
  <c r="DL361" i="1"/>
  <c r="DL362" i="1"/>
  <c r="DL363" i="1"/>
  <c r="DL365" i="1"/>
  <c r="DL366" i="1"/>
  <c r="DL213" i="1"/>
  <c r="DL212" i="1"/>
  <c r="DL217" i="1"/>
  <c r="DL216" i="1"/>
  <c r="DL221" i="1"/>
  <c r="DL220" i="1"/>
  <c r="DL224" i="1"/>
  <c r="DL225" i="1"/>
  <c r="DL368" i="1"/>
  <c r="DL51" i="1"/>
  <c r="DL55" i="1"/>
  <c r="DL369" i="1"/>
  <c r="DL370" i="1"/>
  <c r="DL371" i="1"/>
  <c r="DL57" i="1"/>
  <c r="DL59" i="1"/>
  <c r="DL372" i="1"/>
  <c r="DL373" i="1"/>
  <c r="DL374" i="1"/>
  <c r="DL375" i="1"/>
  <c r="DL53" i="1"/>
  <c r="DL63" i="1"/>
  <c r="DL376" i="1"/>
  <c r="DL377" i="1"/>
  <c r="DL378" i="1"/>
  <c r="DL379" i="1"/>
  <c r="DL380" i="1"/>
  <c r="DL88" i="1"/>
  <c r="DL381" i="1"/>
  <c r="DL382" i="1"/>
  <c r="DL383" i="1"/>
  <c r="DL90" i="1"/>
  <c r="DL384" i="1"/>
  <c r="DL385" i="1"/>
  <c r="DL386" i="1"/>
  <c r="DL387" i="1"/>
  <c r="DL389" i="1"/>
  <c r="DL390" i="1"/>
  <c r="DL391" i="1"/>
  <c r="DL392" i="1"/>
  <c r="DL393" i="1"/>
  <c r="DL395" i="1"/>
  <c r="DL396" i="1"/>
  <c r="DL399" i="1"/>
  <c r="DL398" i="1"/>
  <c r="DL401" i="1"/>
  <c r="DL400" i="1"/>
  <c r="DL402" i="1"/>
  <c r="DL403" i="1"/>
  <c r="DL405" i="1"/>
  <c r="DL406" i="1"/>
  <c r="DL408" i="1"/>
  <c r="DL409" i="1"/>
  <c r="DL410" i="1"/>
  <c r="DL412" i="1"/>
  <c r="DL413" i="1"/>
  <c r="DL415" i="1"/>
  <c r="DL416" i="1"/>
  <c r="DL417" i="1"/>
  <c r="DL419" i="1"/>
  <c r="DL418" i="1"/>
  <c r="DL420" i="1"/>
  <c r="DL421" i="1"/>
  <c r="DL424" i="1"/>
  <c r="DL423" i="1"/>
  <c r="DL425" i="1"/>
  <c r="DL426" i="1"/>
  <c r="DL229" i="1"/>
  <c r="DL228" i="1"/>
  <c r="DL231" i="1"/>
  <c r="DL233" i="1"/>
  <c r="DL235" i="1"/>
  <c r="DL237" i="1"/>
  <c r="DL239" i="1"/>
  <c r="DL241" i="1"/>
  <c r="DL243" i="1"/>
  <c r="DL245" i="1"/>
  <c r="DL247" i="1"/>
  <c r="DL427" i="1"/>
  <c r="DL428" i="1"/>
  <c r="DL181" i="1"/>
  <c r="DL183" i="1"/>
  <c r="DL429" i="1"/>
  <c r="DL430" i="1"/>
  <c r="DL431" i="1"/>
  <c r="DL432" i="1"/>
  <c r="DL433" i="1"/>
  <c r="DL434" i="1"/>
  <c r="DL435" i="1"/>
  <c r="DL436" i="1"/>
  <c r="DL437" i="1"/>
  <c r="DL438" i="1"/>
  <c r="DL439" i="1"/>
  <c r="DL440" i="1"/>
  <c r="DL441" i="1"/>
  <c r="DL442" i="1"/>
  <c r="DL443" i="1"/>
  <c r="DL444" i="1"/>
  <c r="DL445" i="1"/>
  <c r="DL446" i="1"/>
  <c r="DL447" i="1"/>
  <c r="DL448" i="1"/>
  <c r="DL449" i="1"/>
  <c r="DL450" i="1"/>
  <c r="DL451" i="1"/>
  <c r="DL452" i="1"/>
  <c r="DL328" i="1"/>
  <c r="DL331" i="1"/>
  <c r="DL338" i="1"/>
  <c r="DL348" i="1"/>
  <c r="DL358" i="1"/>
  <c r="DL364" i="1"/>
  <c r="DL367" i="1"/>
  <c r="DL388" i="1"/>
  <c r="DL394" i="1"/>
  <c r="DL397" i="1"/>
  <c r="DL404" i="1"/>
  <c r="DL407" i="1"/>
  <c r="DL411" i="1"/>
  <c r="DL414" i="1"/>
  <c r="DL422" i="1"/>
  <c r="DL455" i="1"/>
  <c r="DL456" i="1"/>
  <c r="DL453" i="1"/>
  <c r="DL458" i="1"/>
  <c r="DL460" i="1"/>
  <c r="DL462" i="1"/>
  <c r="DL468" i="1"/>
  <c r="DL465" i="1"/>
  <c r="DL464" i="1"/>
  <c r="DL469" i="1"/>
  <c r="DL472" i="1"/>
  <c r="DL475" i="1"/>
  <c r="DL477" i="1"/>
  <c r="DL479" i="1"/>
  <c r="DL480" i="1"/>
  <c r="DL481" i="1"/>
  <c r="DL484" i="1"/>
  <c r="DL483" i="1"/>
  <c r="DL486" i="1"/>
  <c r="DL485" i="1"/>
  <c r="DL488" i="1"/>
  <c r="DL487" i="1"/>
  <c r="DL489" i="1"/>
  <c r="DL490" i="1"/>
  <c r="DL492" i="1"/>
  <c r="DL491" i="1"/>
  <c r="DL494" i="1"/>
  <c r="DL493" i="1"/>
  <c r="DL496" i="1"/>
  <c r="DL495" i="1"/>
  <c r="DL497" i="1"/>
  <c r="DL498" i="1"/>
  <c r="DL500" i="1"/>
  <c r="DL499" i="1"/>
  <c r="DL159" i="1"/>
  <c r="DL454" i="1"/>
  <c r="DL457" i="1"/>
  <c r="DL467" i="1"/>
  <c r="DL466" i="1"/>
  <c r="DL470" i="1"/>
  <c r="DL473" i="1"/>
  <c r="DL474" i="1"/>
  <c r="DL476" i="1"/>
  <c r="DL478" i="1"/>
  <c r="DL461" i="1"/>
  <c r="DL459" i="1"/>
  <c r="DL463" i="1"/>
  <c r="DL471" i="1"/>
  <c r="DL482" i="1"/>
  <c r="DL2" i="1"/>
  <c r="DW4" i="1"/>
  <c r="DW6" i="1"/>
  <c r="DW7" i="1"/>
  <c r="DW10" i="1"/>
  <c r="DW11" i="1"/>
  <c r="DW13" i="1"/>
  <c r="DW25" i="1"/>
  <c r="DW28" i="1"/>
  <c r="DW29" i="1"/>
  <c r="DW14" i="1"/>
  <c r="DW31" i="1"/>
  <c r="DW33" i="1"/>
  <c r="DW35" i="1"/>
  <c r="DW36" i="1"/>
  <c r="DW5" i="1"/>
  <c r="DW8" i="1"/>
  <c r="DW12" i="1"/>
  <c r="DW26" i="1"/>
  <c r="DW30" i="1"/>
  <c r="DW32" i="1"/>
  <c r="DW38" i="1"/>
  <c r="DW40" i="1"/>
  <c r="DW41" i="1"/>
  <c r="DW43" i="1"/>
  <c r="DW45" i="1"/>
  <c r="DW46" i="1"/>
  <c r="DW48" i="1"/>
  <c r="DW49" i="1"/>
  <c r="DW37" i="1"/>
  <c r="DW15" i="1"/>
  <c r="DW39" i="1"/>
  <c r="DW50" i="1"/>
  <c r="DW54" i="1"/>
  <c r="DW42" i="1"/>
  <c r="DW44" i="1"/>
  <c r="DW56" i="1"/>
  <c r="DW58" i="1"/>
  <c r="DW47" i="1"/>
  <c r="DW60" i="1"/>
  <c r="DW52" i="1"/>
  <c r="DW62" i="1"/>
  <c r="DW61" i="1"/>
  <c r="DW64" i="1"/>
  <c r="DW66" i="1"/>
  <c r="DW67" i="1"/>
  <c r="DW69" i="1"/>
  <c r="DW71" i="1"/>
  <c r="DW72" i="1"/>
  <c r="DW74" i="1"/>
  <c r="DW75" i="1"/>
  <c r="DW76" i="1"/>
  <c r="DW77" i="1"/>
  <c r="DW78" i="1"/>
  <c r="DW79" i="1"/>
  <c r="DW80" i="1"/>
  <c r="DW81" i="1"/>
  <c r="DW82" i="1"/>
  <c r="DW83" i="1"/>
  <c r="DW84" i="1"/>
  <c r="DW85" i="1"/>
  <c r="DW86" i="1"/>
  <c r="DW87" i="1"/>
  <c r="DW65" i="1"/>
  <c r="DW89" i="1"/>
  <c r="DW68" i="1"/>
  <c r="DW91" i="1"/>
  <c r="DW70" i="1"/>
  <c r="DW92" i="1"/>
  <c r="DW93" i="1"/>
  <c r="DW94" i="1"/>
  <c r="DW95" i="1"/>
  <c r="DW96" i="1"/>
  <c r="DW97" i="1"/>
  <c r="DW98" i="1"/>
  <c r="DW100" i="1"/>
  <c r="DW102" i="1"/>
  <c r="DW103" i="1"/>
  <c r="DW105" i="1"/>
  <c r="DW106" i="1"/>
  <c r="DW108" i="1"/>
  <c r="DW109" i="1"/>
  <c r="DW111" i="1"/>
  <c r="DW113" i="1"/>
  <c r="DW114" i="1"/>
  <c r="DW115" i="1"/>
  <c r="DW118" i="1"/>
  <c r="DW120" i="1"/>
  <c r="DW122" i="1"/>
  <c r="DW123" i="1"/>
  <c r="DW126" i="1"/>
  <c r="DW128" i="1"/>
  <c r="DW130" i="1"/>
  <c r="DW131" i="1"/>
  <c r="DW134" i="1"/>
  <c r="DW135" i="1"/>
  <c r="DW142" i="1"/>
  <c r="DW144" i="1"/>
  <c r="DW138" i="1"/>
  <c r="DW139" i="1"/>
  <c r="DW146" i="1"/>
  <c r="DW147" i="1"/>
  <c r="DW148" i="1"/>
  <c r="DW149" i="1"/>
  <c r="DW152" i="1"/>
  <c r="DW154" i="1"/>
  <c r="DW156" i="1"/>
  <c r="DW157" i="1"/>
  <c r="DW160" i="1"/>
  <c r="DW161" i="1"/>
  <c r="DW164" i="1"/>
  <c r="DW165" i="1"/>
  <c r="DW168" i="1"/>
  <c r="DW170" i="1"/>
  <c r="DW172" i="1"/>
  <c r="DW173" i="1"/>
  <c r="DW176" i="1"/>
  <c r="DW178" i="1"/>
  <c r="DW117" i="1"/>
  <c r="DW116" i="1"/>
  <c r="DW119" i="1"/>
  <c r="DW121" i="1"/>
  <c r="DW125" i="1"/>
  <c r="DW124" i="1"/>
  <c r="DW127" i="1"/>
  <c r="DW129" i="1"/>
  <c r="DW133" i="1"/>
  <c r="DW132" i="1"/>
  <c r="DW137" i="1"/>
  <c r="DW136" i="1"/>
  <c r="DW143" i="1"/>
  <c r="DW145" i="1"/>
  <c r="DW141" i="1"/>
  <c r="DW140" i="1"/>
  <c r="DW73" i="1"/>
  <c r="DW99" i="1"/>
  <c r="DW101" i="1"/>
  <c r="DW180" i="1"/>
  <c r="DW182" i="1"/>
  <c r="DW104" i="1"/>
  <c r="DW107" i="1"/>
  <c r="DW16" i="1"/>
  <c r="DW112" i="1"/>
  <c r="DW110" i="1"/>
  <c r="DW184" i="1"/>
  <c r="DW185" i="1"/>
  <c r="DW186" i="1"/>
  <c r="DW187" i="1"/>
  <c r="DW188" i="1"/>
  <c r="DW189" i="1"/>
  <c r="DW190" i="1"/>
  <c r="DW191" i="1"/>
  <c r="DW192" i="1"/>
  <c r="DW193" i="1"/>
  <c r="DW194" i="1"/>
  <c r="DW195" i="1"/>
  <c r="DW196" i="1"/>
  <c r="DW197" i="1"/>
  <c r="DW198" i="1"/>
  <c r="DW199" i="1"/>
  <c r="DW200" i="1"/>
  <c r="DW201" i="1"/>
  <c r="DW202" i="1"/>
  <c r="DW203" i="1"/>
  <c r="DW204" i="1"/>
  <c r="DW205" i="1"/>
  <c r="DW206" i="1"/>
  <c r="DW207" i="1"/>
  <c r="DW208" i="1"/>
  <c r="DW209" i="1"/>
  <c r="DW210" i="1"/>
  <c r="DW211" i="1"/>
  <c r="DW214" i="1"/>
  <c r="DW215" i="1"/>
  <c r="DW218" i="1"/>
  <c r="DW219" i="1"/>
  <c r="DW222" i="1"/>
  <c r="DW223" i="1"/>
  <c r="DW226" i="1"/>
  <c r="DW227" i="1"/>
  <c r="DW230" i="1"/>
  <c r="DW232" i="1"/>
  <c r="DW234" i="1"/>
  <c r="DW236" i="1"/>
  <c r="DW238" i="1"/>
  <c r="DW240" i="1"/>
  <c r="DW242" i="1"/>
  <c r="DW244" i="1"/>
  <c r="DW246" i="1"/>
  <c r="DW151" i="1"/>
  <c r="DW150" i="1"/>
  <c r="DW153" i="1"/>
  <c r="DW155" i="1"/>
  <c r="DW158" i="1"/>
  <c r="DW163" i="1"/>
  <c r="DW162" i="1"/>
  <c r="DW167" i="1"/>
  <c r="DW166" i="1"/>
  <c r="DW169" i="1"/>
  <c r="DW171" i="1"/>
  <c r="DW175" i="1"/>
  <c r="DW174" i="1"/>
  <c r="DW177" i="1"/>
  <c r="DW179" i="1"/>
  <c r="DW248" i="1"/>
  <c r="DW17" i="1"/>
  <c r="DW18" i="1"/>
  <c r="DW19" i="1"/>
  <c r="DW20" i="1"/>
  <c r="DW21" i="1"/>
  <c r="DW22" i="1"/>
  <c r="DW23" i="1"/>
  <c r="DW24" i="1"/>
  <c r="DW249" i="1"/>
  <c r="DW250" i="1"/>
  <c r="DW3" i="1"/>
  <c r="DW251" i="1"/>
  <c r="DW252" i="1"/>
  <c r="DW9" i="1"/>
  <c r="DW253" i="1"/>
  <c r="DW254" i="1"/>
  <c r="DW255" i="1"/>
  <c r="DW256" i="1"/>
  <c r="DW27" i="1"/>
  <c r="DW257" i="1"/>
  <c r="DW258" i="1"/>
  <c r="DW259" i="1"/>
  <c r="DW260" i="1"/>
  <c r="DW34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75" i="1"/>
  <c r="DW276" i="1"/>
  <c r="DW277" i="1"/>
  <c r="DW278" i="1"/>
  <c r="DW279" i="1"/>
  <c r="DW280" i="1"/>
  <c r="DW281" i="1"/>
  <c r="DW282" i="1"/>
  <c r="DW283" i="1"/>
  <c r="DW284" i="1"/>
  <c r="DW285" i="1"/>
  <c r="DW286" i="1"/>
  <c r="DW287" i="1"/>
  <c r="DW288" i="1"/>
  <c r="DW289" i="1"/>
  <c r="DW290" i="1"/>
  <c r="DW291" i="1"/>
  <c r="DW292" i="1"/>
  <c r="DW293" i="1"/>
  <c r="DW294" i="1"/>
  <c r="DW295" i="1"/>
  <c r="DW296" i="1"/>
  <c r="DW297" i="1"/>
  <c r="DW298" i="1"/>
  <c r="DW299" i="1"/>
  <c r="DW300" i="1"/>
  <c r="DW301" i="1"/>
  <c r="DW302" i="1"/>
  <c r="DW303" i="1"/>
  <c r="DW304" i="1"/>
  <c r="DW305" i="1"/>
  <c r="DW306" i="1"/>
  <c r="DW307" i="1"/>
  <c r="DW308" i="1"/>
  <c r="DW309" i="1"/>
  <c r="DW310" i="1"/>
  <c r="DW311" i="1"/>
  <c r="DW312" i="1"/>
  <c r="DW313" i="1"/>
  <c r="DW314" i="1"/>
  <c r="DW315" i="1"/>
  <c r="DW316" i="1"/>
  <c r="DW317" i="1"/>
  <c r="DW318" i="1"/>
  <c r="DW319" i="1"/>
  <c r="DW320" i="1"/>
  <c r="DW321" i="1"/>
  <c r="DW322" i="1"/>
  <c r="DW323" i="1"/>
  <c r="DW324" i="1"/>
  <c r="DW325" i="1"/>
  <c r="DW326" i="1"/>
  <c r="DW327" i="1"/>
  <c r="DW329" i="1"/>
  <c r="DW330" i="1"/>
  <c r="DW332" i="1"/>
  <c r="DW333" i="1"/>
  <c r="DW335" i="1"/>
  <c r="DW334" i="1"/>
  <c r="DW336" i="1"/>
  <c r="DW337" i="1"/>
  <c r="DW339" i="1"/>
  <c r="DW340" i="1"/>
  <c r="DW341" i="1"/>
  <c r="DW342" i="1"/>
  <c r="DW343" i="1"/>
  <c r="DW345" i="1"/>
  <c r="DW344" i="1"/>
  <c r="DW346" i="1"/>
  <c r="DW347" i="1"/>
  <c r="DW349" i="1"/>
  <c r="DW350" i="1"/>
  <c r="DW351" i="1"/>
  <c r="DW352" i="1"/>
  <c r="DW353" i="1"/>
  <c r="DW355" i="1"/>
  <c r="DW354" i="1"/>
  <c r="DW356" i="1"/>
  <c r="DW357" i="1"/>
  <c r="DW359" i="1"/>
  <c r="DW360" i="1"/>
  <c r="DW361" i="1"/>
  <c r="DW362" i="1"/>
  <c r="DW363" i="1"/>
  <c r="DW365" i="1"/>
  <c r="DW366" i="1"/>
  <c r="DW213" i="1"/>
  <c r="DW212" i="1"/>
  <c r="DW217" i="1"/>
  <c r="DW216" i="1"/>
  <c r="DW221" i="1"/>
  <c r="DW220" i="1"/>
  <c r="DW224" i="1"/>
  <c r="DW225" i="1"/>
  <c r="DW368" i="1"/>
  <c r="DW51" i="1"/>
  <c r="DW55" i="1"/>
  <c r="DW369" i="1"/>
  <c r="DW370" i="1"/>
  <c r="DW371" i="1"/>
  <c r="DW57" i="1"/>
  <c r="DW59" i="1"/>
  <c r="DW372" i="1"/>
  <c r="DW373" i="1"/>
  <c r="DW374" i="1"/>
  <c r="DW375" i="1"/>
  <c r="DW53" i="1"/>
  <c r="DW63" i="1"/>
  <c r="DW376" i="1"/>
  <c r="DW377" i="1"/>
  <c r="DW378" i="1"/>
  <c r="DW379" i="1"/>
  <c r="DW380" i="1"/>
  <c r="DW88" i="1"/>
  <c r="DW381" i="1"/>
  <c r="DW382" i="1"/>
  <c r="DW383" i="1"/>
  <c r="DW90" i="1"/>
  <c r="DW384" i="1"/>
  <c r="DW385" i="1"/>
  <c r="DW386" i="1"/>
  <c r="DW387" i="1"/>
  <c r="DW389" i="1"/>
  <c r="DW390" i="1"/>
  <c r="DW391" i="1"/>
  <c r="DW392" i="1"/>
  <c r="DW393" i="1"/>
  <c r="DW395" i="1"/>
  <c r="DW396" i="1"/>
  <c r="DW399" i="1"/>
  <c r="DW398" i="1"/>
  <c r="DW401" i="1"/>
  <c r="DW400" i="1"/>
  <c r="DW402" i="1"/>
  <c r="DW403" i="1"/>
  <c r="DW405" i="1"/>
  <c r="DW406" i="1"/>
  <c r="DW408" i="1"/>
  <c r="DW409" i="1"/>
  <c r="DW410" i="1"/>
  <c r="DW412" i="1"/>
  <c r="DW413" i="1"/>
  <c r="DW415" i="1"/>
  <c r="DW416" i="1"/>
  <c r="DW417" i="1"/>
  <c r="DW419" i="1"/>
  <c r="DW418" i="1"/>
  <c r="DW420" i="1"/>
  <c r="DW421" i="1"/>
  <c r="DW424" i="1"/>
  <c r="DW423" i="1"/>
  <c r="DW425" i="1"/>
  <c r="DW426" i="1"/>
  <c r="DW229" i="1"/>
  <c r="DW228" i="1"/>
  <c r="DW231" i="1"/>
  <c r="DW233" i="1"/>
  <c r="DW235" i="1"/>
  <c r="DW237" i="1"/>
  <c r="DW239" i="1"/>
  <c r="DW241" i="1"/>
  <c r="DW243" i="1"/>
  <c r="DW245" i="1"/>
  <c r="DW247" i="1"/>
  <c r="DW427" i="1"/>
  <c r="DW428" i="1"/>
  <c r="DW181" i="1"/>
  <c r="DW183" i="1"/>
  <c r="DW429" i="1"/>
  <c r="DW430" i="1"/>
  <c r="DW431" i="1"/>
  <c r="DW432" i="1"/>
  <c r="DW433" i="1"/>
  <c r="DW434" i="1"/>
  <c r="DW435" i="1"/>
  <c r="DW436" i="1"/>
  <c r="DW437" i="1"/>
  <c r="DW438" i="1"/>
  <c r="DW439" i="1"/>
  <c r="DW440" i="1"/>
  <c r="DW441" i="1"/>
  <c r="DW442" i="1"/>
  <c r="DW443" i="1"/>
  <c r="DW444" i="1"/>
  <c r="DW445" i="1"/>
  <c r="DW446" i="1"/>
  <c r="DW447" i="1"/>
  <c r="DW448" i="1"/>
  <c r="DW449" i="1"/>
  <c r="DW450" i="1"/>
  <c r="DW451" i="1"/>
  <c r="DW452" i="1"/>
  <c r="DW328" i="1"/>
  <c r="DW331" i="1"/>
  <c r="DW338" i="1"/>
  <c r="DW348" i="1"/>
  <c r="DW358" i="1"/>
  <c r="DW364" i="1"/>
  <c r="DW367" i="1"/>
  <c r="DW388" i="1"/>
  <c r="DW394" i="1"/>
  <c r="DW397" i="1"/>
  <c r="DW404" i="1"/>
  <c r="DW407" i="1"/>
  <c r="DW411" i="1"/>
  <c r="DW414" i="1"/>
  <c r="DW422" i="1"/>
  <c r="DW455" i="1"/>
  <c r="DW456" i="1"/>
  <c r="DW453" i="1"/>
  <c r="DW458" i="1"/>
  <c r="DW460" i="1"/>
  <c r="DW462" i="1"/>
  <c r="DW468" i="1"/>
  <c r="DW465" i="1"/>
  <c r="DW464" i="1"/>
  <c r="DW469" i="1"/>
  <c r="DW472" i="1"/>
  <c r="DW475" i="1"/>
  <c r="DW477" i="1"/>
  <c r="DW479" i="1"/>
  <c r="DW480" i="1"/>
  <c r="DW481" i="1"/>
  <c r="DW484" i="1"/>
  <c r="DW483" i="1"/>
  <c r="DW486" i="1"/>
  <c r="DW485" i="1"/>
  <c r="DW488" i="1"/>
  <c r="DW487" i="1"/>
  <c r="DW489" i="1"/>
  <c r="DW490" i="1"/>
  <c r="DW492" i="1"/>
  <c r="DW491" i="1"/>
  <c r="DW494" i="1"/>
  <c r="DW493" i="1"/>
  <c r="DW496" i="1"/>
  <c r="DW495" i="1"/>
  <c r="DW497" i="1"/>
  <c r="DW498" i="1"/>
  <c r="DW500" i="1"/>
  <c r="DW499" i="1"/>
  <c r="DW159" i="1"/>
  <c r="DW454" i="1"/>
  <c r="DW457" i="1"/>
  <c r="DW467" i="1"/>
  <c r="DW466" i="1"/>
  <c r="DW470" i="1"/>
  <c r="DW473" i="1"/>
  <c r="DW474" i="1"/>
  <c r="DW476" i="1"/>
  <c r="DW478" i="1"/>
  <c r="DW461" i="1"/>
  <c r="DW459" i="1"/>
  <c r="DW463" i="1"/>
  <c r="DW471" i="1"/>
  <c r="DW482" i="1"/>
  <c r="EW14" i="1" l="1"/>
  <c r="EV15" i="1" s="1"/>
  <c r="FS4" i="1"/>
  <c r="FT4" i="1"/>
  <c r="FS6" i="1"/>
  <c r="FT6" i="1"/>
  <c r="FS7" i="1"/>
  <c r="FT7" i="1"/>
  <c r="FS10" i="1"/>
  <c r="FT10" i="1"/>
  <c r="FS11" i="1"/>
  <c r="FT11" i="1"/>
  <c r="FS13" i="1"/>
  <c r="FT13" i="1"/>
  <c r="FS25" i="1"/>
  <c r="FT25" i="1"/>
  <c r="FS28" i="1"/>
  <c r="FT28" i="1"/>
  <c r="FS29" i="1"/>
  <c r="FT29" i="1"/>
  <c r="FS14" i="1"/>
  <c r="FT14" i="1"/>
  <c r="FS31" i="1"/>
  <c r="FT31" i="1"/>
  <c r="FS33" i="1"/>
  <c r="FT33" i="1"/>
  <c r="FS35" i="1"/>
  <c r="FT35" i="1"/>
  <c r="FS36" i="1"/>
  <c r="FT36" i="1"/>
  <c r="FS5" i="1"/>
  <c r="FT5" i="1"/>
  <c r="FS8" i="1"/>
  <c r="FT8" i="1"/>
  <c r="FS12" i="1"/>
  <c r="FT12" i="1"/>
  <c r="FS26" i="1"/>
  <c r="FT26" i="1"/>
  <c r="FS30" i="1"/>
  <c r="FT30" i="1"/>
  <c r="FS32" i="1"/>
  <c r="FT32" i="1"/>
  <c r="FS38" i="1"/>
  <c r="FT38" i="1"/>
  <c r="FS40" i="1"/>
  <c r="FT40" i="1"/>
  <c r="FS41" i="1"/>
  <c r="FT41" i="1"/>
  <c r="FS43" i="1"/>
  <c r="FT43" i="1"/>
  <c r="FS45" i="1"/>
  <c r="FT45" i="1"/>
  <c r="FS46" i="1"/>
  <c r="FT46" i="1"/>
  <c r="FS48" i="1"/>
  <c r="FT48" i="1"/>
  <c r="FS49" i="1"/>
  <c r="FT49" i="1"/>
  <c r="FS37" i="1"/>
  <c r="FT37" i="1"/>
  <c r="FS15" i="1"/>
  <c r="FT15" i="1"/>
  <c r="FS39" i="1"/>
  <c r="FT39" i="1"/>
  <c r="FS50" i="1"/>
  <c r="FT50" i="1"/>
  <c r="FS54" i="1"/>
  <c r="FT54" i="1"/>
  <c r="FS42" i="1"/>
  <c r="FT42" i="1"/>
  <c r="FS44" i="1"/>
  <c r="FT44" i="1"/>
  <c r="FS56" i="1"/>
  <c r="FT56" i="1"/>
  <c r="FS58" i="1"/>
  <c r="FT58" i="1"/>
  <c r="FS47" i="1"/>
  <c r="FT47" i="1"/>
  <c r="FS60" i="1"/>
  <c r="FT60" i="1"/>
  <c r="FS52" i="1"/>
  <c r="FT52" i="1"/>
  <c r="FS62" i="1"/>
  <c r="FT62" i="1"/>
  <c r="FS61" i="1"/>
  <c r="FT61" i="1"/>
  <c r="FS64" i="1"/>
  <c r="FT64" i="1"/>
  <c r="FS66" i="1"/>
  <c r="FT66" i="1"/>
  <c r="FS67" i="1"/>
  <c r="FT67" i="1"/>
  <c r="FS69" i="1"/>
  <c r="FT69" i="1"/>
  <c r="FS71" i="1"/>
  <c r="FT71" i="1"/>
  <c r="FS72" i="1"/>
  <c r="FT72" i="1"/>
  <c r="FS74" i="1"/>
  <c r="FT74" i="1"/>
  <c r="FS75" i="1"/>
  <c r="FT75" i="1"/>
  <c r="FS76" i="1"/>
  <c r="FT76" i="1"/>
  <c r="FS77" i="1"/>
  <c r="FT77" i="1"/>
  <c r="FS78" i="1"/>
  <c r="FT78" i="1"/>
  <c r="FS79" i="1"/>
  <c r="FT79" i="1"/>
  <c r="FS80" i="1"/>
  <c r="FT80" i="1"/>
  <c r="FS81" i="1"/>
  <c r="FT81" i="1"/>
  <c r="FS82" i="1"/>
  <c r="FT82" i="1"/>
  <c r="FS83" i="1"/>
  <c r="FT83" i="1"/>
  <c r="FS84" i="1"/>
  <c r="FT84" i="1"/>
  <c r="FS85" i="1"/>
  <c r="FT85" i="1"/>
  <c r="FS86" i="1"/>
  <c r="FT86" i="1"/>
  <c r="FS87" i="1"/>
  <c r="FT87" i="1"/>
  <c r="FS65" i="1"/>
  <c r="FT65" i="1"/>
  <c r="FS89" i="1"/>
  <c r="FT89" i="1"/>
  <c r="FS68" i="1"/>
  <c r="FT68" i="1"/>
  <c r="FS91" i="1"/>
  <c r="FT91" i="1"/>
  <c r="FS70" i="1"/>
  <c r="FT70" i="1"/>
  <c r="FS92" i="1"/>
  <c r="FT92" i="1"/>
  <c r="FS93" i="1"/>
  <c r="FT93" i="1"/>
  <c r="FS94" i="1"/>
  <c r="FT94" i="1"/>
  <c r="FS95" i="1"/>
  <c r="FT95" i="1"/>
  <c r="FS96" i="1"/>
  <c r="FT96" i="1"/>
  <c r="FS97" i="1"/>
  <c r="FT97" i="1"/>
  <c r="FS98" i="1"/>
  <c r="FT98" i="1"/>
  <c r="FS100" i="1"/>
  <c r="FT100" i="1"/>
  <c r="FS102" i="1"/>
  <c r="FT102" i="1"/>
  <c r="FS103" i="1"/>
  <c r="FT103" i="1"/>
  <c r="FS105" i="1"/>
  <c r="FT105" i="1"/>
  <c r="FS106" i="1"/>
  <c r="FT106" i="1"/>
  <c r="FS108" i="1"/>
  <c r="FT108" i="1"/>
  <c r="FS109" i="1"/>
  <c r="FT109" i="1"/>
  <c r="FS111" i="1"/>
  <c r="FT111" i="1"/>
  <c r="FS113" i="1"/>
  <c r="FT113" i="1"/>
  <c r="FS114" i="1"/>
  <c r="FT114" i="1"/>
  <c r="FS115" i="1"/>
  <c r="FT115" i="1"/>
  <c r="FS118" i="1"/>
  <c r="FT118" i="1"/>
  <c r="FS120" i="1"/>
  <c r="FT120" i="1"/>
  <c r="FS122" i="1"/>
  <c r="FT122" i="1"/>
  <c r="FS123" i="1"/>
  <c r="FT123" i="1"/>
  <c r="FS126" i="1"/>
  <c r="FT126" i="1"/>
  <c r="FS128" i="1"/>
  <c r="FT128" i="1"/>
  <c r="FS130" i="1"/>
  <c r="FT130" i="1"/>
  <c r="FS131" i="1"/>
  <c r="FT131" i="1"/>
  <c r="FS134" i="1"/>
  <c r="FT134" i="1"/>
  <c r="FS135" i="1"/>
  <c r="FT135" i="1"/>
  <c r="FS142" i="1"/>
  <c r="FT142" i="1"/>
  <c r="FS144" i="1"/>
  <c r="FT144" i="1"/>
  <c r="FS138" i="1"/>
  <c r="FT138" i="1"/>
  <c r="FS139" i="1"/>
  <c r="FT139" i="1"/>
  <c r="FS146" i="1"/>
  <c r="FT146" i="1"/>
  <c r="FS147" i="1"/>
  <c r="FT147" i="1"/>
  <c r="FS148" i="1"/>
  <c r="FT148" i="1"/>
  <c r="FS149" i="1"/>
  <c r="FT149" i="1"/>
  <c r="FS152" i="1"/>
  <c r="FT152" i="1"/>
  <c r="FS154" i="1"/>
  <c r="FT154" i="1"/>
  <c r="FS156" i="1"/>
  <c r="FT156" i="1"/>
  <c r="FS157" i="1"/>
  <c r="FT157" i="1"/>
  <c r="FS160" i="1"/>
  <c r="FT160" i="1"/>
  <c r="FS161" i="1"/>
  <c r="FT161" i="1"/>
  <c r="FS164" i="1"/>
  <c r="FT164" i="1"/>
  <c r="FS165" i="1"/>
  <c r="FT165" i="1"/>
  <c r="FS168" i="1"/>
  <c r="FT168" i="1"/>
  <c r="FS170" i="1"/>
  <c r="FT170" i="1"/>
  <c r="FS172" i="1"/>
  <c r="FT172" i="1"/>
  <c r="FS173" i="1"/>
  <c r="FT173" i="1"/>
  <c r="FS176" i="1"/>
  <c r="FT176" i="1"/>
  <c r="FS178" i="1"/>
  <c r="FT178" i="1"/>
  <c r="FS117" i="1"/>
  <c r="FT117" i="1"/>
  <c r="FS116" i="1"/>
  <c r="FT116" i="1"/>
  <c r="FS119" i="1"/>
  <c r="FT119" i="1"/>
  <c r="FS121" i="1"/>
  <c r="FT121" i="1"/>
  <c r="FS125" i="1"/>
  <c r="FT125" i="1"/>
  <c r="FS124" i="1"/>
  <c r="FT124" i="1"/>
  <c r="FS127" i="1"/>
  <c r="FT127" i="1"/>
  <c r="FS129" i="1"/>
  <c r="FT129" i="1"/>
  <c r="FS133" i="1"/>
  <c r="FT133" i="1"/>
  <c r="FS132" i="1"/>
  <c r="FT132" i="1"/>
  <c r="FS137" i="1"/>
  <c r="FT137" i="1"/>
  <c r="FS136" i="1"/>
  <c r="FT136" i="1"/>
  <c r="FS143" i="1"/>
  <c r="FT143" i="1"/>
  <c r="FS145" i="1"/>
  <c r="FT145" i="1"/>
  <c r="FS141" i="1"/>
  <c r="FT141" i="1"/>
  <c r="FS140" i="1"/>
  <c r="FT140" i="1"/>
  <c r="FS73" i="1"/>
  <c r="FT73" i="1"/>
  <c r="FS99" i="1"/>
  <c r="FT99" i="1"/>
  <c r="FS101" i="1"/>
  <c r="FT101" i="1"/>
  <c r="FS180" i="1"/>
  <c r="FT180" i="1"/>
  <c r="FS182" i="1"/>
  <c r="FT182" i="1"/>
  <c r="FS104" i="1"/>
  <c r="FT104" i="1"/>
  <c r="FS107" i="1"/>
  <c r="FT107" i="1"/>
  <c r="FS16" i="1"/>
  <c r="FT16" i="1"/>
  <c r="FS112" i="1"/>
  <c r="FT112" i="1"/>
  <c r="FS110" i="1"/>
  <c r="FT110" i="1"/>
  <c r="FS184" i="1"/>
  <c r="FT184" i="1"/>
  <c r="FS185" i="1"/>
  <c r="FT185" i="1"/>
  <c r="FS186" i="1"/>
  <c r="FT186" i="1"/>
  <c r="FS187" i="1"/>
  <c r="FT187" i="1"/>
  <c r="FS188" i="1"/>
  <c r="FT188" i="1"/>
  <c r="FS189" i="1"/>
  <c r="FT189" i="1"/>
  <c r="FS190" i="1"/>
  <c r="FT190" i="1"/>
  <c r="FS191" i="1"/>
  <c r="FT191" i="1"/>
  <c r="FS192" i="1"/>
  <c r="FT192" i="1"/>
  <c r="FS193" i="1"/>
  <c r="FT193" i="1"/>
  <c r="FS194" i="1"/>
  <c r="FT194" i="1"/>
  <c r="FS195" i="1"/>
  <c r="FT195" i="1"/>
  <c r="FS196" i="1"/>
  <c r="FT196" i="1"/>
  <c r="FS197" i="1"/>
  <c r="FT197" i="1"/>
  <c r="FS198" i="1"/>
  <c r="FT198" i="1"/>
  <c r="FS199" i="1"/>
  <c r="FT199" i="1"/>
  <c r="FS200" i="1"/>
  <c r="FT200" i="1"/>
  <c r="FS201" i="1"/>
  <c r="FT201" i="1"/>
  <c r="FS202" i="1"/>
  <c r="FT202" i="1"/>
  <c r="FS203" i="1"/>
  <c r="FT203" i="1"/>
  <c r="FS204" i="1"/>
  <c r="FT204" i="1"/>
  <c r="FS205" i="1"/>
  <c r="FT205" i="1"/>
  <c r="FS206" i="1"/>
  <c r="FT206" i="1"/>
  <c r="FS207" i="1"/>
  <c r="FT207" i="1"/>
  <c r="FS208" i="1"/>
  <c r="FT208" i="1"/>
  <c r="FS209" i="1"/>
  <c r="FT209" i="1"/>
  <c r="FS210" i="1"/>
  <c r="FT210" i="1"/>
  <c r="FS211" i="1"/>
  <c r="FT211" i="1"/>
  <c r="FS214" i="1"/>
  <c r="FT214" i="1"/>
  <c r="FS215" i="1"/>
  <c r="FT215" i="1"/>
  <c r="FS218" i="1"/>
  <c r="FT218" i="1"/>
  <c r="FS219" i="1"/>
  <c r="FT219" i="1"/>
  <c r="FS222" i="1"/>
  <c r="FT222" i="1"/>
  <c r="FS223" i="1"/>
  <c r="FT223" i="1"/>
  <c r="FS226" i="1"/>
  <c r="FT226" i="1"/>
  <c r="FS227" i="1"/>
  <c r="FT227" i="1"/>
  <c r="FS230" i="1"/>
  <c r="FT230" i="1"/>
  <c r="FS232" i="1"/>
  <c r="FT232" i="1"/>
  <c r="FS234" i="1"/>
  <c r="FT234" i="1"/>
  <c r="FS236" i="1"/>
  <c r="FT236" i="1"/>
  <c r="FS238" i="1"/>
  <c r="FT238" i="1"/>
  <c r="FS240" i="1"/>
  <c r="FT240" i="1"/>
  <c r="FS242" i="1"/>
  <c r="FT242" i="1"/>
  <c r="FS244" i="1"/>
  <c r="FT244" i="1"/>
  <c r="FS246" i="1"/>
  <c r="FT246" i="1"/>
  <c r="FS151" i="1"/>
  <c r="FT151" i="1"/>
  <c r="FS150" i="1"/>
  <c r="FT150" i="1"/>
  <c r="FS153" i="1"/>
  <c r="FT153" i="1"/>
  <c r="FS155" i="1"/>
  <c r="FT155" i="1"/>
  <c r="FS158" i="1"/>
  <c r="FT158" i="1"/>
  <c r="FS163" i="1"/>
  <c r="FT163" i="1"/>
  <c r="FS162" i="1"/>
  <c r="FT162" i="1"/>
  <c r="FS167" i="1"/>
  <c r="FT167" i="1"/>
  <c r="FS166" i="1"/>
  <c r="FT166" i="1"/>
  <c r="FS169" i="1"/>
  <c r="FT169" i="1"/>
  <c r="FS171" i="1"/>
  <c r="FT171" i="1"/>
  <c r="FS175" i="1"/>
  <c r="FT175" i="1"/>
  <c r="FS174" i="1"/>
  <c r="FT174" i="1"/>
  <c r="FS177" i="1"/>
  <c r="FT177" i="1"/>
  <c r="FS179" i="1"/>
  <c r="FT179" i="1"/>
  <c r="FS248" i="1"/>
  <c r="FT248" i="1"/>
  <c r="FS17" i="1"/>
  <c r="FT17" i="1"/>
  <c r="FS18" i="1"/>
  <c r="FT18" i="1"/>
  <c r="FS19" i="1"/>
  <c r="FT19" i="1"/>
  <c r="FS20" i="1"/>
  <c r="FT20" i="1"/>
  <c r="FS21" i="1"/>
  <c r="FT21" i="1"/>
  <c r="FS22" i="1"/>
  <c r="FT22" i="1"/>
  <c r="FS23" i="1"/>
  <c r="FT23" i="1"/>
  <c r="FS24" i="1"/>
  <c r="FT24" i="1"/>
  <c r="FS249" i="1"/>
  <c r="FT249" i="1"/>
  <c r="FS250" i="1"/>
  <c r="FT250" i="1"/>
  <c r="FS3" i="1"/>
  <c r="FT3" i="1"/>
  <c r="FS251" i="1"/>
  <c r="FT251" i="1"/>
  <c r="FS252" i="1"/>
  <c r="FT252" i="1"/>
  <c r="FS9" i="1"/>
  <c r="FT9" i="1"/>
  <c r="FS253" i="1"/>
  <c r="FT253" i="1"/>
  <c r="FS254" i="1"/>
  <c r="FT254" i="1"/>
  <c r="FS255" i="1"/>
  <c r="FT255" i="1"/>
  <c r="FS256" i="1"/>
  <c r="FT256" i="1"/>
  <c r="FS27" i="1"/>
  <c r="FT27" i="1"/>
  <c r="FS257" i="1"/>
  <c r="FT257" i="1"/>
  <c r="FS258" i="1"/>
  <c r="FT258" i="1"/>
  <c r="FS259" i="1"/>
  <c r="FT259" i="1"/>
  <c r="FS260" i="1"/>
  <c r="FT260" i="1"/>
  <c r="FS34" i="1"/>
  <c r="FT34" i="1"/>
  <c r="FS261" i="1"/>
  <c r="FT261" i="1"/>
  <c r="FS262" i="1"/>
  <c r="FT262" i="1"/>
  <c r="FS263" i="1"/>
  <c r="FT263" i="1"/>
  <c r="FS264" i="1"/>
  <c r="FT264" i="1"/>
  <c r="FS265" i="1"/>
  <c r="FT265" i="1"/>
  <c r="FS266" i="1"/>
  <c r="FT266" i="1"/>
  <c r="FS267" i="1"/>
  <c r="FT267" i="1"/>
  <c r="FS268" i="1"/>
  <c r="FT268" i="1"/>
  <c r="FS269" i="1"/>
  <c r="FT269" i="1"/>
  <c r="FS270" i="1"/>
  <c r="FT270" i="1"/>
  <c r="FS271" i="1"/>
  <c r="FT271" i="1"/>
  <c r="FS272" i="1"/>
  <c r="FT272" i="1"/>
  <c r="FS273" i="1"/>
  <c r="FT273" i="1"/>
  <c r="FS274" i="1"/>
  <c r="FT274" i="1"/>
  <c r="FS275" i="1"/>
  <c r="FT275" i="1"/>
  <c r="FS276" i="1"/>
  <c r="FT276" i="1"/>
  <c r="FS277" i="1"/>
  <c r="FT277" i="1"/>
  <c r="FS278" i="1"/>
  <c r="FT278" i="1"/>
  <c r="FS279" i="1"/>
  <c r="FT279" i="1"/>
  <c r="FS280" i="1"/>
  <c r="FT280" i="1"/>
  <c r="FS281" i="1"/>
  <c r="FT281" i="1"/>
  <c r="FS282" i="1"/>
  <c r="FT282" i="1"/>
  <c r="FS283" i="1"/>
  <c r="FT283" i="1"/>
  <c r="FS284" i="1"/>
  <c r="FT284" i="1"/>
  <c r="FS285" i="1"/>
  <c r="FT285" i="1"/>
  <c r="FS286" i="1"/>
  <c r="FT286" i="1"/>
  <c r="FS287" i="1"/>
  <c r="FT287" i="1"/>
  <c r="FS288" i="1"/>
  <c r="FT288" i="1"/>
  <c r="FS289" i="1"/>
  <c r="FT289" i="1"/>
  <c r="FS290" i="1"/>
  <c r="FT290" i="1"/>
  <c r="FS291" i="1"/>
  <c r="FT291" i="1"/>
  <c r="FS292" i="1"/>
  <c r="FT292" i="1"/>
  <c r="FS293" i="1"/>
  <c r="FT293" i="1"/>
  <c r="FS294" i="1"/>
  <c r="FT294" i="1"/>
  <c r="FS295" i="1"/>
  <c r="FT295" i="1"/>
  <c r="FS296" i="1"/>
  <c r="FT296" i="1"/>
  <c r="FS297" i="1"/>
  <c r="FT297" i="1"/>
  <c r="FS298" i="1"/>
  <c r="FT298" i="1"/>
  <c r="FS299" i="1"/>
  <c r="FT299" i="1"/>
  <c r="FS300" i="1"/>
  <c r="FT300" i="1"/>
  <c r="FS301" i="1"/>
  <c r="FT301" i="1"/>
  <c r="FS302" i="1"/>
  <c r="FT302" i="1"/>
  <c r="FS303" i="1"/>
  <c r="FT303" i="1"/>
  <c r="FS304" i="1"/>
  <c r="FT304" i="1"/>
  <c r="FS305" i="1"/>
  <c r="FT305" i="1"/>
  <c r="FS306" i="1"/>
  <c r="FT306" i="1"/>
  <c r="FS307" i="1"/>
  <c r="FT307" i="1"/>
  <c r="FS308" i="1"/>
  <c r="FT308" i="1"/>
  <c r="FS309" i="1"/>
  <c r="FT309" i="1"/>
  <c r="FS310" i="1"/>
  <c r="FT310" i="1"/>
  <c r="FS311" i="1"/>
  <c r="FT311" i="1"/>
  <c r="FS312" i="1"/>
  <c r="FT312" i="1"/>
  <c r="FS313" i="1"/>
  <c r="FT313" i="1"/>
  <c r="FS314" i="1"/>
  <c r="FT314" i="1"/>
  <c r="FS315" i="1"/>
  <c r="FT315" i="1"/>
  <c r="FS316" i="1"/>
  <c r="FT316" i="1"/>
  <c r="FS317" i="1"/>
  <c r="FT317" i="1"/>
  <c r="FS318" i="1"/>
  <c r="FT318" i="1"/>
  <c r="FS319" i="1"/>
  <c r="FT319" i="1"/>
  <c r="FS320" i="1"/>
  <c r="FT320" i="1"/>
  <c r="FS321" i="1"/>
  <c r="FT321" i="1"/>
  <c r="FS322" i="1"/>
  <c r="FT322" i="1"/>
  <c r="FS323" i="1"/>
  <c r="FT323" i="1"/>
  <c r="FS324" i="1"/>
  <c r="FT324" i="1"/>
  <c r="FS325" i="1"/>
  <c r="FT325" i="1"/>
  <c r="FS326" i="1"/>
  <c r="FT326" i="1"/>
  <c r="FS327" i="1"/>
  <c r="FT327" i="1"/>
  <c r="FS329" i="1"/>
  <c r="FT329" i="1"/>
  <c r="FS330" i="1"/>
  <c r="FT330" i="1"/>
  <c r="FS332" i="1"/>
  <c r="FT332" i="1"/>
  <c r="FS333" i="1"/>
  <c r="FT333" i="1"/>
  <c r="FS335" i="1"/>
  <c r="FT335" i="1"/>
  <c r="FS334" i="1"/>
  <c r="FT334" i="1"/>
  <c r="FS336" i="1"/>
  <c r="FT336" i="1"/>
  <c r="FS337" i="1"/>
  <c r="FT337" i="1"/>
  <c r="FS339" i="1"/>
  <c r="FT339" i="1"/>
  <c r="FS340" i="1"/>
  <c r="FT340" i="1"/>
  <c r="FS341" i="1"/>
  <c r="FT341" i="1"/>
  <c r="FS342" i="1"/>
  <c r="FT342" i="1"/>
  <c r="FS343" i="1"/>
  <c r="FT343" i="1"/>
  <c r="FS345" i="1"/>
  <c r="FT345" i="1"/>
  <c r="FS344" i="1"/>
  <c r="FT344" i="1"/>
  <c r="FS346" i="1"/>
  <c r="FT346" i="1"/>
  <c r="FS347" i="1"/>
  <c r="FT347" i="1"/>
  <c r="FS349" i="1"/>
  <c r="FT349" i="1"/>
  <c r="FS350" i="1"/>
  <c r="FT350" i="1"/>
  <c r="FS351" i="1"/>
  <c r="FT351" i="1"/>
  <c r="FS352" i="1"/>
  <c r="FT352" i="1"/>
  <c r="FS353" i="1"/>
  <c r="FT353" i="1"/>
  <c r="FS355" i="1"/>
  <c r="FT355" i="1"/>
  <c r="FS354" i="1"/>
  <c r="FT354" i="1"/>
  <c r="FS356" i="1"/>
  <c r="FT356" i="1"/>
  <c r="FS357" i="1"/>
  <c r="FT357" i="1"/>
  <c r="FS359" i="1"/>
  <c r="FT359" i="1"/>
  <c r="FS360" i="1"/>
  <c r="FT360" i="1"/>
  <c r="FS361" i="1"/>
  <c r="FT361" i="1"/>
  <c r="FS362" i="1"/>
  <c r="FT362" i="1"/>
  <c r="FS363" i="1"/>
  <c r="FT363" i="1"/>
  <c r="FS365" i="1"/>
  <c r="FT365" i="1"/>
  <c r="FS366" i="1"/>
  <c r="FT366" i="1"/>
  <c r="FS213" i="1"/>
  <c r="FT213" i="1"/>
  <c r="FS212" i="1"/>
  <c r="FT212" i="1"/>
  <c r="FS217" i="1"/>
  <c r="FT217" i="1"/>
  <c r="FS216" i="1"/>
  <c r="FT216" i="1"/>
  <c r="FS221" i="1"/>
  <c r="FT221" i="1"/>
  <c r="FS220" i="1"/>
  <c r="FT220" i="1"/>
  <c r="FS224" i="1"/>
  <c r="FT224" i="1"/>
  <c r="FS225" i="1"/>
  <c r="FT225" i="1"/>
  <c r="FS368" i="1"/>
  <c r="FT368" i="1"/>
  <c r="FS51" i="1"/>
  <c r="FT51" i="1"/>
  <c r="FS55" i="1"/>
  <c r="FT55" i="1"/>
  <c r="FS369" i="1"/>
  <c r="FT369" i="1"/>
  <c r="FS370" i="1"/>
  <c r="FT370" i="1"/>
  <c r="FS371" i="1"/>
  <c r="FT371" i="1"/>
  <c r="FS57" i="1"/>
  <c r="FT57" i="1"/>
  <c r="FS59" i="1"/>
  <c r="FT59" i="1"/>
  <c r="FS372" i="1"/>
  <c r="FT372" i="1"/>
  <c r="FS373" i="1"/>
  <c r="FT373" i="1"/>
  <c r="FS374" i="1"/>
  <c r="FT374" i="1"/>
  <c r="FS375" i="1"/>
  <c r="FT375" i="1"/>
  <c r="FS53" i="1"/>
  <c r="FT53" i="1"/>
  <c r="FS63" i="1"/>
  <c r="FT63" i="1"/>
  <c r="FS376" i="1"/>
  <c r="FT376" i="1"/>
  <c r="FS377" i="1"/>
  <c r="FT377" i="1"/>
  <c r="FS378" i="1"/>
  <c r="FT378" i="1"/>
  <c r="FS379" i="1"/>
  <c r="FT379" i="1"/>
  <c r="FS380" i="1"/>
  <c r="FT380" i="1"/>
  <c r="FS88" i="1"/>
  <c r="FT88" i="1"/>
  <c r="FS381" i="1"/>
  <c r="FT381" i="1"/>
  <c r="FS382" i="1"/>
  <c r="FT382" i="1"/>
  <c r="FS383" i="1"/>
  <c r="FT383" i="1"/>
  <c r="FS90" i="1"/>
  <c r="FT90" i="1"/>
  <c r="FS384" i="1"/>
  <c r="FT384" i="1"/>
  <c r="FS385" i="1"/>
  <c r="FT385" i="1"/>
  <c r="FS386" i="1"/>
  <c r="FT386" i="1"/>
  <c r="FS387" i="1"/>
  <c r="FT387" i="1"/>
  <c r="FS389" i="1"/>
  <c r="FT389" i="1"/>
  <c r="FS390" i="1"/>
  <c r="FT390" i="1"/>
  <c r="FS391" i="1"/>
  <c r="FT391" i="1"/>
  <c r="FS392" i="1"/>
  <c r="FT392" i="1"/>
  <c r="FS393" i="1"/>
  <c r="FT393" i="1"/>
  <c r="FS395" i="1"/>
  <c r="FT395" i="1"/>
  <c r="FS396" i="1"/>
  <c r="FT396" i="1"/>
  <c r="FS399" i="1"/>
  <c r="FT399" i="1"/>
  <c r="FS398" i="1"/>
  <c r="FT398" i="1"/>
  <c r="FS401" i="1"/>
  <c r="FT401" i="1"/>
  <c r="FS400" i="1"/>
  <c r="FT400" i="1"/>
  <c r="FS402" i="1"/>
  <c r="FT402" i="1"/>
  <c r="FS403" i="1"/>
  <c r="FT403" i="1"/>
  <c r="FS405" i="1"/>
  <c r="FT405" i="1"/>
  <c r="FS406" i="1"/>
  <c r="FT406" i="1"/>
  <c r="FS408" i="1"/>
  <c r="FT408" i="1"/>
  <c r="FS409" i="1"/>
  <c r="FT409" i="1"/>
  <c r="FS410" i="1"/>
  <c r="FT410" i="1"/>
  <c r="FS412" i="1"/>
  <c r="FT412" i="1"/>
  <c r="FS413" i="1"/>
  <c r="FT413" i="1"/>
  <c r="FS415" i="1"/>
  <c r="FT415" i="1"/>
  <c r="FS416" i="1"/>
  <c r="FT416" i="1"/>
  <c r="FS417" i="1"/>
  <c r="FT417" i="1"/>
  <c r="FS419" i="1"/>
  <c r="FT419" i="1"/>
  <c r="FS418" i="1"/>
  <c r="FT418" i="1"/>
  <c r="FS420" i="1"/>
  <c r="FT420" i="1"/>
  <c r="FS421" i="1"/>
  <c r="FT421" i="1"/>
  <c r="FS424" i="1"/>
  <c r="FT424" i="1"/>
  <c r="FS423" i="1"/>
  <c r="FT423" i="1"/>
  <c r="FS425" i="1"/>
  <c r="FT425" i="1"/>
  <c r="FS426" i="1"/>
  <c r="FT426" i="1"/>
  <c r="FS229" i="1"/>
  <c r="FT229" i="1"/>
  <c r="FS228" i="1"/>
  <c r="FT228" i="1"/>
  <c r="FS231" i="1"/>
  <c r="FT231" i="1"/>
  <c r="FS233" i="1"/>
  <c r="FT233" i="1"/>
  <c r="FS235" i="1"/>
  <c r="FT235" i="1"/>
  <c r="FS237" i="1"/>
  <c r="FT237" i="1"/>
  <c r="FS239" i="1"/>
  <c r="FT239" i="1"/>
  <c r="FS241" i="1"/>
  <c r="FT241" i="1"/>
  <c r="FS243" i="1"/>
  <c r="FT243" i="1"/>
  <c r="FS245" i="1"/>
  <c r="FT245" i="1"/>
  <c r="FS247" i="1"/>
  <c r="FT247" i="1"/>
  <c r="FS427" i="1"/>
  <c r="FT427" i="1"/>
  <c r="FS428" i="1"/>
  <c r="FT428" i="1"/>
  <c r="FS181" i="1"/>
  <c r="FT181" i="1"/>
  <c r="FS183" i="1"/>
  <c r="FT183" i="1"/>
  <c r="FS429" i="1"/>
  <c r="FT429" i="1"/>
  <c r="FS430" i="1"/>
  <c r="FT430" i="1"/>
  <c r="FS431" i="1"/>
  <c r="FT431" i="1"/>
  <c r="FS432" i="1"/>
  <c r="FT432" i="1"/>
  <c r="FS433" i="1"/>
  <c r="FT433" i="1"/>
  <c r="FS434" i="1"/>
  <c r="FT434" i="1"/>
  <c r="FS435" i="1"/>
  <c r="FT435" i="1"/>
  <c r="FS436" i="1"/>
  <c r="FT436" i="1"/>
  <c r="FS437" i="1"/>
  <c r="FT437" i="1"/>
  <c r="FS438" i="1"/>
  <c r="FT438" i="1"/>
  <c r="FS439" i="1"/>
  <c r="FT439" i="1"/>
  <c r="FS440" i="1"/>
  <c r="FT440" i="1"/>
  <c r="FS441" i="1"/>
  <c r="FT441" i="1"/>
  <c r="FS442" i="1"/>
  <c r="FT442" i="1"/>
  <c r="FS443" i="1"/>
  <c r="FT443" i="1"/>
  <c r="FS444" i="1"/>
  <c r="FT444" i="1"/>
  <c r="FS445" i="1"/>
  <c r="FT445" i="1"/>
  <c r="FS446" i="1"/>
  <c r="FT446" i="1"/>
  <c r="FS447" i="1"/>
  <c r="FT447" i="1"/>
  <c r="FS448" i="1"/>
  <c r="FT448" i="1"/>
  <c r="FS449" i="1"/>
  <c r="FT449" i="1"/>
  <c r="FS450" i="1"/>
  <c r="FT450" i="1"/>
  <c r="FS451" i="1"/>
  <c r="FT451" i="1"/>
  <c r="FS452" i="1"/>
  <c r="FT452" i="1"/>
  <c r="FS328" i="1"/>
  <c r="FT328" i="1"/>
  <c r="FS331" i="1"/>
  <c r="FT331" i="1"/>
  <c r="FS338" i="1"/>
  <c r="FT338" i="1"/>
  <c r="FS348" i="1"/>
  <c r="FT348" i="1"/>
  <c r="FS358" i="1"/>
  <c r="FT358" i="1"/>
  <c r="FS364" i="1"/>
  <c r="FT364" i="1"/>
  <c r="FS367" i="1"/>
  <c r="FT367" i="1"/>
  <c r="FS388" i="1"/>
  <c r="FT388" i="1"/>
  <c r="FS394" i="1"/>
  <c r="FT394" i="1"/>
  <c r="FS397" i="1"/>
  <c r="FT397" i="1"/>
  <c r="FS404" i="1"/>
  <c r="FT404" i="1"/>
  <c r="FS407" i="1"/>
  <c r="FT407" i="1"/>
  <c r="FS411" i="1"/>
  <c r="FT411" i="1"/>
  <c r="FS414" i="1"/>
  <c r="FT414" i="1"/>
  <c r="FS422" i="1"/>
  <c r="FT422" i="1"/>
  <c r="FS455" i="1"/>
  <c r="FT455" i="1"/>
  <c r="FS456" i="1"/>
  <c r="FT456" i="1"/>
  <c r="FS453" i="1"/>
  <c r="FT453" i="1"/>
  <c r="FS458" i="1"/>
  <c r="FT458" i="1"/>
  <c r="FS460" i="1"/>
  <c r="FT460" i="1"/>
  <c r="FS462" i="1"/>
  <c r="FT462" i="1"/>
  <c r="FS468" i="1"/>
  <c r="FT468" i="1"/>
  <c r="FS465" i="1"/>
  <c r="FT465" i="1"/>
  <c r="FS464" i="1"/>
  <c r="FT464" i="1"/>
  <c r="FS469" i="1"/>
  <c r="FT469" i="1"/>
  <c r="FS472" i="1"/>
  <c r="FT472" i="1"/>
  <c r="FS475" i="1"/>
  <c r="FT475" i="1"/>
  <c r="FS477" i="1"/>
  <c r="FT477" i="1"/>
  <c r="FS479" i="1"/>
  <c r="FT479" i="1"/>
  <c r="FS480" i="1"/>
  <c r="FT480" i="1"/>
  <c r="FS481" i="1"/>
  <c r="FT481" i="1"/>
  <c r="FS484" i="1"/>
  <c r="FT484" i="1"/>
  <c r="FS483" i="1"/>
  <c r="FT483" i="1"/>
  <c r="FS486" i="1"/>
  <c r="FT486" i="1"/>
  <c r="FS485" i="1"/>
  <c r="FT485" i="1"/>
  <c r="FS488" i="1"/>
  <c r="FT488" i="1"/>
  <c r="FS487" i="1"/>
  <c r="FT487" i="1"/>
  <c r="FS489" i="1"/>
  <c r="FT489" i="1"/>
  <c r="FS490" i="1"/>
  <c r="FT490" i="1"/>
  <c r="FS492" i="1"/>
  <c r="FT492" i="1"/>
  <c r="FS491" i="1"/>
  <c r="FT491" i="1"/>
  <c r="FS494" i="1"/>
  <c r="FT494" i="1"/>
  <c r="FS493" i="1"/>
  <c r="FT493" i="1"/>
  <c r="FS496" i="1"/>
  <c r="FT496" i="1"/>
  <c r="FS495" i="1"/>
  <c r="FT495" i="1"/>
  <c r="FS497" i="1"/>
  <c r="FT497" i="1"/>
  <c r="FS498" i="1"/>
  <c r="FT498" i="1"/>
  <c r="FS500" i="1"/>
  <c r="FT500" i="1"/>
  <c r="FS499" i="1"/>
  <c r="FT499" i="1"/>
  <c r="FS159" i="1"/>
  <c r="FT159" i="1"/>
  <c r="FS454" i="1"/>
  <c r="FT454" i="1"/>
  <c r="FS457" i="1"/>
  <c r="FT457" i="1"/>
  <c r="FS467" i="1"/>
  <c r="FT467" i="1"/>
  <c r="FS466" i="1"/>
  <c r="FT466" i="1"/>
  <c r="FS470" i="1"/>
  <c r="FT470" i="1"/>
  <c r="FS473" i="1"/>
  <c r="FT473" i="1"/>
  <c r="FS474" i="1"/>
  <c r="FT474" i="1"/>
  <c r="FS476" i="1"/>
  <c r="FT476" i="1"/>
  <c r="FS478" i="1"/>
  <c r="FT478" i="1"/>
  <c r="FS461" i="1"/>
  <c r="FT461" i="1"/>
  <c r="FS459" i="1"/>
  <c r="FT459" i="1"/>
  <c r="FS463" i="1"/>
  <c r="FT463" i="1"/>
  <c r="FS471" i="1"/>
  <c r="FT471" i="1"/>
  <c r="FS482" i="1"/>
  <c r="FT482" i="1"/>
  <c r="DH4" i="1"/>
  <c r="DI4" i="1"/>
  <c r="DH6" i="1"/>
  <c r="DI6" i="1"/>
  <c r="DH7" i="1"/>
  <c r="DI7" i="1"/>
  <c r="DH10" i="1"/>
  <c r="DI10" i="1"/>
  <c r="DH11" i="1"/>
  <c r="DI11" i="1"/>
  <c r="DH13" i="1"/>
  <c r="DI13" i="1"/>
  <c r="DH25" i="1"/>
  <c r="DI25" i="1"/>
  <c r="DH28" i="1"/>
  <c r="DI28" i="1"/>
  <c r="DH29" i="1"/>
  <c r="DI29" i="1"/>
  <c r="DH14" i="1"/>
  <c r="DI14" i="1"/>
  <c r="DH31" i="1"/>
  <c r="DI31" i="1"/>
  <c r="DH33" i="1"/>
  <c r="DI33" i="1"/>
  <c r="DH35" i="1"/>
  <c r="DI35" i="1"/>
  <c r="DH36" i="1"/>
  <c r="DI36" i="1"/>
  <c r="DH5" i="1"/>
  <c r="DI5" i="1"/>
  <c r="DH8" i="1"/>
  <c r="DI8" i="1"/>
  <c r="DH12" i="1"/>
  <c r="DI12" i="1"/>
  <c r="DH26" i="1"/>
  <c r="DI26" i="1"/>
  <c r="DH30" i="1"/>
  <c r="DI30" i="1"/>
  <c r="DH32" i="1"/>
  <c r="DI32" i="1"/>
  <c r="DH38" i="1"/>
  <c r="DI38" i="1"/>
  <c r="DH40" i="1"/>
  <c r="DI40" i="1"/>
  <c r="DH41" i="1"/>
  <c r="DI41" i="1"/>
  <c r="DH43" i="1"/>
  <c r="DI43" i="1"/>
  <c r="DH45" i="1"/>
  <c r="DI45" i="1"/>
  <c r="DH46" i="1"/>
  <c r="DI46" i="1"/>
  <c r="DH48" i="1"/>
  <c r="DI48" i="1"/>
  <c r="DH49" i="1"/>
  <c r="DI49" i="1"/>
  <c r="DH37" i="1"/>
  <c r="DI37" i="1"/>
  <c r="DH15" i="1"/>
  <c r="DI15" i="1"/>
  <c r="DH39" i="1"/>
  <c r="DI39" i="1"/>
  <c r="DH50" i="1"/>
  <c r="DI50" i="1"/>
  <c r="DH54" i="1"/>
  <c r="DI54" i="1"/>
  <c r="DH42" i="1"/>
  <c r="DI42" i="1"/>
  <c r="DH44" i="1"/>
  <c r="DI44" i="1"/>
  <c r="DH56" i="1"/>
  <c r="DI56" i="1"/>
  <c r="DH58" i="1"/>
  <c r="DI58" i="1"/>
  <c r="DH47" i="1"/>
  <c r="DI47" i="1"/>
  <c r="DH60" i="1"/>
  <c r="DI60" i="1"/>
  <c r="DH52" i="1"/>
  <c r="DI52" i="1"/>
  <c r="DH62" i="1"/>
  <c r="DI62" i="1"/>
  <c r="DH61" i="1"/>
  <c r="DI61" i="1"/>
  <c r="DH64" i="1"/>
  <c r="DI64" i="1"/>
  <c r="DH66" i="1"/>
  <c r="DI66" i="1"/>
  <c r="DH67" i="1"/>
  <c r="DI67" i="1"/>
  <c r="DH69" i="1"/>
  <c r="DI69" i="1"/>
  <c r="DH71" i="1"/>
  <c r="DI71" i="1"/>
  <c r="DH72" i="1"/>
  <c r="DI72" i="1"/>
  <c r="DH74" i="1"/>
  <c r="DI74" i="1"/>
  <c r="DH75" i="1"/>
  <c r="DI75" i="1"/>
  <c r="DH76" i="1"/>
  <c r="DI76" i="1"/>
  <c r="DH77" i="1"/>
  <c r="DI77" i="1"/>
  <c r="DH78" i="1"/>
  <c r="DI78" i="1"/>
  <c r="DH79" i="1"/>
  <c r="DI79" i="1"/>
  <c r="DH80" i="1"/>
  <c r="DI80" i="1"/>
  <c r="DH81" i="1"/>
  <c r="DI81" i="1"/>
  <c r="DH82" i="1"/>
  <c r="DI82" i="1"/>
  <c r="DH83" i="1"/>
  <c r="DI83" i="1"/>
  <c r="DH84" i="1"/>
  <c r="DI84" i="1"/>
  <c r="DH85" i="1"/>
  <c r="DI85" i="1"/>
  <c r="DH86" i="1"/>
  <c r="DI86" i="1"/>
  <c r="DH87" i="1"/>
  <c r="DI87" i="1"/>
  <c r="DH65" i="1"/>
  <c r="DI65" i="1"/>
  <c r="DH89" i="1"/>
  <c r="DI89" i="1"/>
  <c r="DH68" i="1"/>
  <c r="DI68" i="1"/>
  <c r="DH91" i="1"/>
  <c r="DI91" i="1"/>
  <c r="DH70" i="1"/>
  <c r="DI70" i="1"/>
  <c r="DH92" i="1"/>
  <c r="DI92" i="1"/>
  <c r="DH93" i="1"/>
  <c r="DI93" i="1"/>
  <c r="DH94" i="1"/>
  <c r="DI94" i="1"/>
  <c r="DH95" i="1"/>
  <c r="DI95" i="1"/>
  <c r="DH96" i="1"/>
  <c r="DI96" i="1"/>
  <c r="DH97" i="1"/>
  <c r="DI97" i="1"/>
  <c r="DH98" i="1"/>
  <c r="DI98" i="1"/>
  <c r="DH100" i="1"/>
  <c r="DI100" i="1"/>
  <c r="DH102" i="1"/>
  <c r="DI102" i="1"/>
  <c r="DH103" i="1"/>
  <c r="DI103" i="1"/>
  <c r="DH105" i="1"/>
  <c r="DI105" i="1"/>
  <c r="DH106" i="1"/>
  <c r="DI106" i="1"/>
  <c r="DH108" i="1"/>
  <c r="DI108" i="1"/>
  <c r="DH109" i="1"/>
  <c r="DI109" i="1"/>
  <c r="DH111" i="1"/>
  <c r="DI111" i="1"/>
  <c r="DH113" i="1"/>
  <c r="DI113" i="1"/>
  <c r="DH114" i="1"/>
  <c r="DI114" i="1"/>
  <c r="DH115" i="1"/>
  <c r="DI115" i="1"/>
  <c r="DH118" i="1"/>
  <c r="DI118" i="1"/>
  <c r="DH120" i="1"/>
  <c r="DI120" i="1"/>
  <c r="DH122" i="1"/>
  <c r="DI122" i="1"/>
  <c r="DH123" i="1"/>
  <c r="DI123" i="1"/>
  <c r="DH126" i="1"/>
  <c r="DI126" i="1"/>
  <c r="DH128" i="1"/>
  <c r="DI128" i="1"/>
  <c r="DH130" i="1"/>
  <c r="DI130" i="1"/>
  <c r="DH131" i="1"/>
  <c r="DI131" i="1"/>
  <c r="DH134" i="1"/>
  <c r="DI134" i="1"/>
  <c r="DH135" i="1"/>
  <c r="DI135" i="1"/>
  <c r="DH142" i="1"/>
  <c r="DI142" i="1"/>
  <c r="DH144" i="1"/>
  <c r="DI144" i="1"/>
  <c r="DH138" i="1"/>
  <c r="DI138" i="1"/>
  <c r="DH139" i="1"/>
  <c r="DI139" i="1"/>
  <c r="DH146" i="1"/>
  <c r="DI146" i="1"/>
  <c r="DH147" i="1"/>
  <c r="DI147" i="1"/>
  <c r="DH148" i="1"/>
  <c r="DI148" i="1"/>
  <c r="DH149" i="1"/>
  <c r="DI149" i="1"/>
  <c r="DH152" i="1"/>
  <c r="DI152" i="1"/>
  <c r="DH154" i="1"/>
  <c r="DI154" i="1"/>
  <c r="DH156" i="1"/>
  <c r="DI156" i="1"/>
  <c r="DH157" i="1"/>
  <c r="DI157" i="1"/>
  <c r="DH160" i="1"/>
  <c r="DI160" i="1"/>
  <c r="DH161" i="1"/>
  <c r="DI161" i="1"/>
  <c r="DH164" i="1"/>
  <c r="DI164" i="1"/>
  <c r="DH165" i="1"/>
  <c r="DI165" i="1"/>
  <c r="DH168" i="1"/>
  <c r="DI168" i="1"/>
  <c r="DH170" i="1"/>
  <c r="DI170" i="1"/>
  <c r="DH172" i="1"/>
  <c r="DI172" i="1"/>
  <c r="DH173" i="1"/>
  <c r="DI173" i="1"/>
  <c r="DH176" i="1"/>
  <c r="DI176" i="1"/>
  <c r="DH178" i="1"/>
  <c r="DI178" i="1"/>
  <c r="DH117" i="1"/>
  <c r="DI117" i="1"/>
  <c r="DH116" i="1"/>
  <c r="DI116" i="1"/>
  <c r="DH119" i="1"/>
  <c r="DI119" i="1"/>
  <c r="DH121" i="1"/>
  <c r="DI121" i="1"/>
  <c r="DH125" i="1"/>
  <c r="DI125" i="1"/>
  <c r="DH124" i="1"/>
  <c r="DI124" i="1"/>
  <c r="DH127" i="1"/>
  <c r="DI127" i="1"/>
  <c r="DH129" i="1"/>
  <c r="DI129" i="1"/>
  <c r="DH133" i="1"/>
  <c r="DI133" i="1"/>
  <c r="DH132" i="1"/>
  <c r="DI132" i="1"/>
  <c r="DH137" i="1"/>
  <c r="DI137" i="1"/>
  <c r="DH136" i="1"/>
  <c r="DI136" i="1"/>
  <c r="DH143" i="1"/>
  <c r="DI143" i="1"/>
  <c r="DH145" i="1"/>
  <c r="DI145" i="1"/>
  <c r="DH141" i="1"/>
  <c r="DI141" i="1"/>
  <c r="DH140" i="1"/>
  <c r="DI140" i="1"/>
  <c r="DH73" i="1"/>
  <c r="DI73" i="1"/>
  <c r="DH99" i="1"/>
  <c r="DI99" i="1"/>
  <c r="DH101" i="1"/>
  <c r="DI101" i="1"/>
  <c r="DH180" i="1"/>
  <c r="DI180" i="1"/>
  <c r="DH182" i="1"/>
  <c r="DI182" i="1"/>
  <c r="DH104" i="1"/>
  <c r="DI104" i="1"/>
  <c r="DH107" i="1"/>
  <c r="DI107" i="1"/>
  <c r="DH16" i="1"/>
  <c r="DI16" i="1"/>
  <c r="DH112" i="1"/>
  <c r="DI112" i="1"/>
  <c r="DH110" i="1"/>
  <c r="DI110" i="1"/>
  <c r="DH184" i="1"/>
  <c r="DI184" i="1"/>
  <c r="DH185" i="1"/>
  <c r="DI185" i="1"/>
  <c r="DH186" i="1"/>
  <c r="DI186" i="1"/>
  <c r="DH187" i="1"/>
  <c r="DI187" i="1"/>
  <c r="DH188" i="1"/>
  <c r="DI188" i="1"/>
  <c r="DH189" i="1"/>
  <c r="DI189" i="1"/>
  <c r="DH190" i="1"/>
  <c r="DI190" i="1"/>
  <c r="DH191" i="1"/>
  <c r="DI191" i="1"/>
  <c r="DH192" i="1"/>
  <c r="DI192" i="1"/>
  <c r="DH193" i="1"/>
  <c r="DI193" i="1"/>
  <c r="DH194" i="1"/>
  <c r="DI194" i="1"/>
  <c r="DH195" i="1"/>
  <c r="DI195" i="1"/>
  <c r="DH196" i="1"/>
  <c r="DI196" i="1"/>
  <c r="DH197" i="1"/>
  <c r="DI197" i="1"/>
  <c r="DH198" i="1"/>
  <c r="DI198" i="1"/>
  <c r="DH199" i="1"/>
  <c r="DI199" i="1"/>
  <c r="DH200" i="1"/>
  <c r="DI200" i="1"/>
  <c r="DH201" i="1"/>
  <c r="DI201" i="1"/>
  <c r="DH202" i="1"/>
  <c r="DI202" i="1"/>
  <c r="DH203" i="1"/>
  <c r="DI203" i="1"/>
  <c r="DH204" i="1"/>
  <c r="DI204" i="1"/>
  <c r="DH205" i="1"/>
  <c r="DI205" i="1"/>
  <c r="DH206" i="1"/>
  <c r="DI206" i="1"/>
  <c r="DH207" i="1"/>
  <c r="DI207" i="1"/>
  <c r="DH208" i="1"/>
  <c r="DI208" i="1"/>
  <c r="DH209" i="1"/>
  <c r="DI209" i="1"/>
  <c r="DH210" i="1"/>
  <c r="DI210" i="1"/>
  <c r="DH211" i="1"/>
  <c r="DI211" i="1"/>
  <c r="DH214" i="1"/>
  <c r="DI214" i="1"/>
  <c r="DH215" i="1"/>
  <c r="DI215" i="1"/>
  <c r="DH218" i="1"/>
  <c r="DI218" i="1"/>
  <c r="DH219" i="1"/>
  <c r="DI219" i="1"/>
  <c r="DH222" i="1"/>
  <c r="DI222" i="1"/>
  <c r="DH223" i="1"/>
  <c r="DI223" i="1"/>
  <c r="DH226" i="1"/>
  <c r="DI226" i="1"/>
  <c r="DH227" i="1"/>
  <c r="DI227" i="1"/>
  <c r="DH230" i="1"/>
  <c r="DI230" i="1"/>
  <c r="DH232" i="1"/>
  <c r="DI232" i="1"/>
  <c r="DH234" i="1"/>
  <c r="DI234" i="1"/>
  <c r="DH236" i="1"/>
  <c r="DI236" i="1"/>
  <c r="DH238" i="1"/>
  <c r="DI238" i="1"/>
  <c r="DH240" i="1"/>
  <c r="DI240" i="1"/>
  <c r="DH242" i="1"/>
  <c r="DI242" i="1"/>
  <c r="DH244" i="1"/>
  <c r="DI244" i="1"/>
  <c r="DH246" i="1"/>
  <c r="DI246" i="1"/>
  <c r="DH151" i="1"/>
  <c r="DI151" i="1"/>
  <c r="DH150" i="1"/>
  <c r="DI150" i="1"/>
  <c r="DH153" i="1"/>
  <c r="DI153" i="1"/>
  <c r="DH155" i="1"/>
  <c r="DI155" i="1"/>
  <c r="DH158" i="1"/>
  <c r="DI158" i="1"/>
  <c r="DH163" i="1"/>
  <c r="DI163" i="1"/>
  <c r="DH162" i="1"/>
  <c r="DI162" i="1"/>
  <c r="DH167" i="1"/>
  <c r="DI167" i="1"/>
  <c r="DH166" i="1"/>
  <c r="DI166" i="1"/>
  <c r="DH169" i="1"/>
  <c r="DI169" i="1"/>
  <c r="DH171" i="1"/>
  <c r="DI171" i="1"/>
  <c r="DH175" i="1"/>
  <c r="DI175" i="1"/>
  <c r="DH174" i="1"/>
  <c r="DI174" i="1"/>
  <c r="DH177" i="1"/>
  <c r="DI177" i="1"/>
  <c r="DH179" i="1"/>
  <c r="DI179" i="1"/>
  <c r="DH248" i="1"/>
  <c r="DI248" i="1"/>
  <c r="DH17" i="1"/>
  <c r="DI17" i="1"/>
  <c r="DH18" i="1"/>
  <c r="DI18" i="1"/>
  <c r="DH19" i="1"/>
  <c r="DI19" i="1"/>
  <c r="DH20" i="1"/>
  <c r="DI20" i="1"/>
  <c r="DH21" i="1"/>
  <c r="DI21" i="1"/>
  <c r="DH22" i="1"/>
  <c r="DI22" i="1"/>
  <c r="DH23" i="1"/>
  <c r="DI23" i="1"/>
  <c r="DH24" i="1"/>
  <c r="DI24" i="1"/>
  <c r="DH249" i="1"/>
  <c r="DI249" i="1"/>
  <c r="DH250" i="1"/>
  <c r="DI250" i="1"/>
  <c r="DH3" i="1"/>
  <c r="DI3" i="1"/>
  <c r="DH251" i="1"/>
  <c r="DI251" i="1"/>
  <c r="DH252" i="1"/>
  <c r="DI252" i="1"/>
  <c r="DH9" i="1"/>
  <c r="DI9" i="1"/>
  <c r="DH253" i="1"/>
  <c r="DI253" i="1"/>
  <c r="DH254" i="1"/>
  <c r="DI254" i="1"/>
  <c r="DH255" i="1"/>
  <c r="DI255" i="1"/>
  <c r="DH256" i="1"/>
  <c r="DI256" i="1"/>
  <c r="DH27" i="1"/>
  <c r="DI27" i="1"/>
  <c r="DH257" i="1"/>
  <c r="DI257" i="1"/>
  <c r="DH258" i="1"/>
  <c r="DI258" i="1"/>
  <c r="DH259" i="1"/>
  <c r="DI259" i="1"/>
  <c r="DH260" i="1"/>
  <c r="DI260" i="1"/>
  <c r="DH34" i="1"/>
  <c r="DI34" i="1"/>
  <c r="DH261" i="1"/>
  <c r="DI261" i="1"/>
  <c r="DH262" i="1"/>
  <c r="DI262" i="1"/>
  <c r="DH263" i="1"/>
  <c r="DI263" i="1"/>
  <c r="DH264" i="1"/>
  <c r="DI264" i="1"/>
  <c r="DH265" i="1"/>
  <c r="DI265" i="1"/>
  <c r="DH266" i="1"/>
  <c r="DI266" i="1"/>
  <c r="DH267" i="1"/>
  <c r="DI267" i="1"/>
  <c r="DH268" i="1"/>
  <c r="DI268" i="1"/>
  <c r="DH269" i="1"/>
  <c r="DI269" i="1"/>
  <c r="DH270" i="1"/>
  <c r="DI270" i="1"/>
  <c r="DH271" i="1"/>
  <c r="DI271" i="1"/>
  <c r="DH272" i="1"/>
  <c r="DI272" i="1"/>
  <c r="DH273" i="1"/>
  <c r="DI273" i="1"/>
  <c r="DH274" i="1"/>
  <c r="DI274" i="1"/>
  <c r="DH275" i="1"/>
  <c r="DI275" i="1"/>
  <c r="DH276" i="1"/>
  <c r="DI276" i="1"/>
  <c r="DH277" i="1"/>
  <c r="DI277" i="1"/>
  <c r="DH278" i="1"/>
  <c r="DI278" i="1"/>
  <c r="DH279" i="1"/>
  <c r="DI279" i="1"/>
  <c r="DH280" i="1"/>
  <c r="DI280" i="1"/>
  <c r="DH281" i="1"/>
  <c r="DI281" i="1"/>
  <c r="DH282" i="1"/>
  <c r="DI282" i="1"/>
  <c r="DH283" i="1"/>
  <c r="DI283" i="1"/>
  <c r="DH284" i="1"/>
  <c r="DI284" i="1"/>
  <c r="DH285" i="1"/>
  <c r="DI285" i="1"/>
  <c r="DH286" i="1"/>
  <c r="DI286" i="1"/>
  <c r="DH287" i="1"/>
  <c r="DI287" i="1"/>
  <c r="DH288" i="1"/>
  <c r="DI288" i="1"/>
  <c r="DH289" i="1"/>
  <c r="DI289" i="1"/>
  <c r="DH290" i="1"/>
  <c r="DI290" i="1"/>
  <c r="DH291" i="1"/>
  <c r="DI291" i="1"/>
  <c r="DH292" i="1"/>
  <c r="DI292" i="1"/>
  <c r="DH293" i="1"/>
  <c r="DI293" i="1"/>
  <c r="DH294" i="1"/>
  <c r="DI294" i="1"/>
  <c r="DH295" i="1"/>
  <c r="DI295" i="1"/>
  <c r="DH296" i="1"/>
  <c r="DI296" i="1"/>
  <c r="DH297" i="1"/>
  <c r="DI297" i="1"/>
  <c r="DH298" i="1"/>
  <c r="DI298" i="1"/>
  <c r="DH299" i="1"/>
  <c r="DI299" i="1"/>
  <c r="DH300" i="1"/>
  <c r="DI300" i="1"/>
  <c r="DH301" i="1"/>
  <c r="DI301" i="1"/>
  <c r="DH302" i="1"/>
  <c r="DI302" i="1"/>
  <c r="DH303" i="1"/>
  <c r="DI303" i="1"/>
  <c r="DH304" i="1"/>
  <c r="DI304" i="1"/>
  <c r="DH305" i="1"/>
  <c r="DI305" i="1"/>
  <c r="DH306" i="1"/>
  <c r="DI306" i="1"/>
  <c r="DH307" i="1"/>
  <c r="DI307" i="1"/>
  <c r="DH308" i="1"/>
  <c r="DI308" i="1"/>
  <c r="DH309" i="1"/>
  <c r="DI309" i="1"/>
  <c r="DH310" i="1"/>
  <c r="DI310" i="1"/>
  <c r="DH311" i="1"/>
  <c r="DI311" i="1"/>
  <c r="DH312" i="1"/>
  <c r="DI312" i="1"/>
  <c r="DH313" i="1"/>
  <c r="DI313" i="1"/>
  <c r="DH314" i="1"/>
  <c r="DI314" i="1"/>
  <c r="DH315" i="1"/>
  <c r="DI315" i="1"/>
  <c r="DH316" i="1"/>
  <c r="DI316" i="1"/>
  <c r="DH317" i="1"/>
  <c r="DI317" i="1"/>
  <c r="DH318" i="1"/>
  <c r="DI318" i="1"/>
  <c r="DH319" i="1"/>
  <c r="DI319" i="1"/>
  <c r="DH320" i="1"/>
  <c r="DI320" i="1"/>
  <c r="DH321" i="1"/>
  <c r="DI321" i="1"/>
  <c r="DH322" i="1"/>
  <c r="DI322" i="1"/>
  <c r="DH323" i="1"/>
  <c r="DI323" i="1"/>
  <c r="DH324" i="1"/>
  <c r="DI324" i="1"/>
  <c r="DH325" i="1"/>
  <c r="DI325" i="1"/>
  <c r="DH326" i="1"/>
  <c r="DI326" i="1"/>
  <c r="DH327" i="1"/>
  <c r="DI327" i="1"/>
  <c r="DH329" i="1"/>
  <c r="DI329" i="1"/>
  <c r="DH330" i="1"/>
  <c r="DI330" i="1"/>
  <c r="DH332" i="1"/>
  <c r="DI332" i="1"/>
  <c r="DH333" i="1"/>
  <c r="DI333" i="1"/>
  <c r="DH335" i="1"/>
  <c r="DI335" i="1"/>
  <c r="DH334" i="1"/>
  <c r="DI334" i="1"/>
  <c r="DH336" i="1"/>
  <c r="DI336" i="1"/>
  <c r="DH337" i="1"/>
  <c r="DI337" i="1"/>
  <c r="DH339" i="1"/>
  <c r="DI339" i="1"/>
  <c r="DH340" i="1"/>
  <c r="DI340" i="1"/>
  <c r="DH341" i="1"/>
  <c r="DI341" i="1"/>
  <c r="DH342" i="1"/>
  <c r="DI342" i="1"/>
  <c r="DH343" i="1"/>
  <c r="DI343" i="1"/>
  <c r="DH345" i="1"/>
  <c r="DI345" i="1"/>
  <c r="DH344" i="1"/>
  <c r="DI344" i="1"/>
  <c r="DH346" i="1"/>
  <c r="DI346" i="1"/>
  <c r="DH347" i="1"/>
  <c r="DI347" i="1"/>
  <c r="DH349" i="1"/>
  <c r="DI349" i="1"/>
  <c r="DH350" i="1"/>
  <c r="DI350" i="1"/>
  <c r="DH351" i="1"/>
  <c r="DI351" i="1"/>
  <c r="DH352" i="1"/>
  <c r="DI352" i="1"/>
  <c r="DH353" i="1"/>
  <c r="DI353" i="1"/>
  <c r="DH355" i="1"/>
  <c r="DI355" i="1"/>
  <c r="DH354" i="1"/>
  <c r="DI354" i="1"/>
  <c r="DH356" i="1"/>
  <c r="DI356" i="1"/>
  <c r="DH357" i="1"/>
  <c r="DI357" i="1"/>
  <c r="DH359" i="1"/>
  <c r="DI359" i="1"/>
  <c r="DH360" i="1"/>
  <c r="DI360" i="1"/>
  <c r="DH361" i="1"/>
  <c r="DI361" i="1"/>
  <c r="DH362" i="1"/>
  <c r="DI362" i="1"/>
  <c r="DH363" i="1"/>
  <c r="DI363" i="1"/>
  <c r="DH365" i="1"/>
  <c r="DI365" i="1"/>
  <c r="DH366" i="1"/>
  <c r="DI366" i="1"/>
  <c r="DH213" i="1"/>
  <c r="DI213" i="1"/>
  <c r="DH212" i="1"/>
  <c r="DI212" i="1"/>
  <c r="DH217" i="1"/>
  <c r="DI217" i="1"/>
  <c r="DH216" i="1"/>
  <c r="DI216" i="1"/>
  <c r="DH221" i="1"/>
  <c r="DI221" i="1"/>
  <c r="DH220" i="1"/>
  <c r="DI220" i="1"/>
  <c r="DH224" i="1"/>
  <c r="DI224" i="1"/>
  <c r="DH225" i="1"/>
  <c r="DI225" i="1"/>
  <c r="DH368" i="1"/>
  <c r="DI368" i="1"/>
  <c r="DH51" i="1"/>
  <c r="DI51" i="1"/>
  <c r="DH55" i="1"/>
  <c r="DI55" i="1"/>
  <c r="DH369" i="1"/>
  <c r="DI369" i="1"/>
  <c r="DH370" i="1"/>
  <c r="DI370" i="1"/>
  <c r="DH371" i="1"/>
  <c r="DI371" i="1"/>
  <c r="DH57" i="1"/>
  <c r="DI57" i="1"/>
  <c r="DH59" i="1"/>
  <c r="DI59" i="1"/>
  <c r="DH372" i="1"/>
  <c r="DI372" i="1"/>
  <c r="DH373" i="1"/>
  <c r="DI373" i="1"/>
  <c r="DH374" i="1"/>
  <c r="DI374" i="1"/>
  <c r="DH375" i="1"/>
  <c r="DI375" i="1"/>
  <c r="DH53" i="1"/>
  <c r="DI53" i="1"/>
  <c r="DH63" i="1"/>
  <c r="DI63" i="1"/>
  <c r="DH376" i="1"/>
  <c r="DI376" i="1"/>
  <c r="DH377" i="1"/>
  <c r="DI377" i="1"/>
  <c r="DH378" i="1"/>
  <c r="DI378" i="1"/>
  <c r="DH379" i="1"/>
  <c r="DI379" i="1"/>
  <c r="DH380" i="1"/>
  <c r="DI380" i="1"/>
  <c r="DH88" i="1"/>
  <c r="DI88" i="1"/>
  <c r="DH381" i="1"/>
  <c r="DI381" i="1"/>
  <c r="DH382" i="1"/>
  <c r="DI382" i="1"/>
  <c r="DH383" i="1"/>
  <c r="DI383" i="1"/>
  <c r="DH90" i="1"/>
  <c r="DI90" i="1"/>
  <c r="DH384" i="1"/>
  <c r="DI384" i="1"/>
  <c r="DH385" i="1"/>
  <c r="DI385" i="1"/>
  <c r="DH386" i="1"/>
  <c r="DI386" i="1"/>
  <c r="DH387" i="1"/>
  <c r="DI387" i="1"/>
  <c r="DH389" i="1"/>
  <c r="DI389" i="1"/>
  <c r="DH390" i="1"/>
  <c r="DI390" i="1"/>
  <c r="DH391" i="1"/>
  <c r="DI391" i="1"/>
  <c r="DH392" i="1"/>
  <c r="DI392" i="1"/>
  <c r="DH393" i="1"/>
  <c r="DI393" i="1"/>
  <c r="DH395" i="1"/>
  <c r="DI395" i="1"/>
  <c r="DH396" i="1"/>
  <c r="DI396" i="1"/>
  <c r="DH399" i="1"/>
  <c r="DI399" i="1"/>
  <c r="DH398" i="1"/>
  <c r="DI398" i="1"/>
  <c r="DH401" i="1"/>
  <c r="DI401" i="1"/>
  <c r="DH400" i="1"/>
  <c r="DI400" i="1"/>
  <c r="DH402" i="1"/>
  <c r="DI402" i="1"/>
  <c r="DH403" i="1"/>
  <c r="DI403" i="1"/>
  <c r="DH405" i="1"/>
  <c r="DI405" i="1"/>
  <c r="DH406" i="1"/>
  <c r="DI406" i="1"/>
  <c r="DH408" i="1"/>
  <c r="DI408" i="1"/>
  <c r="DH409" i="1"/>
  <c r="DI409" i="1"/>
  <c r="DH410" i="1"/>
  <c r="DI410" i="1"/>
  <c r="DH412" i="1"/>
  <c r="DI412" i="1"/>
  <c r="DH413" i="1"/>
  <c r="DI413" i="1"/>
  <c r="DH415" i="1"/>
  <c r="DI415" i="1"/>
  <c r="DH416" i="1"/>
  <c r="DI416" i="1"/>
  <c r="DH417" i="1"/>
  <c r="DI417" i="1"/>
  <c r="DH419" i="1"/>
  <c r="DI419" i="1"/>
  <c r="DH418" i="1"/>
  <c r="DI418" i="1"/>
  <c r="DH420" i="1"/>
  <c r="DI420" i="1"/>
  <c r="DH421" i="1"/>
  <c r="DI421" i="1"/>
  <c r="DH424" i="1"/>
  <c r="DI424" i="1"/>
  <c r="DH423" i="1"/>
  <c r="DI423" i="1"/>
  <c r="DH425" i="1"/>
  <c r="DI425" i="1"/>
  <c r="DH426" i="1"/>
  <c r="DI426" i="1"/>
  <c r="DH229" i="1"/>
  <c r="DI229" i="1"/>
  <c r="DH228" i="1"/>
  <c r="DI228" i="1"/>
  <c r="DH231" i="1"/>
  <c r="DI231" i="1"/>
  <c r="DH233" i="1"/>
  <c r="DI233" i="1"/>
  <c r="DH235" i="1"/>
  <c r="DI235" i="1"/>
  <c r="DH237" i="1"/>
  <c r="DI237" i="1"/>
  <c r="DH239" i="1"/>
  <c r="DI239" i="1"/>
  <c r="DH241" i="1"/>
  <c r="DI241" i="1"/>
  <c r="DH243" i="1"/>
  <c r="DI243" i="1"/>
  <c r="DH245" i="1"/>
  <c r="DI245" i="1"/>
  <c r="DH247" i="1"/>
  <c r="DI247" i="1"/>
  <c r="DH427" i="1"/>
  <c r="DI427" i="1"/>
  <c r="DH428" i="1"/>
  <c r="DI428" i="1"/>
  <c r="DH181" i="1"/>
  <c r="DI181" i="1"/>
  <c r="DH183" i="1"/>
  <c r="DI183" i="1"/>
  <c r="DH429" i="1"/>
  <c r="DI429" i="1"/>
  <c r="DH430" i="1"/>
  <c r="DI430" i="1"/>
  <c r="DH431" i="1"/>
  <c r="DI431" i="1"/>
  <c r="DH432" i="1"/>
  <c r="DI432" i="1"/>
  <c r="DH433" i="1"/>
  <c r="DI433" i="1"/>
  <c r="DH434" i="1"/>
  <c r="DI434" i="1"/>
  <c r="DH435" i="1"/>
  <c r="DI435" i="1"/>
  <c r="DH436" i="1"/>
  <c r="DI436" i="1"/>
  <c r="DH437" i="1"/>
  <c r="DI437" i="1"/>
  <c r="DH438" i="1"/>
  <c r="DI438" i="1"/>
  <c r="DH439" i="1"/>
  <c r="DI439" i="1"/>
  <c r="DH440" i="1"/>
  <c r="DI440" i="1"/>
  <c r="DH441" i="1"/>
  <c r="DI441" i="1"/>
  <c r="DH442" i="1"/>
  <c r="DI442" i="1"/>
  <c r="DH443" i="1"/>
  <c r="DI443" i="1"/>
  <c r="DH444" i="1"/>
  <c r="DI444" i="1"/>
  <c r="DH445" i="1"/>
  <c r="DI445" i="1"/>
  <c r="DH446" i="1"/>
  <c r="DI446" i="1"/>
  <c r="DH447" i="1"/>
  <c r="DI447" i="1"/>
  <c r="DH448" i="1"/>
  <c r="DI448" i="1"/>
  <c r="DH449" i="1"/>
  <c r="DI449" i="1"/>
  <c r="DH450" i="1"/>
  <c r="DI450" i="1"/>
  <c r="DH451" i="1"/>
  <c r="DI451" i="1"/>
  <c r="DH452" i="1"/>
  <c r="DI452" i="1"/>
  <c r="DH328" i="1"/>
  <c r="DI328" i="1"/>
  <c r="DH331" i="1"/>
  <c r="DI331" i="1"/>
  <c r="DH338" i="1"/>
  <c r="DI338" i="1"/>
  <c r="DH348" i="1"/>
  <c r="DI348" i="1"/>
  <c r="DH358" i="1"/>
  <c r="DI358" i="1"/>
  <c r="DH364" i="1"/>
  <c r="DI364" i="1"/>
  <c r="DH367" i="1"/>
  <c r="DI367" i="1"/>
  <c r="DH388" i="1"/>
  <c r="DI388" i="1"/>
  <c r="DH394" i="1"/>
  <c r="DI394" i="1"/>
  <c r="DH397" i="1"/>
  <c r="DI397" i="1"/>
  <c r="DH404" i="1"/>
  <c r="DI404" i="1"/>
  <c r="DH407" i="1"/>
  <c r="DI407" i="1"/>
  <c r="DH411" i="1"/>
  <c r="DI411" i="1"/>
  <c r="DH414" i="1"/>
  <c r="DI414" i="1"/>
  <c r="DH422" i="1"/>
  <c r="DI422" i="1"/>
  <c r="DH455" i="1"/>
  <c r="DI455" i="1"/>
  <c r="DH456" i="1"/>
  <c r="DI456" i="1"/>
  <c r="DH453" i="1"/>
  <c r="DI453" i="1"/>
  <c r="DH458" i="1"/>
  <c r="DI458" i="1"/>
  <c r="DH460" i="1"/>
  <c r="DI460" i="1"/>
  <c r="DH462" i="1"/>
  <c r="DI462" i="1"/>
  <c r="DH468" i="1"/>
  <c r="DI468" i="1"/>
  <c r="DH465" i="1"/>
  <c r="DI465" i="1"/>
  <c r="DH464" i="1"/>
  <c r="DI464" i="1"/>
  <c r="DH469" i="1"/>
  <c r="DI469" i="1"/>
  <c r="DH472" i="1"/>
  <c r="DI472" i="1"/>
  <c r="DH475" i="1"/>
  <c r="DI475" i="1"/>
  <c r="DH477" i="1"/>
  <c r="DI477" i="1"/>
  <c r="DH479" i="1"/>
  <c r="DI479" i="1"/>
  <c r="DH480" i="1"/>
  <c r="DI480" i="1"/>
  <c r="DH481" i="1"/>
  <c r="DI481" i="1"/>
  <c r="DH484" i="1"/>
  <c r="DI484" i="1"/>
  <c r="DH483" i="1"/>
  <c r="DI483" i="1"/>
  <c r="DH486" i="1"/>
  <c r="DI486" i="1"/>
  <c r="DH485" i="1"/>
  <c r="DI485" i="1"/>
  <c r="DH488" i="1"/>
  <c r="DI488" i="1"/>
  <c r="DH487" i="1"/>
  <c r="DI487" i="1"/>
  <c r="DH489" i="1"/>
  <c r="DI489" i="1"/>
  <c r="DH490" i="1"/>
  <c r="DI490" i="1"/>
  <c r="DH492" i="1"/>
  <c r="DI492" i="1"/>
  <c r="DH491" i="1"/>
  <c r="DI491" i="1"/>
  <c r="DH494" i="1"/>
  <c r="DI494" i="1"/>
  <c r="DH493" i="1"/>
  <c r="DI493" i="1"/>
  <c r="DH496" i="1"/>
  <c r="DI496" i="1"/>
  <c r="DH495" i="1"/>
  <c r="DI495" i="1"/>
  <c r="DH497" i="1"/>
  <c r="DI497" i="1"/>
  <c r="DH498" i="1"/>
  <c r="DI498" i="1"/>
  <c r="DH500" i="1"/>
  <c r="DI500" i="1"/>
  <c r="DH499" i="1"/>
  <c r="DI499" i="1"/>
  <c r="DH159" i="1"/>
  <c r="DI159" i="1"/>
  <c r="DH454" i="1"/>
  <c r="DI454" i="1"/>
  <c r="DH457" i="1"/>
  <c r="DI457" i="1"/>
  <c r="DH467" i="1"/>
  <c r="DI467" i="1"/>
  <c r="DH466" i="1"/>
  <c r="DI466" i="1"/>
  <c r="DH470" i="1"/>
  <c r="DI470" i="1"/>
  <c r="DH473" i="1"/>
  <c r="DI473" i="1"/>
  <c r="DH474" i="1"/>
  <c r="DI474" i="1"/>
  <c r="DH476" i="1"/>
  <c r="DI476" i="1"/>
  <c r="DH478" i="1"/>
  <c r="DI478" i="1"/>
  <c r="DH461" i="1"/>
  <c r="DI461" i="1"/>
  <c r="DH459" i="1"/>
  <c r="DI459" i="1"/>
  <c r="DH463" i="1"/>
  <c r="DI463" i="1"/>
  <c r="DH471" i="1"/>
  <c r="DI471" i="1"/>
  <c r="DH482" i="1"/>
  <c r="DI482" i="1"/>
  <c r="DI2" i="1"/>
  <c r="DH2" i="1"/>
  <c r="DT4" i="1"/>
  <c r="DT6" i="1"/>
  <c r="DT7" i="1"/>
  <c r="DT10" i="1"/>
  <c r="DT11" i="1"/>
  <c r="DT13" i="1"/>
  <c r="DT25" i="1"/>
  <c r="DT28" i="1"/>
  <c r="DT29" i="1"/>
  <c r="DT14" i="1"/>
  <c r="DT31" i="1"/>
  <c r="DT33" i="1"/>
  <c r="DT35" i="1"/>
  <c r="DT36" i="1"/>
  <c r="DT5" i="1"/>
  <c r="DT8" i="1"/>
  <c r="DT12" i="1"/>
  <c r="DT26" i="1"/>
  <c r="DT30" i="1"/>
  <c r="DT32" i="1"/>
  <c r="DT38" i="1"/>
  <c r="DT40" i="1"/>
  <c r="DT41" i="1"/>
  <c r="DT43" i="1"/>
  <c r="DT45" i="1"/>
  <c r="DT46" i="1"/>
  <c r="DT48" i="1"/>
  <c r="DT49" i="1"/>
  <c r="DT37" i="1"/>
  <c r="DT15" i="1"/>
  <c r="DT39" i="1"/>
  <c r="DT50" i="1"/>
  <c r="DT54" i="1"/>
  <c r="DT42" i="1"/>
  <c r="DT44" i="1"/>
  <c r="DT56" i="1"/>
  <c r="DT58" i="1"/>
  <c r="DT47" i="1"/>
  <c r="DT60" i="1"/>
  <c r="DT52" i="1"/>
  <c r="DT62" i="1"/>
  <c r="DT61" i="1"/>
  <c r="DT64" i="1"/>
  <c r="DT66" i="1"/>
  <c r="DT67" i="1"/>
  <c r="DT69" i="1"/>
  <c r="DT71" i="1"/>
  <c r="DT72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86" i="1"/>
  <c r="DT87" i="1"/>
  <c r="DT65" i="1"/>
  <c r="DT89" i="1"/>
  <c r="DT68" i="1"/>
  <c r="DT91" i="1"/>
  <c r="DT70" i="1"/>
  <c r="DT92" i="1"/>
  <c r="DT93" i="1"/>
  <c r="DT94" i="1"/>
  <c r="DT95" i="1"/>
  <c r="DT96" i="1"/>
  <c r="DT97" i="1"/>
  <c r="DT98" i="1"/>
  <c r="DT100" i="1"/>
  <c r="DT102" i="1"/>
  <c r="DT103" i="1"/>
  <c r="DT105" i="1"/>
  <c r="DT106" i="1"/>
  <c r="DT108" i="1"/>
  <c r="DT109" i="1"/>
  <c r="DT111" i="1"/>
  <c r="DT113" i="1"/>
  <c r="DT114" i="1"/>
  <c r="DT115" i="1"/>
  <c r="DT118" i="1"/>
  <c r="DT120" i="1"/>
  <c r="DT122" i="1"/>
  <c r="DT123" i="1"/>
  <c r="DT126" i="1"/>
  <c r="DT128" i="1"/>
  <c r="DT130" i="1"/>
  <c r="DT131" i="1"/>
  <c r="DT134" i="1"/>
  <c r="DT135" i="1"/>
  <c r="DT142" i="1"/>
  <c r="DT144" i="1"/>
  <c r="DT138" i="1"/>
  <c r="DT139" i="1"/>
  <c r="DT146" i="1"/>
  <c r="DT147" i="1"/>
  <c r="DT148" i="1"/>
  <c r="DT149" i="1"/>
  <c r="DT152" i="1"/>
  <c r="DT154" i="1"/>
  <c r="DT156" i="1"/>
  <c r="DT157" i="1"/>
  <c r="DT160" i="1"/>
  <c r="DT161" i="1"/>
  <c r="DT164" i="1"/>
  <c r="DT165" i="1"/>
  <c r="DT168" i="1"/>
  <c r="DT170" i="1"/>
  <c r="DT172" i="1"/>
  <c r="DT173" i="1"/>
  <c r="DT176" i="1"/>
  <c r="DT178" i="1"/>
  <c r="DT117" i="1"/>
  <c r="DT116" i="1"/>
  <c r="DT119" i="1"/>
  <c r="DT121" i="1"/>
  <c r="DT125" i="1"/>
  <c r="DT124" i="1"/>
  <c r="DT127" i="1"/>
  <c r="DT129" i="1"/>
  <c r="DT133" i="1"/>
  <c r="DT132" i="1"/>
  <c r="DT137" i="1"/>
  <c r="DT136" i="1"/>
  <c r="DT143" i="1"/>
  <c r="DT145" i="1"/>
  <c r="DT141" i="1"/>
  <c r="DT140" i="1"/>
  <c r="DT73" i="1"/>
  <c r="DT99" i="1"/>
  <c r="DT101" i="1"/>
  <c r="DT180" i="1"/>
  <c r="DT182" i="1"/>
  <c r="DT104" i="1"/>
  <c r="DT107" i="1"/>
  <c r="DT16" i="1"/>
  <c r="DT112" i="1"/>
  <c r="DT110" i="1"/>
  <c r="DT184" i="1"/>
  <c r="DT185" i="1"/>
  <c r="DT186" i="1"/>
  <c r="DT187" i="1"/>
  <c r="DT188" i="1"/>
  <c r="DT189" i="1"/>
  <c r="DT190" i="1"/>
  <c r="DT191" i="1"/>
  <c r="DT192" i="1"/>
  <c r="DT193" i="1"/>
  <c r="DT194" i="1"/>
  <c r="DT195" i="1"/>
  <c r="DT196" i="1"/>
  <c r="DT197" i="1"/>
  <c r="DT198" i="1"/>
  <c r="DT199" i="1"/>
  <c r="DT200" i="1"/>
  <c r="DT201" i="1"/>
  <c r="DT202" i="1"/>
  <c r="DT203" i="1"/>
  <c r="DT204" i="1"/>
  <c r="DT205" i="1"/>
  <c r="DT206" i="1"/>
  <c r="DT207" i="1"/>
  <c r="DT208" i="1"/>
  <c r="DT209" i="1"/>
  <c r="DT210" i="1"/>
  <c r="DT211" i="1"/>
  <c r="DT214" i="1"/>
  <c r="DT215" i="1"/>
  <c r="DT218" i="1"/>
  <c r="DT219" i="1"/>
  <c r="DT222" i="1"/>
  <c r="DT223" i="1"/>
  <c r="DT226" i="1"/>
  <c r="DT227" i="1"/>
  <c r="DT230" i="1"/>
  <c r="DT232" i="1"/>
  <c r="DT234" i="1"/>
  <c r="DT236" i="1"/>
  <c r="DT238" i="1"/>
  <c r="DT240" i="1"/>
  <c r="DT242" i="1"/>
  <c r="DT244" i="1"/>
  <c r="DT246" i="1"/>
  <c r="DT151" i="1"/>
  <c r="DT150" i="1"/>
  <c r="DT153" i="1"/>
  <c r="DT155" i="1"/>
  <c r="DT158" i="1"/>
  <c r="DT163" i="1"/>
  <c r="DT162" i="1"/>
  <c r="DT167" i="1"/>
  <c r="DT166" i="1"/>
  <c r="DT169" i="1"/>
  <c r="DT171" i="1"/>
  <c r="DT175" i="1"/>
  <c r="DT174" i="1"/>
  <c r="DT177" i="1"/>
  <c r="DT179" i="1"/>
  <c r="DT248" i="1"/>
  <c r="DT17" i="1"/>
  <c r="DT18" i="1"/>
  <c r="DT19" i="1"/>
  <c r="DT20" i="1"/>
  <c r="DT21" i="1"/>
  <c r="DT22" i="1"/>
  <c r="DT23" i="1"/>
  <c r="DT24" i="1"/>
  <c r="DT249" i="1"/>
  <c r="DT250" i="1"/>
  <c r="DT3" i="1"/>
  <c r="DT251" i="1"/>
  <c r="DT252" i="1"/>
  <c r="DT9" i="1"/>
  <c r="DT253" i="1"/>
  <c r="DT254" i="1"/>
  <c r="DT255" i="1"/>
  <c r="DT256" i="1"/>
  <c r="DT27" i="1"/>
  <c r="DT257" i="1"/>
  <c r="DT258" i="1"/>
  <c r="DT259" i="1"/>
  <c r="DT260" i="1"/>
  <c r="DT34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75" i="1"/>
  <c r="DT276" i="1"/>
  <c r="DT277" i="1"/>
  <c r="DT278" i="1"/>
  <c r="DT279" i="1"/>
  <c r="DT280" i="1"/>
  <c r="DT281" i="1"/>
  <c r="DT282" i="1"/>
  <c r="DT283" i="1"/>
  <c r="DT284" i="1"/>
  <c r="DT285" i="1"/>
  <c r="DT286" i="1"/>
  <c r="DT287" i="1"/>
  <c r="DT288" i="1"/>
  <c r="DT289" i="1"/>
  <c r="DT290" i="1"/>
  <c r="DT291" i="1"/>
  <c r="DT292" i="1"/>
  <c r="DT293" i="1"/>
  <c r="DT294" i="1"/>
  <c r="DT295" i="1"/>
  <c r="DT296" i="1"/>
  <c r="DT297" i="1"/>
  <c r="DT298" i="1"/>
  <c r="DT299" i="1"/>
  <c r="DT300" i="1"/>
  <c r="DT301" i="1"/>
  <c r="DT302" i="1"/>
  <c r="DT303" i="1"/>
  <c r="DT304" i="1"/>
  <c r="DT305" i="1"/>
  <c r="DT306" i="1"/>
  <c r="DT307" i="1"/>
  <c r="DT308" i="1"/>
  <c r="DT309" i="1"/>
  <c r="DT310" i="1"/>
  <c r="DT311" i="1"/>
  <c r="DT312" i="1"/>
  <c r="DT313" i="1"/>
  <c r="DT314" i="1"/>
  <c r="DT315" i="1"/>
  <c r="DT316" i="1"/>
  <c r="DT317" i="1"/>
  <c r="DT318" i="1"/>
  <c r="DT319" i="1"/>
  <c r="DT320" i="1"/>
  <c r="DT321" i="1"/>
  <c r="DT322" i="1"/>
  <c r="DT323" i="1"/>
  <c r="DT324" i="1"/>
  <c r="DT325" i="1"/>
  <c r="DT326" i="1"/>
  <c r="DT327" i="1"/>
  <c r="DT329" i="1"/>
  <c r="DT330" i="1"/>
  <c r="DT332" i="1"/>
  <c r="DT333" i="1"/>
  <c r="DT335" i="1"/>
  <c r="DT334" i="1"/>
  <c r="DT336" i="1"/>
  <c r="DT337" i="1"/>
  <c r="DT339" i="1"/>
  <c r="DT340" i="1"/>
  <c r="DT341" i="1"/>
  <c r="DT342" i="1"/>
  <c r="DT343" i="1"/>
  <c r="DT345" i="1"/>
  <c r="DT344" i="1"/>
  <c r="DT346" i="1"/>
  <c r="DT347" i="1"/>
  <c r="DT349" i="1"/>
  <c r="DT350" i="1"/>
  <c r="DT351" i="1"/>
  <c r="DT352" i="1"/>
  <c r="DT353" i="1"/>
  <c r="DT355" i="1"/>
  <c r="DT354" i="1"/>
  <c r="DT356" i="1"/>
  <c r="DT357" i="1"/>
  <c r="DT359" i="1"/>
  <c r="DT360" i="1"/>
  <c r="DT361" i="1"/>
  <c r="DT362" i="1"/>
  <c r="DT363" i="1"/>
  <c r="DT365" i="1"/>
  <c r="DT366" i="1"/>
  <c r="DT213" i="1"/>
  <c r="DT212" i="1"/>
  <c r="DT217" i="1"/>
  <c r="DT216" i="1"/>
  <c r="DT221" i="1"/>
  <c r="DT220" i="1"/>
  <c r="DT224" i="1"/>
  <c r="DT225" i="1"/>
  <c r="DT368" i="1"/>
  <c r="DT51" i="1"/>
  <c r="DT55" i="1"/>
  <c r="DT369" i="1"/>
  <c r="DT370" i="1"/>
  <c r="DT371" i="1"/>
  <c r="DT57" i="1"/>
  <c r="DT59" i="1"/>
  <c r="DT372" i="1"/>
  <c r="DT373" i="1"/>
  <c r="DT374" i="1"/>
  <c r="DT375" i="1"/>
  <c r="DT53" i="1"/>
  <c r="DT63" i="1"/>
  <c r="DT376" i="1"/>
  <c r="DT377" i="1"/>
  <c r="DT378" i="1"/>
  <c r="DT379" i="1"/>
  <c r="DT380" i="1"/>
  <c r="DT88" i="1"/>
  <c r="DT381" i="1"/>
  <c r="DT382" i="1"/>
  <c r="DT383" i="1"/>
  <c r="DT90" i="1"/>
  <c r="DT384" i="1"/>
  <c r="DT385" i="1"/>
  <c r="DT386" i="1"/>
  <c r="DT387" i="1"/>
  <c r="DT389" i="1"/>
  <c r="DT390" i="1"/>
  <c r="DT391" i="1"/>
  <c r="DT392" i="1"/>
  <c r="DT393" i="1"/>
  <c r="DT395" i="1"/>
  <c r="DT396" i="1"/>
  <c r="DT399" i="1"/>
  <c r="DT398" i="1"/>
  <c r="DT401" i="1"/>
  <c r="DT400" i="1"/>
  <c r="DT402" i="1"/>
  <c r="DT403" i="1"/>
  <c r="DT405" i="1"/>
  <c r="DT406" i="1"/>
  <c r="DT408" i="1"/>
  <c r="DT409" i="1"/>
  <c r="DT410" i="1"/>
  <c r="DT412" i="1"/>
  <c r="DT413" i="1"/>
  <c r="DT415" i="1"/>
  <c r="DT416" i="1"/>
  <c r="DT417" i="1"/>
  <c r="DT419" i="1"/>
  <c r="DT418" i="1"/>
  <c r="DT420" i="1"/>
  <c r="DT421" i="1"/>
  <c r="DT424" i="1"/>
  <c r="DT423" i="1"/>
  <c r="DT425" i="1"/>
  <c r="DT426" i="1"/>
  <c r="DT229" i="1"/>
  <c r="DT228" i="1"/>
  <c r="DT231" i="1"/>
  <c r="DT233" i="1"/>
  <c r="DT235" i="1"/>
  <c r="DT237" i="1"/>
  <c r="DT239" i="1"/>
  <c r="DT241" i="1"/>
  <c r="DT243" i="1"/>
  <c r="DT245" i="1"/>
  <c r="DT247" i="1"/>
  <c r="DT427" i="1"/>
  <c r="DT428" i="1"/>
  <c r="DT181" i="1"/>
  <c r="DT183" i="1"/>
  <c r="DT429" i="1"/>
  <c r="DT430" i="1"/>
  <c r="DT431" i="1"/>
  <c r="DT432" i="1"/>
  <c r="DT433" i="1"/>
  <c r="DT434" i="1"/>
  <c r="DT435" i="1"/>
  <c r="DT436" i="1"/>
  <c r="DT437" i="1"/>
  <c r="DT438" i="1"/>
  <c r="DT439" i="1"/>
  <c r="DT440" i="1"/>
  <c r="DT441" i="1"/>
  <c r="DT442" i="1"/>
  <c r="DT443" i="1"/>
  <c r="DT444" i="1"/>
  <c r="DT445" i="1"/>
  <c r="DT446" i="1"/>
  <c r="DT447" i="1"/>
  <c r="DT448" i="1"/>
  <c r="DT449" i="1"/>
  <c r="DT450" i="1"/>
  <c r="DT451" i="1"/>
  <c r="DT452" i="1"/>
  <c r="DT328" i="1"/>
  <c r="DT331" i="1"/>
  <c r="DT338" i="1"/>
  <c r="DT348" i="1"/>
  <c r="DT358" i="1"/>
  <c r="DT364" i="1"/>
  <c r="DT367" i="1"/>
  <c r="DT388" i="1"/>
  <c r="DT394" i="1"/>
  <c r="DT397" i="1"/>
  <c r="DT404" i="1"/>
  <c r="DT407" i="1"/>
  <c r="DT411" i="1"/>
  <c r="DT414" i="1"/>
  <c r="DT422" i="1"/>
  <c r="DT455" i="1"/>
  <c r="DT456" i="1"/>
  <c r="DT453" i="1"/>
  <c r="DT458" i="1"/>
  <c r="DT460" i="1"/>
  <c r="DT462" i="1"/>
  <c r="DT468" i="1"/>
  <c r="DT465" i="1"/>
  <c r="DT464" i="1"/>
  <c r="DT469" i="1"/>
  <c r="DT472" i="1"/>
  <c r="DT475" i="1"/>
  <c r="DT477" i="1"/>
  <c r="DT479" i="1"/>
  <c r="DT480" i="1"/>
  <c r="DT481" i="1"/>
  <c r="DT484" i="1"/>
  <c r="DT483" i="1"/>
  <c r="DT486" i="1"/>
  <c r="DT485" i="1"/>
  <c r="DT488" i="1"/>
  <c r="DT487" i="1"/>
  <c r="DT489" i="1"/>
  <c r="DT490" i="1"/>
  <c r="DT492" i="1"/>
  <c r="DT491" i="1"/>
  <c r="DT494" i="1"/>
  <c r="DT493" i="1"/>
  <c r="DT496" i="1"/>
  <c r="DT495" i="1"/>
  <c r="DT497" i="1"/>
  <c r="DT498" i="1"/>
  <c r="DT500" i="1"/>
  <c r="DT499" i="1"/>
  <c r="DT159" i="1"/>
  <c r="DT454" i="1"/>
  <c r="DT457" i="1"/>
  <c r="DT467" i="1"/>
  <c r="DT466" i="1"/>
  <c r="DT470" i="1"/>
  <c r="DT473" i="1"/>
  <c r="DT474" i="1"/>
  <c r="DT476" i="1"/>
  <c r="DT478" i="1"/>
  <c r="DT461" i="1"/>
  <c r="DT459" i="1"/>
  <c r="DT463" i="1"/>
  <c r="DT471" i="1"/>
  <c r="DT482" i="1"/>
  <c r="DU4" i="1"/>
  <c r="DU6" i="1"/>
  <c r="DU7" i="1"/>
  <c r="DU10" i="1"/>
  <c r="DU11" i="1"/>
  <c r="DU13" i="1"/>
  <c r="DU25" i="1"/>
  <c r="DU28" i="1"/>
  <c r="DU29" i="1"/>
  <c r="DU14" i="1"/>
  <c r="DU31" i="1"/>
  <c r="DU33" i="1"/>
  <c r="DU35" i="1"/>
  <c r="DU36" i="1"/>
  <c r="DU5" i="1"/>
  <c r="DU8" i="1"/>
  <c r="DU12" i="1"/>
  <c r="DU26" i="1"/>
  <c r="DU30" i="1"/>
  <c r="DU32" i="1"/>
  <c r="DU38" i="1"/>
  <c r="DU40" i="1"/>
  <c r="DU41" i="1"/>
  <c r="DU43" i="1"/>
  <c r="DU45" i="1"/>
  <c r="DU46" i="1"/>
  <c r="DU48" i="1"/>
  <c r="DU49" i="1"/>
  <c r="DU37" i="1"/>
  <c r="DU15" i="1"/>
  <c r="DU39" i="1"/>
  <c r="DU50" i="1"/>
  <c r="DU54" i="1"/>
  <c r="DU42" i="1"/>
  <c r="DU44" i="1"/>
  <c r="DU56" i="1"/>
  <c r="DU58" i="1"/>
  <c r="DU47" i="1"/>
  <c r="DU60" i="1"/>
  <c r="DU52" i="1"/>
  <c r="DU62" i="1"/>
  <c r="DU61" i="1"/>
  <c r="DU64" i="1"/>
  <c r="DU66" i="1"/>
  <c r="DU67" i="1"/>
  <c r="DU69" i="1"/>
  <c r="DU71" i="1"/>
  <c r="DU72" i="1"/>
  <c r="DU74" i="1"/>
  <c r="DU75" i="1"/>
  <c r="DU76" i="1"/>
  <c r="DU77" i="1"/>
  <c r="DU78" i="1"/>
  <c r="DU79" i="1"/>
  <c r="DU80" i="1"/>
  <c r="DU81" i="1"/>
  <c r="DU82" i="1"/>
  <c r="DU83" i="1"/>
  <c r="DU84" i="1"/>
  <c r="DU85" i="1"/>
  <c r="DU86" i="1"/>
  <c r="DU87" i="1"/>
  <c r="DU65" i="1"/>
  <c r="DU89" i="1"/>
  <c r="DU68" i="1"/>
  <c r="DU91" i="1"/>
  <c r="DU70" i="1"/>
  <c r="DU92" i="1"/>
  <c r="DU93" i="1"/>
  <c r="DU94" i="1"/>
  <c r="DU95" i="1"/>
  <c r="DU96" i="1"/>
  <c r="DU97" i="1"/>
  <c r="DU98" i="1"/>
  <c r="DU100" i="1"/>
  <c r="DU102" i="1"/>
  <c r="DU103" i="1"/>
  <c r="DU105" i="1"/>
  <c r="DU106" i="1"/>
  <c r="DU108" i="1"/>
  <c r="DU109" i="1"/>
  <c r="DU111" i="1"/>
  <c r="DU113" i="1"/>
  <c r="DU114" i="1"/>
  <c r="DU115" i="1"/>
  <c r="DU118" i="1"/>
  <c r="DU120" i="1"/>
  <c r="DU122" i="1"/>
  <c r="DU123" i="1"/>
  <c r="DU126" i="1"/>
  <c r="DU128" i="1"/>
  <c r="DU130" i="1"/>
  <c r="DU131" i="1"/>
  <c r="DU134" i="1"/>
  <c r="DU135" i="1"/>
  <c r="DU142" i="1"/>
  <c r="DU144" i="1"/>
  <c r="DU138" i="1"/>
  <c r="DU139" i="1"/>
  <c r="DU146" i="1"/>
  <c r="DU147" i="1"/>
  <c r="DU148" i="1"/>
  <c r="DU149" i="1"/>
  <c r="DU152" i="1"/>
  <c r="DU154" i="1"/>
  <c r="DU156" i="1"/>
  <c r="DU157" i="1"/>
  <c r="DU160" i="1"/>
  <c r="DU161" i="1"/>
  <c r="DU164" i="1"/>
  <c r="DU165" i="1"/>
  <c r="DU168" i="1"/>
  <c r="DU170" i="1"/>
  <c r="DU172" i="1"/>
  <c r="DU173" i="1"/>
  <c r="DU176" i="1"/>
  <c r="DU178" i="1"/>
  <c r="DU117" i="1"/>
  <c r="DU116" i="1"/>
  <c r="DU119" i="1"/>
  <c r="DU121" i="1"/>
  <c r="DU125" i="1"/>
  <c r="DU124" i="1"/>
  <c r="DU127" i="1"/>
  <c r="DU129" i="1"/>
  <c r="DU133" i="1"/>
  <c r="DU132" i="1"/>
  <c r="DU137" i="1"/>
  <c r="DU136" i="1"/>
  <c r="DU143" i="1"/>
  <c r="DU145" i="1"/>
  <c r="DU141" i="1"/>
  <c r="DU140" i="1"/>
  <c r="DU73" i="1"/>
  <c r="DU99" i="1"/>
  <c r="DU101" i="1"/>
  <c r="DU180" i="1"/>
  <c r="DU182" i="1"/>
  <c r="DU104" i="1"/>
  <c r="DU107" i="1"/>
  <c r="DU16" i="1"/>
  <c r="DU112" i="1"/>
  <c r="DU110" i="1"/>
  <c r="DU184" i="1"/>
  <c r="DU185" i="1"/>
  <c r="DU186" i="1"/>
  <c r="DU187" i="1"/>
  <c r="DU188" i="1"/>
  <c r="DU189" i="1"/>
  <c r="DU190" i="1"/>
  <c r="DU191" i="1"/>
  <c r="DU192" i="1"/>
  <c r="DU193" i="1"/>
  <c r="DU194" i="1"/>
  <c r="DU195" i="1"/>
  <c r="DU196" i="1"/>
  <c r="DU197" i="1"/>
  <c r="DU198" i="1"/>
  <c r="DU199" i="1"/>
  <c r="DU200" i="1"/>
  <c r="DU201" i="1"/>
  <c r="DU202" i="1"/>
  <c r="DU203" i="1"/>
  <c r="DU204" i="1"/>
  <c r="DU205" i="1"/>
  <c r="DU206" i="1"/>
  <c r="DU207" i="1"/>
  <c r="DU208" i="1"/>
  <c r="DU209" i="1"/>
  <c r="DU210" i="1"/>
  <c r="DU211" i="1"/>
  <c r="DU214" i="1"/>
  <c r="DU215" i="1"/>
  <c r="DU218" i="1"/>
  <c r="DU219" i="1"/>
  <c r="DU222" i="1"/>
  <c r="DU223" i="1"/>
  <c r="DU226" i="1"/>
  <c r="DU227" i="1"/>
  <c r="DU230" i="1"/>
  <c r="DU232" i="1"/>
  <c r="DU234" i="1"/>
  <c r="DU236" i="1"/>
  <c r="DU238" i="1"/>
  <c r="DU240" i="1"/>
  <c r="DU242" i="1"/>
  <c r="DU244" i="1"/>
  <c r="DU246" i="1"/>
  <c r="DU151" i="1"/>
  <c r="DU150" i="1"/>
  <c r="DU153" i="1"/>
  <c r="DU155" i="1"/>
  <c r="DU158" i="1"/>
  <c r="DU163" i="1"/>
  <c r="DU162" i="1"/>
  <c r="DU167" i="1"/>
  <c r="DU166" i="1"/>
  <c r="DU169" i="1"/>
  <c r="DU171" i="1"/>
  <c r="DU175" i="1"/>
  <c r="DU174" i="1"/>
  <c r="DU177" i="1"/>
  <c r="DU179" i="1"/>
  <c r="DU248" i="1"/>
  <c r="DU17" i="1"/>
  <c r="DU18" i="1"/>
  <c r="DU19" i="1"/>
  <c r="DU20" i="1"/>
  <c r="DU21" i="1"/>
  <c r="DU22" i="1"/>
  <c r="DU23" i="1"/>
  <c r="DU24" i="1"/>
  <c r="DU249" i="1"/>
  <c r="DU250" i="1"/>
  <c r="DU3" i="1"/>
  <c r="DU251" i="1"/>
  <c r="DU252" i="1"/>
  <c r="DU9" i="1"/>
  <c r="DU253" i="1"/>
  <c r="DU254" i="1"/>
  <c r="DU255" i="1"/>
  <c r="DU256" i="1"/>
  <c r="DU27" i="1"/>
  <c r="DU257" i="1"/>
  <c r="DU258" i="1"/>
  <c r="DU259" i="1"/>
  <c r="DU260" i="1"/>
  <c r="DU34" i="1"/>
  <c r="DU261" i="1"/>
  <c r="DU262" i="1"/>
  <c r="DU263" i="1"/>
  <c r="DU264" i="1"/>
  <c r="DU265" i="1"/>
  <c r="DU266" i="1"/>
  <c r="DU267" i="1"/>
  <c r="DU268" i="1"/>
  <c r="DU269" i="1"/>
  <c r="DU270" i="1"/>
  <c r="DU271" i="1"/>
  <c r="DU272" i="1"/>
  <c r="DU273" i="1"/>
  <c r="DU274" i="1"/>
  <c r="DU275" i="1"/>
  <c r="DU276" i="1"/>
  <c r="DU277" i="1"/>
  <c r="DU278" i="1"/>
  <c r="DU279" i="1"/>
  <c r="DU280" i="1"/>
  <c r="DU281" i="1"/>
  <c r="DU282" i="1"/>
  <c r="DU283" i="1"/>
  <c r="DU284" i="1"/>
  <c r="DU285" i="1"/>
  <c r="DU286" i="1"/>
  <c r="DU287" i="1"/>
  <c r="DU288" i="1"/>
  <c r="DU289" i="1"/>
  <c r="DU290" i="1"/>
  <c r="DU291" i="1"/>
  <c r="DU292" i="1"/>
  <c r="DU293" i="1"/>
  <c r="DU294" i="1"/>
  <c r="DU295" i="1"/>
  <c r="DU296" i="1"/>
  <c r="DU297" i="1"/>
  <c r="DU298" i="1"/>
  <c r="DU299" i="1"/>
  <c r="DU300" i="1"/>
  <c r="DU301" i="1"/>
  <c r="DU302" i="1"/>
  <c r="DU303" i="1"/>
  <c r="DU304" i="1"/>
  <c r="DU305" i="1"/>
  <c r="DU306" i="1"/>
  <c r="DU307" i="1"/>
  <c r="DU308" i="1"/>
  <c r="DU309" i="1"/>
  <c r="DU310" i="1"/>
  <c r="DU311" i="1"/>
  <c r="DU312" i="1"/>
  <c r="DU313" i="1"/>
  <c r="DU314" i="1"/>
  <c r="DU315" i="1"/>
  <c r="DU316" i="1"/>
  <c r="DU317" i="1"/>
  <c r="DU318" i="1"/>
  <c r="DU319" i="1"/>
  <c r="DU320" i="1"/>
  <c r="DU321" i="1"/>
  <c r="DU322" i="1"/>
  <c r="DU323" i="1"/>
  <c r="DU324" i="1"/>
  <c r="DU325" i="1"/>
  <c r="DU326" i="1"/>
  <c r="DU329" i="1"/>
  <c r="DU330" i="1"/>
  <c r="DU335" i="1"/>
  <c r="DU336" i="1"/>
  <c r="DU339" i="1"/>
  <c r="DU340" i="1"/>
  <c r="DU342" i="1"/>
  <c r="DU346" i="1"/>
  <c r="DU349" i="1"/>
  <c r="DU352" i="1"/>
  <c r="DU353" i="1"/>
  <c r="DU354" i="1"/>
  <c r="DU356" i="1"/>
  <c r="DU361" i="1"/>
  <c r="DU212" i="1"/>
  <c r="DU221" i="1"/>
  <c r="DU220" i="1"/>
  <c r="DU225" i="1"/>
  <c r="DU55" i="1"/>
  <c r="DU371" i="1"/>
  <c r="DU57" i="1"/>
  <c r="DU59" i="1"/>
  <c r="DU373" i="1"/>
  <c r="DU375" i="1"/>
  <c r="DU376" i="1"/>
  <c r="DU377" i="1"/>
  <c r="DU88" i="1"/>
  <c r="DU381" i="1"/>
  <c r="DU90" i="1"/>
  <c r="DU384" i="1"/>
  <c r="DU387" i="1"/>
  <c r="DU389" i="1"/>
  <c r="DU392" i="1"/>
  <c r="DU393" i="1"/>
  <c r="DU399" i="1"/>
  <c r="DU398" i="1"/>
  <c r="DU403" i="1"/>
  <c r="DU409" i="1"/>
  <c r="DU415" i="1"/>
  <c r="DU417" i="1"/>
  <c r="DU419" i="1"/>
  <c r="DU421" i="1"/>
  <c r="DU424" i="1"/>
  <c r="DU228" i="1"/>
  <c r="DU247" i="1"/>
  <c r="DU428" i="1"/>
  <c r="DU431" i="1"/>
  <c r="DU432" i="1"/>
  <c r="DU435" i="1"/>
  <c r="DU436" i="1"/>
  <c r="DU439" i="1"/>
  <c r="DU440" i="1"/>
  <c r="DU443" i="1"/>
  <c r="DU444" i="1"/>
  <c r="DU445" i="1"/>
  <c r="DU446" i="1"/>
  <c r="DU447" i="1"/>
  <c r="DU448" i="1"/>
  <c r="DU451" i="1"/>
  <c r="DU331" i="1"/>
  <c r="DU338" i="1"/>
  <c r="DU348" i="1"/>
  <c r="DU364" i="1"/>
  <c r="DU367" i="1"/>
  <c r="DU388" i="1"/>
  <c r="DU397" i="1"/>
  <c r="DU404" i="1"/>
  <c r="DU422" i="1"/>
  <c r="DU456" i="1"/>
  <c r="DU453" i="1"/>
  <c r="DU468" i="1"/>
  <c r="DU465" i="1"/>
  <c r="DU469" i="1"/>
  <c r="DU472" i="1"/>
  <c r="DU475" i="1"/>
  <c r="DU484" i="1"/>
  <c r="DU485" i="1"/>
  <c r="DU488" i="1"/>
  <c r="DU492" i="1"/>
  <c r="DU494" i="1"/>
  <c r="DU493" i="1"/>
  <c r="DU496" i="1"/>
  <c r="DU500" i="1"/>
  <c r="DU159" i="1"/>
  <c r="DU454" i="1"/>
  <c r="DU457" i="1"/>
  <c r="DU467" i="1"/>
  <c r="DU466" i="1"/>
  <c r="DU470" i="1"/>
  <c r="DU473" i="1"/>
  <c r="DU474" i="1"/>
  <c r="DU476" i="1"/>
  <c r="DU478" i="1"/>
  <c r="DU461" i="1"/>
  <c r="DU459" i="1"/>
  <c r="DU463" i="1"/>
  <c r="DU471" i="1"/>
  <c r="DU482" i="1"/>
  <c r="DS4" i="1"/>
  <c r="DS6" i="1"/>
  <c r="DS7" i="1"/>
  <c r="DS10" i="1"/>
  <c r="DS11" i="1"/>
  <c r="DS13" i="1"/>
  <c r="DS25" i="1"/>
  <c r="DS28" i="1"/>
  <c r="DS29" i="1"/>
  <c r="DS14" i="1"/>
  <c r="DS31" i="1"/>
  <c r="DS33" i="1"/>
  <c r="DS35" i="1"/>
  <c r="DS36" i="1"/>
  <c r="DS5" i="1"/>
  <c r="DS8" i="1"/>
  <c r="DS12" i="1"/>
  <c r="DS26" i="1"/>
  <c r="DS30" i="1"/>
  <c r="DS32" i="1"/>
  <c r="DS38" i="1"/>
  <c r="DS40" i="1"/>
  <c r="DS41" i="1"/>
  <c r="DS43" i="1"/>
  <c r="DS45" i="1"/>
  <c r="DS46" i="1"/>
  <c r="DS48" i="1"/>
  <c r="DS49" i="1"/>
  <c r="DS37" i="1"/>
  <c r="DS15" i="1"/>
  <c r="DS39" i="1"/>
  <c r="DS50" i="1"/>
  <c r="DS54" i="1"/>
  <c r="DS42" i="1"/>
  <c r="DS44" i="1"/>
  <c r="DS56" i="1"/>
  <c r="DS58" i="1"/>
  <c r="DS47" i="1"/>
  <c r="DS60" i="1"/>
  <c r="DS52" i="1"/>
  <c r="DS62" i="1"/>
  <c r="DS61" i="1"/>
  <c r="DS64" i="1"/>
  <c r="DS66" i="1"/>
  <c r="DS67" i="1"/>
  <c r="DS69" i="1"/>
  <c r="DS71" i="1"/>
  <c r="DS72" i="1"/>
  <c r="DS74" i="1"/>
  <c r="DS75" i="1"/>
  <c r="DS76" i="1"/>
  <c r="DS77" i="1"/>
  <c r="DS78" i="1"/>
  <c r="DS79" i="1"/>
  <c r="DS80" i="1"/>
  <c r="DS81" i="1"/>
  <c r="DS82" i="1"/>
  <c r="DS83" i="1"/>
  <c r="DS84" i="1"/>
  <c r="DS85" i="1"/>
  <c r="DS86" i="1"/>
  <c r="DS87" i="1"/>
  <c r="DS65" i="1"/>
  <c r="DS89" i="1"/>
  <c r="DS68" i="1"/>
  <c r="DS91" i="1"/>
  <c r="DS70" i="1"/>
  <c r="DS92" i="1"/>
  <c r="DS93" i="1"/>
  <c r="DS94" i="1"/>
  <c r="DS95" i="1"/>
  <c r="DS96" i="1"/>
  <c r="DS97" i="1"/>
  <c r="DS98" i="1"/>
  <c r="DS100" i="1"/>
  <c r="DS102" i="1"/>
  <c r="DS103" i="1"/>
  <c r="DS105" i="1"/>
  <c r="DS106" i="1"/>
  <c r="DS108" i="1"/>
  <c r="DS109" i="1"/>
  <c r="DS111" i="1"/>
  <c r="DS113" i="1"/>
  <c r="DS114" i="1"/>
  <c r="DS115" i="1"/>
  <c r="DS118" i="1"/>
  <c r="DS120" i="1"/>
  <c r="DS122" i="1"/>
  <c r="DS123" i="1"/>
  <c r="DS126" i="1"/>
  <c r="DS128" i="1"/>
  <c r="DS130" i="1"/>
  <c r="DS131" i="1"/>
  <c r="DS134" i="1"/>
  <c r="DS135" i="1"/>
  <c r="DS142" i="1"/>
  <c r="DS144" i="1"/>
  <c r="DS138" i="1"/>
  <c r="DS139" i="1"/>
  <c r="DS146" i="1"/>
  <c r="DS147" i="1"/>
  <c r="DS148" i="1"/>
  <c r="DS149" i="1"/>
  <c r="DS152" i="1"/>
  <c r="DS154" i="1"/>
  <c r="DS156" i="1"/>
  <c r="DS157" i="1"/>
  <c r="DS160" i="1"/>
  <c r="DS161" i="1"/>
  <c r="DS164" i="1"/>
  <c r="DS165" i="1"/>
  <c r="DS168" i="1"/>
  <c r="DS170" i="1"/>
  <c r="DS172" i="1"/>
  <c r="DS173" i="1"/>
  <c r="DS176" i="1"/>
  <c r="DS178" i="1"/>
  <c r="DS117" i="1"/>
  <c r="DS116" i="1"/>
  <c r="DS119" i="1"/>
  <c r="DS121" i="1"/>
  <c r="DS125" i="1"/>
  <c r="DS124" i="1"/>
  <c r="DS127" i="1"/>
  <c r="DS129" i="1"/>
  <c r="DS133" i="1"/>
  <c r="DS132" i="1"/>
  <c r="DS137" i="1"/>
  <c r="DS136" i="1"/>
  <c r="DS143" i="1"/>
  <c r="DS145" i="1"/>
  <c r="DS141" i="1"/>
  <c r="DS140" i="1"/>
  <c r="DS73" i="1"/>
  <c r="DS99" i="1"/>
  <c r="DS101" i="1"/>
  <c r="DS180" i="1"/>
  <c r="DS182" i="1"/>
  <c r="DS104" i="1"/>
  <c r="DS107" i="1"/>
  <c r="DS16" i="1"/>
  <c r="DS112" i="1"/>
  <c r="DS110" i="1"/>
  <c r="DS184" i="1"/>
  <c r="DS185" i="1"/>
  <c r="DS186" i="1"/>
  <c r="DS187" i="1"/>
  <c r="DS188" i="1"/>
  <c r="DS189" i="1"/>
  <c r="DS190" i="1"/>
  <c r="DS191" i="1"/>
  <c r="DS192" i="1"/>
  <c r="DS193" i="1"/>
  <c r="DS194" i="1"/>
  <c r="DS195" i="1"/>
  <c r="DS196" i="1"/>
  <c r="DS197" i="1"/>
  <c r="DS198" i="1"/>
  <c r="DS199" i="1"/>
  <c r="DS200" i="1"/>
  <c r="DS201" i="1"/>
  <c r="DS202" i="1"/>
  <c r="DS203" i="1"/>
  <c r="DS204" i="1"/>
  <c r="DS205" i="1"/>
  <c r="DS206" i="1"/>
  <c r="DS207" i="1"/>
  <c r="DS208" i="1"/>
  <c r="DS209" i="1"/>
  <c r="DS210" i="1"/>
  <c r="DS211" i="1"/>
  <c r="DS214" i="1"/>
  <c r="DS215" i="1"/>
  <c r="DS218" i="1"/>
  <c r="DS219" i="1"/>
  <c r="DS222" i="1"/>
  <c r="DS223" i="1"/>
  <c r="DS226" i="1"/>
  <c r="DS227" i="1"/>
  <c r="DS230" i="1"/>
  <c r="DS232" i="1"/>
  <c r="DS234" i="1"/>
  <c r="DS236" i="1"/>
  <c r="DS238" i="1"/>
  <c r="DS240" i="1"/>
  <c r="DS242" i="1"/>
  <c r="DS244" i="1"/>
  <c r="DS246" i="1"/>
  <c r="DS151" i="1"/>
  <c r="DS150" i="1"/>
  <c r="DS153" i="1"/>
  <c r="DS155" i="1"/>
  <c r="DS158" i="1"/>
  <c r="DS163" i="1"/>
  <c r="DS162" i="1"/>
  <c r="DS167" i="1"/>
  <c r="DS166" i="1"/>
  <c r="DS169" i="1"/>
  <c r="DS171" i="1"/>
  <c r="DS175" i="1"/>
  <c r="DS174" i="1"/>
  <c r="DS177" i="1"/>
  <c r="DS179" i="1"/>
  <c r="DS248" i="1"/>
  <c r="DS17" i="1"/>
  <c r="DS18" i="1"/>
  <c r="DS19" i="1"/>
  <c r="DS20" i="1"/>
  <c r="DS21" i="1"/>
  <c r="DS22" i="1"/>
  <c r="DS23" i="1"/>
  <c r="DS24" i="1"/>
  <c r="DS249" i="1"/>
  <c r="DS250" i="1"/>
  <c r="DS3" i="1"/>
  <c r="DS251" i="1"/>
  <c r="DS252" i="1"/>
  <c r="DS9" i="1"/>
  <c r="DS253" i="1"/>
  <c r="DS254" i="1"/>
  <c r="DS255" i="1"/>
  <c r="DS256" i="1"/>
  <c r="DS27" i="1"/>
  <c r="DS257" i="1"/>
  <c r="DS258" i="1"/>
  <c r="DS259" i="1"/>
  <c r="DS260" i="1"/>
  <c r="DS34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75" i="1"/>
  <c r="DS276" i="1"/>
  <c r="DS277" i="1"/>
  <c r="DS278" i="1"/>
  <c r="DS279" i="1"/>
  <c r="DS280" i="1"/>
  <c r="DS281" i="1"/>
  <c r="DS282" i="1"/>
  <c r="DS283" i="1"/>
  <c r="DS284" i="1"/>
  <c r="DS285" i="1"/>
  <c r="DS286" i="1"/>
  <c r="DS287" i="1"/>
  <c r="DS288" i="1"/>
  <c r="DS289" i="1"/>
  <c r="DS290" i="1"/>
  <c r="DS291" i="1"/>
  <c r="DS292" i="1"/>
  <c r="DS293" i="1"/>
  <c r="DS294" i="1"/>
  <c r="DS295" i="1"/>
  <c r="DS296" i="1"/>
  <c r="DS297" i="1"/>
  <c r="DS298" i="1"/>
  <c r="DS299" i="1"/>
  <c r="DS300" i="1"/>
  <c r="DS301" i="1"/>
  <c r="DS302" i="1"/>
  <c r="DS303" i="1"/>
  <c r="DS304" i="1"/>
  <c r="DS305" i="1"/>
  <c r="DS306" i="1"/>
  <c r="DS307" i="1"/>
  <c r="DS308" i="1"/>
  <c r="DS309" i="1"/>
  <c r="DS310" i="1"/>
  <c r="DS311" i="1"/>
  <c r="DS312" i="1"/>
  <c r="DS313" i="1"/>
  <c r="DS314" i="1"/>
  <c r="DS315" i="1"/>
  <c r="DS316" i="1"/>
  <c r="DS317" i="1"/>
  <c r="DS318" i="1"/>
  <c r="DS319" i="1"/>
  <c r="DS320" i="1"/>
  <c r="DS321" i="1"/>
  <c r="DS322" i="1"/>
  <c r="DS323" i="1"/>
  <c r="DS324" i="1"/>
  <c r="DS325" i="1"/>
  <c r="DS326" i="1"/>
  <c r="DS327" i="1"/>
  <c r="DS329" i="1"/>
  <c r="DS330" i="1"/>
  <c r="DS332" i="1"/>
  <c r="DS333" i="1"/>
  <c r="DS335" i="1"/>
  <c r="DS334" i="1"/>
  <c r="DS336" i="1"/>
  <c r="DS337" i="1"/>
  <c r="DS339" i="1"/>
  <c r="DS340" i="1"/>
  <c r="DS341" i="1"/>
  <c r="DS342" i="1"/>
  <c r="DS343" i="1"/>
  <c r="DS345" i="1"/>
  <c r="DS344" i="1"/>
  <c r="DS346" i="1"/>
  <c r="DS347" i="1"/>
  <c r="DS349" i="1"/>
  <c r="DS350" i="1"/>
  <c r="DS351" i="1"/>
  <c r="DS352" i="1"/>
  <c r="DS353" i="1"/>
  <c r="DS355" i="1"/>
  <c r="DS354" i="1"/>
  <c r="DS356" i="1"/>
  <c r="DS357" i="1"/>
  <c r="DS359" i="1"/>
  <c r="DS360" i="1"/>
  <c r="DS361" i="1"/>
  <c r="DS362" i="1"/>
  <c r="DS363" i="1"/>
  <c r="DS365" i="1"/>
  <c r="DS366" i="1"/>
  <c r="DS213" i="1"/>
  <c r="DS212" i="1"/>
  <c r="DS217" i="1"/>
  <c r="DS216" i="1"/>
  <c r="DS221" i="1"/>
  <c r="DS220" i="1"/>
  <c r="DS224" i="1"/>
  <c r="DS225" i="1"/>
  <c r="DS368" i="1"/>
  <c r="DS51" i="1"/>
  <c r="DS55" i="1"/>
  <c r="DS369" i="1"/>
  <c r="DS370" i="1"/>
  <c r="DS371" i="1"/>
  <c r="DS57" i="1"/>
  <c r="DS59" i="1"/>
  <c r="DS372" i="1"/>
  <c r="DS373" i="1"/>
  <c r="DS374" i="1"/>
  <c r="DS375" i="1"/>
  <c r="DS53" i="1"/>
  <c r="DS63" i="1"/>
  <c r="DS376" i="1"/>
  <c r="DS377" i="1"/>
  <c r="DS378" i="1"/>
  <c r="DS379" i="1"/>
  <c r="DS380" i="1"/>
  <c r="DS88" i="1"/>
  <c r="DS381" i="1"/>
  <c r="DS382" i="1"/>
  <c r="DS383" i="1"/>
  <c r="DS90" i="1"/>
  <c r="DS384" i="1"/>
  <c r="DS385" i="1"/>
  <c r="DS386" i="1"/>
  <c r="DS387" i="1"/>
  <c r="DS389" i="1"/>
  <c r="DS390" i="1"/>
  <c r="DS391" i="1"/>
  <c r="DS392" i="1"/>
  <c r="DS393" i="1"/>
  <c r="DS395" i="1"/>
  <c r="DS396" i="1"/>
  <c r="DS399" i="1"/>
  <c r="DS398" i="1"/>
  <c r="DS401" i="1"/>
  <c r="DS400" i="1"/>
  <c r="DS402" i="1"/>
  <c r="DS403" i="1"/>
  <c r="DS405" i="1"/>
  <c r="DS406" i="1"/>
  <c r="DS408" i="1"/>
  <c r="DS409" i="1"/>
  <c r="DS410" i="1"/>
  <c r="DS412" i="1"/>
  <c r="DS413" i="1"/>
  <c r="DS415" i="1"/>
  <c r="DS416" i="1"/>
  <c r="DS417" i="1"/>
  <c r="DS419" i="1"/>
  <c r="DS418" i="1"/>
  <c r="DS420" i="1"/>
  <c r="DS421" i="1"/>
  <c r="DS424" i="1"/>
  <c r="DS423" i="1"/>
  <c r="DS425" i="1"/>
  <c r="DS426" i="1"/>
  <c r="DS229" i="1"/>
  <c r="DS228" i="1"/>
  <c r="DS231" i="1"/>
  <c r="DS233" i="1"/>
  <c r="DS235" i="1"/>
  <c r="DS237" i="1"/>
  <c r="DS239" i="1"/>
  <c r="DS241" i="1"/>
  <c r="DS243" i="1"/>
  <c r="DS245" i="1"/>
  <c r="DS247" i="1"/>
  <c r="DS427" i="1"/>
  <c r="DS428" i="1"/>
  <c r="DS181" i="1"/>
  <c r="DS183" i="1"/>
  <c r="DS429" i="1"/>
  <c r="DS430" i="1"/>
  <c r="DS431" i="1"/>
  <c r="DS432" i="1"/>
  <c r="DS433" i="1"/>
  <c r="DS434" i="1"/>
  <c r="DS435" i="1"/>
  <c r="DS436" i="1"/>
  <c r="DS437" i="1"/>
  <c r="DS438" i="1"/>
  <c r="DS439" i="1"/>
  <c r="DS440" i="1"/>
  <c r="DS441" i="1"/>
  <c r="DS442" i="1"/>
  <c r="DS443" i="1"/>
  <c r="DS444" i="1"/>
  <c r="DS445" i="1"/>
  <c r="DS446" i="1"/>
  <c r="DS447" i="1"/>
  <c r="DS448" i="1"/>
  <c r="DS449" i="1"/>
  <c r="DS450" i="1"/>
  <c r="DS451" i="1"/>
  <c r="DS452" i="1"/>
  <c r="DS328" i="1"/>
  <c r="DS331" i="1"/>
  <c r="DS338" i="1"/>
  <c r="DS348" i="1"/>
  <c r="DS358" i="1"/>
  <c r="DS364" i="1"/>
  <c r="DS367" i="1"/>
  <c r="DS388" i="1"/>
  <c r="DS394" i="1"/>
  <c r="DS397" i="1"/>
  <c r="DS404" i="1"/>
  <c r="DS407" i="1"/>
  <c r="DS411" i="1"/>
  <c r="DS414" i="1"/>
  <c r="DS422" i="1"/>
  <c r="DS455" i="1"/>
  <c r="DS456" i="1"/>
  <c r="DS453" i="1"/>
  <c r="DS458" i="1"/>
  <c r="DS460" i="1"/>
  <c r="DS462" i="1"/>
  <c r="DS468" i="1"/>
  <c r="DS465" i="1"/>
  <c r="DS464" i="1"/>
  <c r="DS469" i="1"/>
  <c r="DS472" i="1"/>
  <c r="DS475" i="1"/>
  <c r="DS477" i="1"/>
  <c r="DS479" i="1"/>
  <c r="DS480" i="1"/>
  <c r="DS481" i="1"/>
  <c r="DS484" i="1"/>
  <c r="DS483" i="1"/>
  <c r="DS486" i="1"/>
  <c r="DS485" i="1"/>
  <c r="DS488" i="1"/>
  <c r="DS487" i="1"/>
  <c r="DS489" i="1"/>
  <c r="DS490" i="1"/>
  <c r="DS492" i="1"/>
  <c r="DS491" i="1"/>
  <c r="DS494" i="1"/>
  <c r="DS493" i="1"/>
  <c r="DS496" i="1"/>
  <c r="DS495" i="1"/>
  <c r="DS497" i="1"/>
  <c r="DS498" i="1"/>
  <c r="DS500" i="1"/>
  <c r="DS499" i="1"/>
  <c r="DS159" i="1"/>
  <c r="DS454" i="1"/>
  <c r="DS457" i="1"/>
  <c r="DS467" i="1"/>
  <c r="DS466" i="1"/>
  <c r="DS470" i="1"/>
  <c r="DS473" i="1"/>
  <c r="DS474" i="1"/>
  <c r="DS476" i="1"/>
  <c r="DS478" i="1"/>
  <c r="DS461" i="1"/>
  <c r="DS459" i="1"/>
  <c r="DS463" i="1"/>
  <c r="DS471" i="1"/>
  <c r="DS482" i="1"/>
  <c r="ED4" i="1"/>
  <c r="ED6" i="1"/>
  <c r="ED7" i="1"/>
  <c r="ED10" i="1"/>
  <c r="ED11" i="1"/>
  <c r="ED13" i="1"/>
  <c r="ED25" i="1"/>
  <c r="ED28" i="1"/>
  <c r="ED29" i="1"/>
  <c r="ED14" i="1"/>
  <c r="ED31" i="1"/>
  <c r="ED33" i="1"/>
  <c r="ED35" i="1"/>
  <c r="ED36" i="1"/>
  <c r="ED5" i="1"/>
  <c r="ED8" i="1"/>
  <c r="ED12" i="1"/>
  <c r="ED26" i="1"/>
  <c r="ED30" i="1"/>
  <c r="ED32" i="1"/>
  <c r="ED38" i="1"/>
  <c r="ED40" i="1"/>
  <c r="ED41" i="1"/>
  <c r="ED43" i="1"/>
  <c r="ED45" i="1"/>
  <c r="ED46" i="1"/>
  <c r="ED48" i="1"/>
  <c r="ED49" i="1"/>
  <c r="ED37" i="1"/>
  <c r="ED15" i="1"/>
  <c r="ED39" i="1"/>
  <c r="ED50" i="1"/>
  <c r="ED54" i="1"/>
  <c r="ED42" i="1"/>
  <c r="ED44" i="1"/>
  <c r="ED56" i="1"/>
  <c r="ED58" i="1"/>
  <c r="ED47" i="1"/>
  <c r="ED60" i="1"/>
  <c r="ED52" i="1"/>
  <c r="ED62" i="1"/>
  <c r="ED61" i="1"/>
  <c r="ED64" i="1"/>
  <c r="ED66" i="1"/>
  <c r="ED67" i="1"/>
  <c r="ED69" i="1"/>
  <c r="ED71" i="1"/>
  <c r="ED72" i="1"/>
  <c r="ED74" i="1"/>
  <c r="ED75" i="1"/>
  <c r="ED76" i="1"/>
  <c r="ED77" i="1"/>
  <c r="ED78" i="1"/>
  <c r="ED79" i="1"/>
  <c r="ED80" i="1"/>
  <c r="ED81" i="1"/>
  <c r="ED82" i="1"/>
  <c r="ED83" i="1"/>
  <c r="ED84" i="1"/>
  <c r="ED85" i="1"/>
  <c r="ED86" i="1"/>
  <c r="ED87" i="1"/>
  <c r="ED65" i="1"/>
  <c r="ED89" i="1"/>
  <c r="ED68" i="1"/>
  <c r="ED91" i="1"/>
  <c r="ED70" i="1"/>
  <c r="ED92" i="1"/>
  <c r="ED93" i="1"/>
  <c r="ED94" i="1"/>
  <c r="ED95" i="1"/>
  <c r="ED96" i="1"/>
  <c r="ED97" i="1"/>
  <c r="ED98" i="1"/>
  <c r="ED100" i="1"/>
  <c r="ED102" i="1"/>
  <c r="ED103" i="1"/>
  <c r="ED105" i="1"/>
  <c r="ED106" i="1"/>
  <c r="ED108" i="1"/>
  <c r="ED109" i="1"/>
  <c r="ED111" i="1"/>
  <c r="ED113" i="1"/>
  <c r="ED114" i="1"/>
  <c r="ED115" i="1"/>
  <c r="ED118" i="1"/>
  <c r="ED120" i="1"/>
  <c r="ED122" i="1"/>
  <c r="ED123" i="1"/>
  <c r="ED126" i="1"/>
  <c r="ED128" i="1"/>
  <c r="ED130" i="1"/>
  <c r="ED131" i="1"/>
  <c r="ED134" i="1"/>
  <c r="ED135" i="1"/>
  <c r="ED142" i="1"/>
  <c r="ED144" i="1"/>
  <c r="ED138" i="1"/>
  <c r="ED139" i="1"/>
  <c r="ED146" i="1"/>
  <c r="ED147" i="1"/>
  <c r="ED148" i="1"/>
  <c r="ED149" i="1"/>
  <c r="ED152" i="1"/>
  <c r="ED154" i="1"/>
  <c r="ED156" i="1"/>
  <c r="ED157" i="1"/>
  <c r="ED160" i="1"/>
  <c r="ED161" i="1"/>
  <c r="ED164" i="1"/>
  <c r="ED165" i="1"/>
  <c r="ED168" i="1"/>
  <c r="ED170" i="1"/>
  <c r="ED172" i="1"/>
  <c r="ED173" i="1"/>
  <c r="ED176" i="1"/>
  <c r="ED178" i="1"/>
  <c r="ED117" i="1"/>
  <c r="ED116" i="1"/>
  <c r="ED119" i="1"/>
  <c r="ED121" i="1"/>
  <c r="ED125" i="1"/>
  <c r="ED124" i="1"/>
  <c r="ED127" i="1"/>
  <c r="ED129" i="1"/>
  <c r="ED133" i="1"/>
  <c r="ED132" i="1"/>
  <c r="ED137" i="1"/>
  <c r="ED136" i="1"/>
  <c r="ED143" i="1"/>
  <c r="ED145" i="1"/>
  <c r="ED141" i="1"/>
  <c r="ED140" i="1"/>
  <c r="ED73" i="1"/>
  <c r="ED99" i="1"/>
  <c r="ED101" i="1"/>
  <c r="ED180" i="1"/>
  <c r="ED182" i="1"/>
  <c r="ED104" i="1"/>
  <c r="ED107" i="1"/>
  <c r="ED16" i="1"/>
  <c r="ED112" i="1"/>
  <c r="ED110" i="1"/>
  <c r="ED184" i="1"/>
  <c r="ED185" i="1"/>
  <c r="ED186" i="1"/>
  <c r="ED187" i="1"/>
  <c r="ED188" i="1"/>
  <c r="ED189" i="1"/>
  <c r="ED190" i="1"/>
  <c r="ED191" i="1"/>
  <c r="ED192" i="1"/>
  <c r="ED193" i="1"/>
  <c r="ED194" i="1"/>
  <c r="ED195" i="1"/>
  <c r="ED196" i="1"/>
  <c r="ED197" i="1"/>
  <c r="ED198" i="1"/>
  <c r="ED199" i="1"/>
  <c r="ED200" i="1"/>
  <c r="ED201" i="1"/>
  <c r="ED202" i="1"/>
  <c r="ED203" i="1"/>
  <c r="ED204" i="1"/>
  <c r="ED205" i="1"/>
  <c r="ED206" i="1"/>
  <c r="ED207" i="1"/>
  <c r="ED208" i="1"/>
  <c r="ED209" i="1"/>
  <c r="ED210" i="1"/>
  <c r="ED211" i="1"/>
  <c r="ED214" i="1"/>
  <c r="ED215" i="1"/>
  <c r="ED218" i="1"/>
  <c r="ED219" i="1"/>
  <c r="ED222" i="1"/>
  <c r="ED223" i="1"/>
  <c r="ED226" i="1"/>
  <c r="ED227" i="1"/>
  <c r="ED230" i="1"/>
  <c r="ED232" i="1"/>
  <c r="ED234" i="1"/>
  <c r="ED236" i="1"/>
  <c r="ED238" i="1"/>
  <c r="ED240" i="1"/>
  <c r="ED242" i="1"/>
  <c r="ED244" i="1"/>
  <c r="ED246" i="1"/>
  <c r="ED151" i="1"/>
  <c r="ED150" i="1"/>
  <c r="ED153" i="1"/>
  <c r="ED155" i="1"/>
  <c r="ED158" i="1"/>
  <c r="ED163" i="1"/>
  <c r="ED162" i="1"/>
  <c r="ED167" i="1"/>
  <c r="ED166" i="1"/>
  <c r="ED169" i="1"/>
  <c r="ED171" i="1"/>
  <c r="ED175" i="1"/>
  <c r="ED174" i="1"/>
  <c r="ED177" i="1"/>
  <c r="ED179" i="1"/>
  <c r="ED248" i="1"/>
  <c r="ED17" i="1"/>
  <c r="ED18" i="1"/>
  <c r="ED19" i="1"/>
  <c r="ED20" i="1"/>
  <c r="ED21" i="1"/>
  <c r="ED22" i="1"/>
  <c r="ED23" i="1"/>
  <c r="ED24" i="1"/>
  <c r="ED249" i="1"/>
  <c r="ED250" i="1"/>
  <c r="ED3" i="1"/>
  <c r="ED251" i="1"/>
  <c r="ED252" i="1"/>
  <c r="ED9" i="1"/>
  <c r="ED253" i="1"/>
  <c r="ED254" i="1"/>
  <c r="ED255" i="1"/>
  <c r="ED256" i="1"/>
  <c r="ED27" i="1"/>
  <c r="ED257" i="1"/>
  <c r="ED258" i="1"/>
  <c r="ED259" i="1"/>
  <c r="ED260" i="1"/>
  <c r="ED34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78" i="1"/>
  <c r="ED279" i="1"/>
  <c r="ED280" i="1"/>
  <c r="ED281" i="1"/>
  <c r="ED282" i="1"/>
  <c r="ED283" i="1"/>
  <c r="ED284" i="1"/>
  <c r="ED285" i="1"/>
  <c r="ED286" i="1"/>
  <c r="ED287" i="1"/>
  <c r="ED288" i="1"/>
  <c r="ED289" i="1"/>
  <c r="ED290" i="1"/>
  <c r="ED291" i="1"/>
  <c r="ED292" i="1"/>
  <c r="ED293" i="1"/>
  <c r="ED294" i="1"/>
  <c r="ED295" i="1"/>
  <c r="ED296" i="1"/>
  <c r="ED297" i="1"/>
  <c r="ED298" i="1"/>
  <c r="ED299" i="1"/>
  <c r="ED300" i="1"/>
  <c r="ED301" i="1"/>
  <c r="ED302" i="1"/>
  <c r="ED303" i="1"/>
  <c r="ED304" i="1"/>
  <c r="ED305" i="1"/>
  <c r="ED306" i="1"/>
  <c r="ED307" i="1"/>
  <c r="ED308" i="1"/>
  <c r="ED309" i="1"/>
  <c r="ED310" i="1"/>
  <c r="ED311" i="1"/>
  <c r="ED312" i="1"/>
  <c r="ED313" i="1"/>
  <c r="ED314" i="1"/>
  <c r="ED315" i="1"/>
  <c r="ED316" i="1"/>
  <c r="ED317" i="1"/>
  <c r="ED318" i="1"/>
  <c r="ED319" i="1"/>
  <c r="ED320" i="1"/>
  <c r="ED321" i="1"/>
  <c r="ED322" i="1"/>
  <c r="ED323" i="1"/>
  <c r="ED324" i="1"/>
  <c r="ED325" i="1"/>
  <c r="ED326" i="1"/>
  <c r="DW2" i="1"/>
  <c r="EW15" i="1" l="1"/>
  <c r="EV16" i="1" s="1"/>
  <c r="FU14" i="1"/>
  <c r="FX14" i="1" s="1"/>
  <c r="FY4" i="1"/>
  <c r="FU76" i="1"/>
  <c r="FW76" i="1" s="1"/>
  <c r="FZ76" i="1" s="1"/>
  <c r="FV71" i="1"/>
  <c r="FY15" i="1"/>
  <c r="FV130" i="1"/>
  <c r="FV81" i="1"/>
  <c r="FV61" i="1"/>
  <c r="FU45" i="1"/>
  <c r="FX45" i="1" s="1"/>
  <c r="FY38" i="1"/>
  <c r="FY12" i="1"/>
  <c r="FU310" i="1"/>
  <c r="FV292" i="1"/>
  <c r="FY255" i="1"/>
  <c r="FV223" i="1"/>
  <c r="FV210" i="1"/>
  <c r="FV137" i="1"/>
  <c r="FV121" i="1"/>
  <c r="FV116" i="1"/>
  <c r="FY47" i="1"/>
  <c r="FV29" i="1"/>
  <c r="FV87" i="1"/>
  <c r="FV77" i="1"/>
  <c r="FU72" i="1"/>
  <c r="FW72" i="1" s="1"/>
  <c r="FU5" i="1"/>
  <c r="FW5" i="1" s="1"/>
  <c r="FY6" i="1"/>
  <c r="FV154" i="1"/>
  <c r="FZ105" i="1"/>
  <c r="FY102" i="1"/>
  <c r="FZ98" i="1"/>
  <c r="FU96" i="1"/>
  <c r="FW96" i="1" s="1"/>
  <c r="FV91" i="1"/>
  <c r="FY89" i="1"/>
  <c r="FV86" i="1"/>
  <c r="FV84" i="1"/>
  <c r="FV82" i="1"/>
  <c r="FV80" i="1"/>
  <c r="FV78" i="1"/>
  <c r="FV76" i="1"/>
  <c r="FV74" i="1"/>
  <c r="FZ71" i="1"/>
  <c r="FY67" i="1"/>
  <c r="FV64" i="1"/>
  <c r="FY52" i="1"/>
  <c r="FV47" i="1"/>
  <c r="FV56" i="1"/>
  <c r="FZ42" i="1"/>
  <c r="FY50" i="1"/>
  <c r="FV15" i="1"/>
  <c r="FY46" i="1"/>
  <c r="FZ43" i="1"/>
  <c r="FV40" i="1"/>
  <c r="FY32" i="1"/>
  <c r="FV26" i="1"/>
  <c r="FV8" i="1"/>
  <c r="FU35" i="1"/>
  <c r="FW35" i="1" s="1"/>
  <c r="FY31" i="1"/>
  <c r="FZ29" i="1"/>
  <c r="FV25" i="1"/>
  <c r="FY11" i="1"/>
  <c r="FV7" i="1"/>
  <c r="FV4" i="1"/>
  <c r="FU46" i="1"/>
  <c r="FW46" i="1" s="1"/>
  <c r="FU31" i="1"/>
  <c r="FW31" i="1" s="1"/>
  <c r="FY40" i="1"/>
  <c r="FZ46" i="1"/>
  <c r="FU50" i="1"/>
  <c r="FW50" i="1" s="1"/>
  <c r="FU52" i="1"/>
  <c r="FW52" i="1" s="1"/>
  <c r="FY64" i="1"/>
  <c r="FU82" i="1"/>
  <c r="FW82" i="1" s="1"/>
  <c r="FZ82" i="1" s="1"/>
  <c r="FU121" i="1"/>
  <c r="FW121" i="1" s="1"/>
  <c r="FZ121" i="1" s="1"/>
  <c r="FZ11" i="1"/>
  <c r="FZ31" i="1"/>
  <c r="FY8" i="1"/>
  <c r="FV43" i="1"/>
  <c r="FZ50" i="1"/>
  <c r="FZ52" i="1"/>
  <c r="FU67" i="1"/>
  <c r="FW67" i="1" s="1"/>
  <c r="FU78" i="1"/>
  <c r="FW78" i="1" s="1"/>
  <c r="FZ78" i="1" s="1"/>
  <c r="FU84" i="1"/>
  <c r="FW84" i="1" s="1"/>
  <c r="FZ84" i="1" s="1"/>
  <c r="FU210" i="1"/>
  <c r="FW210" i="1" s="1"/>
  <c r="FZ210" i="1" s="1"/>
  <c r="FY25" i="1"/>
  <c r="FV35" i="1"/>
  <c r="FZ32" i="1"/>
  <c r="FV42" i="1"/>
  <c r="FZ67" i="1"/>
  <c r="FU80" i="1"/>
  <c r="FW80" i="1" s="1"/>
  <c r="FZ80" i="1" s="1"/>
  <c r="FV105" i="1"/>
  <c r="FU292" i="1"/>
  <c r="FY471" i="1"/>
  <c r="FU471" i="1"/>
  <c r="FZ471" i="1"/>
  <c r="FV471" i="1"/>
  <c r="FV459" i="1"/>
  <c r="FY459" i="1"/>
  <c r="FZ459" i="1"/>
  <c r="FU459" i="1"/>
  <c r="FW459" i="1" s="1"/>
  <c r="FU476" i="1"/>
  <c r="FX476" i="1" s="1"/>
  <c r="FV476" i="1"/>
  <c r="FY476" i="1"/>
  <c r="FZ476" i="1"/>
  <c r="FZ473" i="1"/>
  <c r="FU473" i="1"/>
  <c r="FY473" i="1"/>
  <c r="FV473" i="1"/>
  <c r="FY466" i="1"/>
  <c r="FZ466" i="1"/>
  <c r="FU466" i="1"/>
  <c r="FX466" i="1" s="1"/>
  <c r="FV466" i="1"/>
  <c r="FV457" i="1"/>
  <c r="FY457" i="1"/>
  <c r="FZ457" i="1"/>
  <c r="FU457" i="1"/>
  <c r="FU499" i="1"/>
  <c r="FV499" i="1"/>
  <c r="FV498" i="1"/>
  <c r="FU498" i="1"/>
  <c r="FW498" i="1" s="1"/>
  <c r="FU495" i="1"/>
  <c r="FW495" i="1" s="1"/>
  <c r="FY495" i="1" s="1"/>
  <c r="FV495" i="1"/>
  <c r="FV493" i="1"/>
  <c r="FU493" i="1"/>
  <c r="FW493" i="1" s="1"/>
  <c r="FZ493" i="1" s="1"/>
  <c r="FU491" i="1"/>
  <c r="FV491" i="1"/>
  <c r="FV490" i="1"/>
  <c r="FU490" i="1"/>
  <c r="FW490" i="1" s="1"/>
  <c r="FU487" i="1"/>
  <c r="FW487" i="1" s="1"/>
  <c r="FV487" i="1"/>
  <c r="FV485" i="1"/>
  <c r="FU485" i="1"/>
  <c r="FU483" i="1"/>
  <c r="FV483" i="1"/>
  <c r="FV481" i="1"/>
  <c r="FU481" i="1"/>
  <c r="FW481" i="1" s="1"/>
  <c r="FV479" i="1"/>
  <c r="FZ479" i="1"/>
  <c r="FU479" i="1"/>
  <c r="FY479" i="1"/>
  <c r="FY13" i="1"/>
  <c r="FZ5" i="1"/>
  <c r="FV30" i="1"/>
  <c r="FV58" i="1"/>
  <c r="FZ61" i="1"/>
  <c r="FY72" i="1"/>
  <c r="FU109" i="1"/>
  <c r="FW109" i="1" s="1"/>
  <c r="FV135" i="1"/>
  <c r="FY184" i="1"/>
  <c r="FY23" i="1"/>
  <c r="DU396" i="1"/>
  <c r="FU482" i="1"/>
  <c r="FV482" i="1"/>
  <c r="FV463" i="1"/>
  <c r="FZ463" i="1"/>
  <c r="FU463" i="1"/>
  <c r="FX463" i="1" s="1"/>
  <c r="FY463" i="1"/>
  <c r="FU461" i="1"/>
  <c r="FW461" i="1" s="1"/>
  <c r="FZ461" i="1"/>
  <c r="FY461" i="1"/>
  <c r="FV461" i="1"/>
  <c r="FZ478" i="1"/>
  <c r="FU478" i="1"/>
  <c r="FX478" i="1" s="1"/>
  <c r="FV478" i="1"/>
  <c r="FY478" i="1"/>
  <c r="FU474" i="1"/>
  <c r="FX474" i="1" s="1"/>
  <c r="FZ474" i="1"/>
  <c r="FV474" i="1"/>
  <c r="FY474" i="1"/>
  <c r="FY470" i="1"/>
  <c r="FZ470" i="1"/>
  <c r="FU470" i="1"/>
  <c r="FW470" i="1" s="1"/>
  <c r="FV470" i="1"/>
  <c r="FZ467" i="1"/>
  <c r="FU467" i="1"/>
  <c r="FX467" i="1" s="1"/>
  <c r="FY467" i="1"/>
  <c r="FV467" i="1"/>
  <c r="FY454" i="1"/>
  <c r="FV454" i="1"/>
  <c r="FZ454" i="1"/>
  <c r="FU454" i="1"/>
  <c r="FX454" i="1" s="1"/>
  <c r="FV159" i="1"/>
  <c r="FU159" i="1"/>
  <c r="FV500" i="1"/>
  <c r="FU500" i="1"/>
  <c r="FW500" i="1" s="1"/>
  <c r="FZ500" i="1" s="1"/>
  <c r="FU497" i="1"/>
  <c r="FW497" i="1" s="1"/>
  <c r="FZ497" i="1" s="1"/>
  <c r="FV497" i="1"/>
  <c r="FV496" i="1"/>
  <c r="FU496" i="1"/>
  <c r="FW496" i="1" s="1"/>
  <c r="FU494" i="1"/>
  <c r="FW494" i="1" s="1"/>
  <c r="FY494" i="1" s="1"/>
  <c r="FV494" i="1"/>
  <c r="FV492" i="1"/>
  <c r="FU492" i="1"/>
  <c r="FW492" i="1" s="1"/>
  <c r="FZ492" i="1" s="1"/>
  <c r="FU489" i="1"/>
  <c r="FW489" i="1" s="1"/>
  <c r="FZ489" i="1" s="1"/>
  <c r="FV489" i="1"/>
  <c r="FV488" i="1"/>
  <c r="FU488" i="1"/>
  <c r="FW488" i="1" s="1"/>
  <c r="FU486" i="1"/>
  <c r="FW486" i="1" s="1"/>
  <c r="FY486" i="1" s="1"/>
  <c r="FV486" i="1"/>
  <c r="FV484" i="1"/>
  <c r="FU484" i="1"/>
  <c r="FW484" i="1" s="1"/>
  <c r="FZ484" i="1" s="1"/>
  <c r="FU480" i="1"/>
  <c r="FW480" i="1" s="1"/>
  <c r="FY480" i="1" s="1"/>
  <c r="FV480" i="1"/>
  <c r="FZ477" i="1"/>
  <c r="FU477" i="1"/>
  <c r="FW477" i="1" s="1"/>
  <c r="FY477" i="1"/>
  <c r="FV477" i="1"/>
  <c r="FV472" i="1"/>
  <c r="FY472" i="1"/>
  <c r="FU472" i="1"/>
  <c r="FW472" i="1" s="1"/>
  <c r="FZ472" i="1"/>
  <c r="FZ464" i="1"/>
  <c r="FU464" i="1"/>
  <c r="FW464" i="1" s="1"/>
  <c r="FY464" i="1"/>
  <c r="FV464" i="1"/>
  <c r="FV468" i="1"/>
  <c r="FY468" i="1"/>
  <c r="FU468" i="1"/>
  <c r="FW468" i="1" s="1"/>
  <c r="FZ468" i="1"/>
  <c r="FZ460" i="1"/>
  <c r="FU460" i="1"/>
  <c r="FW460" i="1" s="1"/>
  <c r="FY460" i="1"/>
  <c r="FV460" i="1"/>
  <c r="FV453" i="1"/>
  <c r="FY453" i="1"/>
  <c r="FZ453" i="1"/>
  <c r="FU453" i="1"/>
  <c r="FW453" i="1" s="1"/>
  <c r="FZ455" i="1"/>
  <c r="FU455" i="1"/>
  <c r="FW455" i="1" s="1"/>
  <c r="FY455" i="1"/>
  <c r="FV455" i="1"/>
  <c r="FV422" i="1"/>
  <c r="FU422" i="1"/>
  <c r="FU411" i="1"/>
  <c r="FV411" i="1"/>
  <c r="FU404" i="1"/>
  <c r="FV404" i="1"/>
  <c r="FV394" i="1"/>
  <c r="FU394" i="1"/>
  <c r="FU367" i="1"/>
  <c r="FV367" i="1"/>
  <c r="FV358" i="1"/>
  <c r="FU358" i="1"/>
  <c r="FU338" i="1"/>
  <c r="FV338" i="1"/>
  <c r="FU328" i="1"/>
  <c r="FV328" i="1"/>
  <c r="FV451" i="1"/>
  <c r="FU451" i="1"/>
  <c r="FU449" i="1"/>
  <c r="FV449" i="1"/>
  <c r="FZ448" i="1"/>
  <c r="FU448" i="1"/>
  <c r="FW448" i="1" s="1"/>
  <c r="FY448" i="1"/>
  <c r="FV448" i="1"/>
  <c r="FU87" i="1"/>
  <c r="FU85" i="1"/>
  <c r="FZ72" i="1"/>
  <c r="FZ69" i="1"/>
  <c r="FZ66" i="1"/>
  <c r="FY61" i="1"/>
  <c r="FZ62" i="1"/>
  <c r="FZ60" i="1"/>
  <c r="FY58" i="1"/>
  <c r="FZ44" i="1"/>
  <c r="FZ54" i="1"/>
  <c r="FZ39" i="1"/>
  <c r="FY37" i="1"/>
  <c r="FZ48" i="1"/>
  <c r="FZ45" i="1"/>
  <c r="FV41" i="1"/>
  <c r="FV38" i="1"/>
  <c r="FY30" i="1"/>
  <c r="FV12" i="1"/>
  <c r="FY5" i="1"/>
  <c r="FZ36" i="1"/>
  <c r="FZ33" i="1"/>
  <c r="FZ14" i="1"/>
  <c r="FV28" i="1"/>
  <c r="FV13" i="1"/>
  <c r="FY10" i="1"/>
  <c r="FV6" i="1"/>
  <c r="FV10" i="1"/>
  <c r="FV36" i="1"/>
  <c r="FZ30" i="1"/>
  <c r="FV37" i="1"/>
  <c r="FU44" i="1"/>
  <c r="FX44" i="1" s="1"/>
  <c r="FZ58" i="1"/>
  <c r="FV75" i="1"/>
  <c r="FV79" i="1"/>
  <c r="FV83" i="1"/>
  <c r="FV85" i="1"/>
  <c r="FV144" i="1"/>
  <c r="FV127" i="1"/>
  <c r="FZ10" i="1"/>
  <c r="FZ37" i="1"/>
  <c r="FY44" i="1"/>
  <c r="FY70" i="1"/>
  <c r="FV100" i="1"/>
  <c r="FV126" i="1"/>
  <c r="FV147" i="1"/>
  <c r="FV446" i="1"/>
  <c r="FY446" i="1"/>
  <c r="FZ446" i="1"/>
  <c r="FU446" i="1"/>
  <c r="FW446" i="1" s="1"/>
  <c r="FV444" i="1"/>
  <c r="FY444" i="1"/>
  <c r="FZ444" i="1"/>
  <c r="FU444" i="1"/>
  <c r="FW444" i="1" s="1"/>
  <c r="FZ442" i="1"/>
  <c r="FU442" i="1"/>
  <c r="FW442" i="1" s="1"/>
  <c r="FY442" i="1"/>
  <c r="FV442" i="1"/>
  <c r="FV440" i="1"/>
  <c r="FY440" i="1"/>
  <c r="FU440" i="1"/>
  <c r="FW440" i="1" s="1"/>
  <c r="FZ440" i="1"/>
  <c r="FZ438" i="1"/>
  <c r="FU438" i="1"/>
  <c r="FW438" i="1" s="1"/>
  <c r="FY438" i="1"/>
  <c r="FV438" i="1"/>
  <c r="FZ437" i="1"/>
  <c r="FU437" i="1"/>
  <c r="FW437" i="1" s="1"/>
  <c r="FY437" i="1"/>
  <c r="FV437" i="1"/>
  <c r="FV435" i="1"/>
  <c r="FY435" i="1"/>
  <c r="FZ435" i="1"/>
  <c r="FU435" i="1"/>
  <c r="FW435" i="1" s="1"/>
  <c r="FZ433" i="1"/>
  <c r="FU433" i="1"/>
  <c r="FW433" i="1" s="1"/>
  <c r="FY433" i="1"/>
  <c r="FV433" i="1"/>
  <c r="FV431" i="1"/>
  <c r="FY431" i="1"/>
  <c r="FZ431" i="1"/>
  <c r="FZ429" i="1"/>
  <c r="FU429" i="1"/>
  <c r="FW429" i="1" s="1"/>
  <c r="FY429" i="1"/>
  <c r="FV429" i="1"/>
  <c r="FV181" i="1"/>
  <c r="FY181" i="1"/>
  <c r="FU181" i="1"/>
  <c r="FW181" i="1" s="1"/>
  <c r="FZ181" i="1"/>
  <c r="FZ427" i="1"/>
  <c r="FU427" i="1"/>
  <c r="FW427" i="1" s="1"/>
  <c r="FY427" i="1"/>
  <c r="FV427" i="1"/>
  <c r="FV247" i="1"/>
  <c r="FU247" i="1"/>
  <c r="FW247" i="1" s="1"/>
  <c r="FU245" i="1"/>
  <c r="FW245" i="1" s="1"/>
  <c r="FY245" i="1" s="1"/>
  <c r="FV245" i="1"/>
  <c r="FU233" i="1"/>
  <c r="FW233" i="1" s="1"/>
  <c r="FY233" i="1" s="1"/>
  <c r="FV233" i="1"/>
  <c r="FU229" i="1"/>
  <c r="FW229" i="1" s="1"/>
  <c r="FY229" i="1" s="1"/>
  <c r="FV229" i="1"/>
  <c r="FU425" i="1"/>
  <c r="FX425" i="1" s="1"/>
  <c r="FV425" i="1"/>
  <c r="FU424" i="1"/>
  <c r="FW424" i="1" s="1"/>
  <c r="FV424" i="1"/>
  <c r="FU420" i="1"/>
  <c r="FX420" i="1" s="1"/>
  <c r="FV420" i="1"/>
  <c r="FU419" i="1"/>
  <c r="FW419" i="1" s="1"/>
  <c r="FV419" i="1"/>
  <c r="FU416" i="1"/>
  <c r="FX416" i="1" s="1"/>
  <c r="FV416" i="1"/>
  <c r="FU415" i="1"/>
  <c r="FW415" i="1" s="1"/>
  <c r="FV415" i="1"/>
  <c r="FU412" i="1"/>
  <c r="FX412" i="1" s="1"/>
  <c r="FV412" i="1"/>
  <c r="FU409" i="1"/>
  <c r="FW409" i="1" s="1"/>
  <c r="FV409" i="1"/>
  <c r="FU406" i="1"/>
  <c r="FX406" i="1" s="1"/>
  <c r="FV406" i="1"/>
  <c r="FU403" i="1"/>
  <c r="FW403" i="1" s="1"/>
  <c r="FV403" i="1"/>
  <c r="FU400" i="1"/>
  <c r="FX400" i="1" s="1"/>
  <c r="FV400" i="1"/>
  <c r="FU398" i="1"/>
  <c r="FW398" i="1" s="1"/>
  <c r="FV398" i="1"/>
  <c r="FU396" i="1"/>
  <c r="FX396" i="1" s="1"/>
  <c r="FV396" i="1"/>
  <c r="FU393" i="1"/>
  <c r="FW393" i="1" s="1"/>
  <c r="FV393" i="1"/>
  <c r="FU391" i="1"/>
  <c r="FX391" i="1" s="1"/>
  <c r="FV391" i="1"/>
  <c r="FU389" i="1"/>
  <c r="FW389" i="1" s="1"/>
  <c r="FV389" i="1"/>
  <c r="FU386" i="1"/>
  <c r="FX386" i="1" s="1"/>
  <c r="FV386" i="1"/>
  <c r="FZ385" i="1"/>
  <c r="FV385" i="1"/>
  <c r="FY385" i="1"/>
  <c r="FU385" i="1"/>
  <c r="FW385" i="1" s="1"/>
  <c r="FY90" i="1"/>
  <c r="FU90" i="1"/>
  <c r="FW90" i="1" s="1"/>
  <c r="FZ90" i="1"/>
  <c r="FV90" i="1"/>
  <c r="FY382" i="1"/>
  <c r="FU382" i="1"/>
  <c r="FX382" i="1" s="1"/>
  <c r="FV382" i="1"/>
  <c r="FZ382" i="1"/>
  <c r="FZ88" i="1"/>
  <c r="FV88" i="1"/>
  <c r="FY88" i="1"/>
  <c r="FU88" i="1"/>
  <c r="FX88" i="1" s="1"/>
  <c r="FZ379" i="1"/>
  <c r="FV379" i="1"/>
  <c r="FY379" i="1"/>
  <c r="FU379" i="1"/>
  <c r="FW379" i="1" s="1"/>
  <c r="FY377" i="1"/>
  <c r="FU377" i="1"/>
  <c r="FW377" i="1" s="1"/>
  <c r="FZ377" i="1"/>
  <c r="FV377" i="1"/>
  <c r="FY63" i="1"/>
  <c r="FU63" i="1"/>
  <c r="FX63" i="1" s="1"/>
  <c r="FZ63" i="1"/>
  <c r="FV63" i="1"/>
  <c r="FZ53" i="1"/>
  <c r="FV53" i="1"/>
  <c r="FY53" i="1"/>
  <c r="FU53" i="1"/>
  <c r="FW53" i="1" s="1"/>
  <c r="FY374" i="1"/>
  <c r="FU374" i="1"/>
  <c r="FW374" i="1" s="1"/>
  <c r="FZ374" i="1"/>
  <c r="FV374" i="1"/>
  <c r="FY372" i="1"/>
  <c r="FU372" i="1"/>
  <c r="FX372" i="1" s="1"/>
  <c r="FZ372" i="1"/>
  <c r="FV372" i="1"/>
  <c r="FZ57" i="1"/>
  <c r="FV57" i="1"/>
  <c r="FU57" i="1"/>
  <c r="FX57" i="1" s="1"/>
  <c r="FY57" i="1"/>
  <c r="FZ370" i="1"/>
  <c r="FV370" i="1"/>
  <c r="FY370" i="1"/>
  <c r="FU370" i="1"/>
  <c r="FW370" i="1" s="1"/>
  <c r="FY55" i="1"/>
  <c r="FU55" i="1"/>
  <c r="FW55" i="1" s="1"/>
  <c r="FZ55" i="1"/>
  <c r="FV55" i="1"/>
  <c r="FY368" i="1"/>
  <c r="FU368" i="1"/>
  <c r="FX368" i="1" s="1"/>
  <c r="FV368" i="1"/>
  <c r="FZ368" i="1"/>
  <c r="FU225" i="1"/>
  <c r="FW225" i="1" s="1"/>
  <c r="FV225" i="1"/>
  <c r="FU221" i="1"/>
  <c r="FW221" i="1" s="1"/>
  <c r="FV221" i="1"/>
  <c r="FU216" i="1"/>
  <c r="FX216" i="1" s="1"/>
  <c r="FV216" i="1"/>
  <c r="FU213" i="1"/>
  <c r="FX213" i="1" s="1"/>
  <c r="FV213" i="1"/>
  <c r="FU366" i="1"/>
  <c r="FW366" i="1" s="1"/>
  <c r="FV366" i="1"/>
  <c r="FU363" i="1"/>
  <c r="FX363" i="1" s="1"/>
  <c r="FV363" i="1"/>
  <c r="FU361" i="1"/>
  <c r="FW361" i="1" s="1"/>
  <c r="FV361" i="1"/>
  <c r="FU359" i="1"/>
  <c r="FX359" i="1" s="1"/>
  <c r="FV359" i="1"/>
  <c r="FU356" i="1"/>
  <c r="FW356" i="1" s="1"/>
  <c r="FV356" i="1"/>
  <c r="FU355" i="1"/>
  <c r="FX355" i="1" s="1"/>
  <c r="FV355" i="1"/>
  <c r="FU352" i="1"/>
  <c r="FW352" i="1" s="1"/>
  <c r="FU350" i="1"/>
  <c r="FX350" i="1" s="1"/>
  <c r="FV350" i="1"/>
  <c r="FU347" i="1"/>
  <c r="FW347" i="1" s="1"/>
  <c r="FV347" i="1"/>
  <c r="FU344" i="1"/>
  <c r="FX344" i="1" s="1"/>
  <c r="FV344" i="1"/>
  <c r="FU343" i="1"/>
  <c r="FW343" i="1" s="1"/>
  <c r="FV343" i="1"/>
  <c r="FU341" i="1"/>
  <c r="FX341" i="1" s="1"/>
  <c r="FV341" i="1"/>
  <c r="FU340" i="1"/>
  <c r="FW340" i="1" s="1"/>
  <c r="FV340" i="1"/>
  <c r="FU337" i="1"/>
  <c r="FX337" i="1" s="1"/>
  <c r="FV337" i="1"/>
  <c r="FU334" i="1"/>
  <c r="FW334" i="1" s="1"/>
  <c r="FV334" i="1"/>
  <c r="FV333" i="1"/>
  <c r="FU333" i="1"/>
  <c r="FW333" i="1" s="1"/>
  <c r="FU330" i="1"/>
  <c r="FW330" i="1" s="1"/>
  <c r="FV330" i="1"/>
  <c r="FU327" i="1"/>
  <c r="FX327" i="1" s="1"/>
  <c r="FV327" i="1"/>
  <c r="FU325" i="1"/>
  <c r="FW325" i="1" s="1"/>
  <c r="FV325" i="1"/>
  <c r="FV323" i="1"/>
  <c r="FU323" i="1"/>
  <c r="FW323" i="1" s="1"/>
  <c r="FV321" i="1"/>
  <c r="FU321" i="1"/>
  <c r="FX321" i="1" s="1"/>
  <c r="FV319" i="1"/>
  <c r="FU319" i="1"/>
  <c r="FW319" i="1" s="1"/>
  <c r="FU317" i="1"/>
  <c r="FW317" i="1" s="1"/>
  <c r="FV317" i="1"/>
  <c r="FU315" i="1"/>
  <c r="FX315" i="1" s="1"/>
  <c r="FV315" i="1"/>
  <c r="FV313" i="1"/>
  <c r="FU313" i="1"/>
  <c r="FX313" i="1" s="1"/>
  <c r="FV311" i="1"/>
  <c r="FU311" i="1"/>
  <c r="FW311" i="1" s="1"/>
  <c r="FU309" i="1"/>
  <c r="FV309" i="1"/>
  <c r="FV307" i="1"/>
  <c r="FU307" i="1"/>
  <c r="FV305" i="1"/>
  <c r="FU305" i="1"/>
  <c r="FV303" i="1"/>
  <c r="FU303" i="1"/>
  <c r="FV301" i="1"/>
  <c r="FU301" i="1"/>
  <c r="FU299" i="1"/>
  <c r="FV299" i="1"/>
  <c r="FU297" i="1"/>
  <c r="FV297" i="1"/>
  <c r="FV295" i="1"/>
  <c r="FU295" i="1"/>
  <c r="FU293" i="1"/>
  <c r="FV293" i="1"/>
  <c r="FV291" i="1"/>
  <c r="FU291" i="1"/>
  <c r="FU289" i="1"/>
  <c r="FV289" i="1"/>
  <c r="FV287" i="1"/>
  <c r="FU287" i="1"/>
  <c r="FU285" i="1"/>
  <c r="FV285" i="1"/>
  <c r="FV283" i="1"/>
  <c r="FU283" i="1"/>
  <c r="FU281" i="1"/>
  <c r="FV281" i="1"/>
  <c r="FU280" i="1"/>
  <c r="FX280" i="1" s="1"/>
  <c r="FV280" i="1"/>
  <c r="FV278" i="1"/>
  <c r="FU278" i="1"/>
  <c r="FX278" i="1" s="1"/>
  <c r="FU276" i="1"/>
  <c r="FX276" i="1" s="1"/>
  <c r="FV276" i="1"/>
  <c r="FV275" i="1"/>
  <c r="FU275" i="1"/>
  <c r="FX275" i="1" s="1"/>
  <c r="FV272" i="1"/>
  <c r="FU272" i="1"/>
  <c r="FX272" i="1" s="1"/>
  <c r="FU270" i="1"/>
  <c r="FX270" i="1" s="1"/>
  <c r="FV270" i="1"/>
  <c r="FV268" i="1"/>
  <c r="FU268" i="1"/>
  <c r="FX268" i="1" s="1"/>
  <c r="FU266" i="1"/>
  <c r="FX266" i="1" s="1"/>
  <c r="FV266" i="1"/>
  <c r="FZ264" i="1"/>
  <c r="FV264" i="1"/>
  <c r="FY264" i="1"/>
  <c r="FU264" i="1"/>
  <c r="FX264" i="1" s="1"/>
  <c r="FY262" i="1"/>
  <c r="FU262" i="1"/>
  <c r="FX262" i="1" s="1"/>
  <c r="FZ262" i="1"/>
  <c r="FV262" i="1"/>
  <c r="FZ34" i="1"/>
  <c r="FV34" i="1"/>
  <c r="FY34" i="1"/>
  <c r="FU34" i="1"/>
  <c r="FX34" i="1" s="1"/>
  <c r="FY259" i="1"/>
  <c r="FU259" i="1"/>
  <c r="FX259" i="1" s="1"/>
  <c r="FZ259" i="1"/>
  <c r="FV259" i="1"/>
  <c r="FZ257" i="1"/>
  <c r="FV257" i="1"/>
  <c r="FU257" i="1"/>
  <c r="FX257" i="1" s="1"/>
  <c r="FY257" i="1"/>
  <c r="FY256" i="1"/>
  <c r="FU256" i="1"/>
  <c r="FX256" i="1" s="1"/>
  <c r="FZ256" i="1"/>
  <c r="FV256" i="1"/>
  <c r="FZ254" i="1"/>
  <c r="FV254" i="1"/>
  <c r="FY254" i="1"/>
  <c r="FU254" i="1"/>
  <c r="FX254" i="1" s="1"/>
  <c r="FY9" i="1"/>
  <c r="FU9" i="1"/>
  <c r="FX9" i="1" s="1"/>
  <c r="FZ9" i="1"/>
  <c r="FV9" i="1"/>
  <c r="FY252" i="1"/>
  <c r="FU252" i="1"/>
  <c r="FX252" i="1" s="1"/>
  <c r="FZ252" i="1"/>
  <c r="FV252" i="1"/>
  <c r="FZ3" i="1"/>
  <c r="FV3" i="1"/>
  <c r="FY3" i="1"/>
  <c r="FU3" i="1"/>
  <c r="FX3" i="1" s="1"/>
  <c r="FY249" i="1"/>
  <c r="FU249" i="1"/>
  <c r="FX249" i="1" s="1"/>
  <c r="FZ249" i="1"/>
  <c r="FV249" i="1"/>
  <c r="FZ23" i="1"/>
  <c r="FV23" i="1"/>
  <c r="FU23" i="1"/>
  <c r="FX23" i="1" s="1"/>
  <c r="FY21" i="1"/>
  <c r="FU21" i="1"/>
  <c r="FX21" i="1" s="1"/>
  <c r="FZ21" i="1"/>
  <c r="FV21" i="1"/>
  <c r="FZ19" i="1"/>
  <c r="FV19" i="1"/>
  <c r="FY19" i="1"/>
  <c r="FU19" i="1"/>
  <c r="FX19" i="1" s="1"/>
  <c r="FY17" i="1"/>
  <c r="FU17" i="1"/>
  <c r="FX17" i="1" s="1"/>
  <c r="FZ17" i="1"/>
  <c r="FV17" i="1"/>
  <c r="FU179" i="1"/>
  <c r="FX179" i="1" s="1"/>
  <c r="FV179" i="1"/>
  <c r="FU177" i="1"/>
  <c r="FV177" i="1"/>
  <c r="FV174" i="1"/>
  <c r="FU174" i="1"/>
  <c r="FU167" i="1"/>
  <c r="FW167" i="1" s="1"/>
  <c r="FY167" i="1" s="1"/>
  <c r="FV167" i="1"/>
  <c r="FU162" i="1"/>
  <c r="FW162" i="1" s="1"/>
  <c r="FZ162" i="1" s="1"/>
  <c r="FV162" i="1"/>
  <c r="FU151" i="1"/>
  <c r="FW151" i="1" s="1"/>
  <c r="FY151" i="1" s="1"/>
  <c r="FV151" i="1"/>
  <c r="FU246" i="1"/>
  <c r="FW246" i="1" s="1"/>
  <c r="FZ246" i="1" s="1"/>
  <c r="FV246" i="1"/>
  <c r="FU244" i="1"/>
  <c r="FW244" i="1" s="1"/>
  <c r="FY244" i="1" s="1"/>
  <c r="FV244" i="1"/>
  <c r="FU242" i="1"/>
  <c r="FW242" i="1" s="1"/>
  <c r="FZ242" i="1" s="1"/>
  <c r="FV242" i="1"/>
  <c r="FU240" i="1"/>
  <c r="FW240" i="1" s="1"/>
  <c r="FY240" i="1" s="1"/>
  <c r="FV240" i="1"/>
  <c r="FU238" i="1"/>
  <c r="FW238" i="1" s="1"/>
  <c r="FZ238" i="1" s="1"/>
  <c r="FV238" i="1"/>
  <c r="FU236" i="1"/>
  <c r="FW236" i="1" s="1"/>
  <c r="FY236" i="1" s="1"/>
  <c r="FV236" i="1"/>
  <c r="FU226" i="1"/>
  <c r="FW226" i="1" s="1"/>
  <c r="FY226" i="1" s="1"/>
  <c r="FV226" i="1"/>
  <c r="FV222" i="1"/>
  <c r="FU222" i="1"/>
  <c r="FW222" i="1" s="1"/>
  <c r="FY222" i="1" s="1"/>
  <c r="FV219" i="1"/>
  <c r="FU219" i="1"/>
  <c r="FW219" i="1" s="1"/>
  <c r="FV214" i="1"/>
  <c r="FU214" i="1"/>
  <c r="FW214" i="1" s="1"/>
  <c r="FY214" i="1" s="1"/>
  <c r="FU211" i="1"/>
  <c r="FW211" i="1" s="1"/>
  <c r="FV211" i="1"/>
  <c r="FU208" i="1"/>
  <c r="FW208" i="1" s="1"/>
  <c r="FZ208" i="1" s="1"/>
  <c r="FV208" i="1"/>
  <c r="FV206" i="1"/>
  <c r="FU206" i="1"/>
  <c r="FW206" i="1" s="1"/>
  <c r="FZ206" i="1" s="1"/>
  <c r="FU204" i="1"/>
  <c r="FW204" i="1" s="1"/>
  <c r="FZ204" i="1" s="1"/>
  <c r="FV204" i="1"/>
  <c r="FV202" i="1"/>
  <c r="FU202" i="1"/>
  <c r="FW202" i="1" s="1"/>
  <c r="FY202" i="1" s="1"/>
  <c r="FU200" i="1"/>
  <c r="FW200" i="1" s="1"/>
  <c r="FZ200" i="1" s="1"/>
  <c r="FV198" i="1"/>
  <c r="FU198" i="1"/>
  <c r="FW198" i="1" s="1"/>
  <c r="FU196" i="1"/>
  <c r="FW196" i="1" s="1"/>
  <c r="FZ196" i="1" s="1"/>
  <c r="FV196" i="1"/>
  <c r="FV194" i="1"/>
  <c r="FU194" i="1"/>
  <c r="FW194" i="1" s="1"/>
  <c r="FY194" i="1" s="1"/>
  <c r="FU192" i="1"/>
  <c r="FW192" i="1" s="1"/>
  <c r="FV192" i="1"/>
  <c r="FV190" i="1"/>
  <c r="FU190" i="1"/>
  <c r="FW190" i="1" s="1"/>
  <c r="FZ190" i="1" s="1"/>
  <c r="FU188" i="1"/>
  <c r="FW188" i="1" s="1"/>
  <c r="FZ188" i="1" s="1"/>
  <c r="FV188" i="1"/>
  <c r="FY186" i="1"/>
  <c r="FZ186" i="1"/>
  <c r="FU186" i="1"/>
  <c r="FW186" i="1" s="1"/>
  <c r="FV186" i="1"/>
  <c r="FV184" i="1"/>
  <c r="FZ184" i="1"/>
  <c r="FU184" i="1"/>
  <c r="FW184" i="1" s="1"/>
  <c r="FY112" i="1"/>
  <c r="FZ112" i="1"/>
  <c r="FU112" i="1"/>
  <c r="FW112" i="1" s="1"/>
  <c r="FV112" i="1"/>
  <c r="FV107" i="1"/>
  <c r="FZ107" i="1"/>
  <c r="FU107" i="1"/>
  <c r="FW107" i="1" s="1"/>
  <c r="FY107" i="1"/>
  <c r="FY182" i="1"/>
  <c r="FZ182" i="1"/>
  <c r="FU182" i="1"/>
  <c r="FW182" i="1" s="1"/>
  <c r="FV101" i="1"/>
  <c r="FZ101" i="1"/>
  <c r="FU101" i="1"/>
  <c r="FW101" i="1" s="1"/>
  <c r="FY101" i="1"/>
  <c r="FY73" i="1"/>
  <c r="FZ73" i="1"/>
  <c r="FU73" i="1"/>
  <c r="FW73" i="1" s="1"/>
  <c r="FV73" i="1"/>
  <c r="FV141" i="1"/>
  <c r="FU141" i="1"/>
  <c r="FW141" i="1" s="1"/>
  <c r="FZ141" i="1" s="1"/>
  <c r="FU145" i="1"/>
  <c r="FW145" i="1" s="1"/>
  <c r="FZ145" i="1" s="1"/>
  <c r="FV145" i="1"/>
  <c r="FV143" i="1"/>
  <c r="FU143" i="1"/>
  <c r="FW143" i="1" s="1"/>
  <c r="FZ143" i="1" s="1"/>
  <c r="FU136" i="1"/>
  <c r="FW136" i="1" s="1"/>
  <c r="FV133" i="1"/>
  <c r="FU133" i="1"/>
  <c r="FX133" i="1" s="1"/>
  <c r="FV129" i="1"/>
  <c r="FU129" i="1"/>
  <c r="FW129" i="1" s="1"/>
  <c r="FU127" i="1"/>
  <c r="FW127" i="1" s="1"/>
  <c r="FV124" i="1"/>
  <c r="FU124" i="1"/>
  <c r="FW124" i="1" s="1"/>
  <c r="FY124" i="1" s="1"/>
  <c r="FV117" i="1"/>
  <c r="FU117" i="1"/>
  <c r="FW117" i="1" s="1"/>
  <c r="FU172" i="1"/>
  <c r="FW172" i="1" s="1"/>
  <c r="FZ172" i="1" s="1"/>
  <c r="FU170" i="1"/>
  <c r="FW170" i="1" s="1"/>
  <c r="FZ170" i="1" s="1"/>
  <c r="FU168" i="1"/>
  <c r="FW168" i="1" s="1"/>
  <c r="FZ168" i="1" s="1"/>
  <c r="FU165" i="1"/>
  <c r="FW165" i="1" s="1"/>
  <c r="FU160" i="1"/>
  <c r="FW160" i="1" s="1"/>
  <c r="FZ160" i="1" s="1"/>
  <c r="FU157" i="1"/>
  <c r="FW157" i="1" s="1"/>
  <c r="FZ157" i="1" s="1"/>
  <c r="FU148" i="1"/>
  <c r="FW148" i="1" s="1"/>
  <c r="FU147" i="1"/>
  <c r="FW147" i="1" s="1"/>
  <c r="FU139" i="1"/>
  <c r="FW139" i="1" s="1"/>
  <c r="FU144" i="1"/>
  <c r="FW144" i="1" s="1"/>
  <c r="FZ144" i="1" s="1"/>
  <c r="FU142" i="1"/>
  <c r="FW142" i="1" s="1"/>
  <c r="FZ142" i="1" s="1"/>
  <c r="FU135" i="1"/>
  <c r="FW135" i="1" s="1"/>
  <c r="FZ135" i="1" s="1"/>
  <c r="FU130" i="1"/>
  <c r="FW130" i="1" s="1"/>
  <c r="FZ130" i="1" s="1"/>
  <c r="FU128" i="1"/>
  <c r="FW128" i="1" s="1"/>
  <c r="FY128" i="1" s="1"/>
  <c r="FU126" i="1"/>
  <c r="FW126" i="1" s="1"/>
  <c r="FY126" i="1" s="1"/>
  <c r="FU123" i="1"/>
  <c r="FW123" i="1" s="1"/>
  <c r="FU114" i="1"/>
  <c r="FW114" i="1" s="1"/>
  <c r="FZ113" i="1"/>
  <c r="FU113" i="1"/>
  <c r="FW113" i="1" s="1"/>
  <c r="FY113" i="1"/>
  <c r="FY109" i="1"/>
  <c r="FV109" i="1"/>
  <c r="FV106" i="1"/>
  <c r="FZ106" i="1"/>
  <c r="FU106" i="1"/>
  <c r="FW106" i="1" s="1"/>
  <c r="FV103" i="1"/>
  <c r="FZ103" i="1"/>
  <c r="FU103" i="1"/>
  <c r="FW103" i="1" s="1"/>
  <c r="FY103" i="1"/>
  <c r="FZ100" i="1"/>
  <c r="FU100" i="1"/>
  <c r="FW100" i="1" s="1"/>
  <c r="FY100" i="1"/>
  <c r="FV97" i="1"/>
  <c r="FZ97" i="1"/>
  <c r="FU97" i="1"/>
  <c r="FW97" i="1" s="1"/>
  <c r="FY97" i="1"/>
  <c r="FZ95" i="1"/>
  <c r="FU95" i="1"/>
  <c r="FW95" i="1" s="1"/>
  <c r="FY95" i="1"/>
  <c r="FY93" i="1"/>
  <c r="FV93" i="1"/>
  <c r="FV70" i="1"/>
  <c r="FZ70" i="1"/>
  <c r="FU70" i="1"/>
  <c r="FW70" i="1" s="1"/>
  <c r="FV68" i="1"/>
  <c r="FZ68" i="1"/>
  <c r="FU68" i="1"/>
  <c r="FW68" i="1" s="1"/>
  <c r="FY68" i="1"/>
  <c r="FZ65" i="1"/>
  <c r="FU65" i="1"/>
  <c r="FW65" i="1" s="1"/>
  <c r="FY65" i="1"/>
  <c r="FV49" i="1"/>
  <c r="FU4" i="1"/>
  <c r="FW4" i="1" s="1"/>
  <c r="FZ4" i="1"/>
  <c r="FZ6" i="1"/>
  <c r="FY7" i="1"/>
  <c r="FU11" i="1"/>
  <c r="FW11" i="1" s="1"/>
  <c r="FU13" i="1"/>
  <c r="FX13" i="1" s="1"/>
  <c r="FZ13" i="1"/>
  <c r="FZ25" i="1"/>
  <c r="FY28" i="1"/>
  <c r="FV14" i="1"/>
  <c r="FV31" i="1"/>
  <c r="FU33" i="1"/>
  <c r="FX33" i="1" s="1"/>
  <c r="FY33" i="1"/>
  <c r="FY35" i="1"/>
  <c r="FV5" i="1"/>
  <c r="FW8" i="1"/>
  <c r="FZ8" i="1"/>
  <c r="FZ12" i="1"/>
  <c r="FY26" i="1"/>
  <c r="FU32" i="1"/>
  <c r="FU38" i="1"/>
  <c r="FX38" i="1" s="1"/>
  <c r="FZ38" i="1"/>
  <c r="FZ40" i="1"/>
  <c r="FY41" i="1"/>
  <c r="FV45" i="1"/>
  <c r="FV46" i="1"/>
  <c r="FU48" i="1"/>
  <c r="FX48" i="1" s="1"/>
  <c r="FY48" i="1"/>
  <c r="FU15" i="1"/>
  <c r="FW15" i="1" s="1"/>
  <c r="FZ15" i="1"/>
  <c r="FV50" i="1"/>
  <c r="FU54" i="1"/>
  <c r="FX54" i="1" s="1"/>
  <c r="FY54" i="1"/>
  <c r="FV44" i="1"/>
  <c r="FY56" i="1"/>
  <c r="FU47" i="1"/>
  <c r="FW47" i="1" s="1"/>
  <c r="FZ47" i="1"/>
  <c r="FV52" i="1"/>
  <c r="FU62" i="1"/>
  <c r="FX62" i="1" s="1"/>
  <c r="FY62" i="1"/>
  <c r="FU64" i="1"/>
  <c r="FW64" i="1" s="1"/>
  <c r="FZ64" i="1"/>
  <c r="FV67" i="1"/>
  <c r="FU69" i="1"/>
  <c r="FW69" i="1" s="1"/>
  <c r="FY69" i="1"/>
  <c r="FV72" i="1"/>
  <c r="FY74" i="1"/>
  <c r="FV95" i="1"/>
  <c r="FV98" i="1"/>
  <c r="FU102" i="1"/>
  <c r="FZ109" i="1"/>
  <c r="FV157" i="1"/>
  <c r="FV168" i="1"/>
  <c r="FV172" i="1"/>
  <c r="FU116" i="1"/>
  <c r="FW116" i="1" s="1"/>
  <c r="FZ116" i="1" s="1"/>
  <c r="FU223" i="1"/>
  <c r="FU6" i="1"/>
  <c r="FZ7" i="1"/>
  <c r="FV11" i="1"/>
  <c r="FU25" i="1"/>
  <c r="FW25" i="1" s="1"/>
  <c r="FU28" i="1"/>
  <c r="FW28" i="1" s="1"/>
  <c r="FZ28" i="1"/>
  <c r="FY29" i="1"/>
  <c r="FY14" i="1"/>
  <c r="FV33" i="1"/>
  <c r="FZ35" i="1"/>
  <c r="FY36" i="1"/>
  <c r="FU12" i="1"/>
  <c r="FU26" i="1"/>
  <c r="FZ26" i="1"/>
  <c r="FV32" i="1"/>
  <c r="FU40" i="1"/>
  <c r="FW40" i="1" s="1"/>
  <c r="FU41" i="1"/>
  <c r="FW41" i="1" s="1"/>
  <c r="FZ41" i="1"/>
  <c r="FY43" i="1"/>
  <c r="FY45" i="1"/>
  <c r="FV48" i="1"/>
  <c r="FU39" i="1"/>
  <c r="FX39" i="1" s="1"/>
  <c r="FY39" i="1"/>
  <c r="FV54" i="1"/>
  <c r="FY42" i="1"/>
  <c r="FU56" i="1"/>
  <c r="FZ56" i="1"/>
  <c r="FU60" i="1"/>
  <c r="FW60" i="1" s="1"/>
  <c r="FY60" i="1"/>
  <c r="FV62" i="1"/>
  <c r="FU66" i="1"/>
  <c r="FX66" i="1" s="1"/>
  <c r="FY66" i="1"/>
  <c r="FV69" i="1"/>
  <c r="FY71" i="1"/>
  <c r="FU74" i="1"/>
  <c r="FZ74" i="1"/>
  <c r="FU86" i="1"/>
  <c r="FV65" i="1"/>
  <c r="FU93" i="1"/>
  <c r="FW93" i="1" s="1"/>
  <c r="FY106" i="1"/>
  <c r="FV114" i="1"/>
  <c r="FV123" i="1"/>
  <c r="FV128" i="1"/>
  <c r="FV142" i="1"/>
  <c r="FV139" i="1"/>
  <c r="FV148" i="1"/>
  <c r="FU154" i="1"/>
  <c r="FW154" i="1" s="1"/>
  <c r="FU137" i="1"/>
  <c r="FW137" i="1" s="1"/>
  <c r="FY137" i="1" s="1"/>
  <c r="FV200" i="1"/>
  <c r="FU431" i="1"/>
  <c r="FW431" i="1" s="1"/>
  <c r="FV475" i="1"/>
  <c r="FZ475" i="1"/>
  <c r="FU475" i="1"/>
  <c r="FW475" i="1" s="1"/>
  <c r="FY475" i="1"/>
  <c r="FY469" i="1"/>
  <c r="FZ469" i="1"/>
  <c r="FU469" i="1"/>
  <c r="FW469" i="1" s="1"/>
  <c r="FV469" i="1"/>
  <c r="FV465" i="1"/>
  <c r="FZ465" i="1"/>
  <c r="FU465" i="1"/>
  <c r="FW465" i="1" s="1"/>
  <c r="FY465" i="1"/>
  <c r="FY462" i="1"/>
  <c r="FZ462" i="1"/>
  <c r="FU462" i="1"/>
  <c r="FW462" i="1" s="1"/>
  <c r="FV462" i="1"/>
  <c r="FV458" i="1"/>
  <c r="FZ458" i="1"/>
  <c r="FU458" i="1"/>
  <c r="FW458" i="1" s="1"/>
  <c r="FY458" i="1"/>
  <c r="FY456" i="1"/>
  <c r="FZ456" i="1"/>
  <c r="FU456" i="1"/>
  <c r="FW456" i="1" s="1"/>
  <c r="FV456" i="1"/>
  <c r="FV414" i="1"/>
  <c r="FU414" i="1"/>
  <c r="FU407" i="1"/>
  <c r="FV407" i="1"/>
  <c r="FV397" i="1"/>
  <c r="FU397" i="1"/>
  <c r="FV388" i="1"/>
  <c r="FU388" i="1"/>
  <c r="FV364" i="1"/>
  <c r="FU364" i="1"/>
  <c r="FU348" i="1"/>
  <c r="FV348" i="1"/>
  <c r="FU331" i="1"/>
  <c r="FV331" i="1"/>
  <c r="FV452" i="1"/>
  <c r="FU452" i="1"/>
  <c r="FV450" i="1"/>
  <c r="FU450" i="1"/>
  <c r="FV447" i="1"/>
  <c r="FZ447" i="1"/>
  <c r="FU447" i="1"/>
  <c r="FW447" i="1" s="1"/>
  <c r="FY447" i="1"/>
  <c r="FY445" i="1"/>
  <c r="FZ445" i="1"/>
  <c r="FU445" i="1"/>
  <c r="FW445" i="1" s="1"/>
  <c r="FV445" i="1"/>
  <c r="FY443" i="1"/>
  <c r="FZ443" i="1"/>
  <c r="FU443" i="1"/>
  <c r="FW443" i="1" s="1"/>
  <c r="FV443" i="1"/>
  <c r="FV441" i="1"/>
  <c r="FZ441" i="1"/>
  <c r="FU441" i="1"/>
  <c r="FW441" i="1" s="1"/>
  <c r="FY441" i="1"/>
  <c r="FY439" i="1"/>
  <c r="FZ439" i="1"/>
  <c r="FU439" i="1"/>
  <c r="FW439" i="1" s="1"/>
  <c r="FV439" i="1"/>
  <c r="FV436" i="1"/>
  <c r="FZ436" i="1"/>
  <c r="FU436" i="1"/>
  <c r="FW436" i="1" s="1"/>
  <c r="FY436" i="1"/>
  <c r="FY434" i="1"/>
  <c r="FZ434" i="1"/>
  <c r="FU434" i="1"/>
  <c r="FW434" i="1" s="1"/>
  <c r="FV434" i="1"/>
  <c r="FV432" i="1"/>
  <c r="FZ432" i="1"/>
  <c r="FU432" i="1"/>
  <c r="FW432" i="1" s="1"/>
  <c r="FY432" i="1"/>
  <c r="FY430" i="1"/>
  <c r="FZ430" i="1"/>
  <c r="FU430" i="1"/>
  <c r="FW430" i="1" s="1"/>
  <c r="FV430" i="1"/>
  <c r="FV183" i="1"/>
  <c r="FZ183" i="1"/>
  <c r="FU183" i="1"/>
  <c r="FW183" i="1" s="1"/>
  <c r="FY183" i="1"/>
  <c r="FY428" i="1"/>
  <c r="FZ428" i="1"/>
  <c r="FU428" i="1"/>
  <c r="FW428" i="1" s="1"/>
  <c r="FV428" i="1"/>
  <c r="FV243" i="1"/>
  <c r="FU243" i="1"/>
  <c r="FW243" i="1" s="1"/>
  <c r="FZ243" i="1" s="1"/>
  <c r="FV241" i="1"/>
  <c r="FU241" i="1"/>
  <c r="FW241" i="1" s="1"/>
  <c r="FZ241" i="1" s="1"/>
  <c r="FU239" i="1"/>
  <c r="FV239" i="1"/>
  <c r="FV237" i="1"/>
  <c r="FU237" i="1"/>
  <c r="FW237" i="1" s="1"/>
  <c r="FZ237" i="1" s="1"/>
  <c r="FU235" i="1"/>
  <c r="FW235" i="1" s="1"/>
  <c r="FZ235" i="1" s="1"/>
  <c r="FV235" i="1"/>
  <c r="FV231" i="1"/>
  <c r="FU231" i="1"/>
  <c r="FW231" i="1" s="1"/>
  <c r="FZ231" i="1" s="1"/>
  <c r="FU228" i="1"/>
  <c r="FW228" i="1" s="1"/>
  <c r="FY228" i="1" s="1"/>
  <c r="FV228" i="1"/>
  <c r="FV426" i="1"/>
  <c r="FU426" i="1"/>
  <c r="FW426" i="1" s="1"/>
  <c r="FY426" i="1" s="1"/>
  <c r="FV423" i="1"/>
  <c r="FU423" i="1"/>
  <c r="FW423" i="1" s="1"/>
  <c r="FZ423" i="1" s="1"/>
  <c r="FV421" i="1"/>
  <c r="FU421" i="1"/>
  <c r="FW421" i="1" s="1"/>
  <c r="FZ421" i="1" s="1"/>
  <c r="FV418" i="1"/>
  <c r="FU418" i="1"/>
  <c r="FW418" i="1" s="1"/>
  <c r="FV417" i="1"/>
  <c r="FU417" i="1"/>
  <c r="FW417" i="1" s="1"/>
  <c r="FZ417" i="1" s="1"/>
  <c r="FV413" i="1"/>
  <c r="FU413" i="1"/>
  <c r="FW413" i="1" s="1"/>
  <c r="FZ413" i="1" s="1"/>
  <c r="FV410" i="1"/>
  <c r="FU410" i="1"/>
  <c r="FW410" i="1" s="1"/>
  <c r="FZ410" i="1" s="1"/>
  <c r="FV408" i="1"/>
  <c r="FU408" i="1"/>
  <c r="FW408" i="1" s="1"/>
  <c r="FY408" i="1" s="1"/>
  <c r="FV405" i="1"/>
  <c r="FU405" i="1"/>
  <c r="FW405" i="1" s="1"/>
  <c r="FZ405" i="1" s="1"/>
  <c r="FV402" i="1"/>
  <c r="FU402" i="1"/>
  <c r="FW402" i="1" s="1"/>
  <c r="FZ402" i="1" s="1"/>
  <c r="FV401" i="1"/>
  <c r="FU401" i="1"/>
  <c r="FV399" i="1"/>
  <c r="FU399" i="1"/>
  <c r="FW399" i="1" s="1"/>
  <c r="FZ399" i="1" s="1"/>
  <c r="FV395" i="1"/>
  <c r="FU395" i="1"/>
  <c r="FW395" i="1" s="1"/>
  <c r="FY395" i="1" s="1"/>
  <c r="FV392" i="1"/>
  <c r="FU392" i="1"/>
  <c r="FW392" i="1" s="1"/>
  <c r="FY392" i="1" s="1"/>
  <c r="FV390" i="1"/>
  <c r="FU390" i="1"/>
  <c r="FW390" i="1" s="1"/>
  <c r="FZ390" i="1" s="1"/>
  <c r="FV387" i="1"/>
  <c r="FU387" i="1"/>
  <c r="FW387" i="1" s="1"/>
  <c r="FZ387" i="1" s="1"/>
  <c r="FV384" i="1"/>
  <c r="FY384" i="1"/>
  <c r="FU384" i="1"/>
  <c r="FW384" i="1" s="1"/>
  <c r="FZ384" i="1"/>
  <c r="FV383" i="1"/>
  <c r="FZ383" i="1"/>
  <c r="FU383" i="1"/>
  <c r="FW383" i="1" s="1"/>
  <c r="FY383" i="1"/>
  <c r="FZ381" i="1"/>
  <c r="FU381" i="1"/>
  <c r="FW381" i="1" s="1"/>
  <c r="FY381" i="1"/>
  <c r="FV381" i="1"/>
  <c r="FY380" i="1"/>
  <c r="FZ380" i="1"/>
  <c r="FU380" i="1"/>
  <c r="FW380" i="1" s="1"/>
  <c r="FV380" i="1"/>
  <c r="FV378" i="1"/>
  <c r="FY378" i="1"/>
  <c r="FZ378" i="1"/>
  <c r="FU378" i="1"/>
  <c r="FW378" i="1" s="1"/>
  <c r="FV376" i="1"/>
  <c r="FZ376" i="1"/>
  <c r="FU376" i="1"/>
  <c r="FW376" i="1" s="1"/>
  <c r="FY376" i="1"/>
  <c r="FV375" i="1"/>
  <c r="FY375" i="1"/>
  <c r="FZ375" i="1"/>
  <c r="FU375" i="1"/>
  <c r="FW375" i="1" s="1"/>
  <c r="FV373" i="1"/>
  <c r="FZ373" i="1"/>
  <c r="FU373" i="1"/>
  <c r="FW373" i="1" s="1"/>
  <c r="FY373" i="1"/>
  <c r="FZ59" i="1"/>
  <c r="FU59" i="1"/>
  <c r="FY59" i="1"/>
  <c r="FV59" i="1"/>
  <c r="FY371" i="1"/>
  <c r="FZ371" i="1"/>
  <c r="FU371" i="1"/>
  <c r="FW371" i="1" s="1"/>
  <c r="FV371" i="1"/>
  <c r="FV369" i="1"/>
  <c r="FY369" i="1"/>
  <c r="FU369" i="1"/>
  <c r="FW369" i="1" s="1"/>
  <c r="FZ369" i="1"/>
  <c r="FV51" i="1"/>
  <c r="FZ51" i="1"/>
  <c r="FU51" i="1"/>
  <c r="FW51" i="1" s="1"/>
  <c r="FY51" i="1"/>
  <c r="FV224" i="1"/>
  <c r="FU224" i="1"/>
  <c r="FW224" i="1" s="1"/>
  <c r="FZ224" i="1" s="1"/>
  <c r="FV220" i="1"/>
  <c r="FU220" i="1"/>
  <c r="FW220" i="1" s="1"/>
  <c r="FZ220" i="1" s="1"/>
  <c r="FV217" i="1"/>
  <c r="FU217" i="1"/>
  <c r="FW217" i="1" s="1"/>
  <c r="FY217" i="1" s="1"/>
  <c r="FV212" i="1"/>
  <c r="FU212" i="1"/>
  <c r="FW212" i="1" s="1"/>
  <c r="FY212" i="1" s="1"/>
  <c r="FV365" i="1"/>
  <c r="FU365" i="1"/>
  <c r="FW365" i="1" s="1"/>
  <c r="FY365" i="1" s="1"/>
  <c r="FV362" i="1"/>
  <c r="FU362" i="1"/>
  <c r="FW362" i="1" s="1"/>
  <c r="FY362" i="1" s="1"/>
  <c r="FV360" i="1"/>
  <c r="FU360" i="1"/>
  <c r="FW360" i="1" s="1"/>
  <c r="FZ360" i="1" s="1"/>
  <c r="FV357" i="1"/>
  <c r="FU357" i="1"/>
  <c r="FW357" i="1" s="1"/>
  <c r="FZ357" i="1" s="1"/>
  <c r="FV354" i="1"/>
  <c r="FU354" i="1"/>
  <c r="FW354" i="1" s="1"/>
  <c r="FZ354" i="1" s="1"/>
  <c r="FV353" i="1"/>
  <c r="FU353" i="1"/>
  <c r="FW353" i="1" s="1"/>
  <c r="FZ353" i="1" s="1"/>
  <c r="FV351" i="1"/>
  <c r="FU351" i="1"/>
  <c r="FW351" i="1" s="1"/>
  <c r="FZ351" i="1" s="1"/>
  <c r="FV349" i="1"/>
  <c r="FU349" i="1"/>
  <c r="FW349" i="1" s="1"/>
  <c r="FZ349" i="1" s="1"/>
  <c r="FV346" i="1"/>
  <c r="FU346" i="1"/>
  <c r="FW346" i="1" s="1"/>
  <c r="FZ346" i="1" s="1"/>
  <c r="FU345" i="1"/>
  <c r="FW345" i="1" s="1"/>
  <c r="FY345" i="1" s="1"/>
  <c r="FV345" i="1"/>
  <c r="FU342" i="1"/>
  <c r="FW342" i="1" s="1"/>
  <c r="FV342" i="1"/>
  <c r="FV339" i="1"/>
  <c r="FU339" i="1"/>
  <c r="FW339" i="1" s="1"/>
  <c r="FU336" i="1"/>
  <c r="FW336" i="1" s="1"/>
  <c r="FY336" i="1" s="1"/>
  <c r="FV336" i="1"/>
  <c r="FU335" i="1"/>
  <c r="FW335" i="1" s="1"/>
  <c r="FY335" i="1" s="1"/>
  <c r="FV335" i="1"/>
  <c r="FV332" i="1"/>
  <c r="FU332" i="1"/>
  <c r="FW332" i="1" s="1"/>
  <c r="FV329" i="1"/>
  <c r="FU329" i="1"/>
  <c r="FW329" i="1" s="1"/>
  <c r="FY329" i="1" s="1"/>
  <c r="FU326" i="1"/>
  <c r="FV326" i="1"/>
  <c r="FU324" i="1"/>
  <c r="FW324" i="1" s="1"/>
  <c r="FY324" i="1" s="1"/>
  <c r="FV324" i="1"/>
  <c r="FV322" i="1"/>
  <c r="FU322" i="1"/>
  <c r="FW322" i="1" s="1"/>
  <c r="FY322" i="1" s="1"/>
  <c r="FV320" i="1"/>
  <c r="FU320" i="1"/>
  <c r="FV318" i="1"/>
  <c r="FU318" i="1"/>
  <c r="FW318" i="1" s="1"/>
  <c r="FY318" i="1" s="1"/>
  <c r="FU316" i="1"/>
  <c r="FV316" i="1"/>
  <c r="FU314" i="1"/>
  <c r="FW314" i="1" s="1"/>
  <c r="FY314" i="1" s="1"/>
  <c r="FV314" i="1"/>
  <c r="FU312" i="1"/>
  <c r="FW312" i="1" s="1"/>
  <c r="FY312" i="1" s="1"/>
  <c r="FV312" i="1"/>
  <c r="FV310" i="1"/>
  <c r="FV308" i="1"/>
  <c r="FU308" i="1"/>
  <c r="FV306" i="1"/>
  <c r="FU306" i="1"/>
  <c r="FU304" i="1"/>
  <c r="FV304" i="1"/>
  <c r="FV302" i="1"/>
  <c r="FU302" i="1"/>
  <c r="FU300" i="1"/>
  <c r="FV300" i="1"/>
  <c r="FU298" i="1"/>
  <c r="FV298" i="1"/>
  <c r="FV296" i="1"/>
  <c r="FU296" i="1"/>
  <c r="FU294" i="1"/>
  <c r="FV294" i="1"/>
  <c r="FU290" i="1"/>
  <c r="FV290" i="1"/>
  <c r="FV288" i="1"/>
  <c r="FU288" i="1"/>
  <c r="FU286" i="1"/>
  <c r="FV286" i="1"/>
  <c r="FV284" i="1"/>
  <c r="FU284" i="1"/>
  <c r="FU282" i="1"/>
  <c r="FV282" i="1"/>
  <c r="FV279" i="1"/>
  <c r="FU279" i="1"/>
  <c r="FX279" i="1" s="1"/>
  <c r="FU277" i="1"/>
  <c r="FX277" i="1" s="1"/>
  <c r="FV277" i="1"/>
  <c r="FU274" i="1"/>
  <c r="FV274" i="1"/>
  <c r="FV273" i="1"/>
  <c r="FU273" i="1"/>
  <c r="FX273" i="1" s="1"/>
  <c r="FU271" i="1"/>
  <c r="FX271" i="1" s="1"/>
  <c r="FV271" i="1"/>
  <c r="FV269" i="1"/>
  <c r="FU269" i="1"/>
  <c r="FX269" i="1" s="1"/>
  <c r="FU267" i="1"/>
  <c r="FW267" i="1" s="1"/>
  <c r="FV267" i="1"/>
  <c r="FU265" i="1"/>
  <c r="FX265" i="1" s="1"/>
  <c r="FZ265" i="1"/>
  <c r="FV265" i="1"/>
  <c r="FY265" i="1"/>
  <c r="FY263" i="1"/>
  <c r="FV263" i="1"/>
  <c r="FZ263" i="1"/>
  <c r="FU263" i="1"/>
  <c r="FX263" i="1" s="1"/>
  <c r="FU261" i="1"/>
  <c r="FZ261" i="1"/>
  <c r="FV261" i="1"/>
  <c r="FY261" i="1"/>
  <c r="FY260" i="1"/>
  <c r="FV260" i="1"/>
  <c r="FZ260" i="1"/>
  <c r="FU260" i="1"/>
  <c r="FX260" i="1" s="1"/>
  <c r="FU258" i="1"/>
  <c r="FX258" i="1" s="1"/>
  <c r="FZ258" i="1"/>
  <c r="FV258" i="1"/>
  <c r="FY258" i="1"/>
  <c r="FY27" i="1"/>
  <c r="FV27" i="1"/>
  <c r="FZ27" i="1"/>
  <c r="FU27" i="1"/>
  <c r="FX27" i="1" s="1"/>
  <c r="FU255" i="1"/>
  <c r="FZ255" i="1"/>
  <c r="FV255" i="1"/>
  <c r="FY253" i="1"/>
  <c r="FV253" i="1"/>
  <c r="FZ253" i="1"/>
  <c r="FU253" i="1"/>
  <c r="FW253" i="1" s="1"/>
  <c r="FU251" i="1"/>
  <c r="FX251" i="1" s="1"/>
  <c r="FZ251" i="1"/>
  <c r="FV251" i="1"/>
  <c r="FY251" i="1"/>
  <c r="FY250" i="1"/>
  <c r="FV250" i="1"/>
  <c r="FZ250" i="1"/>
  <c r="FU250" i="1"/>
  <c r="FW250" i="1" s="1"/>
  <c r="FU24" i="1"/>
  <c r="FW24" i="1" s="1"/>
  <c r="FZ24" i="1"/>
  <c r="FV24" i="1"/>
  <c r="FY24" i="1"/>
  <c r="FY22" i="1"/>
  <c r="FV22" i="1"/>
  <c r="FZ22" i="1"/>
  <c r="FU22" i="1"/>
  <c r="FX22" i="1" s="1"/>
  <c r="FU20" i="1"/>
  <c r="FX20" i="1" s="1"/>
  <c r="FZ20" i="1"/>
  <c r="FV20" i="1"/>
  <c r="FY20" i="1"/>
  <c r="FY18" i="1"/>
  <c r="FV18" i="1"/>
  <c r="FZ18" i="1"/>
  <c r="FU18" i="1"/>
  <c r="FW18" i="1" s="1"/>
  <c r="FU248" i="1"/>
  <c r="FX248" i="1" s="1"/>
  <c r="FV248" i="1"/>
  <c r="FV175" i="1"/>
  <c r="FU175" i="1"/>
  <c r="FW175" i="1" s="1"/>
  <c r="FU171" i="1"/>
  <c r="FW171" i="1" s="1"/>
  <c r="FV171" i="1"/>
  <c r="FV169" i="1"/>
  <c r="FU169" i="1"/>
  <c r="FW169" i="1" s="1"/>
  <c r="FU166" i="1"/>
  <c r="FW166" i="1" s="1"/>
  <c r="FV166" i="1"/>
  <c r="FU163" i="1"/>
  <c r="FW163" i="1" s="1"/>
  <c r="FY163" i="1" s="1"/>
  <c r="FV163" i="1"/>
  <c r="FU158" i="1"/>
  <c r="FX158" i="1" s="1"/>
  <c r="FV158" i="1"/>
  <c r="FU155" i="1"/>
  <c r="FX155" i="1" s="1"/>
  <c r="FV155" i="1"/>
  <c r="FU153" i="1"/>
  <c r="FW153" i="1" s="1"/>
  <c r="FY153" i="1" s="1"/>
  <c r="FV153" i="1"/>
  <c r="FU150" i="1"/>
  <c r="FV150" i="1"/>
  <c r="FU234" i="1"/>
  <c r="FX234" i="1" s="1"/>
  <c r="FV234" i="1"/>
  <c r="FU232" i="1"/>
  <c r="FX232" i="1" s="1"/>
  <c r="FV232" i="1"/>
  <c r="FU230" i="1"/>
  <c r="FW230" i="1" s="1"/>
  <c r="FY230" i="1" s="1"/>
  <c r="FV230" i="1"/>
  <c r="FU227" i="1"/>
  <c r="FX227" i="1" s="1"/>
  <c r="FV227" i="1"/>
  <c r="FU218" i="1"/>
  <c r="FW218" i="1" s="1"/>
  <c r="FY218" i="1" s="1"/>
  <c r="FV218" i="1"/>
  <c r="FV215" i="1"/>
  <c r="FU215" i="1"/>
  <c r="FW215" i="1" s="1"/>
  <c r="FZ215" i="1" s="1"/>
  <c r="FU209" i="1"/>
  <c r="FV209" i="1"/>
  <c r="FV207" i="1"/>
  <c r="FU207" i="1"/>
  <c r="FU205" i="1"/>
  <c r="FW205" i="1" s="1"/>
  <c r="FV205" i="1"/>
  <c r="FV203" i="1"/>
  <c r="FU203" i="1"/>
  <c r="FW203" i="1" s="1"/>
  <c r="FU201" i="1"/>
  <c r="FW201" i="1" s="1"/>
  <c r="FZ201" i="1" s="1"/>
  <c r="FV201" i="1"/>
  <c r="FV199" i="1"/>
  <c r="FU199" i="1"/>
  <c r="FU197" i="1"/>
  <c r="FW197" i="1" s="1"/>
  <c r="FY197" i="1" s="1"/>
  <c r="FV197" i="1"/>
  <c r="FV195" i="1"/>
  <c r="FU195" i="1"/>
  <c r="FW195" i="1" s="1"/>
  <c r="FZ195" i="1" s="1"/>
  <c r="FU193" i="1"/>
  <c r="FV193" i="1"/>
  <c r="FV191" i="1"/>
  <c r="FU191" i="1"/>
  <c r="FW191" i="1" s="1"/>
  <c r="FU189" i="1"/>
  <c r="FW189" i="1" s="1"/>
  <c r="FY189" i="1" s="1"/>
  <c r="FV189" i="1"/>
  <c r="FV187" i="1"/>
  <c r="FY187" i="1"/>
  <c r="FU187" i="1"/>
  <c r="FW187" i="1" s="1"/>
  <c r="FZ187" i="1"/>
  <c r="FZ185" i="1"/>
  <c r="FU185" i="1"/>
  <c r="FW185" i="1" s="1"/>
  <c r="FY185" i="1"/>
  <c r="FV185" i="1"/>
  <c r="FV110" i="1"/>
  <c r="FY110" i="1"/>
  <c r="FZ110" i="1"/>
  <c r="FU110" i="1"/>
  <c r="FW110" i="1" s="1"/>
  <c r="FZ16" i="1"/>
  <c r="FU16" i="1"/>
  <c r="FW16" i="1" s="1"/>
  <c r="FY16" i="1"/>
  <c r="FV16" i="1"/>
  <c r="FV104" i="1"/>
  <c r="FY104" i="1"/>
  <c r="FU104" i="1"/>
  <c r="FW104" i="1" s="1"/>
  <c r="FZ104" i="1"/>
  <c r="FZ180" i="1"/>
  <c r="FU180" i="1"/>
  <c r="FY180" i="1"/>
  <c r="FV180" i="1"/>
  <c r="FV99" i="1"/>
  <c r="FY99" i="1"/>
  <c r="FZ99" i="1"/>
  <c r="FU99" i="1"/>
  <c r="FW99" i="1" s="1"/>
  <c r="FV140" i="1"/>
  <c r="FU140" i="1"/>
  <c r="FW140" i="1" s="1"/>
  <c r="FY140" i="1" s="1"/>
  <c r="FV132" i="1"/>
  <c r="FU132" i="1"/>
  <c r="FW132" i="1" s="1"/>
  <c r="FZ132" i="1" s="1"/>
  <c r="FV125" i="1"/>
  <c r="FU125" i="1"/>
  <c r="FW125" i="1" s="1"/>
  <c r="FV119" i="1"/>
  <c r="FU119" i="1"/>
  <c r="FW119" i="1" s="1"/>
  <c r="FZ119" i="1" s="1"/>
  <c r="FV178" i="1"/>
  <c r="FU178" i="1"/>
  <c r="FX178" i="1" s="1"/>
  <c r="FV176" i="1"/>
  <c r="FU176" i="1"/>
  <c r="FW176" i="1" s="1"/>
  <c r="FY176" i="1" s="1"/>
  <c r="FV173" i="1"/>
  <c r="FU173" i="1"/>
  <c r="FW173" i="1" s="1"/>
  <c r="FV164" i="1"/>
  <c r="FU164" i="1"/>
  <c r="FX164" i="1" s="1"/>
  <c r="FV161" i="1"/>
  <c r="FU161" i="1"/>
  <c r="FW161" i="1" s="1"/>
  <c r="FY161" i="1" s="1"/>
  <c r="FV156" i="1"/>
  <c r="FU156" i="1"/>
  <c r="FW156" i="1" s="1"/>
  <c r="FV152" i="1"/>
  <c r="FU152" i="1"/>
  <c r="FW152" i="1" s="1"/>
  <c r="FZ152" i="1" s="1"/>
  <c r="FV149" i="1"/>
  <c r="FU149" i="1"/>
  <c r="FV146" i="1"/>
  <c r="FU146" i="1"/>
  <c r="FX146" i="1" s="1"/>
  <c r="FV138" i="1"/>
  <c r="FU138" i="1"/>
  <c r="FX138" i="1" s="1"/>
  <c r="FV134" i="1"/>
  <c r="FU134" i="1"/>
  <c r="FV131" i="1"/>
  <c r="FU131" i="1"/>
  <c r="FX131" i="1" s="1"/>
  <c r="FV122" i="1"/>
  <c r="FU122" i="1"/>
  <c r="FX122" i="1" s="1"/>
  <c r="FV120" i="1"/>
  <c r="FU120" i="1"/>
  <c r="FX120" i="1" s="1"/>
  <c r="FV118" i="1"/>
  <c r="FU118" i="1"/>
  <c r="FW118" i="1" s="1"/>
  <c r="FV115" i="1"/>
  <c r="FU115" i="1"/>
  <c r="FZ111" i="1"/>
  <c r="FV111" i="1"/>
  <c r="FY111" i="1"/>
  <c r="FU111" i="1"/>
  <c r="FZ108" i="1"/>
  <c r="FV108" i="1"/>
  <c r="FY108" i="1"/>
  <c r="FU108" i="1"/>
  <c r="FY105" i="1"/>
  <c r="FU105" i="1"/>
  <c r="FX105" i="1" s="1"/>
  <c r="FZ102" i="1"/>
  <c r="FV102" i="1"/>
  <c r="FY98" i="1"/>
  <c r="FU98" i="1"/>
  <c r="FX98" i="1" s="1"/>
  <c r="FZ96" i="1"/>
  <c r="FV96" i="1"/>
  <c r="FZ94" i="1"/>
  <c r="FV94" i="1"/>
  <c r="FY94" i="1"/>
  <c r="FU94" i="1"/>
  <c r="FZ92" i="1"/>
  <c r="FV92" i="1"/>
  <c r="FY92" i="1"/>
  <c r="FU92" i="1"/>
  <c r="FY91" i="1"/>
  <c r="FU91" i="1"/>
  <c r="FX91" i="1" s="1"/>
  <c r="FZ89" i="1"/>
  <c r="FV89" i="1"/>
  <c r="FW10" i="1"/>
  <c r="FU29" i="1"/>
  <c r="FW29" i="1" s="1"/>
  <c r="FU36" i="1"/>
  <c r="FX36" i="1" s="1"/>
  <c r="FU30" i="1"/>
  <c r="FX30" i="1" s="1"/>
  <c r="FU43" i="1"/>
  <c r="FW43" i="1" s="1"/>
  <c r="FU37" i="1"/>
  <c r="FX37" i="1" s="1"/>
  <c r="FV39" i="1"/>
  <c r="FU42" i="1"/>
  <c r="FW42" i="1" s="1"/>
  <c r="FU58" i="1"/>
  <c r="FX58" i="1" s="1"/>
  <c r="FV60" i="1"/>
  <c r="FU61" i="1"/>
  <c r="FX61" i="1" s="1"/>
  <c r="FV66" i="1"/>
  <c r="FU71" i="1"/>
  <c r="FW71" i="1" s="1"/>
  <c r="FU75" i="1"/>
  <c r="FX75" i="1" s="1"/>
  <c r="FU77" i="1"/>
  <c r="FX77" i="1" s="1"/>
  <c r="FU79" i="1"/>
  <c r="FX79" i="1" s="1"/>
  <c r="FU81" i="1"/>
  <c r="FX81" i="1" s="1"/>
  <c r="FU83" i="1"/>
  <c r="FX83" i="1" s="1"/>
  <c r="FU89" i="1"/>
  <c r="FX89" i="1" s="1"/>
  <c r="FZ91" i="1"/>
  <c r="FZ93" i="1"/>
  <c r="FY96" i="1"/>
  <c r="FV113" i="1"/>
  <c r="FV160" i="1"/>
  <c r="FV165" i="1"/>
  <c r="FV170" i="1"/>
  <c r="FV136" i="1"/>
  <c r="FV182" i="1"/>
  <c r="FV352" i="1"/>
  <c r="DU490" i="1"/>
  <c r="DU414" i="1"/>
  <c r="DU450" i="1"/>
  <c r="DU434" i="1"/>
  <c r="DU430" i="1"/>
  <c r="DU237" i="1"/>
  <c r="DU426" i="1"/>
  <c r="DU413" i="1"/>
  <c r="DU383" i="1"/>
  <c r="DU51" i="1"/>
  <c r="DU365" i="1"/>
  <c r="DU360" i="1"/>
  <c r="DU374" i="1"/>
  <c r="DU498" i="1"/>
  <c r="DU481" i="1"/>
  <c r="DU408" i="1"/>
  <c r="DU380" i="1"/>
  <c r="DU181" i="1"/>
  <c r="DU343" i="1"/>
  <c r="DU241" i="1"/>
  <c r="DU402" i="1"/>
  <c r="DU224" i="1"/>
  <c r="DU462" i="1"/>
  <c r="DU351" i="1"/>
  <c r="FU49" i="1"/>
  <c r="FW49" i="1" s="1"/>
  <c r="FY49" i="1" s="1"/>
  <c r="DU359" i="1"/>
  <c r="DU420" i="1"/>
  <c r="DU344" i="1"/>
  <c r="DU229" i="1"/>
  <c r="DU412" i="1"/>
  <c r="DU382" i="1"/>
  <c r="DU213" i="1"/>
  <c r="DU333" i="1"/>
  <c r="DU499" i="1"/>
  <c r="DU495" i="1"/>
  <c r="DU487" i="1"/>
  <c r="DU483" i="1"/>
  <c r="DU479" i="1"/>
  <c r="DU458" i="1"/>
  <c r="DU407" i="1"/>
  <c r="DU452" i="1"/>
  <c r="DU441" i="1"/>
  <c r="DU239" i="1"/>
  <c r="DU423" i="1"/>
  <c r="DU410" i="1"/>
  <c r="DU401" i="1"/>
  <c r="DU395" i="1"/>
  <c r="DU390" i="1"/>
  <c r="DU378" i="1"/>
  <c r="DU369" i="1"/>
  <c r="DU217" i="1"/>
  <c r="DU362" i="1"/>
  <c r="DU357" i="1"/>
  <c r="DU332" i="1"/>
  <c r="DU418" i="1"/>
  <c r="DU366" i="1"/>
  <c r="DU347" i="1"/>
  <c r="DU334" i="1"/>
  <c r="DU491" i="1"/>
  <c r="DU183" i="1"/>
  <c r="DU243" i="1"/>
  <c r="DU235" i="1"/>
  <c r="DU231" i="1"/>
  <c r="DU405" i="1"/>
  <c r="DU345" i="1"/>
  <c r="DU429" i="1"/>
  <c r="DU386" i="1"/>
  <c r="DU370" i="1"/>
  <c r="DU497" i="1"/>
  <c r="DU489" i="1"/>
  <c r="DU486" i="1"/>
  <c r="DU480" i="1"/>
  <c r="DU477" i="1"/>
  <c r="DU464" i="1"/>
  <c r="DU460" i="1"/>
  <c r="DU455" i="1"/>
  <c r="DU411" i="1"/>
  <c r="DU394" i="1"/>
  <c r="DU358" i="1"/>
  <c r="DU328" i="1"/>
  <c r="DU449" i="1"/>
  <c r="DU442" i="1"/>
  <c r="DU438" i="1"/>
  <c r="DU437" i="1"/>
  <c r="DU433" i="1"/>
  <c r="DU427" i="1"/>
  <c r="DU245" i="1"/>
  <c r="DU233" i="1"/>
  <c r="DU425" i="1"/>
  <c r="DU416" i="1"/>
  <c r="DU406" i="1"/>
  <c r="DU400" i="1"/>
  <c r="DU391" i="1"/>
  <c r="DU385" i="1"/>
  <c r="DU379" i="1"/>
  <c r="DU53" i="1"/>
  <c r="DU372" i="1"/>
  <c r="DU368" i="1"/>
  <c r="DU216" i="1"/>
  <c r="DU363" i="1"/>
  <c r="DU355" i="1"/>
  <c r="DU350" i="1"/>
  <c r="DU341" i="1"/>
  <c r="DU337" i="1"/>
  <c r="DU327" i="1"/>
  <c r="DU63" i="1"/>
  <c r="FW14" i="1" l="1"/>
  <c r="EW16" i="1"/>
  <c r="FY78" i="1"/>
  <c r="FX35" i="1"/>
  <c r="FY76" i="1"/>
  <c r="FX72" i="1"/>
  <c r="FX76" i="1"/>
  <c r="FX31" i="1"/>
  <c r="FX46" i="1"/>
  <c r="FW45" i="1"/>
  <c r="FX96" i="1"/>
  <c r="FX5" i="1"/>
  <c r="FY210" i="1"/>
  <c r="FY121" i="1"/>
  <c r="FX210" i="1"/>
  <c r="FX52" i="1"/>
  <c r="FX121" i="1"/>
  <c r="FZ494" i="1"/>
  <c r="FX67" i="1"/>
  <c r="FY84" i="1"/>
  <c r="FY493" i="1"/>
  <c r="FY80" i="1"/>
  <c r="FX84" i="1"/>
  <c r="FY82" i="1"/>
  <c r="FX50" i="1"/>
  <c r="FX82" i="1"/>
  <c r="FX80" i="1"/>
  <c r="FX78" i="1"/>
  <c r="FX470" i="1"/>
  <c r="FZ480" i="1"/>
  <c r="FY489" i="1"/>
  <c r="FY497" i="1"/>
  <c r="FZ486" i="1"/>
  <c r="FZ217" i="1"/>
  <c r="FZ124" i="1"/>
  <c r="FW22" i="1"/>
  <c r="FZ137" i="1"/>
  <c r="FY200" i="1"/>
  <c r="FW32" i="1"/>
  <c r="FX32" i="1"/>
  <c r="FY247" i="1"/>
  <c r="FZ247" i="1"/>
  <c r="FZ222" i="1"/>
  <c r="FY208" i="1"/>
  <c r="FZ418" i="1"/>
  <c r="FY418" i="1"/>
  <c r="FZ395" i="1"/>
  <c r="FZ362" i="1"/>
  <c r="FZ495" i="1"/>
  <c r="FZ226" i="1"/>
  <c r="FZ167" i="1"/>
  <c r="FY243" i="1"/>
  <c r="FY410" i="1"/>
  <c r="FY353" i="1"/>
  <c r="FW273" i="1"/>
  <c r="FY273" i="1" s="1"/>
  <c r="FZ151" i="1"/>
  <c r="FZ240" i="1"/>
  <c r="FY170" i="1"/>
  <c r="FZ128" i="1"/>
  <c r="FZ236" i="1"/>
  <c r="FZ245" i="1"/>
  <c r="FW248" i="1"/>
  <c r="FZ248" i="1" s="1"/>
  <c r="FY143" i="1"/>
  <c r="FZ244" i="1"/>
  <c r="FY160" i="1"/>
  <c r="FY142" i="1"/>
  <c r="FZ194" i="1"/>
  <c r="FZ218" i="1"/>
  <c r="FW279" i="1"/>
  <c r="FZ279" i="1" s="1"/>
  <c r="FZ229" i="1"/>
  <c r="FZ329" i="1"/>
  <c r="FY195" i="1"/>
  <c r="FX25" i="1"/>
  <c r="FY231" i="1"/>
  <c r="FX24" i="1"/>
  <c r="FZ140" i="1"/>
  <c r="FY157" i="1"/>
  <c r="FX191" i="1"/>
  <c r="FX405" i="1"/>
  <c r="FX487" i="1"/>
  <c r="FW476" i="1"/>
  <c r="FY423" i="1"/>
  <c r="FY405" i="1"/>
  <c r="FY390" i="1"/>
  <c r="FY220" i="1"/>
  <c r="FY357" i="1"/>
  <c r="FY349" i="1"/>
  <c r="FZ228" i="1"/>
  <c r="FX267" i="1"/>
  <c r="FW27" i="1"/>
  <c r="FZ126" i="1"/>
  <c r="FZ345" i="1"/>
  <c r="FX231" i="1"/>
  <c r="FW271" i="1"/>
  <c r="FY271" i="1" s="1"/>
  <c r="FX250" i="1"/>
  <c r="FZ214" i="1"/>
  <c r="FX140" i="1"/>
  <c r="FX381" i="1"/>
  <c r="FW485" i="1"/>
  <c r="FX485" i="1"/>
  <c r="FW457" i="1"/>
  <c r="FX457" i="1"/>
  <c r="FX253" i="1"/>
  <c r="FX18" i="1"/>
  <c r="FW474" i="1"/>
  <c r="FX461" i="1"/>
  <c r="FW277" i="1"/>
  <c r="FZ277" i="1" s="1"/>
  <c r="FZ197" i="1"/>
  <c r="FY125" i="1"/>
  <c r="FZ125" i="1"/>
  <c r="FY191" i="1"/>
  <c r="FZ191" i="1"/>
  <c r="FY203" i="1"/>
  <c r="FZ203" i="1"/>
  <c r="FZ117" i="1"/>
  <c r="FY117" i="1"/>
  <c r="FY127" i="1"/>
  <c r="FZ127" i="1"/>
  <c r="FZ198" i="1"/>
  <c r="FY198" i="1"/>
  <c r="FX174" i="1"/>
  <c r="FW174" i="1"/>
  <c r="FY174" i="1" s="1"/>
  <c r="FY487" i="1"/>
  <c r="FZ487" i="1"/>
  <c r="FY481" i="1"/>
  <c r="FZ481" i="1"/>
  <c r="FY490" i="1"/>
  <c r="FZ490" i="1"/>
  <c r="FY498" i="1"/>
  <c r="FZ498" i="1"/>
  <c r="FX274" i="1"/>
  <c r="FW274" i="1"/>
  <c r="FZ274" i="1" s="1"/>
  <c r="FY342" i="1"/>
  <c r="FZ342" i="1"/>
  <c r="FY205" i="1"/>
  <c r="FZ205" i="1"/>
  <c r="FZ336" i="1"/>
  <c r="FY154" i="1"/>
  <c r="FZ154" i="1"/>
  <c r="FZ165" i="1"/>
  <c r="FY165" i="1"/>
  <c r="FX493" i="1"/>
  <c r="FX459" i="1"/>
  <c r="FY500" i="1"/>
  <c r="FW20" i="1"/>
  <c r="FW263" i="1"/>
  <c r="FX12" i="1"/>
  <c r="FW12" i="1"/>
  <c r="FZ147" i="1"/>
  <c r="FY147" i="1"/>
  <c r="FZ219" i="1"/>
  <c r="FY219" i="1"/>
  <c r="FW483" i="1"/>
  <c r="FX483" i="1"/>
  <c r="FW491" i="1"/>
  <c r="FX491" i="1"/>
  <c r="FW499" i="1"/>
  <c r="FX499" i="1"/>
  <c r="FY484" i="1"/>
  <c r="FW251" i="1"/>
  <c r="FX40" i="1"/>
  <c r="FY190" i="1"/>
  <c r="FW207" i="1"/>
  <c r="FX207" i="1"/>
  <c r="FW401" i="1"/>
  <c r="FX401" i="1"/>
  <c r="FX6" i="1"/>
  <c r="FW6" i="1"/>
  <c r="FX185" i="1"/>
  <c r="FW227" i="1"/>
  <c r="FY227" i="1" s="1"/>
  <c r="FX357" i="1"/>
  <c r="FX495" i="1"/>
  <c r="FW260" i="1"/>
  <c r="FX261" i="1"/>
  <c r="FW261" i="1"/>
  <c r="FX154" i="1"/>
  <c r="FX481" i="1"/>
  <c r="FX490" i="1"/>
  <c r="FX498" i="1"/>
  <c r="FX336" i="1"/>
  <c r="FW466" i="1"/>
  <c r="FW473" i="1"/>
  <c r="FX473" i="1"/>
  <c r="FW471" i="1"/>
  <c r="FX471" i="1"/>
  <c r="FZ202" i="1"/>
  <c r="FW146" i="1"/>
  <c r="FY146" i="1" s="1"/>
  <c r="FX255" i="1"/>
  <c r="FW255" i="1"/>
  <c r="FW316" i="1"/>
  <c r="FX316" i="1"/>
  <c r="FY339" i="1"/>
  <c r="FZ339" i="1"/>
  <c r="FY492" i="1"/>
  <c r="FW92" i="1"/>
  <c r="FX92" i="1"/>
  <c r="FX94" i="1"/>
  <c r="FW94" i="1"/>
  <c r="FW108" i="1"/>
  <c r="FX108" i="1"/>
  <c r="FX111" i="1"/>
  <c r="FW111" i="1"/>
  <c r="FW115" i="1"/>
  <c r="FY115" i="1" s="1"/>
  <c r="FX115" i="1"/>
  <c r="FX134" i="1"/>
  <c r="FW134" i="1"/>
  <c r="FY134" i="1" s="1"/>
  <c r="FX149" i="1"/>
  <c r="FW149" i="1"/>
  <c r="FY149" i="1" s="1"/>
  <c r="FY156" i="1"/>
  <c r="FZ156" i="1"/>
  <c r="FW223" i="1"/>
  <c r="FX223" i="1"/>
  <c r="FX102" i="1"/>
  <c r="FW102" i="1"/>
  <c r="FY114" i="1"/>
  <c r="FZ114" i="1"/>
  <c r="FZ123" i="1"/>
  <c r="FY123" i="1"/>
  <c r="FZ139" i="1"/>
  <c r="FY139" i="1"/>
  <c r="FY148" i="1"/>
  <c r="FZ148" i="1"/>
  <c r="FZ136" i="1"/>
  <c r="FY136" i="1"/>
  <c r="FZ192" i="1"/>
  <c r="FY192" i="1"/>
  <c r="FZ211" i="1"/>
  <c r="FY211" i="1"/>
  <c r="FX177" i="1"/>
  <c r="FW177" i="1"/>
  <c r="FY177" i="1" s="1"/>
  <c r="FZ488" i="1"/>
  <c r="FY488" i="1"/>
  <c r="FZ496" i="1"/>
  <c r="FY496" i="1"/>
  <c r="FW193" i="1"/>
  <c r="FX193" i="1"/>
  <c r="FX209" i="1"/>
  <c r="FW209" i="1"/>
  <c r="FY209" i="1" s="1"/>
  <c r="FY332" i="1"/>
  <c r="FZ332" i="1"/>
  <c r="FY235" i="1"/>
  <c r="FY168" i="1"/>
  <c r="FY135" i="1"/>
  <c r="FY201" i="1"/>
  <c r="FZ176" i="1"/>
  <c r="FW180" i="1"/>
  <c r="FX180" i="1"/>
  <c r="FW199" i="1"/>
  <c r="FX199" i="1"/>
  <c r="FW326" i="1"/>
  <c r="FX326" i="1"/>
  <c r="FX137" i="1"/>
  <c r="FX201" i="1"/>
  <c r="FX163" i="1"/>
  <c r="FW239" i="1"/>
  <c r="FX239" i="1"/>
  <c r="FZ189" i="1"/>
  <c r="FX150" i="1"/>
  <c r="FW150" i="1"/>
  <c r="FY150" i="1" s="1"/>
  <c r="FW320" i="1"/>
  <c r="FX320" i="1"/>
  <c r="FZ324" i="1"/>
  <c r="FW178" i="1"/>
  <c r="FY178" i="1" s="1"/>
  <c r="FX390" i="1"/>
  <c r="FX410" i="1"/>
  <c r="FX418" i="1"/>
  <c r="FW159" i="1"/>
  <c r="FY159" i="1" s="1"/>
  <c r="FX159" i="1"/>
  <c r="FX349" i="1"/>
  <c r="FX220" i="1"/>
  <c r="FX395" i="1"/>
  <c r="FX423" i="1"/>
  <c r="FX243" i="1"/>
  <c r="FW479" i="1"/>
  <c r="FX479" i="1"/>
  <c r="FY129" i="1"/>
  <c r="FZ129" i="1"/>
  <c r="FY325" i="1"/>
  <c r="FZ325" i="1"/>
  <c r="FY334" i="1"/>
  <c r="FZ334" i="1"/>
  <c r="FY343" i="1"/>
  <c r="FZ343" i="1"/>
  <c r="FY118" i="1"/>
  <c r="FZ118" i="1"/>
  <c r="FY311" i="1"/>
  <c r="FZ311" i="1"/>
  <c r="FY319" i="1"/>
  <c r="FZ319" i="1"/>
  <c r="FY323" i="1"/>
  <c r="FZ323" i="1"/>
  <c r="FY333" i="1"/>
  <c r="FZ333" i="1"/>
  <c r="FY317" i="1"/>
  <c r="FZ317" i="1"/>
  <c r="FY330" i="1"/>
  <c r="FZ330" i="1"/>
  <c r="FY340" i="1"/>
  <c r="FZ340" i="1"/>
  <c r="FY347" i="1"/>
  <c r="FZ347" i="1"/>
  <c r="FZ166" i="1"/>
  <c r="FY166" i="1"/>
  <c r="FZ171" i="1"/>
  <c r="FY171" i="1"/>
  <c r="FY419" i="1"/>
  <c r="FZ419" i="1"/>
  <c r="FY424" i="1"/>
  <c r="FZ424" i="1"/>
  <c r="FY173" i="1"/>
  <c r="FZ173" i="1"/>
  <c r="FZ169" i="1"/>
  <c r="FY169" i="1"/>
  <c r="FZ175" i="1"/>
  <c r="FY175" i="1"/>
  <c r="FY352" i="1"/>
  <c r="FZ352" i="1"/>
  <c r="FY356" i="1"/>
  <c r="FZ356" i="1"/>
  <c r="FY361" i="1"/>
  <c r="FZ361" i="1"/>
  <c r="FY366" i="1"/>
  <c r="FZ366" i="1"/>
  <c r="FY221" i="1"/>
  <c r="FZ221" i="1"/>
  <c r="FY225" i="1"/>
  <c r="FZ225" i="1"/>
  <c r="FY389" i="1"/>
  <c r="FZ389" i="1"/>
  <c r="FY393" i="1"/>
  <c r="FZ393" i="1"/>
  <c r="FY398" i="1"/>
  <c r="FZ398" i="1"/>
  <c r="FY403" i="1"/>
  <c r="FZ403" i="1"/>
  <c r="FY409" i="1"/>
  <c r="FZ409" i="1"/>
  <c r="FY415" i="1"/>
  <c r="FZ415" i="1"/>
  <c r="FW164" i="1"/>
  <c r="FW89" i="1"/>
  <c r="FW98" i="1"/>
  <c r="FX161" i="1"/>
  <c r="FX99" i="1"/>
  <c r="FX110" i="1"/>
  <c r="FW232" i="1"/>
  <c r="FW155" i="1"/>
  <c r="FX166" i="1"/>
  <c r="FX171" i="1"/>
  <c r="FX318" i="1"/>
  <c r="FX373" i="1"/>
  <c r="FX376" i="1"/>
  <c r="FX383" i="1"/>
  <c r="FX387" i="1"/>
  <c r="FX399" i="1"/>
  <c r="FX408" i="1"/>
  <c r="FX417" i="1"/>
  <c r="FX426" i="1"/>
  <c r="FX228" i="1"/>
  <c r="FX237" i="1"/>
  <c r="FX428" i="1"/>
  <c r="FX434" i="1"/>
  <c r="FX439" i="1"/>
  <c r="FX445" i="1"/>
  <c r="FX456" i="1"/>
  <c r="FX469" i="1"/>
  <c r="FX29" i="1"/>
  <c r="FX42" i="1"/>
  <c r="FW131" i="1"/>
  <c r="FX10" i="1"/>
  <c r="FW48" i="1"/>
  <c r="FW37" i="1"/>
  <c r="FW44" i="1"/>
  <c r="FX60" i="1"/>
  <c r="FW61" i="1"/>
  <c r="FW75" i="1"/>
  <c r="FW79" i="1"/>
  <c r="FW83" i="1"/>
  <c r="FX93" i="1"/>
  <c r="FX100" i="1"/>
  <c r="FX113" i="1"/>
  <c r="FX114" i="1"/>
  <c r="FX123" i="1"/>
  <c r="FX139" i="1"/>
  <c r="FX148" i="1"/>
  <c r="FX157" i="1"/>
  <c r="FX168" i="1"/>
  <c r="FX117" i="1"/>
  <c r="FX124" i="1"/>
  <c r="FW133" i="1"/>
  <c r="FX145" i="1"/>
  <c r="FX182" i="1"/>
  <c r="FX186" i="1"/>
  <c r="FX192" i="1"/>
  <c r="FX200" i="1"/>
  <c r="FX208" i="1"/>
  <c r="FX214" i="1"/>
  <c r="FX240" i="1"/>
  <c r="FX167" i="1"/>
  <c r="FW19" i="1"/>
  <c r="FW23" i="1"/>
  <c r="FW3" i="1"/>
  <c r="FW254" i="1"/>
  <c r="FW257" i="1"/>
  <c r="FW34" i="1"/>
  <c r="FW264" i="1"/>
  <c r="FW268" i="1"/>
  <c r="FW272" i="1"/>
  <c r="FW275" i="1"/>
  <c r="FW278" i="1"/>
  <c r="FW313" i="1"/>
  <c r="FX317" i="1"/>
  <c r="FW321" i="1"/>
  <c r="FX325" i="1"/>
  <c r="FX330" i="1"/>
  <c r="FX334" i="1"/>
  <c r="FX340" i="1"/>
  <c r="FX343" i="1"/>
  <c r="FX347" i="1"/>
  <c r="FX352" i="1"/>
  <c r="FX356" i="1"/>
  <c r="FX361" i="1"/>
  <c r="FX366" i="1"/>
  <c r="FX221" i="1"/>
  <c r="FX225" i="1"/>
  <c r="FX55" i="1"/>
  <c r="FW57" i="1"/>
  <c r="FX374" i="1"/>
  <c r="FX377" i="1"/>
  <c r="FW88" i="1"/>
  <c r="FX90" i="1"/>
  <c r="FX389" i="1"/>
  <c r="FX393" i="1"/>
  <c r="FX398" i="1"/>
  <c r="FX403" i="1"/>
  <c r="FX409" i="1"/>
  <c r="FX415" i="1"/>
  <c r="FX419" i="1"/>
  <c r="FX424" i="1"/>
  <c r="FX431" i="1"/>
  <c r="FX444" i="1"/>
  <c r="FX468" i="1"/>
  <c r="FX488" i="1"/>
  <c r="FX496" i="1"/>
  <c r="FW467" i="1"/>
  <c r="FW463" i="1"/>
  <c r="FY241" i="1"/>
  <c r="FY421" i="1"/>
  <c r="FY402" i="1"/>
  <c r="FY387" i="1"/>
  <c r="FY224" i="1"/>
  <c r="FY360" i="1"/>
  <c r="FY351" i="1"/>
  <c r="FZ318" i="1"/>
  <c r="FW74" i="1"/>
  <c r="FX74" i="1"/>
  <c r="FW56" i="1"/>
  <c r="FX56" i="1"/>
  <c r="FW26" i="1"/>
  <c r="FX26" i="1"/>
  <c r="FX118" i="1"/>
  <c r="FX173" i="1"/>
  <c r="FX169" i="1"/>
  <c r="FX175" i="1"/>
  <c r="FX312" i="1"/>
  <c r="FX329" i="1"/>
  <c r="FX339" i="1"/>
  <c r="FX342" i="1"/>
  <c r="FX351" i="1"/>
  <c r="FX360" i="1"/>
  <c r="FX212" i="1"/>
  <c r="FX224" i="1"/>
  <c r="FX51" i="1"/>
  <c r="FX375" i="1"/>
  <c r="FX378" i="1"/>
  <c r="FX384" i="1"/>
  <c r="FX183" i="1"/>
  <c r="FX436" i="1"/>
  <c r="FX441" i="1"/>
  <c r="FX447" i="1"/>
  <c r="FX458" i="1"/>
  <c r="FZ233" i="1"/>
  <c r="FW66" i="1"/>
  <c r="FX8" i="1"/>
  <c r="FX47" i="1"/>
  <c r="FX71" i="1"/>
  <c r="FX152" i="1"/>
  <c r="FW13" i="1"/>
  <c r="FW30" i="1"/>
  <c r="FW62" i="1"/>
  <c r="FX65" i="1"/>
  <c r="FX95" i="1"/>
  <c r="FX103" i="1"/>
  <c r="FX126" i="1"/>
  <c r="FX135" i="1"/>
  <c r="FX147" i="1"/>
  <c r="FX160" i="1"/>
  <c r="FX170" i="1"/>
  <c r="FX127" i="1"/>
  <c r="FX141" i="1"/>
  <c r="FX107" i="1"/>
  <c r="FX194" i="1"/>
  <c r="FX202" i="1"/>
  <c r="FX242" i="1"/>
  <c r="FW179" i="1"/>
  <c r="FW17" i="1"/>
  <c r="FW21" i="1"/>
  <c r="FW249" i="1"/>
  <c r="FW252" i="1"/>
  <c r="FW9" i="1"/>
  <c r="FW256" i="1"/>
  <c r="FW259" i="1"/>
  <c r="FW262" i="1"/>
  <c r="FW266" i="1"/>
  <c r="FW270" i="1"/>
  <c r="FW276" i="1"/>
  <c r="FW280" i="1"/>
  <c r="FX311" i="1"/>
  <c r="FW315" i="1"/>
  <c r="FX319" i="1"/>
  <c r="FX323" i="1"/>
  <c r="FW327" i="1"/>
  <c r="FX333" i="1"/>
  <c r="FW337" i="1"/>
  <c r="FW341" i="1"/>
  <c r="FW344" i="1"/>
  <c r="FW350" i="1"/>
  <c r="FW355" i="1"/>
  <c r="FW359" i="1"/>
  <c r="FW363" i="1"/>
  <c r="FW213" i="1"/>
  <c r="FW216" i="1"/>
  <c r="FW368" i="1"/>
  <c r="FX370" i="1"/>
  <c r="FW372" i="1"/>
  <c r="FX53" i="1"/>
  <c r="FW63" i="1"/>
  <c r="FX379" i="1"/>
  <c r="FW382" i="1"/>
  <c r="FX385" i="1"/>
  <c r="FW386" i="1"/>
  <c r="FW391" i="1"/>
  <c r="FW396" i="1"/>
  <c r="FW400" i="1"/>
  <c r="FW406" i="1"/>
  <c r="FW412" i="1"/>
  <c r="FW416" i="1"/>
  <c r="FW420" i="1"/>
  <c r="FW425" i="1"/>
  <c r="FX229" i="1"/>
  <c r="FX245" i="1"/>
  <c r="FX427" i="1"/>
  <c r="FX433" i="1"/>
  <c r="FX438" i="1"/>
  <c r="FX455" i="1"/>
  <c r="FX464" i="1"/>
  <c r="FX480" i="1"/>
  <c r="FX489" i="1"/>
  <c r="FX497" i="1"/>
  <c r="FW478" i="1"/>
  <c r="FX28" i="1"/>
  <c r="FY417" i="1"/>
  <c r="FY413" i="1"/>
  <c r="FY399" i="1"/>
  <c r="FY354" i="1"/>
  <c r="FY346" i="1"/>
  <c r="FY237" i="1"/>
  <c r="FZ426" i="1"/>
  <c r="FZ408" i="1"/>
  <c r="FZ392" i="1"/>
  <c r="FZ212" i="1"/>
  <c r="FZ365" i="1"/>
  <c r="FW269" i="1"/>
  <c r="FY269" i="1" s="1"/>
  <c r="FW265" i="1"/>
  <c r="FW258" i="1"/>
  <c r="FZ312" i="1"/>
  <c r="FY206" i="1"/>
  <c r="FY141" i="1"/>
  <c r="FY215" i="1"/>
  <c r="FY116" i="1"/>
  <c r="FY162" i="1"/>
  <c r="FY246" i="1"/>
  <c r="FY242" i="1"/>
  <c r="FY238" i="1"/>
  <c r="FY204" i="1"/>
  <c r="FY196" i="1"/>
  <c r="FY188" i="1"/>
  <c r="FY145" i="1"/>
  <c r="FY172" i="1"/>
  <c r="FY144" i="1"/>
  <c r="FY130" i="1"/>
  <c r="FY132" i="1"/>
  <c r="FY119" i="1"/>
  <c r="FY152" i="1"/>
  <c r="FW120" i="1"/>
  <c r="FZ161" i="1"/>
  <c r="FZ230" i="1"/>
  <c r="FZ153" i="1"/>
  <c r="FZ335" i="1"/>
  <c r="FW59" i="1"/>
  <c r="FX59" i="1"/>
  <c r="FW7" i="1"/>
  <c r="FX7" i="1"/>
  <c r="FW91" i="1"/>
  <c r="FW105" i="1"/>
  <c r="FX156" i="1"/>
  <c r="FX176" i="1"/>
  <c r="FX116" i="1"/>
  <c r="FX104" i="1"/>
  <c r="FX187" i="1"/>
  <c r="FX195" i="1"/>
  <c r="FX203" i="1"/>
  <c r="FX215" i="1"/>
  <c r="FW234" i="1"/>
  <c r="FW158" i="1"/>
  <c r="FX314" i="1"/>
  <c r="FX322" i="1"/>
  <c r="FX332" i="1"/>
  <c r="FX345" i="1"/>
  <c r="FX353" i="1"/>
  <c r="FX362" i="1"/>
  <c r="FX217" i="1"/>
  <c r="FX369" i="1"/>
  <c r="FX380" i="1"/>
  <c r="FX392" i="1"/>
  <c r="FX402" i="1"/>
  <c r="FX413" i="1"/>
  <c r="FX421" i="1"/>
  <c r="FX241" i="1"/>
  <c r="FX430" i="1"/>
  <c r="FX443" i="1"/>
  <c r="FX462" i="1"/>
  <c r="FX43" i="1"/>
  <c r="FW122" i="1"/>
  <c r="FW138" i="1"/>
  <c r="FX119" i="1"/>
  <c r="FX132" i="1"/>
  <c r="FX475" i="1"/>
  <c r="FX69" i="1"/>
  <c r="FW39" i="1"/>
  <c r="FW33" i="1"/>
  <c r="FW58" i="1"/>
  <c r="FW77" i="1"/>
  <c r="FW81" i="1"/>
  <c r="FX68" i="1"/>
  <c r="FX106" i="1"/>
  <c r="FX128" i="1"/>
  <c r="FX142" i="1"/>
  <c r="FX172" i="1"/>
  <c r="FX129" i="1"/>
  <c r="FX136" i="1"/>
  <c r="FX73" i="1"/>
  <c r="FX112" i="1"/>
  <c r="FX188" i="1"/>
  <c r="FX196" i="1"/>
  <c r="FX204" i="1"/>
  <c r="FX219" i="1"/>
  <c r="FX226" i="1"/>
  <c r="FX236" i="1"/>
  <c r="FX244" i="1"/>
  <c r="FX151" i="1"/>
  <c r="FX247" i="1"/>
  <c r="FX181" i="1"/>
  <c r="FX435" i="1"/>
  <c r="FX440" i="1"/>
  <c r="FX446" i="1"/>
  <c r="FX453" i="1"/>
  <c r="FX472" i="1"/>
  <c r="FX484" i="1"/>
  <c r="FX492" i="1"/>
  <c r="FX500" i="1"/>
  <c r="FZ322" i="1"/>
  <c r="FX41" i="1"/>
  <c r="FX11" i="1"/>
  <c r="FZ163" i="1"/>
  <c r="FZ314" i="1"/>
  <c r="FX16" i="1"/>
  <c r="FX197" i="1"/>
  <c r="FX205" i="1"/>
  <c r="FX218" i="1"/>
  <c r="FX230" i="1"/>
  <c r="FX153" i="1"/>
  <c r="FX324" i="1"/>
  <c r="FX335" i="1"/>
  <c r="FX346" i="1"/>
  <c r="FX354" i="1"/>
  <c r="FX365" i="1"/>
  <c r="FX371" i="1"/>
  <c r="FX235" i="1"/>
  <c r="FX432" i="1"/>
  <c r="FX465" i="1"/>
  <c r="FX4" i="1"/>
  <c r="FX15" i="1"/>
  <c r="FX64" i="1"/>
  <c r="FX125" i="1"/>
  <c r="FX189" i="1"/>
  <c r="FW36" i="1"/>
  <c r="FW38" i="1"/>
  <c r="FW54" i="1"/>
  <c r="FX70" i="1"/>
  <c r="FX109" i="1"/>
  <c r="FX130" i="1"/>
  <c r="FX144" i="1"/>
  <c r="FX165" i="1"/>
  <c r="FX143" i="1"/>
  <c r="FX101" i="1"/>
  <c r="FX184" i="1"/>
  <c r="FX190" i="1"/>
  <c r="FX198" i="1"/>
  <c r="FX206" i="1"/>
  <c r="FX211" i="1"/>
  <c r="FX222" i="1"/>
  <c r="FX238" i="1"/>
  <c r="FX246" i="1"/>
  <c r="FX162" i="1"/>
  <c r="FX233" i="1"/>
  <c r="FX429" i="1"/>
  <c r="FX437" i="1"/>
  <c r="FX442" i="1"/>
  <c r="FX448" i="1"/>
  <c r="FX460" i="1"/>
  <c r="FX477" i="1"/>
  <c r="FX486" i="1"/>
  <c r="FX494" i="1"/>
  <c r="FW454" i="1"/>
  <c r="FX97" i="1"/>
  <c r="FZ267" i="1"/>
  <c r="FY267" i="1"/>
  <c r="FZ49" i="1"/>
  <c r="FX49" i="1"/>
  <c r="EW17" i="1" l="1"/>
  <c r="EV18" i="1" s="1"/>
  <c r="FY248" i="1"/>
  <c r="FZ273" i="1"/>
  <c r="FZ174" i="1"/>
  <c r="FY279" i="1"/>
  <c r="FY277" i="1"/>
  <c r="FY274" i="1"/>
  <c r="FZ269" i="1"/>
  <c r="FZ271" i="1"/>
  <c r="FZ177" i="1"/>
  <c r="FZ209" i="1"/>
  <c r="FZ149" i="1"/>
  <c r="FZ227" i="1"/>
  <c r="FZ134" i="1"/>
  <c r="FZ485" i="1"/>
  <c r="FY485" i="1"/>
  <c r="FZ146" i="1"/>
  <c r="FZ499" i="1"/>
  <c r="FY499" i="1"/>
  <c r="FZ483" i="1"/>
  <c r="FY483" i="1"/>
  <c r="FY207" i="1"/>
  <c r="FZ207" i="1"/>
  <c r="FZ150" i="1"/>
  <c r="FZ178" i="1"/>
  <c r="FZ159" i="1"/>
  <c r="FZ401" i="1"/>
  <c r="FY401" i="1"/>
  <c r="FZ491" i="1"/>
  <c r="FY491" i="1"/>
  <c r="FY199" i="1"/>
  <c r="FZ199" i="1"/>
  <c r="FZ193" i="1"/>
  <c r="FY193" i="1"/>
  <c r="FY320" i="1"/>
  <c r="FZ320" i="1"/>
  <c r="FZ239" i="1"/>
  <c r="FY239" i="1"/>
  <c r="FY326" i="1"/>
  <c r="FZ326" i="1"/>
  <c r="FY316" i="1"/>
  <c r="FZ316" i="1"/>
  <c r="FZ115" i="1"/>
  <c r="FY223" i="1"/>
  <c r="FZ223" i="1"/>
  <c r="FY81" i="1"/>
  <c r="FZ81" i="1"/>
  <c r="FY122" i="1"/>
  <c r="FZ122" i="1"/>
  <c r="FY234" i="1"/>
  <c r="FZ234" i="1"/>
  <c r="FY120" i="1"/>
  <c r="FZ120" i="1"/>
  <c r="FY416" i="1"/>
  <c r="FZ416" i="1"/>
  <c r="FY406" i="1"/>
  <c r="FZ406" i="1"/>
  <c r="FY386" i="1"/>
  <c r="FZ386" i="1"/>
  <c r="FY213" i="1"/>
  <c r="FZ213" i="1"/>
  <c r="FY359" i="1"/>
  <c r="FZ359" i="1"/>
  <c r="FY341" i="1"/>
  <c r="FZ341" i="1"/>
  <c r="FY327" i="1"/>
  <c r="FZ327" i="1"/>
  <c r="FZ280" i="1"/>
  <c r="FY280" i="1"/>
  <c r="FZ266" i="1"/>
  <c r="FY266" i="1"/>
  <c r="FZ278" i="1"/>
  <c r="FY278" i="1"/>
  <c r="FY133" i="1"/>
  <c r="FZ133" i="1"/>
  <c r="FY75" i="1"/>
  <c r="FZ75" i="1"/>
  <c r="FY131" i="1"/>
  <c r="FZ131" i="1"/>
  <c r="FY155" i="1"/>
  <c r="FZ155" i="1"/>
  <c r="FY77" i="1"/>
  <c r="FZ77" i="1"/>
  <c r="FY400" i="1"/>
  <c r="FZ400" i="1"/>
  <c r="FY355" i="1"/>
  <c r="FZ355" i="1"/>
  <c r="FZ276" i="1"/>
  <c r="FY276" i="1"/>
  <c r="FY321" i="1"/>
  <c r="FZ321" i="1"/>
  <c r="FZ275" i="1"/>
  <c r="FY275" i="1"/>
  <c r="FY158" i="1"/>
  <c r="FZ158" i="1"/>
  <c r="FY425" i="1"/>
  <c r="FZ425" i="1"/>
  <c r="FY396" i="1"/>
  <c r="FZ396" i="1"/>
  <c r="FY350" i="1"/>
  <c r="FZ350" i="1"/>
  <c r="FY337" i="1"/>
  <c r="FZ337" i="1"/>
  <c r="FZ179" i="1"/>
  <c r="FY179" i="1"/>
  <c r="FZ272" i="1"/>
  <c r="FY272" i="1"/>
  <c r="FY83" i="1"/>
  <c r="FZ83" i="1"/>
  <c r="FY164" i="1"/>
  <c r="FZ164" i="1"/>
  <c r="FY138" i="1"/>
  <c r="FZ138" i="1"/>
  <c r="FY420" i="1"/>
  <c r="FZ420" i="1"/>
  <c r="FY412" i="1"/>
  <c r="FZ412" i="1"/>
  <c r="FY391" i="1"/>
  <c r="FZ391" i="1"/>
  <c r="FY216" i="1"/>
  <c r="FZ216" i="1"/>
  <c r="FY363" i="1"/>
  <c r="FZ363" i="1"/>
  <c r="FY344" i="1"/>
  <c r="FZ344" i="1"/>
  <c r="FY315" i="1"/>
  <c r="FZ315" i="1"/>
  <c r="FZ270" i="1"/>
  <c r="FY270" i="1"/>
  <c r="FY313" i="1"/>
  <c r="FZ313" i="1"/>
  <c r="FZ268" i="1"/>
  <c r="FY268" i="1"/>
  <c r="FY79" i="1"/>
  <c r="FZ79" i="1"/>
  <c r="FY232" i="1"/>
  <c r="FZ232" i="1"/>
  <c r="EW18" i="1" l="1"/>
  <c r="EV19" i="1" s="1"/>
  <c r="ED2" i="1"/>
  <c r="EW19" i="1" l="1"/>
  <c r="EV20" i="1" s="1"/>
  <c r="DU2" i="1"/>
  <c r="DT2" i="1"/>
  <c r="EW20" i="1" l="1"/>
  <c r="DR461" i="1"/>
  <c r="DR474" i="1"/>
  <c r="DR466" i="1"/>
  <c r="DR473" i="1"/>
  <c r="DR454" i="1"/>
  <c r="DR470" i="1"/>
  <c r="DR499" i="1"/>
  <c r="DR498" i="1"/>
  <c r="DR403" i="1"/>
  <c r="DR401" i="1"/>
  <c r="DR398" i="1"/>
  <c r="DR457" i="1"/>
  <c r="DR452" i="1"/>
  <c r="DR440" i="1"/>
  <c r="DR181" i="1"/>
  <c r="DR419" i="1"/>
  <c r="DR90" i="1"/>
  <c r="DR377" i="1"/>
  <c r="DR467" i="1"/>
  <c r="DR465" i="1"/>
  <c r="DR444" i="1"/>
  <c r="DR431" i="1"/>
  <c r="DR393" i="1"/>
  <c r="DR389" i="1"/>
  <c r="DR88" i="1"/>
  <c r="DR221" i="1"/>
  <c r="DR366" i="1"/>
  <c r="DR356" i="1"/>
  <c r="DR347" i="1"/>
  <c r="DR334" i="1"/>
  <c r="DR475" i="1"/>
  <c r="DR388" i="1"/>
  <c r="DR348" i="1"/>
  <c r="DR415" i="1"/>
  <c r="DR409" i="1"/>
  <c r="DR396" i="1"/>
  <c r="DR374" i="1"/>
  <c r="DR55" i="1"/>
  <c r="DR479" i="1"/>
  <c r="DR447" i="1"/>
  <c r="DR435" i="1"/>
  <c r="DR424" i="1"/>
  <c r="DR478" i="1"/>
  <c r="DR225" i="1"/>
  <c r="DR340" i="1"/>
  <c r="DR425" i="1"/>
  <c r="DR458" i="1"/>
  <c r="DR57" i="1"/>
  <c r="DR361" i="1"/>
  <c r="DR343" i="1"/>
  <c r="DR330" i="1"/>
  <c r="DR247" i="1"/>
  <c r="DR407" i="1"/>
  <c r="DR352" i="1"/>
  <c r="DR490" i="1"/>
  <c r="DR430" i="1"/>
  <c r="DR443" i="1"/>
  <c r="DR493" i="1"/>
  <c r="DR421" i="1"/>
  <c r="DR339" i="1"/>
  <c r="DR212" i="1"/>
  <c r="DR480" i="1"/>
  <c r="DR387" i="1"/>
  <c r="DR491" i="1"/>
  <c r="DR342" i="1"/>
  <c r="DR488" i="1"/>
  <c r="DR497" i="1"/>
  <c r="DR337" i="1"/>
  <c r="DR341" i="1"/>
  <c r="DR349" i="1"/>
  <c r="DR355" i="1"/>
  <c r="DR362" i="1"/>
  <c r="DR217" i="1"/>
  <c r="DR370" i="1"/>
  <c r="DR53" i="1"/>
  <c r="DR378" i="1"/>
  <c r="DR382" i="1"/>
  <c r="DR390" i="1"/>
  <c r="DR416" i="1"/>
  <c r="DR183" i="1"/>
  <c r="DR433" i="1"/>
  <c r="DR441" i="1"/>
  <c r="DR51" i="1"/>
  <c r="DR241" i="1"/>
  <c r="DR380" i="1"/>
  <c r="DR383" i="1"/>
  <c r="DR428" i="1"/>
  <c r="DR426" i="1"/>
  <c r="DR417" i="1"/>
  <c r="DR344" i="1"/>
  <c r="DR359" i="1"/>
  <c r="DR436" i="1"/>
  <c r="DR438" i="1"/>
  <c r="DR358" i="1"/>
  <c r="DR464" i="1"/>
  <c r="DR485" i="1"/>
  <c r="DR354" i="1"/>
  <c r="DR346" i="1"/>
  <c r="DR399" i="1"/>
  <c r="DR351" i="1"/>
  <c r="DR224" i="1"/>
  <c r="DR408" i="1"/>
  <c r="DR484" i="1"/>
  <c r="DR392" i="1"/>
  <c r="DR402" i="1"/>
  <c r="DR495" i="1"/>
  <c r="DR376" i="1"/>
  <c r="DR492" i="1"/>
  <c r="DR345" i="1"/>
  <c r="DR350" i="1"/>
  <c r="DR363" i="1"/>
  <c r="DR216" i="1"/>
  <c r="DR379" i="1"/>
  <c r="DR410" i="1"/>
  <c r="DR229" i="1"/>
  <c r="DR245" i="1"/>
  <c r="DR429" i="1"/>
  <c r="DR442" i="1"/>
  <c r="DR451" i="1"/>
  <c r="DR397" i="1"/>
  <c r="DR455" i="1"/>
  <c r="DR375" i="1"/>
  <c r="DR231" i="1"/>
  <c r="DR239" i="1"/>
  <c r="DR448" i="1"/>
  <c r="DR414" i="1"/>
  <c r="DR446" i="1"/>
  <c r="DR367" i="1"/>
  <c r="DR371" i="1"/>
  <c r="DR328" i="1"/>
  <c r="DR404" i="1"/>
  <c r="DR405" i="1"/>
  <c r="DR360" i="1"/>
  <c r="DR413" i="1"/>
  <c r="DR486" i="1"/>
  <c r="DR483" i="1"/>
  <c r="DR434" i="1"/>
  <c r="DR494" i="1"/>
  <c r="DR384" i="1"/>
  <c r="DR386" i="1"/>
  <c r="DR427" i="1"/>
  <c r="DR59" i="1"/>
  <c r="DR391" i="1"/>
  <c r="DR338" i="1"/>
  <c r="DR394" i="1"/>
  <c r="DR456" i="1"/>
  <c r="DR333" i="1"/>
  <c r="DR423" i="1"/>
  <c r="DR335" i="1"/>
  <c r="DR365" i="1"/>
  <c r="DR481" i="1"/>
  <c r="DR329" i="1"/>
  <c r="DR395" i="1"/>
  <c r="DR489" i="1"/>
  <c r="DR487" i="1"/>
  <c r="DR500" i="1"/>
  <c r="DR439" i="1"/>
  <c r="DR496" i="1"/>
  <c r="DR336" i="1"/>
  <c r="DR353" i="1"/>
  <c r="DR220" i="1"/>
  <c r="DR381" i="1"/>
  <c r="DR385" i="1"/>
  <c r="DR406" i="1"/>
  <c r="DR432" i="1"/>
  <c r="DR437" i="1"/>
  <c r="DR422" i="1"/>
  <c r="DR462" i="1"/>
  <c r="DR472" i="1"/>
  <c r="DR369" i="1"/>
  <c r="DR412" i="1"/>
  <c r="DR235" i="1"/>
  <c r="DR243" i="1"/>
  <c r="DR460" i="1"/>
  <c r="DR445" i="1"/>
  <c r="DR364" i="1"/>
  <c r="DR468" i="1"/>
  <c r="DR400" i="1"/>
  <c r="DR228" i="1"/>
  <c r="DR327" i="1"/>
  <c r="DR357" i="1"/>
  <c r="DR420" i="1"/>
  <c r="DR450" i="1"/>
  <c r="DR449" i="1"/>
  <c r="DR411" i="1"/>
  <c r="DR331" i="1"/>
  <c r="DR477" i="1"/>
  <c r="DR237" i="1"/>
  <c r="DR332" i="1"/>
  <c r="DR159" i="1"/>
  <c r="DR476" i="1"/>
  <c r="DR213" i="1"/>
  <c r="DR368" i="1"/>
  <c r="DR372" i="1"/>
  <c r="DR63" i="1"/>
  <c r="DR418" i="1"/>
  <c r="DR233" i="1"/>
  <c r="DR453" i="1"/>
  <c r="DR469" i="1"/>
  <c r="DR373" i="1"/>
  <c r="EW21" i="1" l="1"/>
  <c r="EV22" i="1" s="1"/>
  <c r="DS2" i="1"/>
  <c r="EW22" i="1" l="1"/>
  <c r="EV23" i="1" s="1"/>
  <c r="EW23" i="1" l="1"/>
  <c r="EV24" i="1" s="1"/>
  <c r="EW24" i="1" l="1"/>
  <c r="EW25" i="1" l="1"/>
  <c r="EV26" i="1" s="1"/>
  <c r="EW26" i="1" l="1"/>
  <c r="EV27" i="1" s="1"/>
  <c r="EW27" i="1" l="1"/>
  <c r="EV28" i="1" s="1"/>
  <c r="EW28" i="1" l="1"/>
  <c r="EW29" i="1" l="1"/>
  <c r="EV30" i="1" s="1"/>
  <c r="EW30" i="1" l="1"/>
  <c r="EV31" i="1" s="1"/>
  <c r="EW31" i="1" l="1"/>
  <c r="EV32" i="1" s="1"/>
  <c r="EW32" i="1" l="1"/>
  <c r="EW33" i="1" l="1"/>
  <c r="EV34" i="1" s="1"/>
  <c r="EW34" i="1" l="1"/>
  <c r="EV35" i="1" s="1"/>
  <c r="EW35" i="1" l="1"/>
  <c r="EV36" i="1" s="1"/>
  <c r="EW36" i="1" l="1"/>
  <c r="EW37" i="1" l="1"/>
  <c r="EV38" i="1" s="1"/>
  <c r="EW38" i="1" l="1"/>
  <c r="EV39" i="1" s="1"/>
  <c r="EW39" i="1" l="1"/>
  <c r="EV40" i="1" s="1"/>
  <c r="EW40" i="1" l="1"/>
  <c r="EW41" i="1" l="1"/>
  <c r="EV42" i="1" s="1"/>
  <c r="EW42" i="1" l="1"/>
  <c r="EV43" i="1" s="1"/>
  <c r="EW43" i="1" l="1"/>
  <c r="EW44" i="1" l="1"/>
  <c r="EV45" i="1" s="1"/>
  <c r="EW45" i="1" l="1"/>
  <c r="EW46" i="1" l="1"/>
  <c r="EV47" i="1" s="1"/>
  <c r="EW47" i="1" l="1"/>
  <c r="EV48" i="1" s="1"/>
  <c r="EW48" i="1" l="1"/>
  <c r="EV49" i="1" s="1"/>
  <c r="EW49" i="1" l="1"/>
  <c r="EW50" i="1" l="1"/>
  <c r="EV51" i="1" s="1"/>
  <c r="EW51" i="1" l="1"/>
  <c r="EV52" i="1" s="1"/>
  <c r="EW52" i="1" l="1"/>
  <c r="EV53" i="1" s="1"/>
  <c r="EW53" i="1" l="1"/>
  <c r="EW54" i="1" l="1"/>
  <c r="EV55" i="1" s="1"/>
  <c r="EW55" i="1" l="1"/>
  <c r="EV56" i="1" s="1"/>
  <c r="EW56" i="1" l="1"/>
  <c r="EV57" i="1" s="1"/>
  <c r="EW57" i="1" l="1"/>
  <c r="EW58" i="1" l="1"/>
  <c r="EV59" i="1" s="1"/>
  <c r="EW59" i="1" l="1"/>
  <c r="EV60" i="1" s="1"/>
  <c r="EW60" i="1" l="1"/>
  <c r="EV61" i="1" s="1"/>
  <c r="EW61" i="1" l="1"/>
  <c r="EW62" i="1" l="1"/>
  <c r="EV63" i="1" s="1"/>
  <c r="EW63" i="1" l="1"/>
  <c r="EW64" i="1" l="1"/>
  <c r="EV65" i="1" s="1"/>
  <c r="EW65" i="1" l="1"/>
  <c r="EV66" i="1" s="1"/>
  <c r="EW66" i="1" l="1"/>
  <c r="EW67" i="1" l="1"/>
  <c r="EV68" i="1" s="1"/>
  <c r="EW68" i="1" l="1"/>
  <c r="EV69" i="1" s="1"/>
  <c r="EW69" i="1" l="1"/>
  <c r="EW70" i="1" l="1"/>
  <c r="EV71" i="1" s="1"/>
  <c r="EW71" i="1" l="1"/>
  <c r="EW72" i="1" l="1"/>
  <c r="EV73" i="1" s="1"/>
  <c r="EW73" i="1" l="1"/>
  <c r="EV74" i="1" s="1"/>
  <c r="EW74" i="1" l="1"/>
  <c r="EW75" i="1" l="1"/>
  <c r="EV76" i="1" s="1"/>
  <c r="EW76" i="1" l="1"/>
  <c r="EV77" i="1" s="1"/>
  <c r="EW77" i="1" l="1"/>
  <c r="EV78" i="1" s="1"/>
  <c r="EW78" i="1" l="1"/>
  <c r="EW79" i="1" l="1"/>
  <c r="EV80" i="1" s="1"/>
  <c r="EW80" i="1" l="1"/>
  <c r="EV81" i="1" s="1"/>
  <c r="EW81" i="1" l="1"/>
  <c r="EV82" i="1" s="1"/>
  <c r="EW82" i="1" l="1"/>
  <c r="EW83" i="1" l="1"/>
  <c r="EV84" i="1" s="1"/>
  <c r="EW84" i="1" l="1"/>
  <c r="EV85" i="1" s="1"/>
  <c r="EW85" i="1" l="1"/>
  <c r="EV86" i="1" s="1"/>
  <c r="EW86" i="1" l="1"/>
  <c r="EW87" i="1" l="1"/>
  <c r="EV88" i="1" s="1"/>
  <c r="EW88" i="1" l="1"/>
  <c r="EV89" i="1" s="1"/>
  <c r="EW89" i="1" l="1"/>
  <c r="EW90" i="1" l="1"/>
  <c r="EV91" i="1" s="1"/>
  <c r="EW91" i="1" l="1"/>
  <c r="EV92" i="1" s="1"/>
  <c r="EW92" i="1" l="1"/>
  <c r="EV93" i="1" s="1"/>
  <c r="EW93" i="1" l="1"/>
  <c r="EW94" i="1" l="1"/>
  <c r="EV95" i="1" s="1"/>
  <c r="EW95" i="1" l="1"/>
  <c r="EV96" i="1" s="1"/>
  <c r="EW96" i="1" l="1"/>
  <c r="EV97" i="1" s="1"/>
  <c r="EW97" i="1" l="1"/>
  <c r="EW98" i="1" l="1"/>
  <c r="EV99" i="1" s="1"/>
  <c r="EW99" i="1" l="1"/>
  <c r="EV100" i="1" s="1"/>
  <c r="EW100" i="1" l="1"/>
  <c r="EW101" i="1" l="1"/>
  <c r="EV102" i="1" s="1"/>
  <c r="EW102" i="1" l="1"/>
  <c r="EW103" i="1" l="1"/>
  <c r="EV104" i="1" s="1"/>
  <c r="EW104" i="1" l="1"/>
  <c r="EV105" i="1" s="1"/>
  <c r="EW105" i="1" l="1"/>
  <c r="EW106" i="1" l="1"/>
  <c r="EV107" i="1" s="1"/>
  <c r="EW107" i="1" l="1"/>
  <c r="EV108" i="1" s="1"/>
  <c r="EW108" i="1" l="1"/>
  <c r="EW109" i="1" l="1"/>
  <c r="EV110" i="1" s="1"/>
  <c r="EW110" i="1" l="1"/>
  <c r="EV111" i="1" s="1"/>
  <c r="EW111" i="1" l="1"/>
  <c r="EW112" i="1" l="1"/>
  <c r="EV113" i="1" s="1"/>
  <c r="EW113" i="1" l="1"/>
  <c r="EW114" i="1" l="1"/>
  <c r="EV115" i="1" s="1"/>
  <c r="EW115" i="1" l="1"/>
  <c r="EV116" i="1" s="1"/>
  <c r="EW116" i="1" l="1"/>
  <c r="EV117" i="1" s="1"/>
  <c r="EW117" i="1" l="1"/>
  <c r="EW118" i="1" l="1"/>
  <c r="EV119" i="1" s="1"/>
  <c r="EW119" i="1" l="1"/>
  <c r="EV120" i="1" s="1"/>
  <c r="EW120" i="1" l="1"/>
  <c r="EV121" i="1" s="1"/>
  <c r="EW121" i="1" l="1"/>
  <c r="EW122" i="1" l="1"/>
  <c r="EV123" i="1" s="1"/>
  <c r="EW123" i="1" l="1"/>
  <c r="EV124" i="1" s="1"/>
  <c r="EW124" i="1" l="1"/>
  <c r="EV125" i="1" s="1"/>
  <c r="EW125" i="1" l="1"/>
  <c r="EW126" i="1" l="1"/>
  <c r="EV127" i="1" s="1"/>
  <c r="EW127" i="1" l="1"/>
  <c r="EV128" i="1" s="1"/>
  <c r="EW128" i="1" l="1"/>
  <c r="EV129" i="1" s="1"/>
  <c r="EW129" i="1" l="1"/>
  <c r="EW130" i="1" l="1"/>
  <c r="EV131" i="1" s="1"/>
  <c r="EW131" i="1" l="1"/>
  <c r="EV132" i="1" s="1"/>
  <c r="EW132" i="1" l="1"/>
  <c r="EV133" i="1" s="1"/>
  <c r="EW133" i="1" l="1"/>
  <c r="EW134" i="1" l="1"/>
  <c r="EV135" i="1" s="1"/>
  <c r="EW135" i="1" l="1"/>
  <c r="EV136" i="1" s="1"/>
  <c r="EW136" i="1" l="1"/>
  <c r="EV137" i="1" s="1"/>
  <c r="EW137" i="1" l="1"/>
  <c r="EW138" i="1" l="1"/>
  <c r="EV139" i="1" s="1"/>
  <c r="EW139" i="1" l="1"/>
  <c r="EV140" i="1" s="1"/>
  <c r="EW140" i="1" l="1"/>
  <c r="EV141" i="1" s="1"/>
  <c r="EW141" i="1" l="1"/>
  <c r="EW142" i="1" l="1"/>
  <c r="EV143" i="1" s="1"/>
  <c r="EW143" i="1" l="1"/>
  <c r="EV144" i="1" s="1"/>
  <c r="EW144" i="1" l="1"/>
  <c r="EV145" i="1" s="1"/>
  <c r="EW145" i="1" l="1"/>
  <c r="EW146" i="1" l="1"/>
  <c r="EV147" i="1" s="1"/>
  <c r="EW147" i="1" l="1"/>
  <c r="EW148" i="1" l="1"/>
  <c r="EV149" i="1" s="1"/>
  <c r="EW149" i="1" l="1"/>
  <c r="EV150" i="1" s="1"/>
  <c r="EW150" i="1" l="1"/>
  <c r="EV151" i="1" s="1"/>
  <c r="EW151" i="1" l="1"/>
  <c r="EW152" i="1" l="1"/>
  <c r="EV153" i="1" s="1"/>
  <c r="EW153" i="1" l="1"/>
  <c r="EV154" i="1" s="1"/>
  <c r="EW154" i="1" l="1"/>
  <c r="EV155" i="1" s="1"/>
  <c r="EW155" i="1" l="1"/>
  <c r="EW156" i="1" l="1"/>
  <c r="EV157" i="1" s="1"/>
  <c r="EW157" i="1" l="1"/>
  <c r="EV158" i="1" s="1"/>
  <c r="EW158" i="1" l="1"/>
  <c r="EV159" i="1" s="1"/>
  <c r="EW159" i="1" l="1"/>
  <c r="EW160" i="1" l="1"/>
  <c r="EV161" i="1" s="1"/>
  <c r="EW161" i="1" l="1"/>
  <c r="EV162" i="1" s="1"/>
  <c r="EW162" i="1" l="1"/>
  <c r="EV163" i="1" s="1"/>
  <c r="EW163" i="1" l="1"/>
  <c r="EW164" i="1" l="1"/>
  <c r="EV165" i="1" s="1"/>
  <c r="EW165" i="1" l="1"/>
  <c r="EV166" i="1" s="1"/>
  <c r="EW166" i="1" l="1"/>
  <c r="EV167" i="1" s="1"/>
  <c r="EW167" i="1" l="1"/>
  <c r="EW168" i="1" l="1"/>
  <c r="EV169" i="1" s="1"/>
  <c r="EW169" i="1" l="1"/>
  <c r="EV170" i="1" s="1"/>
  <c r="EW170" i="1" l="1"/>
  <c r="EV171" i="1" s="1"/>
  <c r="EW171" i="1" l="1"/>
  <c r="EW172" i="1" l="1"/>
  <c r="EV173" i="1" s="1"/>
  <c r="EW173" i="1" l="1"/>
  <c r="EV174" i="1" s="1"/>
  <c r="EW174" i="1" l="1"/>
  <c r="EV175" i="1" s="1"/>
  <c r="EW175" i="1" l="1"/>
  <c r="EW176" i="1" l="1"/>
  <c r="EV177" i="1" s="1"/>
  <c r="EW177" i="1" l="1"/>
  <c r="EV178" i="1" s="1"/>
  <c r="EW178" i="1" l="1"/>
  <c r="EV179" i="1" s="1"/>
  <c r="EW179" i="1" l="1"/>
  <c r="EW180" i="1" l="1"/>
  <c r="EV181" i="1" s="1"/>
  <c r="EW181" i="1" l="1"/>
  <c r="EV182" i="1" s="1"/>
  <c r="EW182" i="1" l="1"/>
  <c r="EV183" i="1" s="1"/>
  <c r="EW183" i="1" l="1"/>
  <c r="EW184" i="1" l="1"/>
  <c r="EV185" i="1" s="1"/>
  <c r="EW185" i="1" l="1"/>
  <c r="EV186" i="1" s="1"/>
  <c r="EW186" i="1" l="1"/>
  <c r="EV187" i="1" s="1"/>
  <c r="EW187" i="1" l="1"/>
  <c r="EW188" i="1" l="1"/>
  <c r="EV189" i="1" s="1"/>
  <c r="EW189" i="1" l="1"/>
  <c r="EV190" i="1" s="1"/>
  <c r="EW190" i="1" l="1"/>
  <c r="EV191" i="1" s="1"/>
  <c r="EW191" i="1" l="1"/>
  <c r="EW192" i="1" l="1"/>
  <c r="EV193" i="1" s="1"/>
  <c r="EW193" i="1" l="1"/>
  <c r="EV194" i="1" s="1"/>
  <c r="EW194" i="1" l="1"/>
  <c r="EV195" i="1" s="1"/>
  <c r="EW195" i="1" l="1"/>
  <c r="EW196" i="1" l="1"/>
  <c r="EV197" i="1" s="1"/>
  <c r="EW197" i="1" l="1"/>
  <c r="EV198" i="1" s="1"/>
  <c r="EW198" i="1" l="1"/>
  <c r="EV199" i="1" s="1"/>
  <c r="EW199" i="1" l="1"/>
  <c r="EW200" i="1" l="1"/>
  <c r="EV201" i="1" s="1"/>
  <c r="EW201" i="1" l="1"/>
  <c r="EV202" i="1" s="1"/>
  <c r="EW202" i="1" l="1"/>
  <c r="EV203" i="1" s="1"/>
  <c r="EW203" i="1" l="1"/>
  <c r="EW204" i="1" l="1"/>
  <c r="EV205" i="1" s="1"/>
  <c r="EW205" i="1" l="1"/>
  <c r="EV206" i="1" s="1"/>
  <c r="EW206" i="1" l="1"/>
  <c r="EV207" i="1" s="1"/>
  <c r="EW207" i="1" l="1"/>
  <c r="EW208" i="1" l="1"/>
  <c r="EV209" i="1" s="1"/>
  <c r="EW209" i="1" l="1"/>
  <c r="EW210" i="1" l="1"/>
  <c r="EV211" i="1" s="1"/>
  <c r="EW211" i="1" l="1"/>
  <c r="EV212" i="1" s="1"/>
  <c r="EW212" i="1" l="1"/>
  <c r="EV213" i="1" s="1"/>
  <c r="EW213" i="1" l="1"/>
  <c r="EW214" i="1" l="1"/>
  <c r="EV215" i="1" s="1"/>
  <c r="EW215" i="1" l="1"/>
  <c r="EV216" i="1" s="1"/>
  <c r="EW216" i="1" l="1"/>
  <c r="EV217" i="1" s="1"/>
  <c r="EW217" i="1" l="1"/>
  <c r="EW218" i="1" l="1"/>
  <c r="EV219" i="1" s="1"/>
  <c r="EW219" i="1" l="1"/>
  <c r="EV220" i="1" s="1"/>
  <c r="EW220" i="1" l="1"/>
  <c r="EV221" i="1" s="1"/>
  <c r="EW221" i="1" l="1"/>
  <c r="EW222" i="1" l="1"/>
  <c r="EV223" i="1" s="1"/>
  <c r="EW223" i="1" l="1"/>
  <c r="EV224" i="1" s="1"/>
  <c r="EW224" i="1" l="1"/>
  <c r="EV225" i="1" s="1"/>
  <c r="EW225" i="1" l="1"/>
  <c r="EW226" i="1" l="1"/>
  <c r="EV227" i="1" s="1"/>
  <c r="EW227" i="1" l="1"/>
  <c r="EV228" i="1" s="1"/>
  <c r="EW228" i="1" l="1"/>
  <c r="EV229" i="1" s="1"/>
  <c r="EW229" i="1" l="1"/>
  <c r="EW230" i="1" l="1"/>
  <c r="EV231" i="1" s="1"/>
  <c r="EW231" i="1" l="1"/>
  <c r="EV232" i="1" l="1"/>
  <c r="EW234" i="1"/>
  <c r="EV235" i="1" l="1"/>
  <c r="EW235" i="1" s="1"/>
  <c r="EV236" i="1" l="1"/>
  <c r="EW236" i="1" s="1"/>
  <c r="EV237" i="1" l="1"/>
  <c r="EW237" i="1" s="1"/>
  <c r="EV238" i="1" l="1"/>
  <c r="EW238" i="1" s="1"/>
  <c r="EV239" i="1" l="1"/>
  <c r="EW239" i="1" s="1"/>
  <c r="EV240" i="1" l="1"/>
  <c r="EW240" i="1" s="1"/>
  <c r="EV241" i="1" l="1"/>
  <c r="EW241" i="1" s="1"/>
  <c r="EV242" i="1" l="1"/>
  <c r="EW242" i="1" s="1"/>
  <c r="EV243" i="1" l="1"/>
  <c r="EW243" i="1" s="1"/>
  <c r="EV244" i="1" l="1"/>
  <c r="EW244" i="1" s="1"/>
  <c r="EV245" i="1" l="1"/>
  <c r="EW245" i="1" s="1"/>
  <c r="EV246" i="1" l="1"/>
  <c r="EW246" i="1" s="1"/>
  <c r="EV247" i="1" l="1"/>
  <c r="EW247" i="1" s="1"/>
  <c r="EV248" i="1" l="1"/>
  <c r="EW248" i="1" s="1"/>
  <c r="EV249" i="1" l="1"/>
  <c r="EW249" i="1" s="1"/>
  <c r="EV250" i="1" l="1"/>
  <c r="EW250" i="1" s="1"/>
  <c r="EV251" i="1" l="1"/>
  <c r="EW251" i="1" s="1"/>
  <c r="EV252" i="1" l="1"/>
  <c r="EW252" i="1" s="1"/>
  <c r="EV253" i="1" l="1"/>
  <c r="EW253" i="1" s="1"/>
  <c r="EV254" i="1" l="1"/>
  <c r="EW254" i="1" s="1"/>
  <c r="EV255" i="1" l="1"/>
  <c r="EW255" i="1" s="1"/>
  <c r="EV256" i="1" l="1"/>
  <c r="EW256" i="1" s="1"/>
  <c r="EV257" i="1" l="1"/>
  <c r="EW257" i="1" s="1"/>
  <c r="EV258" i="1" l="1"/>
  <c r="EW258" i="1" s="1"/>
  <c r="EV259" i="1" l="1"/>
  <c r="EW259" i="1" s="1"/>
  <c r="EV260" i="1" l="1"/>
  <c r="EW260" i="1" s="1"/>
  <c r="EV261" i="1" l="1"/>
  <c r="EW261" i="1" s="1"/>
  <c r="EV262" i="1" l="1"/>
  <c r="EW262" i="1" s="1"/>
  <c r="EV263" i="1" l="1"/>
  <c r="EW263" i="1" s="1"/>
  <c r="EV264" i="1" l="1"/>
  <c r="EW264" i="1" s="1"/>
  <c r="EV265" i="1" l="1"/>
  <c r="EW265" i="1" s="1"/>
  <c r="EV266" i="1" l="1"/>
  <c r="EW266" i="1" s="1"/>
  <c r="EV267" i="1" l="1"/>
  <c r="EW267" i="1" s="1"/>
  <c r="EV268" i="1" l="1"/>
  <c r="EW268" i="1" s="1"/>
  <c r="EV269" i="1" l="1"/>
  <c r="EW269" i="1" s="1"/>
  <c r="EV270" i="1" l="1"/>
  <c r="EW270" i="1" s="1"/>
  <c r="EV271" i="1" l="1"/>
  <c r="EW271" i="1" s="1"/>
  <c r="EV272" i="1" l="1"/>
  <c r="EW272" i="1" s="1"/>
  <c r="EV273" i="1" l="1"/>
  <c r="EW273" i="1" s="1"/>
  <c r="EV274" i="1" l="1"/>
  <c r="EW274" i="1" s="1"/>
  <c r="EV275" i="1" l="1"/>
  <c r="EW275" i="1" s="1"/>
  <c r="EV276" i="1" l="1"/>
  <c r="EW276" i="1" s="1"/>
  <c r="EV277" i="1" l="1"/>
  <c r="EW277" i="1" s="1"/>
  <c r="EV278" i="1" l="1"/>
  <c r="EW278" i="1" s="1"/>
  <c r="EV279" i="1" l="1"/>
  <c r="EW279" i="1" s="1"/>
  <c r="EV280" i="1" l="1"/>
  <c r="EW280" i="1" s="1"/>
  <c r="EV281" i="1" l="1"/>
  <c r="EW281" i="1" s="1"/>
  <c r="EV282" i="1" l="1"/>
  <c r="EW282" i="1" s="1"/>
  <c r="EV283" i="1" l="1"/>
  <c r="EW283" i="1" s="1"/>
  <c r="EV284" i="1" l="1"/>
  <c r="EW284" i="1" s="1"/>
  <c r="EV285" i="1" l="1"/>
  <c r="EW285" i="1" s="1"/>
  <c r="EV286" i="1" l="1"/>
  <c r="EW286" i="1" s="1"/>
  <c r="EV287" i="1" l="1"/>
  <c r="EW287" i="1" s="1"/>
  <c r="EV288" i="1" l="1"/>
  <c r="EW288" i="1" s="1"/>
  <c r="EV289" i="1" l="1"/>
  <c r="EW289" i="1" s="1"/>
  <c r="EV290" i="1" l="1"/>
  <c r="EW290" i="1" s="1"/>
  <c r="EV291" i="1" l="1"/>
  <c r="EW291" i="1" s="1"/>
  <c r="EV292" i="1" l="1"/>
  <c r="EW292" i="1" s="1"/>
  <c r="EV293" i="1" l="1"/>
  <c r="EW293" i="1" s="1"/>
  <c r="EV294" i="1" l="1"/>
  <c r="EW294" i="1" s="1"/>
  <c r="EV295" i="1" l="1"/>
  <c r="EW295" i="1" s="1"/>
  <c r="EV296" i="1" l="1"/>
  <c r="EW296" i="1" s="1"/>
  <c r="EV297" i="1" l="1"/>
  <c r="EW297" i="1" s="1"/>
  <c r="EV298" i="1" l="1"/>
  <c r="EW298" i="1" s="1"/>
  <c r="EV299" i="1" l="1"/>
  <c r="EW299" i="1" s="1"/>
  <c r="EV300" i="1" l="1"/>
  <c r="EW300" i="1" s="1"/>
  <c r="EV301" i="1" l="1"/>
  <c r="EW301" i="1" s="1"/>
  <c r="EV302" i="1" l="1"/>
  <c r="EW302" i="1" s="1"/>
  <c r="EV303" i="1" l="1"/>
  <c r="EW303" i="1" s="1"/>
  <c r="EV304" i="1" l="1"/>
  <c r="EW304" i="1" s="1"/>
  <c r="EV305" i="1" l="1"/>
  <c r="EW305" i="1" s="1"/>
  <c r="EV306" i="1" l="1"/>
  <c r="EW306" i="1" s="1"/>
  <c r="EV307" i="1" l="1"/>
  <c r="EW307" i="1" s="1"/>
  <c r="EV308" i="1" l="1"/>
  <c r="EW308" i="1" s="1"/>
  <c r="EV309" i="1" l="1"/>
  <c r="EW309" i="1" s="1"/>
  <c r="EV310" i="1" l="1"/>
  <c r="EW310" i="1" s="1"/>
  <c r="EV311" i="1" l="1"/>
  <c r="EW311" i="1" s="1"/>
  <c r="EV312" i="1" l="1"/>
  <c r="EW312" i="1" s="1"/>
  <c r="EV313" i="1" l="1"/>
  <c r="EW313" i="1" s="1"/>
  <c r="EV314" i="1" l="1"/>
  <c r="EW314" i="1" s="1"/>
  <c r="EV315" i="1" l="1"/>
  <c r="EW315" i="1" s="1"/>
  <c r="EV316" i="1" l="1"/>
  <c r="EW316" i="1" s="1"/>
  <c r="EV317" i="1" l="1"/>
  <c r="EW317" i="1" s="1"/>
  <c r="EV318" i="1" l="1"/>
  <c r="EW318" i="1" s="1"/>
  <c r="EV319" i="1" l="1"/>
  <c r="EW319" i="1" s="1"/>
  <c r="EV320" i="1" l="1"/>
  <c r="EW320" i="1" s="1"/>
  <c r="EV321" i="1" l="1"/>
  <c r="EW321" i="1" s="1"/>
  <c r="EV322" i="1" l="1"/>
  <c r="EW322" i="1" s="1"/>
  <c r="EV323" i="1" l="1"/>
  <c r="EW323" i="1" s="1"/>
  <c r="EV324" i="1" l="1"/>
  <c r="EW324" i="1" s="1"/>
  <c r="EV325" i="1" l="1"/>
  <c r="EW325" i="1" s="1"/>
  <c r="EV326" i="1" l="1"/>
  <c r="EW326" i="1" s="1"/>
  <c r="EV327" i="1" l="1"/>
  <c r="EW327" i="1" s="1"/>
  <c r="EV328" i="1" l="1"/>
  <c r="EW328" i="1" s="1"/>
  <c r="EV329" i="1" l="1"/>
  <c r="EW329" i="1" s="1"/>
  <c r="EV330" i="1" l="1"/>
  <c r="EW330" i="1" s="1"/>
  <c r="EV331" i="1" l="1"/>
  <c r="EW331" i="1" s="1"/>
  <c r="EV332" i="1" l="1"/>
  <c r="EW332" i="1" s="1"/>
  <c r="EV333" i="1" l="1"/>
  <c r="EW333" i="1" s="1"/>
  <c r="EV334" i="1" l="1"/>
  <c r="EW334" i="1" s="1"/>
  <c r="EV335" i="1" l="1"/>
  <c r="EW335" i="1" s="1"/>
  <c r="EV336" i="1" l="1"/>
  <c r="EW336" i="1" s="1"/>
  <c r="EV337" i="1" l="1"/>
  <c r="EW337" i="1" s="1"/>
  <c r="EV338" i="1" l="1"/>
  <c r="EW338" i="1" s="1"/>
  <c r="EV339" i="1" l="1"/>
  <c r="EW339" i="1" s="1"/>
  <c r="EV340" i="1" l="1"/>
  <c r="EW340" i="1" s="1"/>
  <c r="EV341" i="1" l="1"/>
  <c r="EW341" i="1" s="1"/>
  <c r="EV342" i="1" l="1"/>
  <c r="EW342" i="1" s="1"/>
  <c r="EV343" i="1" l="1"/>
  <c r="EW343" i="1" s="1"/>
  <c r="EV344" i="1" l="1"/>
  <c r="EW344" i="1" s="1"/>
  <c r="EV345" i="1" l="1"/>
  <c r="EW345" i="1" s="1"/>
  <c r="EV346" i="1" l="1"/>
  <c r="EW346" i="1" s="1"/>
  <c r="EV347" i="1" l="1"/>
  <c r="EW347" i="1" s="1"/>
  <c r="EV348" i="1" l="1"/>
  <c r="EW348" i="1" s="1"/>
  <c r="EV349" i="1" l="1"/>
  <c r="EW349" i="1" s="1"/>
  <c r="EV350" i="1" l="1"/>
  <c r="EW350" i="1" s="1"/>
  <c r="EV351" i="1" l="1"/>
  <c r="EW351" i="1" s="1"/>
  <c r="EV352" i="1" l="1"/>
  <c r="EW352" i="1" s="1"/>
  <c r="EV353" i="1" l="1"/>
  <c r="EW353" i="1" s="1"/>
  <c r="EV354" i="1" l="1"/>
  <c r="EW354" i="1" s="1"/>
  <c r="EV355" i="1" l="1"/>
  <c r="EW355" i="1" s="1"/>
  <c r="EV356" i="1" l="1"/>
  <c r="EW356" i="1" s="1"/>
  <c r="EV357" i="1" l="1"/>
  <c r="EW357" i="1" s="1"/>
  <c r="EV358" i="1" l="1"/>
  <c r="EW358" i="1" s="1"/>
  <c r="EV359" i="1" l="1"/>
  <c r="EW359" i="1" s="1"/>
  <c r="EV360" i="1" l="1"/>
  <c r="EW360" i="1" s="1"/>
  <c r="EV361" i="1" l="1"/>
  <c r="EW361" i="1" s="1"/>
  <c r="EV362" i="1" l="1"/>
  <c r="EW362" i="1" s="1"/>
  <c r="EV363" i="1" l="1"/>
  <c r="EW363" i="1" s="1"/>
  <c r="EV364" i="1" l="1"/>
  <c r="EW364" i="1" s="1"/>
  <c r="EV365" i="1" l="1"/>
  <c r="EW365" i="1" s="1"/>
  <c r="EV366" i="1" l="1"/>
  <c r="EW366" i="1" s="1"/>
  <c r="EV367" i="1" l="1"/>
  <c r="EW367" i="1" s="1"/>
  <c r="EV368" i="1" l="1"/>
  <c r="EW368" i="1" s="1"/>
  <c r="EV369" i="1" l="1"/>
  <c r="EW369" i="1" s="1"/>
  <c r="EV370" i="1" l="1"/>
  <c r="EW370" i="1" s="1"/>
  <c r="EV371" i="1" l="1"/>
  <c r="EW371" i="1" s="1"/>
  <c r="EV372" i="1" l="1"/>
  <c r="EW372" i="1" s="1"/>
  <c r="EV373" i="1" l="1"/>
  <c r="EW373" i="1" s="1"/>
  <c r="EV374" i="1" l="1"/>
  <c r="EW374" i="1" s="1"/>
  <c r="EV375" i="1" l="1"/>
  <c r="EW375" i="1" s="1"/>
  <c r="EV376" i="1" l="1"/>
  <c r="EW376" i="1" s="1"/>
  <c r="EV377" i="1" l="1"/>
  <c r="EW377" i="1" s="1"/>
  <c r="EV378" i="1" l="1"/>
  <c r="EW378" i="1" s="1"/>
  <c r="EV379" i="1" l="1"/>
  <c r="EW379" i="1" s="1"/>
  <c r="EV380" i="1" l="1"/>
  <c r="EW380" i="1" s="1"/>
  <c r="EV381" i="1" l="1"/>
  <c r="EW381" i="1" s="1"/>
  <c r="EV382" i="1" l="1"/>
  <c r="EW382" i="1" s="1"/>
  <c r="EV383" i="1" l="1"/>
  <c r="EW383" i="1" s="1"/>
  <c r="EV384" i="1" l="1"/>
  <c r="EW384" i="1" s="1"/>
  <c r="EV385" i="1" l="1"/>
  <c r="EW385" i="1" s="1"/>
  <c r="EV386" i="1" l="1"/>
  <c r="EW386" i="1" s="1"/>
  <c r="EV387" i="1" l="1"/>
  <c r="EW387" i="1" s="1"/>
  <c r="EV388" i="1" l="1"/>
  <c r="EW388" i="1" s="1"/>
  <c r="EV389" i="1" l="1"/>
  <c r="EW389" i="1" s="1"/>
  <c r="EV390" i="1" l="1"/>
  <c r="EW390" i="1" s="1"/>
  <c r="EV391" i="1" l="1"/>
  <c r="EW391" i="1" s="1"/>
  <c r="EV392" i="1" l="1"/>
  <c r="EW392" i="1" s="1"/>
  <c r="EV393" i="1" l="1"/>
  <c r="EW393" i="1" s="1"/>
  <c r="EV394" i="1" l="1"/>
  <c r="EW394" i="1" s="1"/>
  <c r="EV395" i="1" l="1"/>
  <c r="EW395" i="1" s="1"/>
  <c r="EV396" i="1" l="1"/>
  <c r="EW396" i="1" s="1"/>
  <c r="EV397" i="1" l="1"/>
  <c r="EW397" i="1" s="1"/>
  <c r="EV398" i="1" l="1"/>
  <c r="EW398" i="1" s="1"/>
  <c r="EV399" i="1" l="1"/>
  <c r="EW399" i="1" s="1"/>
  <c r="EV400" i="1" l="1"/>
  <c r="EW400" i="1" s="1"/>
  <c r="EV401" i="1" l="1"/>
  <c r="EW401" i="1" s="1"/>
  <c r="EV402" i="1" l="1"/>
  <c r="EW402" i="1" s="1"/>
  <c r="EV403" i="1" l="1"/>
  <c r="EW403" i="1" s="1"/>
  <c r="EV404" i="1" l="1"/>
  <c r="EW404" i="1" s="1"/>
  <c r="EV405" i="1" l="1"/>
  <c r="EW405" i="1" s="1"/>
  <c r="EV406" i="1" l="1"/>
  <c r="EW406" i="1" s="1"/>
  <c r="EV407" i="1" l="1"/>
  <c r="EW407" i="1" s="1"/>
  <c r="EV408" i="1" l="1"/>
  <c r="EW408" i="1" s="1"/>
  <c r="EV409" i="1" l="1"/>
  <c r="EW409" i="1" s="1"/>
  <c r="EV410" i="1" l="1"/>
  <c r="EW410" i="1" s="1"/>
  <c r="EV411" i="1" l="1"/>
  <c r="EW411" i="1" s="1"/>
  <c r="EV412" i="1" l="1"/>
  <c r="EW412" i="1" s="1"/>
  <c r="EV413" i="1" l="1"/>
  <c r="EW413" i="1" s="1"/>
  <c r="EV414" i="1" l="1"/>
  <c r="EW414" i="1" s="1"/>
  <c r="EV415" i="1" l="1"/>
  <c r="EW415" i="1" s="1"/>
  <c r="EV416" i="1" l="1"/>
  <c r="EW416" i="1" s="1"/>
  <c r="EV417" i="1" l="1"/>
  <c r="EW417" i="1" s="1"/>
  <c r="EV418" i="1" l="1"/>
  <c r="EW418" i="1" s="1"/>
  <c r="EV419" i="1" l="1"/>
  <c r="EW419" i="1" s="1"/>
  <c r="EV420" i="1" l="1"/>
  <c r="EW420" i="1" s="1"/>
  <c r="EV421" i="1" l="1"/>
  <c r="EW421" i="1" s="1"/>
  <c r="EV422" i="1" l="1"/>
  <c r="EW422" i="1" s="1"/>
  <c r="EV423" i="1" l="1"/>
  <c r="EW423" i="1" s="1"/>
  <c r="EV424" i="1" l="1"/>
  <c r="EW424" i="1" s="1"/>
  <c r="EV425" i="1" l="1"/>
  <c r="EW425" i="1" s="1"/>
  <c r="EV426" i="1" l="1"/>
  <c r="EW426" i="1" s="1"/>
  <c r="EW232" i="1" l="1"/>
  <c r="EV427" i="1"/>
  <c r="EW427" i="1" s="1"/>
  <c r="EV233" i="1" l="1"/>
  <c r="EW233" i="1" s="1"/>
  <c r="EV428" i="1"/>
  <c r="EW428" i="1" s="1"/>
  <c r="EV429" i="1" l="1"/>
  <c r="EW429" i="1" s="1"/>
  <c r="EV430" i="1" l="1"/>
  <c r="EW430" i="1" s="1"/>
  <c r="EV431" i="1" l="1"/>
  <c r="EW431" i="1" s="1"/>
  <c r="EV432" i="1" l="1"/>
  <c r="EW432" i="1" s="1"/>
  <c r="EV433" i="1" l="1"/>
  <c r="EW433" i="1" s="1"/>
  <c r="EV434" i="1" l="1"/>
  <c r="EW434" i="1" s="1"/>
  <c r="EV435" i="1" l="1"/>
  <c r="EW435" i="1" s="1"/>
  <c r="EV436" i="1" l="1"/>
  <c r="EW436" i="1" s="1"/>
  <c r="EV437" i="1" l="1"/>
  <c r="EW437" i="1" s="1"/>
  <c r="EV438" i="1" l="1"/>
  <c r="EW438" i="1" s="1"/>
  <c r="EV439" i="1" l="1"/>
  <c r="EW439" i="1" s="1"/>
  <c r="EV440" i="1" l="1"/>
  <c r="EW440" i="1" s="1"/>
  <c r="EV441" i="1" l="1"/>
  <c r="EW441" i="1" s="1"/>
  <c r="EV442" i="1" l="1"/>
  <c r="EW442" i="1" s="1"/>
  <c r="EV443" i="1" l="1"/>
  <c r="EW443" i="1" s="1"/>
  <c r="EV444" i="1" l="1"/>
  <c r="EW444" i="1" s="1"/>
  <c r="EV445" i="1" l="1"/>
  <c r="EW445" i="1" s="1"/>
  <c r="EV446" i="1" l="1"/>
  <c r="EW446" i="1" s="1"/>
  <c r="EV447" i="1" l="1"/>
  <c r="EW447" i="1" s="1"/>
  <c r="EV448" i="1" l="1"/>
  <c r="EW448" i="1" s="1"/>
  <c r="EV449" i="1" l="1"/>
  <c r="EW449" i="1" s="1"/>
  <c r="EV450" i="1" l="1"/>
  <c r="EW450" i="1" s="1"/>
  <c r="EV451" i="1" l="1"/>
  <c r="EW451" i="1" s="1"/>
  <c r="EV452" i="1" l="1"/>
  <c r="EW452" i="1" s="1"/>
  <c r="EV453" i="1" l="1"/>
  <c r="EW453" i="1" s="1"/>
  <c r="EV454" i="1" l="1"/>
  <c r="EW454" i="1" s="1"/>
  <c r="EV455" i="1" l="1"/>
  <c r="EW455" i="1" s="1"/>
  <c r="EV456" i="1" l="1"/>
  <c r="EW456" i="1" s="1"/>
  <c r="EV457" i="1" l="1"/>
  <c r="EW457" i="1" s="1"/>
  <c r="EV458" i="1" l="1"/>
  <c r="EW458" i="1" s="1"/>
  <c r="EV459" i="1" l="1"/>
  <c r="EW459" i="1" s="1"/>
  <c r="EV460" i="1" l="1"/>
  <c r="EW460" i="1" s="1"/>
  <c r="EV461" i="1" l="1"/>
  <c r="EW461" i="1" s="1"/>
  <c r="EV462" i="1" l="1"/>
  <c r="EW462" i="1" s="1"/>
  <c r="EV463" i="1" l="1"/>
  <c r="EW463" i="1" s="1"/>
  <c r="EV468" i="1" l="1"/>
  <c r="EW468" i="1" s="1"/>
  <c r="EV464" i="1" l="1"/>
  <c r="EW464" i="1" s="1"/>
  <c r="EV469" i="1" s="1"/>
  <c r="EV465" i="1" l="1"/>
  <c r="EW465" i="1" s="1"/>
  <c r="EV470" i="1" s="1"/>
  <c r="EV466" i="1" l="1"/>
  <c r="EW466" i="1" s="1"/>
  <c r="EV467" i="1" l="1"/>
  <c r="EW467" i="1" s="1"/>
  <c r="EW469" i="1" l="1"/>
  <c r="EW470" i="1" l="1"/>
  <c r="EV471" i="1" l="1"/>
  <c r="EW471" i="1" s="1"/>
  <c r="EV472" i="1" l="1"/>
  <c r="EW472" i="1" s="1"/>
  <c r="EV473" i="1" l="1"/>
  <c r="EW473" i="1" s="1"/>
  <c r="EV474" i="1" l="1"/>
  <c r="EW474" i="1" s="1"/>
  <c r="EV475" i="1" l="1"/>
  <c r="EW475" i="1" s="1"/>
  <c r="EV476" i="1" l="1"/>
  <c r="EW476" i="1" s="1"/>
  <c r="EV477" i="1" l="1"/>
  <c r="EW477" i="1" s="1"/>
  <c r="EV478" i="1" l="1"/>
  <c r="EW478" i="1" s="1"/>
  <c r="EV479" i="1" l="1"/>
  <c r="EW479" i="1" s="1"/>
  <c r="EV480" i="1" l="1"/>
  <c r="EW480" i="1" s="1"/>
  <c r="EV481" i="1" l="1"/>
  <c r="EW481" i="1" s="1"/>
  <c r="EV482" i="1" l="1"/>
  <c r="EW482" i="1" s="1"/>
  <c r="EV483" i="1" l="1"/>
  <c r="EW483" i="1" s="1"/>
  <c r="EV484" i="1" l="1"/>
  <c r="EW484" i="1" s="1"/>
  <c r="EV485" i="1" l="1"/>
  <c r="EW485" i="1" s="1"/>
  <c r="EV486" i="1" l="1"/>
  <c r="EW486" i="1" s="1"/>
  <c r="EV487" i="1" l="1"/>
  <c r="EW487" i="1" s="1"/>
  <c r="EV488" i="1" l="1"/>
  <c r="EW488" i="1" s="1"/>
  <c r="EV489" i="1" l="1"/>
  <c r="EW489" i="1" s="1"/>
  <c r="EV490" i="1" l="1"/>
  <c r="EW490" i="1" s="1"/>
  <c r="EV491" i="1" l="1"/>
  <c r="EW491" i="1" s="1"/>
  <c r="EV492" i="1" l="1"/>
  <c r="EW492" i="1" s="1"/>
  <c r="EV493" i="1" l="1"/>
  <c r="EW493" i="1" s="1"/>
  <c r="EV494" i="1" l="1"/>
  <c r="EW494" i="1" s="1"/>
  <c r="EV495" i="1" l="1"/>
  <c r="EW495" i="1" s="1"/>
  <c r="EV496" i="1" l="1"/>
  <c r="EW496" i="1" s="1"/>
  <c r="EV497" i="1" l="1"/>
  <c r="EW497" i="1" s="1"/>
  <c r="EV498" i="1" l="1"/>
  <c r="EW498" i="1" s="1"/>
  <c r="EV499" i="1" l="1"/>
  <c r="EW499" i="1" s="1"/>
  <c r="EV500" i="1" l="1"/>
  <c r="EW500" i="1" s="1"/>
</calcChain>
</file>

<file path=xl/sharedStrings.xml><?xml version="1.0" encoding="utf-8"?>
<sst xmlns="http://schemas.openxmlformats.org/spreadsheetml/2006/main" count="14048" uniqueCount="1791">
  <si>
    <t>NO</t>
    <phoneticPr fontId="3" type="noConversion"/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</si>
  <si>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</si>
  <si>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</si>
  <si>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</si>
  <si>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</si>
  <si>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</si>
  <si>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</si>
  <si>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</si>
  <si>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</si>
  <si>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</si>
  <si>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TB4</t>
    <phoneticPr fontId="3" type="noConversion"/>
  </si>
  <si>
    <t>Wire Ident1-1</t>
  </si>
  <si>
    <t>Wire Ident1-2</t>
  </si>
  <si>
    <t>Wire Ident1-3</t>
  </si>
  <si>
    <t>Cable Name1</t>
  </si>
  <si>
    <t>Cable Spec1</t>
  </si>
  <si>
    <t>MUX name</t>
  </si>
  <si>
    <t>MUX TB NO</t>
  </si>
  <si>
    <t>Wire Ident2-1</t>
  </si>
  <si>
    <t>Wire Ident2-2</t>
  </si>
  <si>
    <t>Cable Name2</t>
  </si>
  <si>
    <t>Cable Spec2</t>
  </si>
  <si>
    <t>JB GRP NO</t>
    <phoneticPr fontId="3" type="noConversion"/>
  </si>
  <si>
    <t>JB(+)</t>
  </si>
  <si>
    <t>JB(-)</t>
  </si>
  <si>
    <t>JB(3)</t>
    <phoneticPr fontId="3" type="noConversion"/>
  </si>
  <si>
    <t>CABLE Len</t>
    <phoneticPr fontId="3" type="noConversion"/>
  </si>
  <si>
    <t>Wire Ident3-1</t>
  </si>
  <si>
    <t>Wire Ident3-2</t>
  </si>
  <si>
    <t>Wire Ident3-3</t>
    <phoneticPr fontId="3" type="noConversion"/>
  </si>
  <si>
    <t>Cable Name3</t>
  </si>
  <si>
    <t>Cable Spec3</t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</si>
  <si>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</si>
  <si>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</si>
  <si>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</si>
  <si>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</si>
  <si>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</si>
  <si>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</si>
  <si>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</si>
  <si>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</si>
  <si>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</si>
  <si>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</si>
  <si>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</si>
  <si>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</si>
  <si>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</si>
  <si>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</si>
  <si>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</si>
  <si>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</si>
  <si>
    <t>Location2</t>
    <phoneticPr fontId="5" type="noConversion"/>
  </si>
  <si>
    <t>Panel name2</t>
  </si>
  <si>
    <t>TB GRP NO1</t>
  </si>
  <si>
    <t>TB1-1</t>
  </si>
  <si>
    <t>TB1-2</t>
  </si>
  <si>
    <t>TB1-3</t>
  </si>
  <si>
    <t>Wire Ident5-1</t>
  </si>
  <si>
    <t>Wire Ident5-2</t>
  </si>
  <si>
    <t>Wire Ident5-3</t>
  </si>
  <si>
    <t>Cable Name5</t>
  </si>
  <si>
    <t>Cable Spec5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</si>
  <si>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</si>
  <si>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</si>
  <si>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</si>
  <si>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</si>
  <si>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</si>
  <si>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</si>
  <si>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</si>
  <si>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</si>
  <si>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</si>
  <si>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</si>
  <si>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</si>
  <si>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</si>
  <si>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</si>
  <si>
    <t>SA1 POWER(-)</t>
  </si>
  <si>
    <t>SA2 Name</t>
  </si>
  <si>
    <t>SA2 TB1</t>
  </si>
  <si>
    <t>SA2 TB2</t>
  </si>
  <si>
    <t>SA2 TB3</t>
  </si>
  <si>
    <t>SA2 TB4</t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</si>
  <si>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</si>
  <si>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</si>
  <si>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</si>
  <si>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</si>
  <si>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</si>
  <si>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</si>
  <si>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</si>
  <si>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</si>
  <si>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</si>
  <si>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</si>
  <si>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</si>
  <si>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</si>
  <si>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</si>
  <si>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</si>
  <si>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</si>
  <si>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</si>
  <si>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</si>
  <si>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</si>
  <si>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</si>
  <si>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</si>
  <si>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</si>
  <si>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</si>
  <si>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</si>
  <si>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</si>
  <si>
    <t>TBA NO</t>
    <phoneticPr fontId="3" type="noConversion"/>
  </si>
  <si>
    <t>Board</t>
  </si>
  <si>
    <t>TBD LOC</t>
    <phoneticPr fontId="5" type="noConversion"/>
  </si>
  <si>
    <t>Ex_Power(+)</t>
    <phoneticPr fontId="3" type="noConversion"/>
  </si>
  <si>
    <t>Ex_Power(-)</t>
    <phoneticPr fontId="3" type="noConversion"/>
  </si>
  <si>
    <t>TM</t>
  </si>
  <si>
    <t>TBD(+)</t>
  </si>
  <si>
    <t>TBD(-)</t>
  </si>
  <si>
    <t>TBD(3)</t>
  </si>
  <si>
    <t>CN A</t>
  </si>
  <si>
    <t>CN B</t>
  </si>
  <si>
    <t>Wire No1</t>
  </si>
  <si>
    <t>Wire No2</t>
  </si>
  <si>
    <t>Location5</t>
  </si>
  <si>
    <t>Panel name5</t>
  </si>
  <si>
    <t>Cable No1</t>
    <phoneticPr fontId="3" type="noConversion"/>
  </si>
  <si>
    <t>Cable Spec8</t>
  </si>
  <si>
    <t>WIRING NO1</t>
    <phoneticPr fontId="3" type="noConversion"/>
  </si>
  <si>
    <t>WIRING NO2</t>
    <phoneticPr fontId="3" type="noConversion"/>
  </si>
  <si>
    <t>DOMAIN NO</t>
    <phoneticPr fontId="5" type="noConversion"/>
  </si>
  <si>
    <t>STA NO</t>
  </si>
  <si>
    <t>NODE NO</t>
  </si>
  <si>
    <t>SLOT NO1</t>
    <phoneticPr fontId="3" type="noConversion"/>
  </si>
  <si>
    <t>SLOT NO2</t>
    <phoneticPr fontId="3" type="noConversion"/>
  </si>
  <si>
    <t>CN NO</t>
  </si>
  <si>
    <t>Node Model</t>
  </si>
  <si>
    <t>NEST</t>
  </si>
  <si>
    <t>IO Module</t>
  </si>
  <si>
    <t>Spare3</t>
  </si>
  <si>
    <t>DCS Tag</t>
  </si>
  <si>
    <t>COMMENT</t>
  </si>
  <si>
    <t>NO-1</t>
    <phoneticPr fontId="3" type="noConversion"/>
  </si>
  <si>
    <t>F/B-1</t>
  </si>
  <si>
    <t>NO-2</t>
    <phoneticPr fontId="3" type="noConversion"/>
  </si>
  <si>
    <t>F/B-2</t>
  </si>
  <si>
    <t>F/B-name1</t>
    <phoneticPr fontId="3" type="noConversion"/>
  </si>
  <si>
    <t>F/B-name2</t>
    <phoneticPr fontId="3" type="noConversion"/>
  </si>
  <si>
    <t>Macro name</t>
    <phoneticPr fontId="3" type="noConversion"/>
  </si>
  <si>
    <t>Page name</t>
    <phoneticPr fontId="3" type="noConversion"/>
  </si>
  <si>
    <t>Variant</t>
    <phoneticPr fontId="3" type="noConversion"/>
  </si>
  <si>
    <t>Redundant</t>
    <phoneticPr fontId="3" type="noConversion"/>
  </si>
  <si>
    <t>Simple/Complex</t>
    <phoneticPr fontId="3" type="noConversion"/>
  </si>
  <si>
    <t>Spare1</t>
    <phoneticPr fontId="3" type="noConversion"/>
  </si>
  <si>
    <t>Spare2</t>
    <phoneticPr fontId="3" type="noConversion"/>
  </si>
  <si>
    <t>Rev0</t>
    <phoneticPr fontId="3" type="noConversion"/>
  </si>
  <si>
    <t>Rev1</t>
  </si>
  <si>
    <t>Rev2</t>
  </si>
  <si>
    <t>Rev3</t>
  </si>
  <si>
    <t>Rev4</t>
  </si>
  <si>
    <t>Rev5</t>
  </si>
  <si>
    <t>Rev6</t>
  </si>
  <si>
    <t>Rev7</t>
  </si>
  <si>
    <t>Rev8</t>
  </si>
  <si>
    <t>Rev9</t>
  </si>
  <si>
    <t>Rev10</t>
  </si>
  <si>
    <t>Comp.No5_1</t>
    <phoneticPr fontId="5" type="noConversion"/>
  </si>
  <si>
    <t>TB_Model</t>
    <phoneticPr fontId="5" type="noConversion"/>
  </si>
  <si>
    <t>TB_Fuse</t>
    <phoneticPr fontId="5" type="noConversion"/>
  </si>
  <si>
    <t>TB_Disconnection</t>
  </si>
  <si>
    <t>INT_POWER</t>
  </si>
  <si>
    <t>EXT_POWER</t>
  </si>
  <si>
    <t>L</t>
  </si>
  <si>
    <t>N</t>
  </si>
  <si>
    <t>L(+)</t>
  </si>
  <si>
    <t>L(-)</t>
  </si>
  <si>
    <t>R(+)</t>
  </si>
  <si>
    <t>R(-)</t>
  </si>
  <si>
    <t>A1BA4D</t>
  </si>
  <si>
    <t>CONTROL ROOM</t>
  </si>
  <si>
    <t>FCS</t>
  </si>
  <si>
    <t>AAI143-H</t>
  </si>
  <si>
    <t>CN1</t>
  </si>
  <si>
    <t>AAI543-H</t>
  </si>
  <si>
    <t>Field Area</t>
    <phoneticPr fontId="5" type="noConversion"/>
  </si>
  <si>
    <t>Rack Room</t>
    <phoneticPr fontId="5" type="noConversion"/>
  </si>
  <si>
    <t>F1</t>
  </si>
  <si>
    <t>F4</t>
  </si>
  <si>
    <t>F5</t>
  </si>
  <si>
    <t>F6</t>
  </si>
  <si>
    <t>F7</t>
  </si>
  <si>
    <t>F11</t>
  </si>
  <si>
    <t>F12</t>
  </si>
  <si>
    <t>F13</t>
  </si>
  <si>
    <t>F14</t>
  </si>
  <si>
    <t>F16</t>
  </si>
  <si>
    <t>R1</t>
  </si>
  <si>
    <t>R2</t>
  </si>
  <si>
    <t>R3</t>
  </si>
  <si>
    <t>R4</t>
  </si>
  <si>
    <t>R5</t>
  </si>
  <si>
    <t>R6</t>
  </si>
  <si>
    <t>Comp. No5</t>
    <phoneticPr fontId="3" type="noConversion"/>
  </si>
  <si>
    <t>Comp. No2</t>
    <phoneticPr fontId="3" type="noConversion"/>
  </si>
  <si>
    <t>MP AIO</t>
  </si>
  <si>
    <t>SPARE</t>
  </si>
  <si>
    <t>1S–MC–107</t>
  </si>
  <si>
    <t>1S–MC–108</t>
  </si>
  <si>
    <t xml:space="preserve"> </t>
  </si>
  <si>
    <t>TB4</t>
  </si>
  <si>
    <t>F2</t>
  </si>
  <si>
    <t>F3</t>
  </si>
  <si>
    <t>F15</t>
  </si>
  <si>
    <t/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</si>
  <si>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</si>
  <si>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</si>
  <si>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</si>
  <si>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</si>
  <si>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</si>
  <si>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</si>
  <si>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</si>
  <si>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</si>
  <si>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</si>
  <si>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</si>
  <si>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</si>
  <si>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</si>
  <si>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</si>
  <si>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</si>
  <si>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</si>
  <si>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TIC40067</t>
  </si>
  <si>
    <t>PIC30211</t>
  </si>
  <si>
    <t>PIC40095A</t>
  </si>
  <si>
    <t>PIC40095B</t>
  </si>
  <si>
    <t>FIC40132</t>
  </si>
  <si>
    <t>PIC40094A</t>
  </si>
  <si>
    <t>PIC40094B</t>
  </si>
  <si>
    <t>TI40381</t>
  </si>
  <si>
    <t>LI40113</t>
  </si>
  <si>
    <t>LI40119</t>
  </si>
  <si>
    <t>PI40095</t>
  </si>
  <si>
    <t>LI40112</t>
  </si>
  <si>
    <t>LI40118</t>
  </si>
  <si>
    <t>PI40094</t>
  </si>
  <si>
    <t>FIC40123</t>
  </si>
  <si>
    <t>LI40114</t>
  </si>
  <si>
    <t>LI40120</t>
  </si>
  <si>
    <t>PIC40096A</t>
  </si>
  <si>
    <t>PIC40096B</t>
  </si>
  <si>
    <t>PIC40219A</t>
  </si>
  <si>
    <t>PIC40219B</t>
  </si>
  <si>
    <t>PIC40246</t>
  </si>
  <si>
    <t>PIC40256A</t>
  </si>
  <si>
    <t>PIC40256B</t>
  </si>
  <si>
    <t>PI40096</t>
  </si>
  <si>
    <t>LI40210</t>
  </si>
  <si>
    <t>PI40219</t>
  </si>
  <si>
    <t>LI40259</t>
  </si>
  <si>
    <t>LSLP4023A</t>
  </si>
  <si>
    <t>LSLP4023B</t>
  </si>
  <si>
    <t>LSLP4023C</t>
  </si>
  <si>
    <t>LSLP4002A</t>
  </si>
  <si>
    <t>LSLP4002B</t>
  </si>
  <si>
    <t>LSLP4017</t>
  </si>
  <si>
    <t>AIC40324</t>
  </si>
  <si>
    <t>AIC40326</t>
  </si>
  <si>
    <t>PIC40260A</t>
  </si>
  <si>
    <t>PIC40260B</t>
  </si>
  <si>
    <t>PIC40261A</t>
  </si>
  <si>
    <t>PIC40261B</t>
  </si>
  <si>
    <t>PIC40507A</t>
  </si>
  <si>
    <t>PIC40507B</t>
  </si>
  <si>
    <t>PIC40399</t>
  </si>
  <si>
    <t>PI40256</t>
  </si>
  <si>
    <t>LI40277</t>
  </si>
  <si>
    <t>LI40278</t>
  </si>
  <si>
    <t>PIC40260</t>
  </si>
  <si>
    <t>PI40261</t>
  </si>
  <si>
    <t>TI40413</t>
  </si>
  <si>
    <t>PI40507</t>
  </si>
  <si>
    <t>LSLP4019A</t>
  </si>
  <si>
    <t>LSLP4019B</t>
  </si>
  <si>
    <t>LSLP4018A</t>
  </si>
  <si>
    <t>LSLP4018B</t>
  </si>
  <si>
    <t>PI4001XP</t>
  </si>
  <si>
    <t>PI4006XP</t>
  </si>
  <si>
    <t>PI4007AXP</t>
  </si>
  <si>
    <t>PI4007BXP</t>
  </si>
  <si>
    <t>PI4013XP</t>
  </si>
  <si>
    <t>PI4014AXP</t>
  </si>
  <si>
    <t>PI4014BXP</t>
  </si>
  <si>
    <t>PI4027XP</t>
  </si>
  <si>
    <t>FI40374</t>
  </si>
  <si>
    <t>LI40002</t>
  </si>
  <si>
    <t>LI40005</t>
  </si>
  <si>
    <t>FI40376</t>
  </si>
  <si>
    <t>PI40109</t>
  </si>
  <si>
    <t>LI40027</t>
  </si>
  <si>
    <t>LI40375</t>
  </si>
  <si>
    <t>FI40379</t>
  </si>
  <si>
    <t>FI40380</t>
  </si>
  <si>
    <t>LI40047</t>
  </si>
  <si>
    <t>LI40049</t>
  </si>
  <si>
    <t>TI30124</t>
  </si>
  <si>
    <t>FI40382</t>
  </si>
  <si>
    <t>FI40383</t>
  </si>
  <si>
    <t>LI40068</t>
  </si>
  <si>
    <t>LI40071</t>
  </si>
  <si>
    <t>TI30146</t>
  </si>
  <si>
    <t>PT5402AAXY</t>
  </si>
  <si>
    <t>PT5402ABXY</t>
  </si>
  <si>
    <t>PT5402BAXY</t>
  </si>
  <si>
    <t>PT5402BBXY</t>
  </si>
  <si>
    <t>FI40386</t>
  </si>
  <si>
    <t>LI40116</t>
  </si>
  <si>
    <t>LI40124</t>
  </si>
  <si>
    <t>PI40137</t>
  </si>
  <si>
    <t>TI40128</t>
  </si>
  <si>
    <t>TIP4017</t>
  </si>
  <si>
    <t>LI40115</t>
  </si>
  <si>
    <t>LI40121</t>
  </si>
  <si>
    <t>PI40136</t>
  </si>
  <si>
    <t>TI40126</t>
  </si>
  <si>
    <t>TIP4019A</t>
  </si>
  <si>
    <t>TIP4019B</t>
  </si>
  <si>
    <t>LI40117</t>
  </si>
  <si>
    <t>LI40127</t>
  </si>
  <si>
    <t>PI40140</t>
  </si>
  <si>
    <t>TI40130</t>
  </si>
  <si>
    <t>TIP4018A</t>
  </si>
  <si>
    <t>TIP4018B</t>
  </si>
  <si>
    <t>FI40394</t>
  </si>
  <si>
    <t>LI40209</t>
  </si>
  <si>
    <t>LI40220</t>
  </si>
  <si>
    <t>PI40212</t>
  </si>
  <si>
    <t>FI40398</t>
  </si>
  <si>
    <t>LI40257</t>
  </si>
  <si>
    <t>PI40250</t>
  </si>
  <si>
    <t>TI40248</t>
  </si>
  <si>
    <t>FI40291</t>
  </si>
  <si>
    <t>LI40356</t>
  </si>
  <si>
    <t>LI40357</t>
  </si>
  <si>
    <t>PI40264</t>
  </si>
  <si>
    <t>TI40267</t>
  </si>
  <si>
    <t>TI40279</t>
  </si>
  <si>
    <t>TI40280</t>
  </si>
  <si>
    <t>TI40358</t>
  </si>
  <si>
    <t>TI40359</t>
  </si>
  <si>
    <t>TI40360</t>
  </si>
  <si>
    <t>TI40361</t>
  </si>
  <si>
    <t>FI40282</t>
  </si>
  <si>
    <t>FI40289</t>
  </si>
  <si>
    <t>TI40407</t>
  </si>
  <si>
    <t>TI40408</t>
  </si>
  <si>
    <t>TIP4023A</t>
  </si>
  <si>
    <t>TIP4023B</t>
  </si>
  <si>
    <t>TIP4023C</t>
  </si>
  <si>
    <t>FI40328</t>
  </si>
  <si>
    <t>TI40504</t>
  </si>
  <si>
    <t>TIP4002A</t>
  </si>
  <si>
    <t>TIP4002B</t>
  </si>
  <si>
    <t>LI55022</t>
  </si>
  <si>
    <t>FIC51009</t>
  </si>
  <si>
    <t>LIC51004</t>
  </si>
  <si>
    <t>AIC51018</t>
  </si>
  <si>
    <t>LI51025</t>
  </si>
  <si>
    <t>PIC19501</t>
  </si>
  <si>
    <t>PIC55067</t>
  </si>
  <si>
    <t>PI52008</t>
  </si>
  <si>
    <t>PIC53015</t>
  </si>
  <si>
    <t>PIC53021</t>
  </si>
  <si>
    <t>TIC53019</t>
  </si>
  <si>
    <t>PIC53023</t>
  </si>
  <si>
    <t>PIC53024</t>
  </si>
  <si>
    <t>TIC53025</t>
  </si>
  <si>
    <t>PICY54279</t>
  </si>
  <si>
    <t>PIC53027</t>
  </si>
  <si>
    <t>LI51026</t>
  </si>
  <si>
    <t xml:space="preserve">TK-4006 LEVEL </t>
  </si>
  <si>
    <t xml:space="preserve">TK-4006 TEMP. </t>
  </si>
  <si>
    <t xml:space="preserve">TEO TO TK-4006 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</si>
  <si>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</si>
  <si>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</si>
  <si>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</si>
  <si>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</si>
  <si>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</si>
  <si>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</si>
  <si>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</si>
  <si>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</si>
  <si>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</si>
  <si>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</si>
  <si>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</si>
  <si>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LP STEAM TO E-4001 </t>
  </si>
  <si>
    <t xml:space="preserve">LP STEAM TO E-4002 </t>
  </si>
  <si>
    <t xml:space="preserve">LP STEAM TO E-4004 </t>
  </si>
  <si>
    <t xml:space="preserve">LP STEAM TO E-4003 </t>
  </si>
  <si>
    <t xml:space="preserve">YEO FROM EPDM </t>
  </si>
  <si>
    <t xml:space="preserve">N2 TO TK-4003 </t>
  </si>
  <si>
    <t xml:space="preserve">N2 FROM TK-4003 </t>
  </si>
  <si>
    <t xml:space="preserve">P-4019 A/B MIN. FLOW </t>
  </si>
  <si>
    <t xml:space="preserve">N2 TO TK-4004 </t>
  </si>
  <si>
    <t xml:space="preserve">N2 FROM TK-4004 </t>
  </si>
  <si>
    <t xml:space="preserve">TK-4008 TEMP. </t>
  </si>
  <si>
    <t xml:space="preserve">YEO TO TK-4008 </t>
  </si>
  <si>
    <t xml:space="preserve">TK-4003 LEVEL </t>
  </si>
  <si>
    <t xml:space="preserve">TK-4003 PRESS. </t>
  </si>
  <si>
    <t xml:space="preserve">TK-4004 LEVEL </t>
  </si>
  <si>
    <t xml:space="preserve">TK-4004 PRESS. </t>
  </si>
  <si>
    <t xml:space="preserve">TK-4005 LEVEL </t>
  </si>
  <si>
    <t xml:space="preserve">P-4018 A/B MIN. FLOW </t>
  </si>
  <si>
    <t xml:space="preserve">N2 TO TK-4005 </t>
  </si>
  <si>
    <t xml:space="preserve">N2 FROM TK-4005 </t>
  </si>
  <si>
    <t xml:space="preserve">N2 TO TK-4012 </t>
  </si>
  <si>
    <t xml:space="preserve">N2 FROM TK-4012 </t>
  </si>
  <si>
    <t xml:space="preserve">P-4014 A/B MIN. FLOW LINE </t>
  </si>
  <si>
    <t xml:space="preserve">N2 TO TK-4011 </t>
  </si>
  <si>
    <t xml:space="preserve">N2 FROM TK-4011 </t>
  </si>
  <si>
    <t xml:space="preserve">TK-4005 PRESS. </t>
  </si>
  <si>
    <t xml:space="preserve">TK-4012 LEVEL </t>
  </si>
  <si>
    <t xml:space="preserve">TK-4012 PRESS. </t>
  </si>
  <si>
    <t xml:space="preserve">TK-4011 LEVEL </t>
  </si>
  <si>
    <t xml:space="preserve">TOL TO EPDM </t>
  </si>
  <si>
    <t xml:space="preserve">BY PACKAGE VENDOR </t>
  </si>
  <si>
    <t xml:space="preserve">STYRENE TRANSFER PUMPS </t>
  </si>
  <si>
    <t xml:space="preserve">P-4017 </t>
  </si>
  <si>
    <t xml:space="preserve">V-4003 LEVEL </t>
  </si>
  <si>
    <t>AIR TO  TK-4001</t>
  </si>
  <si>
    <t xml:space="preserve">N2 TO TK-4001 </t>
  </si>
  <si>
    <t xml:space="preserve">N2 FROM TK-4001 </t>
  </si>
  <si>
    <t xml:space="preserve">N2 TO TK-4002 </t>
  </si>
  <si>
    <t xml:space="preserve">N2 FROM TK-4002 </t>
  </si>
  <si>
    <t xml:space="preserve">V-4003 PRESS. </t>
  </si>
  <si>
    <t xml:space="preserve">STYRENE TRANSFER PUMP P-4002 A/B MIN. FLOW </t>
  </si>
  <si>
    <t xml:space="preserve">TK-4011 PRESS. </t>
  </si>
  <si>
    <t xml:space="preserve">TK-4001 ANALZYER  </t>
  </si>
  <si>
    <t xml:space="preserve">TK-4002 ANALZYER </t>
  </si>
  <si>
    <t xml:space="preserve">TK-4001 LEVEL </t>
  </si>
  <si>
    <t xml:space="preserve">TK-4002 LEVEL </t>
  </si>
  <si>
    <t xml:space="preserve">TK-4001 PRESS. </t>
  </si>
  <si>
    <t xml:space="preserve">TK-4002 PRESS. </t>
  </si>
  <si>
    <t xml:space="preserve">PUMP SEAL </t>
  </si>
  <si>
    <t xml:space="preserve">P-4004 DISCHARGE FLOW </t>
  </si>
  <si>
    <t xml:space="preserve">P-4006 DISCHARGE FLOW </t>
  </si>
  <si>
    <t xml:space="preserve">P-4010A DISCHARGE FLOW </t>
  </si>
  <si>
    <t xml:space="preserve">P-4010B DISCHARGE FLOW </t>
  </si>
  <si>
    <t xml:space="preserve">WEO TO EPDM </t>
  </si>
  <si>
    <t xml:space="preserve">P-4008A DISCHARGE FLOW </t>
  </si>
  <si>
    <t xml:space="preserve">P-4008B DISCHARGE FLOW </t>
  </si>
  <si>
    <t xml:space="preserve">YEO TO EPDM </t>
  </si>
  <si>
    <t xml:space="preserve">P-4017 DISCHARGE FLOW </t>
  </si>
  <si>
    <t xml:space="preserve">TK-4003 TEMP. </t>
  </si>
  <si>
    <t xml:space="preserve">TK-4004 TEMP. </t>
  </si>
  <si>
    <t xml:space="preserve">TK-4005 TEMP. </t>
  </si>
  <si>
    <t xml:space="preserve">P-4015 DISCHARGE FLOW </t>
  </si>
  <si>
    <t xml:space="preserve">P-4013 DISCHARGE FLOW </t>
  </si>
  <si>
    <t xml:space="preserve">TK-4011 TEMP. </t>
  </si>
  <si>
    <t xml:space="preserve">ST TO TK-4002 </t>
  </si>
  <si>
    <t xml:space="preserve">TK-4001 TEMP. </t>
  </si>
  <si>
    <t xml:space="preserve">TK-4002 TEMP. </t>
  </si>
  <si>
    <t xml:space="preserve">STYRENE TO TK-4002 </t>
  </si>
  <si>
    <t xml:space="preserve">STYRENE TO TK-4001 </t>
  </si>
  <si>
    <t xml:space="preserve">V-4003 TEMP. </t>
  </si>
  <si>
    <t xml:space="preserve">N-5517 LEVEL </t>
  </si>
  <si>
    <t>CWR TO  OPEN DITCH</t>
  </si>
  <si>
    <t xml:space="preserve">N-5101 LEVEL </t>
  </si>
  <si>
    <t xml:space="preserve">COOLING WATER TO USERS </t>
  </si>
  <si>
    <t xml:space="preserve">MS FOR DISTRIBUTION </t>
  </si>
  <si>
    <t>INCINERATOR WASTE GAS</t>
  </si>
  <si>
    <t>INCINERATOR FG LINE</t>
  </si>
  <si>
    <t>INCINERATOR FGH LINE</t>
  </si>
  <si>
    <t xml:space="preserve">BLOWDOWN </t>
  </si>
  <si>
    <t xml:space="preserve">INDUSTRIAL WATER MAKEUP </t>
  </si>
  <si>
    <t xml:space="preserve">HP STEAM FROM OSBL </t>
  </si>
  <si>
    <t xml:space="preserve">STEAM CONDENSATE TO MP STEAM DESUPERHEATER </t>
  </si>
  <si>
    <t xml:space="preserve">MP STEAM FROM MAIN HEADER </t>
  </si>
  <si>
    <t xml:space="preserve">LP STEAM FOR CLEANING </t>
  </si>
  <si>
    <t xml:space="preserve">STEAM CONDENSATE TO LP STEAM DESUPERHEATER </t>
  </si>
  <si>
    <t xml:space="preserve">MS TO X-5301 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</si>
  <si>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</si>
  <si>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</si>
  <si>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</si>
  <si>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</si>
  <si>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</si>
  <si>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</si>
  <si>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</si>
  <si>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</si>
  <si>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</si>
  <si>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</si>
  <si>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</si>
  <si>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</si>
  <si>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</si>
  <si>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</si>
  <si>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</si>
  <si>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TV40001</t>
  </si>
  <si>
    <t>PV10104</t>
  </si>
  <si>
    <t>TV40021</t>
  </si>
  <si>
    <t>PV10105</t>
  </si>
  <si>
    <t>TV40046</t>
  </si>
  <si>
    <t>PV30212</t>
  </si>
  <si>
    <t>TV40067</t>
  </si>
  <si>
    <t>PV30211</t>
  </si>
  <si>
    <t>PV40095A</t>
  </si>
  <si>
    <t>PV40095B</t>
  </si>
  <si>
    <t>FV40132</t>
  </si>
  <si>
    <t>PV40094A</t>
  </si>
  <si>
    <t>PV40094B</t>
  </si>
  <si>
    <t>TT40067</t>
  </si>
  <si>
    <t>TT40381</t>
  </si>
  <si>
    <t>PT30211</t>
  </si>
  <si>
    <t>LT40113</t>
  </si>
  <si>
    <t>LT40119</t>
  </si>
  <si>
    <t>PT40095</t>
  </si>
  <si>
    <t>FT40132</t>
  </si>
  <si>
    <t>LT40112</t>
  </si>
  <si>
    <t>LT40118</t>
  </si>
  <si>
    <t>PT40094</t>
  </si>
  <si>
    <t>FT40123</t>
  </si>
  <si>
    <t>LT40114</t>
  </si>
  <si>
    <t>LT40120</t>
  </si>
  <si>
    <t>FV40123</t>
  </si>
  <si>
    <t>PV40096A</t>
  </si>
  <si>
    <t>PV40096B</t>
  </si>
  <si>
    <t>PV40219A</t>
  </si>
  <si>
    <t>PV40219B</t>
  </si>
  <si>
    <t>PV40246</t>
  </si>
  <si>
    <t>PV40256A</t>
  </si>
  <si>
    <t>PV40256B</t>
  </si>
  <si>
    <t>PT40096</t>
  </si>
  <si>
    <t>LT40210</t>
  </si>
  <si>
    <t>PT40219</t>
  </si>
  <si>
    <t>LT40259</t>
  </si>
  <si>
    <t>PT40246</t>
  </si>
  <si>
    <t>LT40503</t>
  </si>
  <si>
    <t>AV40324</t>
  </si>
  <si>
    <t>AV40326</t>
  </si>
  <si>
    <t>PV40260A</t>
  </si>
  <si>
    <t>PV40260B</t>
  </si>
  <si>
    <t>PV40261A</t>
  </si>
  <si>
    <t>PV40261B</t>
  </si>
  <si>
    <t>PV40507A</t>
  </si>
  <si>
    <t>PV40507B</t>
  </si>
  <si>
    <t>PV40399</t>
  </si>
  <si>
    <t>PT40256</t>
  </si>
  <si>
    <t>AT40324</t>
  </si>
  <si>
    <t>AT40326</t>
  </si>
  <si>
    <t>LT40277</t>
  </si>
  <si>
    <t>LT40278</t>
  </si>
  <si>
    <t>PT40260</t>
  </si>
  <si>
    <t>PT40261</t>
  </si>
  <si>
    <t>TT40413</t>
  </si>
  <si>
    <t>PT40399</t>
  </si>
  <si>
    <t>PT40507</t>
  </si>
  <si>
    <t>PT4001XP</t>
  </si>
  <si>
    <t>PT4006XP</t>
  </si>
  <si>
    <t>PT4007AXP</t>
  </si>
  <si>
    <t>PT4007BXP</t>
  </si>
  <si>
    <t>PT4013XP</t>
  </si>
  <si>
    <t>PT4014AXP</t>
  </si>
  <si>
    <t>PT4014BXP</t>
  </si>
  <si>
    <t>PT4027XP</t>
  </si>
  <si>
    <t>FT40374</t>
  </si>
  <si>
    <t>LT40002</t>
  </si>
  <si>
    <t>LT40005</t>
  </si>
  <si>
    <t>FT40376</t>
  </si>
  <si>
    <t>PT40109</t>
  </si>
  <si>
    <t>LT40027</t>
  </si>
  <si>
    <t>LT40375</t>
  </si>
  <si>
    <t>FT40379</t>
  </si>
  <si>
    <t>FT40380</t>
  </si>
  <si>
    <t>LT40047</t>
  </si>
  <si>
    <t>LT40049</t>
  </si>
  <si>
    <t>TT30124</t>
  </si>
  <si>
    <t>FT40382</t>
  </si>
  <si>
    <t>FT40383</t>
  </si>
  <si>
    <t>LT40068</t>
  </si>
  <si>
    <t>LT40071</t>
  </si>
  <si>
    <t>TT30146</t>
  </si>
  <si>
    <t>FT40386</t>
  </si>
  <si>
    <t>LT40116</t>
  </si>
  <si>
    <t>LT40124</t>
  </si>
  <si>
    <t>PT40137</t>
  </si>
  <si>
    <t>TT40128</t>
  </si>
  <si>
    <t>TTP4017</t>
  </si>
  <si>
    <t>LT40115</t>
  </si>
  <si>
    <t>LT40121</t>
  </si>
  <si>
    <t>PT40136</t>
  </si>
  <si>
    <t>TT40126</t>
  </si>
  <si>
    <t>TTP4019A</t>
  </si>
  <si>
    <t>TTP4019B</t>
  </si>
  <si>
    <t>LT40117</t>
  </si>
  <si>
    <t>LT40127</t>
  </si>
  <si>
    <t>PT40140</t>
  </si>
  <si>
    <t>TT40130</t>
  </si>
  <si>
    <t>TTP4018A</t>
  </si>
  <si>
    <t>TTP4018B</t>
  </si>
  <si>
    <t>FT40394</t>
  </si>
  <si>
    <t>LT40209</t>
  </si>
  <si>
    <t>LT40220</t>
  </si>
  <si>
    <t>PT40212</t>
  </si>
  <si>
    <t>FT40398</t>
  </si>
  <si>
    <t>LT40247</t>
  </si>
  <si>
    <t>LT40257</t>
  </si>
  <si>
    <t>PT40250</t>
  </si>
  <si>
    <t>TT40248</t>
  </si>
  <si>
    <t>FT40291</t>
  </si>
  <si>
    <t>LT40356</t>
  </si>
  <si>
    <t>LT40357</t>
  </si>
  <si>
    <t>PT40264</t>
  </si>
  <si>
    <t>TT40267</t>
  </si>
  <si>
    <t>TT40279</t>
  </si>
  <si>
    <t>TT40280</t>
  </si>
  <si>
    <t>TT40358</t>
  </si>
  <si>
    <t>TT40359</t>
  </si>
  <si>
    <t>TT40360</t>
  </si>
  <si>
    <t>TT40361</t>
  </si>
  <si>
    <t>FT40282</t>
  </si>
  <si>
    <t>FT40289</t>
  </si>
  <si>
    <t>TT40407</t>
  </si>
  <si>
    <t>TT40408</t>
  </si>
  <si>
    <t>TTP4023A</t>
  </si>
  <si>
    <t>TTP4023B</t>
  </si>
  <si>
    <t>TTP4023C</t>
  </si>
  <si>
    <t>TT40504</t>
  </si>
  <si>
    <t>TTP4002A</t>
  </si>
  <si>
    <t>TTP4002B</t>
  </si>
  <si>
    <t>LT55022</t>
  </si>
  <si>
    <t>FT51009</t>
  </si>
  <si>
    <t>LT51004</t>
  </si>
  <si>
    <t>AT51018</t>
  </si>
  <si>
    <t>LT51025</t>
  </si>
  <si>
    <t>PT19501</t>
  </si>
  <si>
    <t>PT55067</t>
  </si>
  <si>
    <t>PT52008</t>
  </si>
  <si>
    <t>PT53015</t>
  </si>
  <si>
    <t>PT53021</t>
  </si>
  <si>
    <t>TT53019</t>
  </si>
  <si>
    <t>PT53023</t>
  </si>
  <si>
    <t>PT53024</t>
  </si>
  <si>
    <t>TT53025</t>
  </si>
  <si>
    <t>PTY54279</t>
  </si>
  <si>
    <t>FV51009</t>
  </si>
  <si>
    <t>LV51004</t>
  </si>
  <si>
    <t>PV53021</t>
  </si>
  <si>
    <t>TV53019</t>
  </si>
  <si>
    <t>PV53023</t>
  </si>
  <si>
    <t>PV53027</t>
  </si>
  <si>
    <t>PV53024</t>
  </si>
  <si>
    <t>PV19501</t>
  </si>
  <si>
    <t>LT51026</t>
  </si>
  <si>
    <t>PV55067</t>
  </si>
  <si>
    <t>PT53027</t>
  </si>
  <si>
    <t>Field Area</t>
    <phoneticPr fontId="5" type="noConversion"/>
  </si>
  <si>
    <t>TSP4017</t>
  </si>
  <si>
    <t>1S–MC–118</t>
  </si>
  <si>
    <t>A1BD5D</t>
  </si>
  <si>
    <t>FCS0111</t>
  </si>
  <si>
    <t>ANB10D</t>
    <phoneticPr fontId="3" type="noConversion"/>
  </si>
  <si>
    <t>ADV151-P</t>
  </si>
  <si>
    <t>WS  UNLOADING PUMP</t>
  </si>
  <si>
    <t>1S-SC-</t>
    <phoneticPr fontId="3" type="noConversion"/>
  </si>
  <si>
    <t>A</t>
    <phoneticPr fontId="3" type="noConversion"/>
  </si>
  <si>
    <t>B</t>
    <phoneticPr fontId="3" type="noConversion"/>
  </si>
  <si>
    <t>ANB10D</t>
    <phoneticPr fontId="3" type="noConversion"/>
  </si>
  <si>
    <t>Field Area</t>
    <phoneticPr fontId="5" type="noConversion"/>
  </si>
  <si>
    <t>ANB10D</t>
    <phoneticPr fontId="3" type="noConversion"/>
  </si>
  <si>
    <t>JSLP4017</t>
  </si>
  <si>
    <t>1S–MC–127</t>
  </si>
  <si>
    <t>JSLP4019A</t>
  </si>
  <si>
    <t>WS TRANSFER PUMP FOR SSBR B</t>
  </si>
  <si>
    <t>JSLP4019B</t>
  </si>
  <si>
    <t>JSLP4018A</t>
  </si>
  <si>
    <t>JSLP4018B</t>
  </si>
  <si>
    <t>JSLP4023A</t>
  </si>
  <si>
    <t>JSLP4023B</t>
  </si>
  <si>
    <t>JSLP4023C</t>
  </si>
  <si>
    <t>JSLP4002A</t>
  </si>
  <si>
    <t xml:space="preserve">P-4002A LEVEL </t>
  </si>
  <si>
    <t>JSLP4002B</t>
  </si>
  <si>
    <t xml:space="preserve">P-4002B LEVEL </t>
  </si>
  <si>
    <t>UAS4006AP</t>
  </si>
  <si>
    <t>1S–MC–120</t>
  </si>
  <si>
    <t>ARM55T</t>
  </si>
  <si>
    <t>ADV551-P</t>
  </si>
  <si>
    <t>ALARM PROGRESS</t>
  </si>
  <si>
    <t>UAS4006BP</t>
  </si>
  <si>
    <t>ALARM CHECK</t>
  </si>
  <si>
    <t>UAS4006CP</t>
  </si>
  <si>
    <t>ALARM FAIL</t>
  </si>
  <si>
    <t>YAP4004</t>
  </si>
  <si>
    <t xml:space="preserve">TDAE UNL OADING PUMP </t>
  </si>
  <si>
    <t>YIP4004</t>
  </si>
  <si>
    <t>YAP4005A</t>
  </si>
  <si>
    <t xml:space="preserve">TDAE TRANSFER PUMP </t>
  </si>
  <si>
    <t>YAP4005B</t>
  </si>
  <si>
    <t>YAP4006</t>
  </si>
  <si>
    <t>BIO-OIL PUMP</t>
  </si>
  <si>
    <t>YIP4006</t>
  </si>
  <si>
    <t>YAP4007A</t>
  </si>
  <si>
    <t>YAP4007B</t>
  </si>
  <si>
    <t>YAP4010A</t>
  </si>
  <si>
    <t xml:space="preserve">PARAFFINIC WEO UNL OADING PUMPS </t>
  </si>
  <si>
    <t>YIP4010A</t>
  </si>
  <si>
    <t>YAP4010B</t>
  </si>
  <si>
    <t>ANB10D</t>
    <phoneticPr fontId="3" type="noConversion"/>
  </si>
  <si>
    <t>Field Area</t>
    <phoneticPr fontId="5" type="noConversion"/>
  </si>
  <si>
    <t>YIP4010B</t>
  </si>
  <si>
    <t>YAP4011A</t>
  </si>
  <si>
    <t xml:space="preserve">PARAFFINIC WEO TRANSFER PUMPS </t>
  </si>
  <si>
    <t>YAP4011B</t>
  </si>
  <si>
    <t>YAP4008A</t>
  </si>
  <si>
    <t xml:space="preserve">PARAFFINC YEO UNLOADING PUMPS </t>
  </si>
  <si>
    <t>YIP4008A</t>
  </si>
  <si>
    <t>YAP4008B</t>
  </si>
  <si>
    <t>YIP4008B</t>
  </si>
  <si>
    <t>YAP4009A</t>
  </si>
  <si>
    <t xml:space="preserve">PARAFFINC YEO TRANSFER PUMP </t>
  </si>
  <si>
    <t>YAP4009B</t>
  </si>
  <si>
    <t>YAP4017</t>
  </si>
  <si>
    <t>YIP4017</t>
  </si>
  <si>
    <t>YAP4026A</t>
  </si>
  <si>
    <t xml:space="preserve">PROCESS WATER PUMP FOR COMMON WS STORAGE </t>
  </si>
  <si>
    <t>YIP4026A</t>
  </si>
  <si>
    <t>YAP4026B</t>
  </si>
  <si>
    <t>YIP4026B</t>
  </si>
  <si>
    <t>YAP4019A</t>
  </si>
  <si>
    <t>WS TRANSFER PUMP FOR SSBR-B</t>
  </si>
  <si>
    <t>YAP4019B</t>
  </si>
  <si>
    <t>YAP4025</t>
  </si>
  <si>
    <t>YIP4025</t>
  </si>
  <si>
    <t>YAP4018A</t>
  </si>
  <si>
    <t>WS TRANSFER PUMP  FOR SSBR-B</t>
  </si>
  <si>
    <t>YAP4018B</t>
  </si>
  <si>
    <t>HSAP4004</t>
  </si>
  <si>
    <t>ARM55D</t>
  </si>
  <si>
    <t>HSMP4004</t>
  </si>
  <si>
    <t>HSAP4005A</t>
  </si>
  <si>
    <t>HSAP4005B</t>
  </si>
  <si>
    <t>HSAP4006</t>
  </si>
  <si>
    <t>HSMP4006</t>
  </si>
  <si>
    <t>HSAP4007A</t>
  </si>
  <si>
    <t>HSAP4007B</t>
  </si>
  <si>
    <t>HSAP4010A</t>
  </si>
  <si>
    <t>HSMP4010A</t>
  </si>
  <si>
    <t>HSAP4010B</t>
  </si>
  <si>
    <t>HSMP4010B</t>
  </si>
  <si>
    <t>HSAP4011A</t>
  </si>
  <si>
    <t>HSAP4011B</t>
  </si>
  <si>
    <t>HSAP4008A</t>
  </si>
  <si>
    <t>HSMP4008A</t>
  </si>
  <si>
    <t>HS40421AP</t>
  </si>
  <si>
    <t>TB5</t>
  </si>
  <si>
    <t>HAND SWITCH I-4025 OR I-4026</t>
  </si>
  <si>
    <t>HS40421BP</t>
  </si>
  <si>
    <t>HS40422AP</t>
  </si>
  <si>
    <t>HAND SWITCH I-4025 OR I-4028</t>
  </si>
  <si>
    <t>HS40422BP</t>
  </si>
  <si>
    <t>HS40423AP</t>
  </si>
  <si>
    <t>HAND SWITCH I-4021,S-4014 OR I-4022,S-4015 OR I-4023,S-4016</t>
  </si>
  <si>
    <t>HS40423BP</t>
  </si>
  <si>
    <t>HS40423CP</t>
  </si>
  <si>
    <t>HS40423DP</t>
  </si>
  <si>
    <t>HS40262AP</t>
  </si>
  <si>
    <t>HAND SWITCH I-4017 OR I-4018 OR OFF</t>
  </si>
  <si>
    <t>HS40262BP</t>
  </si>
  <si>
    <t>HS40262CP</t>
  </si>
  <si>
    <t>HS40263AP</t>
  </si>
  <si>
    <t>HS40263BP</t>
  </si>
  <si>
    <t>HS40263CP</t>
  </si>
  <si>
    <t>HS40088P</t>
  </si>
  <si>
    <t>PACKAGE Y-4005 S-4002 STOP</t>
  </si>
  <si>
    <t>HS40223P</t>
  </si>
  <si>
    <t>PACKAGE Y-4008 S-4003 STOP</t>
  </si>
  <si>
    <t>HS40317P</t>
  </si>
  <si>
    <t>PACKAGE Y-4004 S-4005 STOP</t>
  </si>
  <si>
    <t>HS40294P</t>
  </si>
  <si>
    <t>PACKAGE Y-4002 S-4006 STOP</t>
  </si>
  <si>
    <t>YAP4024</t>
  </si>
  <si>
    <t xml:space="preserve">PROCESS WATER PUMP FOR SSBR-B WS STORAGE </t>
  </si>
  <si>
    <t>YIP4024</t>
  </si>
  <si>
    <t>YAP4015</t>
  </si>
  <si>
    <t>FRESH VO UNLOADING PUMP</t>
  </si>
  <si>
    <t>YIP4015</t>
  </si>
  <si>
    <t>YAP4016A</t>
  </si>
  <si>
    <t>FRESH VO TRANSFER PUMP</t>
  </si>
  <si>
    <t>YIP4016A</t>
  </si>
  <si>
    <t>YAP4016B</t>
  </si>
  <si>
    <t>YIP4016B</t>
  </si>
  <si>
    <t>YAP4013</t>
  </si>
  <si>
    <t>ANB10D</t>
    <phoneticPr fontId="3" type="noConversion"/>
  </si>
  <si>
    <t xml:space="preserve">FRESH TOL UNL OADING PUMP </t>
  </si>
  <si>
    <t>Field Area</t>
    <phoneticPr fontId="5" type="noConversion"/>
  </si>
  <si>
    <t>YIP4013</t>
  </si>
  <si>
    <t>YAP4014A</t>
  </si>
  <si>
    <t xml:space="preserve">FRESH TOL TRANSFEER PUMPS </t>
  </si>
  <si>
    <t>YAP4014B</t>
  </si>
  <si>
    <t>YAP4001</t>
  </si>
  <si>
    <t xml:space="preserve">STYRENE UNL OADING PUMP </t>
  </si>
  <si>
    <t>YAP4023A</t>
  </si>
  <si>
    <t xml:space="preserve">STYRENE REFRIGERATION PUMP </t>
  </si>
  <si>
    <t>YAP4023B</t>
  </si>
  <si>
    <t>YAP4023C</t>
  </si>
  <si>
    <t>YAP4027</t>
  </si>
  <si>
    <t>CD DRUM PUMP</t>
  </si>
  <si>
    <t>YAP4002A</t>
  </si>
  <si>
    <t>YAP4002B</t>
  </si>
  <si>
    <t>HSAP4008B</t>
  </si>
  <si>
    <t>TB6</t>
  </si>
  <si>
    <t>HSMP4008B</t>
  </si>
  <si>
    <t>HSAP4009A</t>
  </si>
  <si>
    <t>HSAP4009B</t>
  </si>
  <si>
    <t>HSMP4017</t>
  </si>
  <si>
    <t>HSAP4026A</t>
  </si>
  <si>
    <t>HSMP4026A</t>
  </si>
  <si>
    <t>HSAP4026B</t>
  </si>
  <si>
    <t>HSMP4026B</t>
  </si>
  <si>
    <t>HSAP4019A</t>
  </si>
  <si>
    <t>HSAP4019B</t>
  </si>
  <si>
    <t>HSAP4025</t>
  </si>
  <si>
    <t>HSMP4025</t>
  </si>
  <si>
    <t>HSAP4018A</t>
  </si>
  <si>
    <t>HSAP4018B</t>
  </si>
  <si>
    <t>HSS4001P</t>
  </si>
  <si>
    <t>HAND SWITCH S-4001</t>
  </si>
  <si>
    <t>HSS4002P</t>
  </si>
  <si>
    <t>HAND SWITCH S-4002</t>
  </si>
  <si>
    <t>HSS4003P</t>
  </si>
  <si>
    <t>HAND SWITCH S-4003</t>
  </si>
  <si>
    <t>HSS4004P</t>
  </si>
  <si>
    <t>HAND SWITCH S-4004</t>
  </si>
  <si>
    <t>HSS4005P</t>
  </si>
  <si>
    <t>HAND SWITCH S-4005</t>
  </si>
  <si>
    <t>HSS4008P</t>
  </si>
  <si>
    <t>HAND SWITCH S-4008</t>
  </si>
  <si>
    <t>HSS4010P</t>
  </si>
  <si>
    <t>HAND SWITCH S-4010</t>
  </si>
  <si>
    <t>HSS4012P</t>
  </si>
  <si>
    <t>HAND SWITCH S-4012</t>
  </si>
  <si>
    <t>1SMC118B</t>
  </si>
  <si>
    <t>1SMC118C</t>
  </si>
  <si>
    <t>1SMC127B</t>
  </si>
  <si>
    <t>1SMC127C</t>
  </si>
  <si>
    <t>HSS4011P</t>
  </si>
  <si>
    <t>HAND SWITCH S-4011</t>
  </si>
  <si>
    <t>HSS4013P</t>
  </si>
  <si>
    <t>HAND SWITCH S-4013</t>
  </si>
  <si>
    <t>HSS4006P</t>
  </si>
  <si>
    <t>HAND SWITCH S-4006</t>
  </si>
  <si>
    <t>UAS4001AP</t>
  </si>
  <si>
    <t>UAS4001BP</t>
  </si>
  <si>
    <t>UAS4001CP</t>
  </si>
  <si>
    <t>UAS4002AP</t>
  </si>
  <si>
    <t>UAS4002BP</t>
  </si>
  <si>
    <t>UAS4002CP</t>
  </si>
  <si>
    <t>UAS4003AP</t>
  </si>
  <si>
    <t>UAS4003BP</t>
  </si>
  <si>
    <t>UAS4003CP</t>
  </si>
  <si>
    <t>UAS4004AP</t>
  </si>
  <si>
    <t>UAS4004BP</t>
  </si>
  <si>
    <t>UAS4004CP</t>
  </si>
  <si>
    <t>UAS4005AP</t>
  </si>
  <si>
    <t>UAS4005BP</t>
  </si>
  <si>
    <t>UAS4005CP</t>
  </si>
  <si>
    <t>UAS4008AP</t>
  </si>
  <si>
    <t>UAS4008BP</t>
  </si>
  <si>
    <t>UAS4008CP</t>
  </si>
  <si>
    <t>UAS4010AP</t>
  </si>
  <si>
    <t>UAS4010BP</t>
  </si>
  <si>
    <t>UAS4010CP</t>
  </si>
  <si>
    <t>UAS4012AP</t>
  </si>
  <si>
    <t>UAS4012BP</t>
  </si>
  <si>
    <t>UAS4012CP</t>
  </si>
  <si>
    <t>UAS4011AP</t>
  </si>
  <si>
    <t>UAS4011BP</t>
  </si>
  <si>
    <t>UAS4011CP</t>
  </si>
  <si>
    <t>UAS4013AP</t>
  </si>
  <si>
    <t>UAS4013BP</t>
  </si>
  <si>
    <t>UAS4013CP</t>
  </si>
  <si>
    <t>LSL4001XP</t>
  </si>
  <si>
    <t>LSL4006XP</t>
  </si>
  <si>
    <t>LSL4007AXP</t>
  </si>
  <si>
    <t>LSL4007BXP</t>
  </si>
  <si>
    <t>LSL4013XP</t>
  </si>
  <si>
    <t>LSL4014AXP</t>
  </si>
  <si>
    <t>LSL4014BXP</t>
  </si>
  <si>
    <t>LSL4027XP</t>
  </si>
  <si>
    <t>EDSL40012</t>
  </si>
  <si>
    <t>EDSL40045</t>
  </si>
  <si>
    <t>EDSL40059</t>
  </si>
  <si>
    <t>EDSL40060</t>
  </si>
  <si>
    <t>EDSL40064</t>
  </si>
  <si>
    <t>EDSL40079</t>
  </si>
  <si>
    <t>EDSL40093</t>
  </si>
  <si>
    <t xml:space="preserve">UNLOADING AREA </t>
  </si>
  <si>
    <t>ZSH40090</t>
  </si>
  <si>
    <t xml:space="preserve">LLN TO Y-4005 </t>
  </si>
  <si>
    <t>ZSL40090</t>
  </si>
  <si>
    <t>ZSH40091</t>
  </si>
  <si>
    <t xml:space="preserve">WS FROM Y-4005 </t>
  </si>
  <si>
    <t>ZSL40091</t>
  </si>
  <si>
    <t>PSHP4026A</t>
  </si>
  <si>
    <t>PSHP4026B</t>
  </si>
  <si>
    <t>ZSH40384</t>
  </si>
  <si>
    <t xml:space="preserve">WS TO TK-4003 </t>
  </si>
  <si>
    <t>ZSL40384</t>
  </si>
  <si>
    <t>ZSH40385</t>
  </si>
  <si>
    <t xml:space="preserve">WS TO P-4018A/B </t>
  </si>
  <si>
    <t>ZSL40385</t>
  </si>
  <si>
    <t>HS40385LO</t>
  </si>
  <si>
    <t>HS40385LC</t>
  </si>
  <si>
    <t>LSHP4019A</t>
  </si>
  <si>
    <t>LSHP4019B</t>
  </si>
  <si>
    <t>PSHP4025</t>
  </si>
  <si>
    <t>ZSH40387</t>
  </si>
  <si>
    <t xml:space="preserve">WS TO TK-4004 </t>
  </si>
  <si>
    <t>ZSL40387</t>
  </si>
  <si>
    <t>ZSH40388</t>
  </si>
  <si>
    <t xml:space="preserve">WS FROM TK-4003 </t>
  </si>
  <si>
    <t>ZSL40388</t>
  </si>
  <si>
    <t>HS40388LO</t>
  </si>
  <si>
    <t>HS40388LC</t>
  </si>
  <si>
    <t>LSHP4018A</t>
  </si>
  <si>
    <t>LSHP4018B</t>
  </si>
  <si>
    <t>PSHP4024</t>
  </si>
  <si>
    <t>ZSH40389</t>
  </si>
  <si>
    <t xml:space="preserve">WS TO TK-4005 </t>
  </si>
  <si>
    <t>ZSL40389</t>
  </si>
  <si>
    <t>ZSH40390</t>
  </si>
  <si>
    <t>ZSL40390</t>
  </si>
  <si>
    <t>HS40390LO</t>
  </si>
  <si>
    <t>HS40390LC</t>
  </si>
  <si>
    <t>EDSL40228</t>
  </si>
  <si>
    <t>ZSH40225</t>
  </si>
  <si>
    <t xml:space="preserve">LLN TO Y-4008 </t>
  </si>
  <si>
    <t>ZSL40225</t>
  </si>
  <si>
    <t>ZSH40226</t>
  </si>
  <si>
    <t>VO FROM Y-4008</t>
  </si>
  <si>
    <t>ZSL40226</t>
  </si>
  <si>
    <t>HSAP4024</t>
  </si>
  <si>
    <t>HSMP4024</t>
  </si>
  <si>
    <t>HSAP4015</t>
  </si>
  <si>
    <t>HSMP4015</t>
  </si>
  <si>
    <t>HSAP4016A</t>
  </si>
  <si>
    <t>HSMP4016A</t>
  </si>
  <si>
    <t>HSAP4016B</t>
  </si>
  <si>
    <t>HSMP4016B</t>
  </si>
  <si>
    <t>ZSH40397</t>
  </si>
  <si>
    <t xml:space="preserve">TO DTL P-4014 </t>
  </si>
  <si>
    <t>ZSL40397</t>
  </si>
  <si>
    <t>HS40397LO</t>
  </si>
  <si>
    <t>HS40397LC</t>
  </si>
  <si>
    <t>EDSL40322</t>
  </si>
  <si>
    <t>ZSH40319</t>
  </si>
  <si>
    <t xml:space="preserve">LLN TO Y-4004 </t>
  </si>
  <si>
    <t>ZSL40319</t>
  </si>
  <si>
    <t>ZSH40320</t>
  </si>
  <si>
    <t>TOL TFROM Y-4004</t>
  </si>
  <si>
    <t>ZSL40320</t>
  </si>
  <si>
    <t>ZSH40274</t>
  </si>
  <si>
    <t xml:space="preserve">ST TO TK-4001 </t>
  </si>
  <si>
    <t>ZSL40274</t>
  </si>
  <si>
    <t>ZSH40275</t>
  </si>
  <si>
    <t>ZSL40275</t>
  </si>
  <si>
    <t>ZSH40364</t>
  </si>
  <si>
    <t xml:space="preserve">STYRENE TO P-4023B/C </t>
  </si>
  <si>
    <t>ZSL40364</t>
  </si>
  <si>
    <t>ZSH40365</t>
  </si>
  <si>
    <t xml:space="preserve">STYRENE TO P-4023A/C </t>
  </si>
  <si>
    <t>ZSL40365</t>
  </si>
  <si>
    <t>EDSL40299</t>
  </si>
  <si>
    <t>ZSH40296</t>
  </si>
  <si>
    <t>LLN TO Y-4002</t>
  </si>
  <si>
    <t>ZSL40296</t>
  </si>
  <si>
    <t xml:space="preserve">LLN TO Y-4002 </t>
  </si>
  <si>
    <t>ZSH40297</t>
  </si>
  <si>
    <t>ST FROM Y-4002</t>
  </si>
  <si>
    <t>ZSL40297</t>
  </si>
  <si>
    <t>LSHP4023A</t>
  </si>
  <si>
    <t>LSHP4023B</t>
  </si>
  <si>
    <t>R7</t>
  </si>
  <si>
    <t>LSHP4023C</t>
  </si>
  <si>
    <t>ZSH40301</t>
  </si>
  <si>
    <t xml:space="preserve">PVG TO S-4001 </t>
  </si>
  <si>
    <t>ZSL40301</t>
  </si>
  <si>
    <t>ZSH40414</t>
  </si>
  <si>
    <t>ZSL40414</t>
  </si>
  <si>
    <t>ZSH40430</t>
  </si>
  <si>
    <t xml:space="preserve">CD TO V-4003 </t>
  </si>
  <si>
    <t>ZSL40430</t>
  </si>
  <si>
    <t>LSHP4002A</t>
  </si>
  <si>
    <t>LSHP4002B</t>
  </si>
  <si>
    <t>HSAP4013</t>
  </si>
  <si>
    <t>HSMP4013</t>
  </si>
  <si>
    <t>HSAP4014A</t>
  </si>
  <si>
    <t>HSAP4014B</t>
  </si>
  <si>
    <t>HSAP4001</t>
  </si>
  <si>
    <t>HSAP4023A</t>
  </si>
  <si>
    <t>HSAP4023B</t>
  </si>
  <si>
    <t>HSAP4023C</t>
  </si>
  <si>
    <t>HSAP4027</t>
  </si>
  <si>
    <t>HSAP4002A</t>
  </si>
  <si>
    <t>HSAP4002B</t>
  </si>
  <si>
    <t>TVN40001</t>
  </si>
  <si>
    <t>ARM55K</t>
  </si>
  <si>
    <t>TVN40021</t>
  </si>
  <si>
    <t>TVN40046</t>
  </si>
  <si>
    <t>TVN40067</t>
  </si>
  <si>
    <t>UVN40090</t>
  </si>
  <si>
    <t>UVN40091</t>
  </si>
  <si>
    <t>HVN40385</t>
  </si>
  <si>
    <t>HVN40388</t>
  </si>
  <si>
    <t>HVN40390</t>
  </si>
  <si>
    <t>UVN40225</t>
  </si>
  <si>
    <t>UVN40226</t>
  </si>
  <si>
    <t>HVN40397</t>
  </si>
  <si>
    <t>UVN40319</t>
  </si>
  <si>
    <t>UVN40320</t>
  </si>
  <si>
    <t>HVN40364</t>
  </si>
  <si>
    <t>HVN40365</t>
  </si>
  <si>
    <t>UVN40296</t>
  </si>
  <si>
    <t>UVN40297</t>
  </si>
  <si>
    <t>UVN40414</t>
  </si>
  <si>
    <t>ZSH52006</t>
  </si>
  <si>
    <t>1S–MC–119</t>
  </si>
  <si>
    <t>FCS0112</t>
  </si>
  <si>
    <t xml:space="preserve">WET PA FROM V-5202 </t>
  </si>
  <si>
    <t>ZSL52006</t>
  </si>
  <si>
    <t>ZSH53033</t>
  </si>
  <si>
    <t>ZSL53033</t>
  </si>
  <si>
    <t>ZSH53034</t>
  </si>
  <si>
    <t xml:space="preserve">LP STEAM FROM LPS LETDOWN </t>
  </si>
  <si>
    <t>ZSL53034</t>
  </si>
  <si>
    <t>ZSH54001</t>
  </si>
  <si>
    <t xml:space="preserve">PVG FROM Y-5402 </t>
  </si>
  <si>
    <t>ZSL54001</t>
  </si>
  <si>
    <t>ZSLY54209</t>
  </si>
  <si>
    <t>ZSLY54239</t>
  </si>
  <si>
    <t>ZSHY54206</t>
  </si>
  <si>
    <t>INCINERATOR FG BLOCK</t>
  </si>
  <si>
    <t>ZSLY54206</t>
  </si>
  <si>
    <t>ZSHY54208</t>
  </si>
  <si>
    <t>INCINERATOR FG ISO.</t>
  </si>
  <si>
    <t>ZSLY54208</t>
  </si>
  <si>
    <t>ZSHY54222</t>
  </si>
  <si>
    <t>INCINERATOR PILOT BLOCK</t>
  </si>
  <si>
    <t>ZSLY54222</t>
  </si>
  <si>
    <t>ZSHY54224</t>
  </si>
  <si>
    <t>INCINERATOR PILOT ISO.</t>
  </si>
  <si>
    <t>ZSLY54224</t>
  </si>
  <si>
    <t>ZSHY54236</t>
  </si>
  <si>
    <t>INCINERATOR FGH BLOCK</t>
  </si>
  <si>
    <t>ZSLY54236</t>
  </si>
  <si>
    <t>HSAP5101A</t>
  </si>
  <si>
    <t>HSAP5101B</t>
  </si>
  <si>
    <t>HSAP5101C</t>
  </si>
  <si>
    <t>HSAP5101D</t>
  </si>
  <si>
    <t>HSAP4017</t>
  </si>
  <si>
    <t>UVN52006</t>
  </si>
  <si>
    <t>I5303DI</t>
  </si>
  <si>
    <t>IY54015DO</t>
  </si>
  <si>
    <t>I5304DI</t>
  </si>
  <si>
    <t xml:space="preserve"> TEO TO TANK FARM TK-4006</t>
  </si>
  <si>
    <t>TDAE TRANSFER PUMP</t>
  </si>
  <si>
    <t>UAY4101A</t>
  </si>
  <si>
    <t>Y-4101 S/D ALARM</t>
  </si>
  <si>
    <t>UAY4101B</t>
  </si>
  <si>
    <t>Y-4101 COMMON ALARM</t>
  </si>
  <si>
    <t>HSY54212P</t>
  </si>
  <si>
    <t>BLOWER-A RUN</t>
  </si>
  <si>
    <t>HSY54213P</t>
  </si>
  <si>
    <t xml:space="preserve"> BLOWER-A STOP</t>
  </si>
  <si>
    <t>HSY54214P</t>
  </si>
  <si>
    <t>BLOWER-B RUN</t>
  </si>
  <si>
    <t>HSY54215P</t>
  </si>
  <si>
    <t>BLOWER-B STOP</t>
  </si>
  <si>
    <t>HSY4101</t>
  </si>
  <si>
    <t>Y-4101 STOP COMMAND</t>
  </si>
  <si>
    <t>PI5402AAXY</t>
  </si>
  <si>
    <t>PI5402ABXY</t>
  </si>
  <si>
    <t>PI5402BAXY</t>
  </si>
  <si>
    <t>PI5402BBXY</t>
  </si>
  <si>
    <t>DC PSU 
Fault Alarm</t>
  </si>
  <si>
    <t>Temp. &amp; FAN
 Fault Alarm</t>
  </si>
  <si>
    <t>LSO TO DISTRIBUTION</t>
  </si>
  <si>
    <t>HSAY5401F1A</t>
  </si>
  <si>
    <t>HSAY5401F1B</t>
  </si>
  <si>
    <t>HSY54231DO</t>
  </si>
  <si>
    <t>HSY54232DO</t>
  </si>
  <si>
    <t>HSY54234DO</t>
  </si>
  <si>
    <t>HSY54235DO</t>
  </si>
  <si>
    <t>HSY54236DO</t>
  </si>
  <si>
    <t>HS54004DO</t>
  </si>
  <si>
    <t>FVY54275PC</t>
  </si>
  <si>
    <t>FVY54275LUC</t>
  </si>
  <si>
    <t>FVY54275MP</t>
  </si>
  <si>
    <t>XMRY54267DI</t>
  </si>
  <si>
    <t>FVY54209LUC</t>
  </si>
  <si>
    <t>FVY54209MP</t>
  </si>
  <si>
    <t>FVY54239LUC</t>
  </si>
  <si>
    <t>FVY54239MP</t>
  </si>
  <si>
    <t>ALARM</t>
  </si>
  <si>
    <t>TVY53025</t>
  </si>
  <si>
    <t>P11032</t>
    <phoneticPr fontId="3" type="noConversion"/>
  </si>
  <si>
    <t>N11032</t>
    <phoneticPr fontId="3" type="noConversion"/>
  </si>
  <si>
    <t>P11033</t>
    <phoneticPr fontId="3" type="noConversion"/>
  </si>
  <si>
    <t>N11033</t>
    <phoneticPr fontId="3" type="noConversion"/>
  </si>
  <si>
    <t>P2422</t>
  </si>
  <si>
    <t>N2422</t>
    <phoneticPr fontId="3" type="noConversion"/>
  </si>
  <si>
    <t>P2423</t>
    <phoneticPr fontId="3" type="noConversion"/>
  </si>
  <si>
    <t>N2423</t>
    <phoneticPr fontId="3" type="noConversion"/>
  </si>
  <si>
    <t>PVI-DV</t>
  </si>
  <si>
    <t>PVI</t>
  </si>
  <si>
    <t>LY40004</t>
  </si>
  <si>
    <t>PID</t>
  </si>
  <si>
    <t>PID</t>
    <phoneticPr fontId="3" type="noConversion"/>
  </si>
  <si>
    <t>PIC10104</t>
    <phoneticPr fontId="3" type="noConversion"/>
  </si>
  <si>
    <t>LY40027</t>
  </si>
  <si>
    <t>PID</t>
    <phoneticPr fontId="3" type="noConversion"/>
  </si>
  <si>
    <t>LY40049</t>
  </si>
  <si>
    <t>PIO</t>
    <phoneticPr fontId="3" type="noConversion"/>
  </si>
  <si>
    <t>PIO</t>
    <phoneticPr fontId="3" type="noConversion"/>
  </si>
  <si>
    <t>LY40116</t>
  </si>
  <si>
    <t>LY40117</t>
  </si>
  <si>
    <t>LY40124</t>
  </si>
  <si>
    <t>LY40115</t>
  </si>
  <si>
    <t>LY40121</t>
  </si>
  <si>
    <t>LY40127</t>
  </si>
  <si>
    <t>PIO</t>
    <phoneticPr fontId="3" type="noConversion"/>
  </si>
  <si>
    <t xml:space="preserve">TK-4011 LEVEL </t>
    <phoneticPr fontId="3" type="noConversion"/>
  </si>
  <si>
    <t>LI40247</t>
    <phoneticPr fontId="3" type="noConversion"/>
  </si>
  <si>
    <t>LY40247</t>
    <phoneticPr fontId="3" type="noConversion"/>
  </si>
  <si>
    <t>LI40503</t>
    <phoneticPr fontId="3" type="noConversion"/>
  </si>
  <si>
    <t>MC-2</t>
  </si>
  <si>
    <t>YIP4010A</t>
    <phoneticPr fontId="3" type="noConversion"/>
  </si>
  <si>
    <t>PIO</t>
    <phoneticPr fontId="3" type="noConversion"/>
  </si>
  <si>
    <t>PVI</t>
    <phoneticPr fontId="3" type="noConversion"/>
  </si>
  <si>
    <t>PIO</t>
    <phoneticPr fontId="3" type="noConversion"/>
  </si>
  <si>
    <t>SIO-21</t>
  </si>
  <si>
    <t>PIO</t>
    <phoneticPr fontId="3" type="noConversion"/>
  </si>
  <si>
    <t>PIO</t>
    <phoneticPr fontId="3" type="noConversion"/>
  </si>
  <si>
    <t>ZSL40384</t>
    <phoneticPr fontId="3" type="noConversion"/>
  </si>
  <si>
    <t>HVN40364</t>
    <phoneticPr fontId="3" type="noConversion"/>
  </si>
  <si>
    <t>ZSH52006</t>
    <phoneticPr fontId="3" type="noConversion"/>
  </si>
  <si>
    <t>YAP4009B</t>
    <phoneticPr fontId="3" type="noConversion"/>
  </si>
  <si>
    <t>EDSL40322</t>
    <phoneticPr fontId="3" type="noConversion"/>
  </si>
  <si>
    <t>FIC51009</t>
    <phoneticPr fontId="3" type="noConversion"/>
  </si>
  <si>
    <t>PID</t>
    <phoneticPr fontId="3" type="noConversion"/>
  </si>
  <si>
    <t>PV53015</t>
    <phoneticPr fontId="3" type="noConversion"/>
  </si>
  <si>
    <t>FT40328</t>
    <phoneticPr fontId="3" type="noConversion"/>
  </si>
  <si>
    <t>TVN40001</t>
    <phoneticPr fontId="3" type="noConversion"/>
  </si>
  <si>
    <t>ZSL40274</t>
    <phoneticPr fontId="3" type="noConversion"/>
  </si>
  <si>
    <t>DCS Tag2</t>
    <phoneticPr fontId="3" type="noConversion"/>
  </si>
  <si>
    <t>HSAP4014B</t>
    <phoneticPr fontId="3" type="noConversion"/>
  </si>
  <si>
    <t>`</t>
    <phoneticPr fontId="3" type="noConversion"/>
  </si>
  <si>
    <t>F/B-name3</t>
    <phoneticPr fontId="3" type="noConversion"/>
  </si>
  <si>
    <t>DCS Tag3</t>
    <phoneticPr fontId="3" type="noConversion"/>
  </si>
  <si>
    <t>DCS_TAG_BA121</t>
  </si>
  <si>
    <t>DCS_TAG_AB151</t>
  </si>
  <si>
    <t>DCS_TAG_AB161</t>
  </si>
  <si>
    <t>DCS_TAG_AA110</t>
  </si>
  <si>
    <t>DCS_TAG_AB230</t>
  </si>
  <si>
    <t>DCS_TAG_AC161</t>
  </si>
  <si>
    <t>DCS_TAG_AB210</t>
  </si>
  <si>
    <t>DCS_TAG_AA210</t>
  </si>
  <si>
    <t>DCS_TAG_AD311</t>
  </si>
  <si>
    <t>DCS_TAG_AB163</t>
  </si>
  <si>
    <t>DCS_TAG_AC311</t>
  </si>
  <si>
    <t>DCS_TAG_AB131</t>
  </si>
  <si>
    <t>DCS_TAG_AB160</t>
  </si>
  <si>
    <t>DCS_TAG_AC172</t>
  </si>
  <si>
    <t>DCS_TAG_BA321</t>
  </si>
  <si>
    <t>TAG TYPE</t>
  </si>
  <si>
    <t>DCS_TAG_AA110</t>
    <phoneticPr fontId="3" type="noConversion"/>
  </si>
  <si>
    <t>From Cabinet</t>
    <phoneticPr fontId="248" type="noConversion"/>
  </si>
  <si>
    <t>Multi Cable</t>
    <phoneticPr fontId="248" type="noConversion"/>
  </si>
  <si>
    <t>To Cabinet</t>
    <phoneticPr fontId="248" type="noConversion"/>
  </si>
  <si>
    <t>Remark</t>
    <phoneticPr fontId="248" type="noConversion"/>
  </si>
  <si>
    <t>AREA</t>
    <phoneticPr fontId="4" type="noConversion"/>
  </si>
  <si>
    <t>NO</t>
    <phoneticPr fontId="4" type="noConversion"/>
  </si>
  <si>
    <t>I/O Tag(NEW)</t>
    <phoneticPr fontId="4" type="noConversion"/>
  </si>
  <si>
    <t>BY INDEX</t>
    <phoneticPr fontId="4" type="noConversion"/>
  </si>
  <si>
    <t>SIGNAL</t>
    <phoneticPr fontId="4" type="noConversion"/>
  </si>
  <si>
    <t xml:space="preserve">
DCS
PANEL No.</t>
    <phoneticPr fontId="5" type="noConversion"/>
  </si>
  <si>
    <t>T/B Group No.</t>
  </si>
  <si>
    <t>T/B No.(+)</t>
    <phoneticPr fontId="248" type="noConversion"/>
  </si>
  <si>
    <t>T/B No.(-)</t>
    <phoneticPr fontId="248" type="noConversion"/>
  </si>
  <si>
    <t>Cable Tag</t>
    <phoneticPr fontId="5" type="noConversion"/>
  </si>
  <si>
    <t>CABLE SPEC.</t>
    <phoneticPr fontId="4" type="noConversion"/>
  </si>
  <si>
    <t>Cable length</t>
    <phoneticPr fontId="4" type="noConversion"/>
  </si>
  <si>
    <t>Cable 
Pair no</t>
    <phoneticPr fontId="5" type="noConversion"/>
  </si>
  <si>
    <t>BK +</t>
    <phoneticPr fontId="4" type="noConversion"/>
  </si>
  <si>
    <t>BK -</t>
    <phoneticPr fontId="4" type="noConversion"/>
  </si>
  <si>
    <t>ESD
PANEL No.</t>
    <phoneticPr fontId="5" type="noConversion"/>
  </si>
  <si>
    <t>DOR</t>
  </si>
  <si>
    <t>1S-MC-119</t>
  </si>
  <si>
    <t>1S-MC-119/1S-MC-503R-1</t>
  </si>
  <si>
    <t>TFR-CV-SB 1.5SQ*10C</t>
    <phoneticPr fontId="4" type="noConversion"/>
  </si>
  <si>
    <t>1S-MC-503R</t>
  </si>
  <si>
    <t>1S-MC-119/1S-MC-503R-2</t>
    <phoneticPr fontId="4" type="noConversion"/>
  </si>
  <si>
    <t>TFR-CV-SB 1.5SQ*6C</t>
    <phoneticPr fontId="4" type="noConversion"/>
  </si>
  <si>
    <t>1S-MC-119/1S-MC-504R-1</t>
  </si>
  <si>
    <t>1S-MC-504R</t>
  </si>
  <si>
    <t>DIR</t>
  </si>
  <si>
    <t>1S-MC-119/1S-MC-507F-1</t>
  </si>
  <si>
    <t>1S-MC-507F</t>
  </si>
  <si>
    <t>TFR-CV-AMS 1.5SQ*10P</t>
    <phoneticPr fontId="4" type="noConversion"/>
  </si>
  <si>
    <t>1S-MC-119/1S-MC-507R-1</t>
  </si>
  <si>
    <t>1S-MC-507R</t>
  </si>
  <si>
    <t>HOLD</t>
    <phoneticPr fontId="4" type="noConversion"/>
  </si>
  <si>
    <t>Spare3</t>
    <phoneticPr fontId="3" type="noConversion"/>
  </si>
  <si>
    <t>+</t>
  </si>
  <si>
    <t>+</t>
    <phoneticPr fontId="3" type="noConversion"/>
  </si>
  <si>
    <t>-</t>
  </si>
  <si>
    <t>-</t>
    <phoneticPr fontId="3" type="noConversion"/>
  </si>
  <si>
    <t>BK</t>
  </si>
  <si>
    <t>BK</t>
    <phoneticPr fontId="3" type="noConversion"/>
  </si>
  <si>
    <t>WH</t>
  </si>
  <si>
    <t>WH</t>
    <phoneticPr fontId="3" type="noConversion"/>
  </si>
  <si>
    <t>UVN-40090</t>
    <phoneticPr fontId="3" type="noConversion"/>
  </si>
  <si>
    <t>UVN-40091</t>
    <phoneticPr fontId="3" type="noConversion"/>
  </si>
  <si>
    <t>UVN-40225</t>
    <phoneticPr fontId="3" type="noConversion"/>
  </si>
  <si>
    <t>UVN-40226</t>
    <phoneticPr fontId="3" type="noConversion"/>
  </si>
  <si>
    <t>UVN-40319</t>
    <phoneticPr fontId="3" type="noConversion"/>
  </si>
  <si>
    <t>UVN-40320</t>
    <phoneticPr fontId="3" type="noConversion"/>
  </si>
  <si>
    <t>UVN-40296</t>
    <phoneticPr fontId="3" type="noConversion"/>
  </si>
  <si>
    <t>UVN-40297</t>
    <phoneticPr fontId="3" type="noConversion"/>
  </si>
  <si>
    <t>UVN-40414</t>
    <phoneticPr fontId="3" type="noConversion"/>
  </si>
  <si>
    <t>UVN-52006</t>
    <phoneticPr fontId="3" type="noConversion"/>
  </si>
  <si>
    <t>LT-40004</t>
  </si>
  <si>
    <t>C</t>
  </si>
  <si>
    <t>AI</t>
  </si>
  <si>
    <t>CVV-AMS 1.5SQx1P</t>
  </si>
  <si>
    <t>4DSJB006</t>
  </si>
  <si>
    <t>40-DSJB-004-A15P-01</t>
  </si>
  <si>
    <t>LT-40005</t>
  </si>
  <si>
    <t>TT-40001</t>
  </si>
  <si>
    <t>TV-40001</t>
  </si>
  <si>
    <t>A</t>
  </si>
  <si>
    <t>AO</t>
  </si>
  <si>
    <t>4DSJB014</t>
  </si>
  <si>
    <t>40-DSJB-009-A20P-01</t>
  </si>
  <si>
    <t>TT-40373</t>
  </si>
  <si>
    <t>PT-10104</t>
  </si>
  <si>
    <t>4DSJB016</t>
  </si>
  <si>
    <t>40-DSJB-071-A10P-01</t>
  </si>
  <si>
    <t>PV-10104</t>
  </si>
  <si>
    <t>LT-40027</t>
  </si>
  <si>
    <t>4DSJB003</t>
  </si>
  <si>
    <t>40-DSJB-002-A15P-01</t>
  </si>
  <si>
    <t>LT-40028</t>
  </si>
  <si>
    <t>TT-40021</t>
  </si>
  <si>
    <t>TV-40021</t>
  </si>
  <si>
    <t>4DSJB004</t>
  </si>
  <si>
    <t>40-DSJB-003-A15P-01</t>
  </si>
  <si>
    <t>TT-40377</t>
  </si>
  <si>
    <t>TT-40378</t>
  </si>
  <si>
    <t>TT-40381</t>
  </si>
  <si>
    <t>TT-40413</t>
  </si>
  <si>
    <t>PT-4001XP</t>
  </si>
  <si>
    <t>PT-4006XP</t>
  </si>
  <si>
    <t>4DSJB010</t>
  </si>
  <si>
    <t>40-DSJB-006-A20P-01</t>
  </si>
  <si>
    <t>PT-4007AXP</t>
  </si>
  <si>
    <t>4DSJB013</t>
  </si>
  <si>
    <t>40-DSJB-008-A10P-01</t>
  </si>
  <si>
    <t>PT-4007BXP</t>
  </si>
  <si>
    <t>PT-4013XP</t>
  </si>
  <si>
    <t>PT-4014AXP</t>
  </si>
  <si>
    <t>PT-4014BXP</t>
  </si>
  <si>
    <t>PT-4027XP</t>
  </si>
  <si>
    <t>PT-10105</t>
  </si>
  <si>
    <t>PV-10105</t>
  </si>
  <si>
    <t>LT-40049</t>
  </si>
  <si>
    <t>LT-40050</t>
  </si>
  <si>
    <t>TT-40046</t>
  </si>
  <si>
    <t>TV-40046</t>
  </si>
  <si>
    <t>PT-30212</t>
  </si>
  <si>
    <t>5DSJB009</t>
  </si>
  <si>
    <t>50-DSJB-008-A15P-01</t>
  </si>
  <si>
    <t>PV-30212</t>
  </si>
  <si>
    <t>LT-40070</t>
  </si>
  <si>
    <t>LT-40071</t>
  </si>
  <si>
    <t>FT-53018</t>
  </si>
  <si>
    <t>LT-55013</t>
  </si>
  <si>
    <t>TT-40067</t>
  </si>
  <si>
    <t>TV-40067</t>
  </si>
  <si>
    <t>PT-30211</t>
  </si>
  <si>
    <t>PV-30211</t>
  </si>
  <si>
    <t>PV-40095A</t>
  </si>
  <si>
    <t>4DSJB012</t>
  </si>
  <si>
    <t>40-DSJB-007-A15P-01</t>
  </si>
  <si>
    <t>PT-40095</t>
  </si>
  <si>
    <t>PV-40095B</t>
  </si>
  <si>
    <t>FT-40132</t>
  </si>
  <si>
    <t>4DSJB001</t>
  </si>
  <si>
    <t>40-DSJB-001-A20P-01</t>
  </si>
  <si>
    <t>FV-40132</t>
  </si>
  <si>
    <t>PV-40094A</t>
  </si>
  <si>
    <t>PT-40094</t>
  </si>
  <si>
    <t>PV-40094B</t>
  </si>
  <si>
    <t>TS-P4017</t>
  </si>
  <si>
    <t>W</t>
  </si>
  <si>
    <t>DO</t>
  </si>
  <si>
    <t>4DEJB010</t>
  </si>
  <si>
    <t>40-DEJB-006-D15P-02</t>
  </si>
  <si>
    <t>LT-40113</t>
  </si>
  <si>
    <t>LT-40116</t>
  </si>
  <si>
    <t>LT-40114</t>
  </si>
  <si>
    <t>40-DSJB-003-A15P-02</t>
  </si>
  <si>
    <t>LT-40117</t>
  </si>
  <si>
    <t>LT-40119</t>
  </si>
  <si>
    <t>LT-40124</t>
  </si>
  <si>
    <t>LT-40112</t>
  </si>
  <si>
    <t>LT-40115</t>
  </si>
  <si>
    <t>LT-40118</t>
  </si>
  <si>
    <t>LT-40121</t>
  </si>
  <si>
    <t>FT-40123</t>
  </si>
  <si>
    <t>FV-40123</t>
  </si>
  <si>
    <t>LT-40120</t>
  </si>
  <si>
    <t>LT-40127</t>
  </si>
  <si>
    <t>PV-40096A</t>
  </si>
  <si>
    <t>4DSJB005</t>
  </si>
  <si>
    <t>PT-40096</t>
  </si>
  <si>
    <t>PV-40096B</t>
  </si>
  <si>
    <t>PV-40219A</t>
  </si>
  <si>
    <t>PT-40219</t>
  </si>
  <si>
    <t>PV-40219B</t>
  </si>
  <si>
    <t>PT-40246</t>
  </si>
  <si>
    <t>4DSJB008</t>
  </si>
  <si>
    <t>40-DSJB-005-A15P-01</t>
  </si>
  <si>
    <t>PV-40246</t>
  </si>
  <si>
    <t>PV-40256A</t>
  </si>
  <si>
    <t>PT-40256</t>
  </si>
  <si>
    <t>PV-40256B</t>
  </si>
  <si>
    <t>JS-LP4017</t>
  </si>
  <si>
    <t>JS-LP4019A</t>
  </si>
  <si>
    <t>JS-LP4019B</t>
  </si>
  <si>
    <t>JS-LP4018A</t>
  </si>
  <si>
    <t>JS-LP4018B</t>
  </si>
  <si>
    <t>JS-LP4023A</t>
  </si>
  <si>
    <t>JS-LP4023B</t>
  </si>
  <si>
    <t>JS-LP4023C</t>
  </si>
  <si>
    <t>JS-LP4002A</t>
  </si>
  <si>
    <t>JS-LP4002B</t>
  </si>
  <si>
    <t>UA-S4006AP</t>
  </si>
  <si>
    <t>UA-S4006BP</t>
  </si>
  <si>
    <t>UA-S4006CP</t>
  </si>
  <si>
    <t>LT-40209</t>
  </si>
  <si>
    <t>LT-40210</t>
  </si>
  <si>
    <t>LT-40247</t>
  </si>
  <si>
    <t>LT-40259</t>
  </si>
  <si>
    <t>LS-LP4023A</t>
  </si>
  <si>
    <t>4DSJB015</t>
  </si>
  <si>
    <t>40-DSJB-009-A15P-02</t>
  </si>
  <si>
    <t>LS-LP4023B</t>
  </si>
  <si>
    <t>LS-LP4023C</t>
  </si>
  <si>
    <t>LS-LP4002A</t>
  </si>
  <si>
    <t>LS-LP4002B</t>
  </si>
  <si>
    <t>LS-LP4017</t>
  </si>
  <si>
    <t>LT-40503</t>
  </si>
  <si>
    <t>AT-40324</t>
  </si>
  <si>
    <t>AV-40324</t>
  </si>
  <si>
    <t>AT-40326</t>
  </si>
  <si>
    <t>AV-40326</t>
  </si>
  <si>
    <t>40-DSJB-005-A15P-02</t>
  </si>
  <si>
    <t>PV-40260A</t>
  </si>
  <si>
    <t>40-DSJB-004-A15P-02</t>
  </si>
  <si>
    <t>PT-40260</t>
  </si>
  <si>
    <t>PV-40260B</t>
  </si>
  <si>
    <t>PV-40261A</t>
  </si>
  <si>
    <t>PT-40261</t>
  </si>
  <si>
    <t>PV-40261B</t>
  </si>
  <si>
    <t>PV-40507A</t>
  </si>
  <si>
    <t>PT-40507</t>
  </si>
  <si>
    <t>PV-40507B</t>
  </si>
  <si>
    <t>PT-40399</t>
  </si>
  <si>
    <t>PV-40399</t>
  </si>
  <si>
    <t>YA-P4004</t>
  </si>
  <si>
    <t>YI-P4004</t>
  </si>
  <si>
    <t>HS-MP4004</t>
  </si>
  <si>
    <t>HS-AP4004</t>
  </si>
  <si>
    <t>YA-P4005A</t>
  </si>
  <si>
    <t>HS-AP4005A</t>
  </si>
  <si>
    <t>YA-P4005B</t>
  </si>
  <si>
    <t>HS-AP4005B</t>
  </si>
  <si>
    <t>YA-P4006</t>
  </si>
  <si>
    <t>YI-P4006</t>
  </si>
  <si>
    <t>HS-MP4006</t>
  </si>
  <si>
    <t>HS-AP4006</t>
  </si>
  <si>
    <t>YA-P4007A</t>
  </si>
  <si>
    <t>HS-AP4007A</t>
  </si>
  <si>
    <t>YA-P4007B</t>
  </si>
  <si>
    <t>HS-AP4007B</t>
  </si>
  <si>
    <t>YA-P4010A</t>
  </si>
  <si>
    <t>YI-P4010A</t>
  </si>
  <si>
    <t>HS-MP4010A</t>
  </si>
  <si>
    <t>HS-AP4010A</t>
  </si>
  <si>
    <t>YA-P4010B</t>
  </si>
  <si>
    <t>YI-P4010B</t>
  </si>
  <si>
    <t>HS-MP4010B</t>
  </si>
  <si>
    <t>HS-AP4010B</t>
  </si>
  <si>
    <t>YA-P4008A</t>
  </si>
  <si>
    <t>YI-P4008A</t>
  </si>
  <si>
    <t>HS-MP4008A</t>
  </si>
  <si>
    <t>HS-AP4008A</t>
  </si>
  <si>
    <t>YA-P4011A</t>
  </si>
  <si>
    <t>HS-AP4011A</t>
  </si>
  <si>
    <t>YA-P4011B</t>
  </si>
  <si>
    <t>HS-AP4011B</t>
  </si>
  <si>
    <t>UA-Y4101A</t>
  </si>
  <si>
    <t>UA-Y4101B</t>
  </si>
  <si>
    <t>YA-P4008B</t>
  </si>
  <si>
    <t>YI-P4008B</t>
  </si>
  <si>
    <t>HS-MP4008B</t>
  </si>
  <si>
    <t>HS-AP4008B</t>
  </si>
  <si>
    <t>YA-P4009A</t>
  </si>
  <si>
    <t>HS-AP4009A</t>
  </si>
  <si>
    <t>YA-P4009B</t>
  </si>
  <si>
    <t>HS-AP4009B</t>
  </si>
  <si>
    <t>YA-P4017</t>
  </si>
  <si>
    <t>YI-P4017</t>
  </si>
  <si>
    <t>HS-MP4017</t>
  </si>
  <si>
    <t>HS-AP4017</t>
  </si>
  <si>
    <t>YA-P4026A</t>
  </si>
  <si>
    <t>YI-P4026A</t>
  </si>
  <si>
    <t>HS-MP4026A</t>
  </si>
  <si>
    <t>HS-AP4026A</t>
  </si>
  <si>
    <t>YA-P4026B</t>
  </si>
  <si>
    <t>YI-P4026B</t>
  </si>
  <si>
    <t>HS-MP4026B</t>
  </si>
  <si>
    <t>HS-AP4026B</t>
  </si>
  <si>
    <t>YA-P4019A</t>
  </si>
  <si>
    <t>HS-AP4019A</t>
  </si>
  <si>
    <t>YA-P4019B</t>
  </si>
  <si>
    <t>HS-AP4019B</t>
  </si>
  <si>
    <t>YA-P4025</t>
  </si>
  <si>
    <t>YI-P4025</t>
  </si>
  <si>
    <t>HS-MP4025</t>
  </si>
  <si>
    <t>HS-AP4025</t>
  </si>
  <si>
    <t>YA-P4018A</t>
  </si>
  <si>
    <t>HS-AP4018A</t>
  </si>
  <si>
    <t>YA-P4018B</t>
  </si>
  <si>
    <t>HS-AP4018B</t>
  </si>
  <si>
    <t>LT-40277</t>
  </si>
  <si>
    <t>LT-40356</t>
  </si>
  <si>
    <t>LT-40278</t>
  </si>
  <si>
    <t>LT-40357</t>
  </si>
  <si>
    <t>LS-LP4019A</t>
  </si>
  <si>
    <t>4DSJB002</t>
  </si>
  <si>
    <t>40-DSJB-001-A15P-02</t>
  </si>
  <si>
    <t>LS-LP4019B</t>
  </si>
  <si>
    <t>LS-LP4018A</t>
  </si>
  <si>
    <t>LS-LP4018B</t>
  </si>
  <si>
    <t>HS-40421AP</t>
  </si>
  <si>
    <t>CVV-AMS 1.5SQx2P</t>
  </si>
  <si>
    <t>4DEJB008</t>
  </si>
  <si>
    <t>40-DEJB-005-D15P-01</t>
  </si>
  <si>
    <t>HS-40421BP</t>
  </si>
  <si>
    <t>HS-40422AP</t>
  </si>
  <si>
    <t>HS-40422BP</t>
  </si>
  <si>
    <t>HS-40423AP</t>
  </si>
  <si>
    <t>HS-40423BP</t>
  </si>
  <si>
    <t>HS-40423CP</t>
  </si>
  <si>
    <t>HS-40423DP</t>
  </si>
  <si>
    <t>HS-40262AP</t>
  </si>
  <si>
    <t>HS-40262BP</t>
  </si>
  <si>
    <t>HS-40262CP</t>
  </si>
  <si>
    <t>HS-40263AP</t>
  </si>
  <si>
    <t>HS-40263BP</t>
  </si>
  <si>
    <t>HS-40263CP</t>
  </si>
  <si>
    <t>HS-40088P</t>
  </si>
  <si>
    <t>HS-40223P</t>
  </si>
  <si>
    <t>HS-40317P</t>
  </si>
  <si>
    <t>HS-40294P</t>
  </si>
  <si>
    <t>HS-Y54212P</t>
  </si>
  <si>
    <t>HS-Y54213P</t>
  </si>
  <si>
    <t>HS-Y54214P</t>
  </si>
  <si>
    <t>HS-Y54215P</t>
  </si>
  <si>
    <t>YA-P4024</t>
  </si>
  <si>
    <t>YI-P4024</t>
  </si>
  <si>
    <t>HS-MP4024</t>
  </si>
  <si>
    <t>HS-AP4024</t>
  </si>
  <si>
    <t>YA-P4015</t>
  </si>
  <si>
    <t>YI-P4015</t>
  </si>
  <si>
    <t>HS-MP4015</t>
  </si>
  <si>
    <t>HS-AP4015</t>
  </si>
  <si>
    <t>YA-P4016A</t>
  </si>
  <si>
    <t>YI-P4016A</t>
  </si>
  <si>
    <t>HS-MP4016A</t>
  </si>
  <si>
    <t>HS-AP4016A</t>
  </si>
  <si>
    <t>YA-P4016B</t>
  </si>
  <si>
    <t>YI-P4016B</t>
  </si>
  <si>
    <t>HS-AP4016B</t>
  </si>
  <si>
    <t>HS-MP4016B</t>
  </si>
  <si>
    <t>YA-P4013</t>
  </si>
  <si>
    <t>YI-P4013</t>
  </si>
  <si>
    <t>HS-MP4013</t>
  </si>
  <si>
    <t>HS-AP4013</t>
  </si>
  <si>
    <t>YA-P4014A</t>
  </si>
  <si>
    <t>HS-AP4014A</t>
  </si>
  <si>
    <t>YA-P4014B</t>
  </si>
  <si>
    <t>HS-AP4014B</t>
  </si>
  <si>
    <t>YA-P4001</t>
  </si>
  <si>
    <t>HS-AP4001</t>
  </si>
  <si>
    <t>YA-P4023A</t>
  </si>
  <si>
    <t>HS-AP4023A</t>
  </si>
  <si>
    <t>YA-P4023B</t>
  </si>
  <si>
    <t>HS-AP4023B</t>
  </si>
  <si>
    <t>YA-P4023C</t>
  </si>
  <si>
    <t>HS-AP4023C</t>
  </si>
  <si>
    <t>YA-P4027</t>
  </si>
  <si>
    <t>HS-AP4027</t>
  </si>
  <si>
    <t>YA-P4002A</t>
  </si>
  <si>
    <t>HS-AP4002A</t>
  </si>
  <si>
    <t>YA-P4002B</t>
  </si>
  <si>
    <t>HS-AP4002B</t>
  </si>
  <si>
    <t>HS-Y4101</t>
  </si>
  <si>
    <t>FT-40374</t>
  </si>
  <si>
    <t>LT-40002</t>
  </si>
  <si>
    <t>FT-40376</t>
  </si>
  <si>
    <t>PT-40109</t>
  </si>
  <si>
    <t>LT-40375</t>
  </si>
  <si>
    <t>FT-40379</t>
  </si>
  <si>
    <t>FT-40380</t>
  </si>
  <si>
    <t>LT-40047</t>
  </si>
  <si>
    <t>TT-30124</t>
  </si>
  <si>
    <t>FT-40382</t>
  </si>
  <si>
    <t>FT-40383</t>
  </si>
  <si>
    <t>LT-40068</t>
  </si>
  <si>
    <t>TT-30146</t>
  </si>
  <si>
    <t>PT-402AAXY</t>
  </si>
  <si>
    <t>PT-402ABXY</t>
  </si>
  <si>
    <t>PT-402BAXY</t>
  </si>
  <si>
    <t>PT-402BBXY</t>
  </si>
  <si>
    <t>HS-S4001P</t>
  </si>
  <si>
    <t>4DEJB002</t>
  </si>
  <si>
    <t>40-DEJB-001-D15P-02</t>
  </si>
  <si>
    <t>HS-S4002P</t>
  </si>
  <si>
    <t>HS-S4003P</t>
  </si>
  <si>
    <t>HS-S4004P</t>
  </si>
  <si>
    <t>HS-S4005P</t>
  </si>
  <si>
    <t>HS-S4008P</t>
  </si>
  <si>
    <t>HS-S4010P</t>
  </si>
  <si>
    <t>HS-S4012P</t>
  </si>
  <si>
    <t>1S-MC118B</t>
  </si>
  <si>
    <t>1S-MC118C</t>
  </si>
  <si>
    <t>1S-MC127B</t>
  </si>
  <si>
    <t>1S-MC127C</t>
  </si>
  <si>
    <t>HS-S4011P</t>
  </si>
  <si>
    <t>HS-S4013P</t>
  </si>
  <si>
    <t>HS-S4006P</t>
  </si>
  <si>
    <t>UA-S4001AP</t>
  </si>
  <si>
    <t>UA-S4001BP</t>
  </si>
  <si>
    <t>UA-S4001CP</t>
  </si>
  <si>
    <t>UA-S4002AP</t>
  </si>
  <si>
    <t>UA-S4002BP</t>
  </si>
  <si>
    <t>UA-S4002CP</t>
  </si>
  <si>
    <t>UA-S4003AP</t>
  </si>
  <si>
    <t>UA-S4003BP</t>
  </si>
  <si>
    <t>UA-S4003CP</t>
  </si>
  <si>
    <t>UA-S4004AP</t>
  </si>
  <si>
    <t>UA-S4004BP</t>
  </si>
  <si>
    <t>UA-S4004CP</t>
  </si>
  <si>
    <t>UA-S4005AP</t>
  </si>
  <si>
    <t>UA-S4005BP</t>
  </si>
  <si>
    <t>UA-S4005CP</t>
  </si>
  <si>
    <t>UA-S4008AP</t>
  </si>
  <si>
    <t>UA-S4008BP</t>
  </si>
  <si>
    <t>UA-S4008CP</t>
  </si>
  <si>
    <t>UA-S4010AP</t>
  </si>
  <si>
    <t>UA-S4010BP</t>
  </si>
  <si>
    <t>UA-S4010CP</t>
  </si>
  <si>
    <t>UA-S4012AP</t>
  </si>
  <si>
    <t>UA-S4012BP</t>
  </si>
  <si>
    <t>UA-S4012CP</t>
  </si>
  <si>
    <t>UA-S4011AP</t>
  </si>
  <si>
    <t>UA-S4011BP</t>
  </si>
  <si>
    <t>UA-S4011CP</t>
  </si>
  <si>
    <t>UA-S4013AP</t>
  </si>
  <si>
    <t>UA-S4013BP</t>
  </si>
  <si>
    <t>UA-S4013CP</t>
  </si>
  <si>
    <t>LS-L4001XP</t>
  </si>
  <si>
    <t>4DEJB004</t>
  </si>
  <si>
    <t>40-DEJB-003-D20P-01</t>
  </si>
  <si>
    <t>LS-L4006XP</t>
  </si>
  <si>
    <t>40-DEJB-006-D15P-01</t>
  </si>
  <si>
    <t>LS-4007AXP</t>
  </si>
  <si>
    <t>LS-4007BXP</t>
  </si>
  <si>
    <t>LS-L4013XP</t>
  </si>
  <si>
    <t>LS-4014AXP</t>
  </si>
  <si>
    <t>4DEJB001</t>
  </si>
  <si>
    <t>40-DEJB-001-D15P-01</t>
  </si>
  <si>
    <t>LS-4014BXP</t>
  </si>
  <si>
    <t>LS-L4027XP</t>
  </si>
  <si>
    <t>ED-SL40012</t>
  </si>
  <si>
    <t>ED-SL40045</t>
  </si>
  <si>
    <t>ED-SL40059</t>
  </si>
  <si>
    <t>ED-SL40060</t>
  </si>
  <si>
    <t>ED-SL40064</t>
  </si>
  <si>
    <t>ED-SL40079</t>
  </si>
  <si>
    <t>ED-SL40093</t>
  </si>
  <si>
    <t>ZS-H40090</t>
  </si>
  <si>
    <t>ZS-L40090</t>
  </si>
  <si>
    <t>CVV 2.5SQx2C</t>
  </si>
  <si>
    <t>4DPJB001</t>
  </si>
  <si>
    <t>40-DPJB-001-P30C-01</t>
  </si>
  <si>
    <t>ZS-H40091</t>
  </si>
  <si>
    <t>ZS-L40091</t>
  </si>
  <si>
    <t>PS-HP4026A</t>
  </si>
  <si>
    <t>4DEJB006</t>
  </si>
  <si>
    <t>40-DEJB-004-D20P-01</t>
  </si>
  <si>
    <t>PS-HP4026B</t>
  </si>
  <si>
    <t>ZS-L40384</t>
  </si>
  <si>
    <t>4DEJB003</t>
  </si>
  <si>
    <t>40-DEJB-002-D10P-01</t>
  </si>
  <si>
    <t>ZS-H40384</t>
  </si>
  <si>
    <t>ZS-H40385</t>
  </si>
  <si>
    <t>ZS-L40385</t>
  </si>
  <si>
    <t>HV-N40385</t>
  </si>
  <si>
    <t>HS-40385LO</t>
  </si>
  <si>
    <t>HS-40385LC</t>
  </si>
  <si>
    <t>LS-HP4019A</t>
  </si>
  <si>
    <t>LS-HP4019B</t>
  </si>
  <si>
    <t>PS-HP4025</t>
  </si>
  <si>
    <t>ZS-L40387</t>
  </si>
  <si>
    <t>ZS-H40387</t>
  </si>
  <si>
    <t>ZS-H40388</t>
  </si>
  <si>
    <t>40-DEJB-005-D15P-02</t>
  </si>
  <si>
    <t>ZS-L40388</t>
  </si>
  <si>
    <t>HV-N40388</t>
  </si>
  <si>
    <t>HS-40388LO</t>
  </si>
  <si>
    <t>4DEJB009</t>
  </si>
  <si>
    <t>HS-40388LC</t>
  </si>
  <si>
    <t>LS-HP4018A</t>
  </si>
  <si>
    <t>LS-HP4018B</t>
  </si>
  <si>
    <t>PS-HP4024</t>
  </si>
  <si>
    <t>ZS-L40389</t>
  </si>
  <si>
    <t>ZS-H40389</t>
  </si>
  <si>
    <t>ZS-H40390</t>
  </si>
  <si>
    <t>ZS-L40390</t>
  </si>
  <si>
    <t>HV-N40390</t>
  </si>
  <si>
    <t>HS-40390LO</t>
  </si>
  <si>
    <t>HS-40390LC</t>
  </si>
  <si>
    <t>ED-SL40228</t>
  </si>
  <si>
    <t>ZS-H40225</t>
  </si>
  <si>
    <t>ZS-L40225</t>
  </si>
  <si>
    <t>ZS-H40226</t>
  </si>
  <si>
    <t>4DEJB011</t>
  </si>
  <si>
    <t>ZS-L40226</t>
  </si>
  <si>
    <t>FT-40386</t>
  </si>
  <si>
    <t>PT-40137</t>
  </si>
  <si>
    <t>TT-40128</t>
  </si>
  <si>
    <t>TT-P4017</t>
  </si>
  <si>
    <t>PT-40136</t>
  </si>
  <si>
    <t>TT-40126</t>
  </si>
  <si>
    <t>TT-P4019A</t>
  </si>
  <si>
    <t>TT-P4019B</t>
  </si>
  <si>
    <t>PT-40140</t>
  </si>
  <si>
    <t>TT-40130</t>
  </si>
  <si>
    <t>TT-P4018A</t>
  </si>
  <si>
    <t>TT-P4018B</t>
  </si>
  <si>
    <t>FT-40394</t>
  </si>
  <si>
    <t>LT-40220</t>
  </si>
  <si>
    <t>PT-40212</t>
  </si>
  <si>
    <t>FT-40398</t>
  </si>
  <si>
    <t>LT-40257</t>
  </si>
  <si>
    <t>PT-40250</t>
  </si>
  <si>
    <t>ZS-H40397</t>
  </si>
  <si>
    <t>ZS-L40397</t>
  </si>
  <si>
    <t>HV-N40397</t>
  </si>
  <si>
    <t>4DPJB002</t>
  </si>
  <si>
    <t>40-DPJB-002-P20C-01</t>
  </si>
  <si>
    <t>HS-40397LO</t>
  </si>
  <si>
    <t>HS-40397LC</t>
  </si>
  <si>
    <t>ED-SL40322</t>
  </si>
  <si>
    <t>ZS-H40319</t>
  </si>
  <si>
    <t>ZS-L40319</t>
  </si>
  <si>
    <t>ZS-H40320</t>
  </si>
  <si>
    <t>ZS-L40320</t>
  </si>
  <si>
    <t>ZS-L40274</t>
  </si>
  <si>
    <t>ZS-H40274</t>
  </si>
  <si>
    <t>ZS-L40275</t>
  </si>
  <si>
    <t>ZS-H40275</t>
  </si>
  <si>
    <t>ZS-H40364</t>
  </si>
  <si>
    <t>ZS-L40364</t>
  </si>
  <si>
    <t>HV-N40364</t>
  </si>
  <si>
    <t>ZS-H40365</t>
  </si>
  <si>
    <t>ZS-L40365</t>
  </si>
  <si>
    <t>HV-N40365</t>
  </si>
  <si>
    <t>ED-SL40299</t>
  </si>
  <si>
    <t>ZS-H40296</t>
  </si>
  <si>
    <t>ZS-L40296</t>
  </si>
  <si>
    <t>ZS-H40297</t>
  </si>
  <si>
    <t>ZS-L40297</t>
  </si>
  <si>
    <t>LS-HP4023A</t>
  </si>
  <si>
    <t>LS-HP4023B</t>
  </si>
  <si>
    <t>LS-HP4023C</t>
  </si>
  <si>
    <t>ZS-L40301</t>
  </si>
  <si>
    <t>ZS-H40301</t>
  </si>
  <si>
    <t>ZS-H40414</t>
  </si>
  <si>
    <t>ZS-L40414</t>
  </si>
  <si>
    <t>ZS-L40430</t>
  </si>
  <si>
    <t>ZS-H40430</t>
  </si>
  <si>
    <t>LS-HP4002A</t>
  </si>
  <si>
    <t>LS-HP4002B</t>
  </si>
  <si>
    <t>TT-40248</t>
  </si>
  <si>
    <t>FT-40291</t>
  </si>
  <si>
    <t>PT-40264</t>
  </si>
  <si>
    <t>TT-40267</t>
  </si>
  <si>
    <t>4DSJB009</t>
  </si>
  <si>
    <t>TT-40279</t>
  </si>
  <si>
    <t>TT-40280</t>
  </si>
  <si>
    <t>TT-40358</t>
  </si>
  <si>
    <t>4DSJB007</t>
  </si>
  <si>
    <t>TT-40359</t>
  </si>
  <si>
    <t>TT-40360</t>
  </si>
  <si>
    <t>TT-40361</t>
  </si>
  <si>
    <t>FT-40282</t>
  </si>
  <si>
    <t>FT-40289</t>
  </si>
  <si>
    <t>TT-40407</t>
  </si>
  <si>
    <t>TT-40408</t>
  </si>
  <si>
    <t>TT-P4023A</t>
  </si>
  <si>
    <t>TT-P4023B</t>
  </si>
  <si>
    <t>TT-P4023C</t>
  </si>
  <si>
    <t>FT-40328</t>
  </si>
  <si>
    <t>TT-40504</t>
  </si>
  <si>
    <t>TT-P4002A</t>
  </si>
  <si>
    <t>TT-P4002B</t>
  </si>
  <si>
    <t>LT-55022</t>
  </si>
  <si>
    <t>TV-N40001</t>
  </si>
  <si>
    <t>TV-N40021</t>
  </si>
  <si>
    <t>TV-N40046</t>
  </si>
  <si>
    <t>TV-N40067</t>
  </si>
  <si>
    <t>AT-51018</t>
  </si>
  <si>
    <t>5DSJB003</t>
  </si>
  <si>
    <t>50-DSJB-003-A10P-01</t>
  </si>
  <si>
    <t>FV-51009</t>
  </si>
  <si>
    <t>5DSJB006</t>
  </si>
  <si>
    <t>50-DSJB-006-A20P-01</t>
  </si>
  <si>
    <t>FT-51009</t>
  </si>
  <si>
    <t>LT-51004</t>
  </si>
  <si>
    <t>5DSJB002</t>
  </si>
  <si>
    <t>50-DSJB-002-A10P-01</t>
  </si>
  <si>
    <t>LV-51004</t>
  </si>
  <si>
    <t>LT-51025</t>
  </si>
  <si>
    <t>LT-51026</t>
  </si>
  <si>
    <t>PT-19501</t>
  </si>
  <si>
    <t>5DSJB017</t>
  </si>
  <si>
    <t>50-DSJB-052-A20P-01</t>
  </si>
  <si>
    <t>PV-19501</t>
  </si>
  <si>
    <t>PT-55067</t>
  </si>
  <si>
    <t>5DSJB004</t>
  </si>
  <si>
    <t>50-DSJB-004-A15P-01</t>
  </si>
  <si>
    <t>PV-55067</t>
  </si>
  <si>
    <t>PT-53021</t>
  </si>
  <si>
    <t>5DSJB005</t>
  </si>
  <si>
    <t>50-DSJB-005-A10P-01</t>
  </si>
  <si>
    <t>PT-53015</t>
  </si>
  <si>
    <t>PV-53021</t>
  </si>
  <si>
    <t>PV-53015</t>
  </si>
  <si>
    <t>PT-52008</t>
  </si>
  <si>
    <t>5DSJB001</t>
  </si>
  <si>
    <t>50-DSJB-001-A15P-01</t>
  </si>
  <si>
    <t>TT-53019</t>
  </si>
  <si>
    <t>TV-53019</t>
  </si>
  <si>
    <t>PT-53027</t>
  </si>
  <si>
    <t>PT-53023</t>
  </si>
  <si>
    <t>PV-53023</t>
  </si>
  <si>
    <t>PV-53027</t>
  </si>
  <si>
    <t>PT-53024</t>
  </si>
  <si>
    <t>PV-53024</t>
  </si>
  <si>
    <t>TT-53025</t>
  </si>
  <si>
    <t>TV-Y53025</t>
  </si>
  <si>
    <t>PT-Y54279</t>
  </si>
  <si>
    <t>ZS-H52006</t>
  </si>
  <si>
    <t>5DEJB001</t>
  </si>
  <si>
    <t>50-DEJB-001-D10P-01</t>
  </si>
  <si>
    <t>ZS-L52006</t>
  </si>
  <si>
    <t>ZS-L53033</t>
  </si>
  <si>
    <t>5DEJB002</t>
  </si>
  <si>
    <t>50-DEJB-002-D10P-01</t>
  </si>
  <si>
    <t>ZS-H53033</t>
  </si>
  <si>
    <t>ZS-L53034</t>
  </si>
  <si>
    <t>ZS-H53034</t>
  </si>
  <si>
    <t>ZS-L54001</t>
  </si>
  <si>
    <t>5DEJB008</t>
  </si>
  <si>
    <t>50-DEJB-071-D10P-01</t>
  </si>
  <si>
    <t>ZS-H54001</t>
  </si>
  <si>
    <t>ZS-LY54209</t>
  </si>
  <si>
    <t>CVV-AMS 1.5SQx4C</t>
  </si>
  <si>
    <t>Y5401-005</t>
  </si>
  <si>
    <t>ZS-LY54239</t>
  </si>
  <si>
    <t>ZS-LY54206</t>
  </si>
  <si>
    <t>ZS-HY54206</t>
  </si>
  <si>
    <t>ZS-LY54208</t>
  </si>
  <si>
    <t>ZS-HY54208</t>
  </si>
  <si>
    <t>ZS-LY54222</t>
  </si>
  <si>
    <t>ZS-HY54222</t>
  </si>
  <si>
    <t>ZS-HY54224</t>
  </si>
  <si>
    <t>ZS-LY54224</t>
  </si>
  <si>
    <t>ZS-LY54236</t>
  </si>
  <si>
    <t>ZS-HY54236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</si>
</sst>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#"/>
    <numFmt numFmtId="178" formatCode="\(#,##0\);[Red]\(&quot;△&quot;#,##0\)"/>
    <numFmt numFmtId="179" formatCode="_-[$€]\ * #,##0.00_-;\-[$€]\ * #,##0.00_-;_-[$€]\ * &quot;-&quot;??_-;_-@_-"/>
    <numFmt numFmtId="180" formatCode="#,##0.0\ [$$/M]"/>
    <numFmt numFmtId="181" formatCode="#,##0.###\ [$EUR]"/>
    <numFmt numFmtId="182" formatCode="_ * #,##0_ ;_ * \-#,##0_ ;_ * &quot;-&quot;_ ;_ @_ "/>
    <numFmt numFmtId="183" formatCode="#,##0.##\ [$￦]"/>
    <numFmt numFmtId="184" formatCode="0.000"/>
    <numFmt numFmtId="185" formatCode="&quot;&quot;#,##0\ &quot;일&quot;\ \ \ "/>
    <numFmt numFmtId="186" formatCode="&quot;₩&quot;#,##0.00;[Red]&quot;₩&quot;\-#,##0.00"/>
    <numFmt numFmtId="187" formatCode="_ * #,##0.00_ ;_ * \-#,##0.00_ ;_ * &quot;-&quot;_ ;_ @_ "/>
    <numFmt numFmtId="188" formatCode="#,##0_ "/>
    <numFmt numFmtId="189" formatCode="_ &quot;₩&quot;* #,##0_ ;_ &quot;₩&quot;* \-#,##0_ ;_ &quot;₩&quot;* &quot;-&quot;_ ;_ @_ "/>
    <numFmt numFmtId="190" formatCode="&quot;Y&quot;General"/>
    <numFmt numFmtId="191" formatCode="0.00_ "/>
    <numFmt numFmtId="192" formatCode="&quot;'&quot;yy\.mm\.dd\ \ "/>
    <numFmt numFmtId="193" formatCode="General_)"/>
    <numFmt numFmtId="194" formatCode="0.0\ "/>
    <numFmt numFmtId="195" formatCode="&quot;SFr.&quot;#,##0.00;[Red]&quot;SFr.&quot;\-#,##0.00"/>
    <numFmt numFmtId="196" formatCode="#,##0;&quot;-&quot;#,##0"/>
    <numFmt numFmtId="197" formatCode="_ &quot;₩&quot;* #,##0.00_ ;_ &quot;₩&quot;* \-#,##0.00_ ;_ &quot;₩&quot;* &quot;-&quot;??_ ;_ @_ "/>
    <numFmt numFmtId="198" formatCode="#,##0;[Red]&quot;-&quot;#,##0"/>
    <numFmt numFmtId="199" formatCode="&quot;$&quot;#,##0_);[Red]\(&quot;$&quot;#,##0\)"/>
    <numFmt numFmtId="200" formatCode="#,##0.0#&quot;CMH/대&quot;;\-#,##0.0#&quot;CMH/대&quot;"/>
    <numFmt numFmtId="201" formatCode="#,##0.0#&quot;CMM/대&quot;;\-#,##0.0#&quot;CMM/대&quot;"/>
    <numFmt numFmtId="202" formatCode="&quot;₩&quot;#,##0;&quot;₩&quot;&quot;₩&quot;&quot;₩&quot;&quot;₩&quot;&quot;₩&quot;&quot;₩&quot;&quot;₩&quot;&quot;₩&quot;&quot;₩&quot;&quot;₩&quot;\-&quot;₩&quot;#,##0"/>
    <numFmt numFmtId="203" formatCode="&quot;Fr.&quot;\ #,##0.00;[Red]&quot;Fr.&quot;\ \-#,##0.00"/>
    <numFmt numFmtId="204" formatCode="_ * #,##0.00_ ;_ * \-#,##0.00_ ;_ * &quot;-&quot;??_ ;_ @_ "/>
    <numFmt numFmtId="205" formatCode="#,##0;\(#,##0\)"/>
    <numFmt numFmtId="206" formatCode="0.000000000000%"/>
    <numFmt numFmtId="207" formatCode="#,##0;[Red]#,##0"/>
    <numFmt numFmtId="208" formatCode="&quot;$&quot;#.00"/>
    <numFmt numFmtId="209" formatCode="_-&quot;£&quot;* #,##0_-;\-&quot;£&quot;* #,##0_-;_-&quot;£&quot;* &quot;-&quot;_-;_-@_-"/>
    <numFmt numFmtId="210" formatCode="\$#.00"/>
    <numFmt numFmtId="211" formatCode="&quot;₩&quot;#,##0.00;[Red]&quot;₩&quot;&quot;₩&quot;&quot;₩&quot;&quot;₩&quot;\-&quot;₩&quot;#,##0.00"/>
    <numFmt numFmtId="212" formatCode="&quot;Rp&quot;#,##0_);\(&quot;Rp&quot;#,##0\)"/>
    <numFmt numFmtId="213" formatCode="#,##0&quot; $&quot;;[Red]\-#,##0&quot; $&quot;"/>
    <numFmt numFmtId="214" formatCode="&quot;$&quot;#,##0_)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(&quot;$&quot;#,##0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)"/>
    <numFmt numFmtId="215" formatCode="m\o\n\th\ d\,\ yyyy"/>
    <numFmt numFmtId="216" formatCode="#."/>
    <numFmt numFmtId="217" formatCode="&quot;₩&quot;#,##0.00;&quot;₩&quot;&quot;₩&quot;&quot;₩&quot;\-&quot;₩&quot;#,##0.00"/>
    <numFmt numFmtId="218" formatCode="_-&quot;₩&quot;* #,##0_-;&quot;₩&quot;&quot;₩&quot;&quot;₩&quot;\-&quot;₩&quot;* #,##0_-;_-&quot;₩&quot;* &quot;-&quot;_-;_-@_-"/>
    <numFmt numFmtId="219" formatCode="#,##0.00&quot; $&quot;;[Red]\-#,##0.00&quot; $&quot;"/>
    <numFmt numFmtId="220" formatCode="#,##0.00;[Red]&quot;-&quot;#,##0.00"/>
    <numFmt numFmtId="221" formatCode="&quot;$&quot;#,##0.00_)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(&quot;$&quot;#,##0.00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)"/>
    <numFmt numFmtId="222" formatCode="&quot;$&quot;#,##0.00;[Red]\-&quot;$&quot;#,##0.00"/>
    <numFmt numFmtId="223" formatCode="&quot;$&quot;#,##0;[Red]\-&quot;$&quot;#,##0"/>
    <numFmt numFmtId="224" formatCode="_-* #,##0.00\ [$€-1]_-;\-* #,##0.00\ [$€-1]_-;_-* &quot;-&quot;??\ [$€-1]_-"/>
    <numFmt numFmtId="225" formatCode="#.00"/>
    <numFmt numFmtId="226" formatCode="#,##0.0###&quot;kg/대&quot;;\-#,##0.0#####&quot;kg/대&quot;"/>
    <numFmt numFmtId="227" formatCode="#,##0.0###&quot;㎥/대&quot;;\-#,##0.0#####&quot;㎥/대&quot;"/>
    <numFmt numFmtId="228" formatCode="&quot;₩&quot;#,##0;&quot;₩&quot;\-#,##0"/>
    <numFmt numFmtId="229" formatCode="&quot;$&quot;#,##0.00_);[Red]\(&quot;$&quot;#,##0.00\)"/>
    <numFmt numFmtId="230" formatCode="0.0"/>
    <numFmt numFmtId="231" formatCode="_(&quot;$&quot;* #,##0_);_(&quot;$&quot;* \(#,##0\);_(&quot;$&quot;* &quot;-&quot;??_);_(@_)"/>
    <numFmt numFmtId="232" formatCode="#,##0\ &quot;F&quot;;\-#,##0\ &quot;F&quot;"/>
    <numFmt numFmtId="233" formatCode="#,##0&quot;£&quot;_);[Red]\(#,##0&quot;£&quot;\)"/>
    <numFmt numFmtId="234" formatCode="_ * #,##0_ ;_ * &quot;₩&quot;&quot;₩&quot;&quot;₩&quot;&quot;₩&quot;&quot;₩&quot;&quot;₩&quot;&quot;₩&quot;&quot;₩&quot;\-#,##0_ ;_ * &quot;-&quot;_ ;_ @_ "/>
    <numFmt numFmtId="235" formatCode="%#.00"/>
    <numFmt numFmtId="236" formatCode="&quot;₩&quot;#,##0;[Red]&quot;₩&quot;\-#,##0"/>
    <numFmt numFmtId="237" formatCode="0_)"/>
    <numFmt numFmtId="238" formatCode="??,??0.??"/>
    <numFmt numFmtId="239" formatCode="#,##0.00;&quot;-&quot;#,##0.00"/>
    <numFmt numFmtId="240" formatCode="#,##0.0###&quot;Ton/set&quot;;\-#,##0.0#####&quot;Ton/대&quot;"/>
    <numFmt numFmtId="241" formatCode="#,##0.0###&quot;Ton/대&quot;;\-#,##0.0#####&quot;Ton/대&quot;"/>
    <numFmt numFmtId="242" formatCode="#,##0.0###&quot;TPH/대&quot;;\-#,##0.0#####&quot;TPH/대&quot;"/>
    <numFmt numFmtId="243" formatCode="&quot;£&quot;#,##0;[Red]\-&quot;£&quot;#,##0"/>
    <numFmt numFmtId="244" formatCode="_(&quot;$&quot;* #,##0.00_);_(&quot;$&quot;* \(#,##0.00\);_(&quot;$&quot;* &quot;-&quot;??_);_(@_)"/>
    <numFmt numFmtId="245" formatCode="&quot;₩&quot;#,##0;[Red]&quot;₩&quot;&quot;₩&quot;&quot;₩&quot;\-&quot;₩&quot;#,##0"/>
    <numFmt numFmtId="246" formatCode="&quot;₩&quot;#,##0.00;[Red]&quot;₩&quot;&quot;₩&quot;&quot;₩&quot;\-&quot;₩&quot;#,##0.00"/>
    <numFmt numFmtId="247" formatCode="_(&quot;$&quot;* #,##0_);_(&quot;$&quot;* \(#,##0\);_(&quot;$&quot;* &quot;-&quot;_);_(@_)"/>
    <numFmt numFmtId="248" formatCode="&quot;₩&quot;#,##0;&quot;₩&quot;&quot;₩&quot;&quot;₩&quot;&quot;₩&quot;\-#,##0"/>
    <numFmt numFmtId="249" formatCode="#,##0&quot;￥&quot;;\-#,##0&quot;￥&quot;"/>
    <numFmt numFmtId="250" formatCode="&quot;₩&quot;#,##0;[Red]&quot;₩&quot;&quot;₩&quot;&quot;₩&quot;&quot;₩&quot;\-#,##0"/>
    <numFmt numFmtId="251" formatCode="_-* #,##0_-;&quot;₩&quot;&quot;₩&quot;\!\!\-* #,##0_-;_-* &quot;-&quot;_-;_-@_-"/>
    <numFmt numFmtId="252" formatCode="_ * #,##0.00_ ;_ * &quot;₩&quot;\!\-#,##0.00_ ;_ * &quot;-&quot;??_ ;_ @_ "/>
    <numFmt numFmtId="253" formatCode="_-* #,##0.00_-;&quot;₩&quot;&quot;₩&quot;\-* #,##0.00_-;_-* &quot;-&quot;??_-;_-@_-"/>
    <numFmt numFmtId="254" formatCode="_ &quot;₩&quot;* #,##0_ ;_ &quot;₩&quot;* &quot;₩&quot;&quot;₩&quot;&quot;₩&quot;&quot;₩&quot;&quot;₩&quot;&quot;₩&quot;&quot;₩&quot;&quot;₩&quot;&quot;₩&quot;&quot;₩&quot;&quot;₩&quot;&quot;₩&quot;&quot;₩&quot;&quot;₩&quot;&quot;₩&quot;&quot;₩&quot;\-#,##0_ ;_ &quot;₩&quot;* &quot;-&quot;_ ;_ @_ "/>
    <numFmt numFmtId="255" formatCode="_ * #,##0_ ;_ * &quot;₩&quot;&quot;₩&quot;&quot;₩&quot;&quot;₩&quot;&quot;₩&quot;&quot;₩&quot;&quot;₩&quot;&quot;₩&quot;&quot;₩&quot;&quot;₩&quot;&quot;₩&quot;&quot;₩&quot;&quot;₩&quot;&quot;₩&quot;&quot;₩&quot;&quot;₩&quot;\-#,##0_ ;_ * &quot;-&quot;_ ;_ @_ "/>
    <numFmt numFmtId="256" formatCode="_-&quot;₩&quot;* #,##0.00_-;&quot;₩&quot;&quot;₩&quot;\-&quot;₩&quot;* #,##0.00_-;_-&quot;₩&quot;* &quot;-&quot;??_-;_-@_-"/>
    <numFmt numFmtId="257" formatCode="&quot;₩&quot;#,##0.00;&quot;₩&quot;\-#,##0.00"/>
    <numFmt numFmtId="258" formatCode="&quot;₩&quot;#,##0.00;&quot;₩&quot;&quot;₩&quot;&quot;₩&quot;&quot;₩&quot;\-#,##0.00"/>
    <numFmt numFmtId="259" formatCode="0_ "/>
  </numFmts>
  <fonts count="25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name val="바탕체"/>
      <family val="1"/>
      <charset val="129"/>
    </font>
    <font>
      <b/>
      <sz val="22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sz val="11"/>
      <name val="?"/>
      <family val="3"/>
    </font>
    <font>
      <sz val="12"/>
      <name val="A"/>
      <family val="3"/>
      <charset val="129"/>
    </font>
    <font>
      <i/>
      <sz val="12"/>
      <name val="바탕체"/>
      <family val="1"/>
      <charset val="129"/>
    </font>
    <font>
      <sz val="11"/>
      <name val="?? ?e"/>
      <family val="3"/>
    </font>
    <font>
      <sz val="11"/>
      <name val="?? ?????"/>
      <family val="3"/>
    </font>
    <font>
      <sz val="11"/>
      <name val="돋움"/>
      <family val="3"/>
      <charset val="129"/>
    </font>
    <font>
      <b/>
      <i/>
      <sz val="12"/>
      <name val="System"/>
      <family val="2"/>
      <charset val="129"/>
    </font>
    <font>
      <sz val="12"/>
      <name val="COUR"/>
      <family val="3"/>
    </font>
    <font>
      <sz val="10"/>
      <name val="Helv"/>
      <family val="2"/>
    </font>
    <font>
      <sz val="10"/>
      <name val="MS Sans Serif"/>
      <family val="2"/>
    </font>
    <font>
      <sz val="10"/>
      <name val="Times New Roman"/>
      <family val="1"/>
    </font>
    <font>
      <sz val="10"/>
      <name val="굴림체"/>
      <family val="3"/>
      <charset val="129"/>
    </font>
    <font>
      <sz val="12"/>
      <name val="Times New Roman"/>
      <family val="1"/>
    </font>
    <font>
      <sz val="14"/>
      <name val="¾©"/>
      <family val="3"/>
      <charset val="129"/>
    </font>
    <font>
      <sz val="11"/>
      <name val="µ¸¿ò"/>
      <family val="3"/>
      <charset val="129"/>
    </font>
    <font>
      <sz val="12"/>
      <name val="¾©"/>
      <family val="3"/>
      <charset val="129"/>
    </font>
    <font>
      <sz val="11"/>
      <name val="굴림체"/>
      <family val="3"/>
      <charset val="129"/>
    </font>
    <font>
      <sz val="11"/>
      <name val="옠??"/>
      <family val="3"/>
      <charset val="129"/>
    </font>
    <font>
      <sz val="12"/>
      <name val="견명조"/>
      <family val="1"/>
      <charset val="129"/>
    </font>
    <font>
      <sz val="12"/>
      <name val="¹UAAA¼"/>
      <family val="3"/>
      <charset val="129"/>
    </font>
    <font>
      <sz val="12"/>
      <name val="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</font>
    <font>
      <sz val="11"/>
      <color indexed="8"/>
      <name val="Calibri"/>
      <family val="2"/>
    </font>
    <font>
      <sz val="11"/>
      <color indexed="8"/>
      <name val="宋体"/>
      <family val="3"/>
      <charset val="129"/>
    </font>
    <font>
      <sz val="11"/>
      <color indexed="8"/>
      <name val="맑은 고딕"/>
      <family val="2"/>
      <charset val="129"/>
    </font>
    <font>
      <sz val="11"/>
      <color indexed="8"/>
      <name val="돋움"/>
      <family val="3"/>
      <charset val="129"/>
    </font>
    <font>
      <b/>
      <sz val="12"/>
      <name val="굴림체"/>
      <family val="3"/>
      <charset val="129"/>
    </font>
    <font>
      <sz val="11"/>
      <color indexed="9"/>
      <name val="맑은 고딕"/>
      <family val="3"/>
      <charset val="129"/>
    </font>
    <font>
      <sz val="11"/>
      <color indexed="9"/>
      <name val="맑은 고딕"/>
      <family val="3"/>
    </font>
    <font>
      <sz val="11"/>
      <color indexed="9"/>
      <name val="Calibri"/>
      <family val="2"/>
    </font>
    <font>
      <sz val="11"/>
      <color indexed="9"/>
      <name val="宋体"/>
      <family val="3"/>
      <charset val="129"/>
    </font>
    <font>
      <sz val="11"/>
      <color indexed="9"/>
      <name val="맑은 고딕"/>
      <family val="2"/>
      <charset val="129"/>
    </font>
    <font>
      <sz val="11"/>
      <color indexed="9"/>
      <name val="돋움"/>
      <family val="3"/>
      <charset val="129"/>
    </font>
    <font>
      <b/>
      <u/>
      <sz val="9.5"/>
      <name val="MS Sans Serif"/>
      <family val="2"/>
    </font>
    <font>
      <sz val="10"/>
      <name val="￠RERER￠RER¡ER￠R￠?u¡ERER￠"/>
      <family val="3"/>
      <charset val="129"/>
    </font>
    <font>
      <sz val="12"/>
      <name val="￠RER¡ER￠R￠?IoUAAA¡ERER￠RE"/>
      <family val="3"/>
      <charset val="129"/>
    </font>
    <font>
      <sz val="12"/>
      <name val="ⓒoUAAA¨u"/>
      <family val="1"/>
      <charset val="129"/>
    </font>
    <font>
      <b/>
      <sz val="10"/>
      <name val="CG Omega"/>
      <family val="2"/>
    </font>
    <font>
      <sz val="12"/>
      <name val="¹ÙÅÁÃ¼"/>
      <family val="3"/>
      <charset val="129"/>
    </font>
    <font>
      <sz val="10"/>
      <name val="±¼¸²A¼"/>
      <family val="3"/>
      <charset val="129"/>
    </font>
    <font>
      <b/>
      <sz val="10"/>
      <name val="Arial"/>
      <family val="2"/>
    </font>
    <font>
      <sz val="12"/>
      <name val="Arial"/>
      <family val="2"/>
    </font>
    <font>
      <sz val="11"/>
      <color indexed="20"/>
      <name val="맑은 고딕"/>
      <family val="3"/>
      <charset val="129"/>
    </font>
    <font>
      <sz val="11"/>
      <color indexed="20"/>
      <name val="맑은 고딕"/>
      <family val="3"/>
    </font>
    <font>
      <sz val="9"/>
      <name val="Arial"/>
      <family val="2"/>
    </font>
    <font>
      <sz val="24"/>
      <name val="Helv"/>
      <family val="2"/>
    </font>
    <font>
      <sz val="12"/>
      <name val="System"/>
      <family val="2"/>
      <charset val="129"/>
    </font>
    <font>
      <sz val="8"/>
      <name val="¹UAAA¼"/>
      <family val="3"/>
      <charset val="129"/>
    </font>
    <font>
      <sz val="11"/>
      <name val="µ¸¿ò"/>
      <family val="3"/>
    </font>
    <font>
      <sz val="10"/>
      <name val="바탕체"/>
      <family val="1"/>
      <charset val="129"/>
    </font>
    <font>
      <sz val="11"/>
      <name val="굴림"/>
      <family val="3"/>
      <charset val="129"/>
    </font>
    <font>
      <b/>
      <sz val="11"/>
      <color indexed="52"/>
      <name val="맑은 고딕"/>
      <family val="3"/>
      <charset val="129"/>
    </font>
    <font>
      <b/>
      <sz val="11"/>
      <color indexed="52"/>
      <name val="맑은 고딕"/>
      <family val="3"/>
    </font>
    <font>
      <b/>
      <sz val="10"/>
      <name val="Helv"/>
      <family val="2"/>
    </font>
    <font>
      <b/>
      <i/>
      <sz val="7"/>
      <color indexed="12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9"/>
      <name val="맑은 고딕"/>
      <family val="3"/>
    </font>
    <font>
      <sz val="12"/>
      <color indexed="8"/>
      <name val="바탕체"/>
      <family val="1"/>
      <charset val="129"/>
    </font>
    <font>
      <sz val="12"/>
      <color indexed="8"/>
      <name val="굴림체"/>
      <family val="3"/>
      <charset val="129"/>
    </font>
    <font>
      <b/>
      <sz val="10"/>
      <name val="Tms Rmn"/>
      <family val="1"/>
    </font>
    <font>
      <b/>
      <sz val="11"/>
      <name val="굴림체"/>
      <family val="3"/>
      <charset val="129"/>
    </font>
    <font>
      <sz val="11"/>
      <name val="ＭＳ Ｐゴシック"/>
      <family val="2"/>
      <charset val="128"/>
    </font>
    <font>
      <sz val="1"/>
      <color indexed="8"/>
      <name val="Courier"/>
      <family val="3"/>
    </font>
    <font>
      <sz val="10"/>
      <name val="명조"/>
      <family val="3"/>
      <charset val="129"/>
    </font>
    <font>
      <sz val="10"/>
      <color indexed="24"/>
      <name val="Arial"/>
      <family val="2"/>
    </font>
    <font>
      <sz val="14"/>
      <color indexed="8"/>
      <name val="Arial Narrow"/>
      <family val="2"/>
    </font>
    <font>
      <sz val="10"/>
      <name val="MS Serif"/>
      <family val="1"/>
    </font>
    <font>
      <b/>
      <sz val="1"/>
      <color indexed="8"/>
      <name val="Courier"/>
      <family val="3"/>
    </font>
    <font>
      <sz val="10"/>
      <name val="Geneva"/>
      <family val="2"/>
    </font>
    <font>
      <sz val="12"/>
      <name val="바탕체"/>
      <family val="3"/>
      <charset val="129"/>
    </font>
    <font>
      <sz val="10"/>
      <color indexed="18"/>
      <name val="Arial"/>
      <family val="2"/>
    </font>
    <font>
      <sz val="10"/>
      <name val="Gill Sans"/>
      <family val="2"/>
    </font>
    <font>
      <b/>
      <sz val="14"/>
      <color indexed="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1"/>
      <color indexed="16"/>
      <name val="Courier"/>
      <family val="3"/>
    </font>
    <font>
      <b/>
      <sz val="10"/>
      <color indexed="18"/>
      <name val="Arial"/>
      <family val="2"/>
    </font>
    <font>
      <sz val="12"/>
      <name val="궁서체"/>
      <family val="1"/>
      <charset val="129"/>
    </font>
    <font>
      <sz val="8"/>
      <name val="Arial"/>
      <family val="2"/>
    </font>
    <font>
      <sz val="10"/>
      <color indexed="16"/>
      <name val="MS Serif"/>
      <family val="1"/>
    </font>
    <font>
      <i/>
      <sz val="11"/>
      <color indexed="23"/>
      <name val="맑은 고딕"/>
      <family val="3"/>
      <charset val="129"/>
    </font>
    <font>
      <i/>
      <sz val="11"/>
      <color indexed="23"/>
      <name val="맑은 고딕"/>
      <family val="3"/>
    </font>
    <font>
      <i/>
      <sz val="1"/>
      <color indexed="8"/>
      <name val="Courier"/>
      <family val="3"/>
    </font>
    <font>
      <u/>
      <sz val="14"/>
      <color indexed="36"/>
      <name val="Cordia New"/>
      <family val="2"/>
    </font>
    <font>
      <sz val="11"/>
      <color indexed="17"/>
      <name val="맑은 고딕"/>
      <family val="3"/>
      <charset val="129"/>
    </font>
    <font>
      <sz val="11"/>
      <color indexed="17"/>
      <name val="맑은 고딕"/>
      <family val="3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12"/>
      <name val="Helv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8"/>
      <name val="Arial"/>
      <family val="2"/>
    </font>
    <font>
      <b/>
      <sz val="15"/>
      <color indexed="56"/>
      <name val="맑은 고딕"/>
      <family val="3"/>
      <charset val="129"/>
    </font>
    <font>
      <b/>
      <sz val="15"/>
      <color indexed="56"/>
      <name val="맑은 고딕"/>
      <family val="3"/>
    </font>
    <font>
      <b/>
      <sz val="12"/>
      <color indexed="24"/>
      <name val="Arial"/>
      <family val="2"/>
    </font>
    <font>
      <b/>
      <sz val="13"/>
      <color indexed="56"/>
      <name val="맑은 고딕"/>
      <family val="3"/>
      <charset val="129"/>
    </font>
    <font>
      <b/>
      <sz val="13"/>
      <color indexed="56"/>
      <name val="맑은 고딕"/>
      <family val="3"/>
    </font>
    <font>
      <b/>
      <sz val="11"/>
      <color indexed="56"/>
      <name val="맑은 고딕"/>
      <family val="3"/>
      <charset val="129"/>
    </font>
    <font>
      <b/>
      <sz val="11"/>
      <color indexed="56"/>
      <name val="맑은 고딕"/>
      <family val="3"/>
    </font>
    <font>
      <sz val="12"/>
      <color indexed="24"/>
      <name val="Arial"/>
      <family val="2"/>
    </font>
    <font>
      <b/>
      <sz val="18"/>
      <color indexed="12"/>
      <name val="Arial Narrow"/>
      <family val="2"/>
    </font>
    <font>
      <sz val="10"/>
      <name val="Univers (WN)"/>
      <family val="2"/>
    </font>
    <font>
      <i/>
      <sz val="11"/>
      <name val="돋움"/>
      <family val="3"/>
      <charset val="129"/>
    </font>
    <font>
      <sz val="10"/>
      <name val="돋움"/>
      <family val="3"/>
      <charset val="129"/>
    </font>
    <font>
      <u/>
      <sz val="14"/>
      <color indexed="12"/>
      <name val="Cordia New"/>
      <family val="2"/>
    </font>
    <font>
      <b/>
      <sz val="12"/>
      <color indexed="18"/>
      <name val="Arial"/>
      <family val="2"/>
    </font>
    <font>
      <sz val="11"/>
      <color indexed="62"/>
      <name val="맑은 고딕"/>
      <family val="3"/>
      <charset val="129"/>
    </font>
    <font>
      <sz val="11"/>
      <color indexed="62"/>
      <name val="맑은 고딕"/>
      <family val="3"/>
    </font>
    <font>
      <sz val="16"/>
      <color indexed="12"/>
      <name val="Arial Narrow"/>
      <family val="2"/>
    </font>
    <font>
      <b/>
      <sz val="14"/>
      <color indexed="8"/>
      <name val="Arial Narrow"/>
      <family val="2"/>
    </font>
    <font>
      <sz val="11"/>
      <color indexed="52"/>
      <name val="맑은 고딕"/>
      <family val="3"/>
      <charset val="129"/>
    </font>
    <font>
      <sz val="11"/>
      <color indexed="52"/>
      <name val="맑은 고딕"/>
      <family val="3"/>
    </font>
    <font>
      <b/>
      <sz val="14"/>
      <color indexed="17"/>
      <name val="Arial"/>
      <family val="2"/>
    </font>
    <font>
      <sz val="12"/>
      <name val="CG Times (WN)"/>
      <family val="1"/>
    </font>
    <font>
      <b/>
      <sz val="16"/>
      <name val="Arial"/>
      <family val="2"/>
    </font>
    <font>
      <b/>
      <sz val="20"/>
      <name val="Arial"/>
      <family val="2"/>
    </font>
    <font>
      <sz val="14"/>
      <name val="Helv"/>
      <family val="2"/>
    </font>
    <font>
      <sz val="12"/>
      <name val="Helv"/>
      <family val="2"/>
    </font>
    <font>
      <b/>
      <sz val="11"/>
      <name val="Helv"/>
      <family val="2"/>
    </font>
    <font>
      <sz val="8"/>
      <name val="宋体"/>
      <charset val="129"/>
    </font>
    <font>
      <sz val="11"/>
      <color indexed="60"/>
      <name val="맑은 고딕"/>
      <family val="3"/>
      <charset val="129"/>
    </font>
    <font>
      <sz val="11"/>
      <color indexed="60"/>
      <name val="맑은 고딕"/>
      <family val="3"/>
    </font>
    <font>
      <sz val="18"/>
      <color indexed="14"/>
      <name val="Arial"/>
      <family val="2"/>
    </font>
    <font>
      <sz val="7"/>
      <name val="Small Fonts"/>
      <family val="2"/>
    </font>
    <font>
      <sz val="10"/>
      <name val="Courier"/>
      <family val="3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1"/>
      <name val="ＭＳ Ｐゴシック"/>
      <family val="2"/>
    </font>
    <font>
      <sz val="6"/>
      <name val="Arial MT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맑은 고딕"/>
      <family val="3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  <font>
      <sz val="8"/>
      <name val="Helv"/>
      <family val="2"/>
    </font>
    <font>
      <sz val="9"/>
      <name val="Times New Roman"/>
      <family val="1"/>
    </font>
    <font>
      <b/>
      <sz val="8"/>
      <color indexed="8"/>
      <name val="Helv"/>
      <family val="2"/>
    </font>
    <font>
      <b/>
      <sz val="16"/>
      <color indexed="17"/>
      <name val="Arial"/>
      <family val="2"/>
    </font>
    <font>
      <b/>
      <sz val="18"/>
      <color indexed="56"/>
      <name val="맑은 고딕"/>
      <family val="3"/>
      <charset val="129"/>
    </font>
    <font>
      <b/>
      <u/>
      <sz val="13"/>
      <name val="굴림체"/>
      <family val="3"/>
      <charset val="129"/>
    </font>
    <font>
      <b/>
      <sz val="18"/>
      <color indexed="56"/>
      <name val="맑은 고딕"/>
      <family val="3"/>
    </font>
    <font>
      <b/>
      <sz val="11"/>
      <name val="Times New Roman"/>
      <family val="1"/>
    </font>
    <font>
      <sz val="14"/>
      <name val="Arial"/>
      <family val="2"/>
    </font>
    <font>
      <b/>
      <sz val="11"/>
      <color indexed="8"/>
      <name val="맑은 고딕"/>
      <family val="3"/>
      <charset val="129"/>
    </font>
    <font>
      <b/>
      <sz val="11"/>
      <color indexed="8"/>
      <name val="맑은 고딕"/>
      <family val="3"/>
    </font>
    <font>
      <sz val="12"/>
      <color indexed="18"/>
      <name val="Arial"/>
      <family val="2"/>
    </font>
    <font>
      <sz val="14"/>
      <name val="élér âSâVâbâN"/>
      <family val="2"/>
    </font>
    <font>
      <sz val="11"/>
      <color indexed="10"/>
      <name val="맑은 고딕"/>
      <family val="3"/>
      <charset val="129"/>
    </font>
    <font>
      <sz val="11"/>
      <color indexed="10"/>
      <name val="맑은 고딕"/>
      <family val="3"/>
    </font>
    <font>
      <u/>
      <sz val="9"/>
      <color indexed="12"/>
      <name val="Helv"/>
      <family val="2"/>
    </font>
    <font>
      <u/>
      <sz val="7"/>
      <color indexed="12"/>
      <name val="ＭＳ ゴシック"/>
      <family val="3"/>
    </font>
    <font>
      <u/>
      <sz val="7"/>
      <color indexed="12"/>
      <name val="ＭＳ ゴシック"/>
      <family val="3"/>
      <charset val="128"/>
    </font>
    <font>
      <sz val="14"/>
      <name val="Cordia New"/>
      <family val="2"/>
    </font>
    <font>
      <sz val="11"/>
      <color indexed="10"/>
      <name val="맑은 고딕"/>
      <family val="2"/>
      <charset val="129"/>
    </font>
    <font>
      <sz val="11"/>
      <color indexed="10"/>
      <name val="돋움"/>
      <family val="3"/>
      <charset val="129"/>
    </font>
    <font>
      <b/>
      <sz val="11"/>
      <color indexed="52"/>
      <name val="맑은 고딕"/>
      <family val="2"/>
      <charset val="129"/>
    </font>
    <font>
      <b/>
      <sz val="11"/>
      <color indexed="52"/>
      <name val="돋움"/>
      <family val="3"/>
      <charset val="129"/>
    </font>
    <font>
      <b/>
      <sz val="11"/>
      <color indexed="10"/>
      <name val="돋움"/>
      <family val="3"/>
      <charset val="129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sz val="10"/>
      <name val="PragmaticaCTT"/>
      <family val="1"/>
    </font>
    <font>
      <sz val="11"/>
      <color indexed="20"/>
      <name val="맑은 고딕"/>
      <family val="2"/>
      <charset val="129"/>
    </font>
    <font>
      <sz val="11"/>
      <color indexed="20"/>
      <name val="돋움"/>
      <family val="3"/>
      <charset val="129"/>
    </font>
    <font>
      <sz val="8"/>
      <name val="바탕"/>
      <family val="1"/>
      <charset val="129"/>
    </font>
    <font>
      <sz val="11"/>
      <color indexed="22"/>
      <name val="돋움"/>
      <family val="3"/>
      <charset val="129"/>
    </font>
    <font>
      <u/>
      <sz val="7.5"/>
      <color indexed="36"/>
      <name val="Arial"/>
      <family val="2"/>
    </font>
    <font>
      <u/>
      <sz val="12"/>
      <color indexed="36"/>
      <name val="바탕체"/>
      <family val="1"/>
      <charset val="129"/>
    </font>
    <font>
      <u/>
      <sz val="11"/>
      <color indexed="36"/>
      <name val="돋움"/>
      <family val="3"/>
      <charset val="129"/>
    </font>
    <font>
      <sz val="10"/>
      <name val="굃굍 긕긘긞긏"/>
      <family val="3"/>
      <charset val="129"/>
    </font>
    <font>
      <sz val="9"/>
      <name val="돋움"/>
      <family val="3"/>
      <charset val="129"/>
    </font>
    <font>
      <sz val="14"/>
      <name val="ＭＳ 明朝"/>
      <family val="3"/>
      <charset val="128"/>
    </font>
    <font>
      <sz val="14"/>
      <name val="ＭＳ 明朝"/>
      <family val="3"/>
      <charset val="255"/>
    </font>
    <font>
      <sz val="9"/>
      <name val="굴림"/>
      <family val="3"/>
      <charset val="129"/>
    </font>
    <font>
      <sz val="11"/>
      <color indexed="60"/>
      <name val="맑은 고딕"/>
      <family val="2"/>
      <charset val="129"/>
    </font>
    <font>
      <sz val="11"/>
      <color indexed="60"/>
      <name val="돋움"/>
      <family val="3"/>
      <charset val="129"/>
    </font>
    <font>
      <sz val="11"/>
      <color indexed="19"/>
      <name val="돋움"/>
      <family val="3"/>
      <charset val="129"/>
    </font>
    <font>
      <sz val="14"/>
      <name val="뼻뮝"/>
      <family val="1"/>
      <charset val="129"/>
    </font>
    <font>
      <sz val="1"/>
      <color indexed="18"/>
      <name val="Courier"/>
      <family val="3"/>
    </font>
    <font>
      <i/>
      <sz val="11"/>
      <color indexed="23"/>
      <name val="맑은 고딕"/>
      <family val="2"/>
      <charset val="129"/>
    </font>
    <font>
      <i/>
      <sz val="11"/>
      <color indexed="23"/>
      <name val="돋움"/>
      <family val="3"/>
      <charset val="129"/>
    </font>
    <font>
      <b/>
      <sz val="11"/>
      <color indexed="9"/>
      <name val="맑은 고딕"/>
      <family val="2"/>
      <charset val="129"/>
    </font>
    <font>
      <b/>
      <sz val="11"/>
      <color indexed="9"/>
      <name val="돋움"/>
      <family val="3"/>
      <charset val="129"/>
    </font>
    <font>
      <sz val="11"/>
      <color indexed="23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11"/>
      <color indexed="52"/>
      <name val="맑은 고딕"/>
      <family val="2"/>
      <charset val="129"/>
    </font>
    <font>
      <sz val="11"/>
      <color indexed="52"/>
      <name val="돋움"/>
      <family val="3"/>
      <charset val="129"/>
    </font>
    <font>
      <u/>
      <sz val="9.6"/>
      <color indexed="36"/>
      <name val="바탕체"/>
      <family val="1"/>
      <charset val="129"/>
    </font>
    <font>
      <u/>
      <sz val="9.5500000000000007"/>
      <color indexed="36"/>
      <name val="돋움"/>
      <family val="3"/>
      <charset val="129"/>
    </font>
    <font>
      <u/>
      <sz val="9.35"/>
      <color indexed="36"/>
      <name val="돋움"/>
      <family val="3"/>
      <charset val="129"/>
    </font>
    <font>
      <b/>
      <sz val="11"/>
      <color indexed="8"/>
      <name val="맑은 고딕"/>
      <family val="2"/>
      <charset val="129"/>
    </font>
    <font>
      <b/>
      <sz val="11"/>
      <color indexed="8"/>
      <name val="돋움"/>
      <family val="3"/>
      <charset val="129"/>
    </font>
    <font>
      <sz val="11"/>
      <color indexed="62"/>
      <name val="맑은 고딕"/>
      <family val="2"/>
      <charset val="129"/>
    </font>
    <font>
      <sz val="11"/>
      <color indexed="62"/>
      <name val="돋움"/>
      <family val="3"/>
      <charset val="129"/>
    </font>
    <font>
      <b/>
      <sz val="15"/>
      <color indexed="56"/>
      <name val="맑은 고딕"/>
      <family val="2"/>
      <charset val="129"/>
    </font>
    <font>
      <b/>
      <sz val="15"/>
      <color indexed="56"/>
      <name val="돋움"/>
      <family val="3"/>
      <charset val="129"/>
    </font>
    <font>
      <b/>
      <sz val="15"/>
      <color indexed="62"/>
      <name val="돋움"/>
      <family val="3"/>
      <charset val="129"/>
    </font>
    <font>
      <b/>
      <sz val="18"/>
      <color indexed="56"/>
      <name val="맑은 고딕"/>
      <family val="2"/>
      <charset val="129"/>
    </font>
    <font>
      <b/>
      <sz val="13"/>
      <color indexed="56"/>
      <name val="맑은 고딕"/>
      <family val="2"/>
      <charset val="129"/>
    </font>
    <font>
      <b/>
      <sz val="13"/>
      <color indexed="56"/>
      <name val="돋움"/>
      <family val="3"/>
      <charset val="129"/>
    </font>
    <font>
      <b/>
      <sz val="13"/>
      <color indexed="62"/>
      <name val="돋움"/>
      <family val="3"/>
      <charset val="129"/>
    </font>
    <font>
      <b/>
      <sz val="11"/>
      <color indexed="56"/>
      <name val="맑은 고딕"/>
      <family val="2"/>
      <charset val="129"/>
    </font>
    <font>
      <b/>
      <sz val="11"/>
      <color indexed="56"/>
      <name val="돋움"/>
      <family val="3"/>
      <charset val="129"/>
    </font>
    <font>
      <b/>
      <sz val="11"/>
      <color indexed="62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17"/>
      <name val="맑은 고딕"/>
      <family val="2"/>
      <charset val="129"/>
    </font>
    <font>
      <sz val="11"/>
      <color indexed="17"/>
      <name val="돋움"/>
      <family val="3"/>
      <charset val="129"/>
    </font>
    <font>
      <sz val="11"/>
      <color indexed="22"/>
      <name val="돋움체"/>
      <family val="3"/>
      <charset val="129"/>
    </font>
    <font>
      <b/>
      <sz val="11"/>
      <color indexed="63"/>
      <name val="맑은 고딕"/>
      <family val="2"/>
      <charset val="129"/>
    </font>
    <font>
      <b/>
      <sz val="11"/>
      <color indexed="63"/>
      <name val="돋움"/>
      <family val="3"/>
      <charset val="129"/>
    </font>
    <font>
      <sz val="9"/>
      <name val="바탕체"/>
      <family val="1"/>
      <charset val="129"/>
    </font>
    <font>
      <sz val="10"/>
      <name val="ＭＳ 明朝"/>
      <family val="3"/>
      <charset val="129"/>
    </font>
    <font>
      <sz val="14"/>
      <name val="굴림체"/>
      <family val="3"/>
      <charset val="129"/>
    </font>
    <font>
      <sz val="9"/>
      <name val="돋움체"/>
      <family val="3"/>
      <charset val="129"/>
    </font>
    <font>
      <u/>
      <sz val="9"/>
      <color indexed="36"/>
      <name val="Helv"/>
      <family val="2"/>
    </font>
    <font>
      <u/>
      <sz val="7"/>
      <color indexed="36"/>
      <name val="ＭＳ ゴシック"/>
      <family val="3"/>
      <charset val="128"/>
    </font>
    <font>
      <sz val="11"/>
      <name val="돋움"/>
      <family val="2"/>
      <charset val="129"/>
    </font>
    <font>
      <sz val="10"/>
      <name val="돋움체"/>
      <family val="3"/>
      <charset val="129"/>
    </font>
    <font>
      <sz val="9"/>
      <name val="굴림체"/>
      <family val="3"/>
      <charset val="129"/>
    </font>
    <font>
      <sz val="9"/>
      <name val="Tahoma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11"/>
      <name val="ＭＳ Ｐゴシック"/>
      <family val="2"/>
      <charset val="129"/>
    </font>
    <font>
      <sz val="9"/>
      <name val="細明朝体"/>
      <family val="3"/>
      <charset val="129"/>
    </font>
    <font>
      <sz val="9"/>
      <name val="ＭＳ ゴシック"/>
      <family val="3"/>
      <charset val="128"/>
    </font>
    <font>
      <sz val="12"/>
      <name val="┭병릇"/>
      <family val="1"/>
      <charset val="129"/>
    </font>
    <font>
      <u/>
      <sz val="9.35"/>
      <color indexed="12"/>
      <name val="돋움"/>
      <family val="3"/>
      <charset val="129"/>
    </font>
    <font>
      <sz val="11"/>
      <name val="굴림"/>
      <family val="2"/>
      <charset val="129"/>
    </font>
    <font>
      <sz val="14"/>
      <name val="System"/>
      <family val="2"/>
      <charset val="129"/>
    </font>
    <font>
      <sz val="9.5"/>
      <name val="明朝"/>
      <family val="3"/>
      <charset val="129"/>
    </font>
    <font>
      <sz val="11"/>
      <name val="Ｍi"/>
      <family val="3"/>
      <charset val="129"/>
    </font>
    <font>
      <sz val="8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1"/>
      <name val="맑은 고딕"/>
      <family val="2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Arial"/>
      <family val="2"/>
    </font>
    <font>
      <sz val="11"/>
      <color theme="1"/>
      <name val="맑은 고딕"/>
      <family val="3"/>
      <charset val="129"/>
    </font>
    <font>
      <sz val="11"/>
      <name val="Arial"/>
      <family val="3"/>
      <charset val="129"/>
    </font>
    <font>
      <strike/>
      <sz val="11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8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37108">
    <xf numFmtId="0" fontId="0" fillId="0" borderId="0">
      <alignment vertical="center"/>
    </xf>
    <xf numFmtId="0" fontId="7" fillId="0" borderId="0" applyFill="0" applyBorder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>
      <alignment vertical="center"/>
    </xf>
    <xf numFmtId="3" fontId="9" fillId="0" borderId="2"/>
    <xf numFmtId="178" fontId="10" fillId="0" borderId="3" applyBorder="0">
      <alignment horizontal="center"/>
    </xf>
    <xf numFmtId="0" fontId="7" fillId="0" borderId="0"/>
    <xf numFmtId="0" fontId="11" fillId="0" borderId="0"/>
    <xf numFmtId="0" fontId="12" fillId="0" borderId="0" applyFont="0" applyFill="0" applyBorder="0" applyAlignment="0" applyProtection="0"/>
    <xf numFmtId="0" fontId="13" fillId="0" borderId="0"/>
    <xf numFmtId="0" fontId="7" fillId="0" borderId="0"/>
    <xf numFmtId="0" fontId="13" fillId="0" borderId="0"/>
    <xf numFmtId="0" fontId="13" fillId="0" borderId="0"/>
    <xf numFmtId="179" fontId="7" fillId="0" borderId="0"/>
    <xf numFmtId="0" fontId="13" fillId="0" borderId="0"/>
    <xf numFmtId="0" fontId="7" fillId="0" borderId="0"/>
    <xf numFmtId="0" fontId="13" fillId="0" borderId="0"/>
    <xf numFmtId="0" fontId="13" fillId="0" borderId="0"/>
    <xf numFmtId="179" fontId="7" fillId="0" borderId="0"/>
    <xf numFmtId="0" fontId="7" fillId="0" borderId="0"/>
    <xf numFmtId="0" fontId="14" fillId="0" borderId="0" applyNumberFormat="0" applyFill="0" applyBorder="0" applyAlignment="0" applyProtection="0"/>
    <xf numFmtId="0" fontId="11" fillId="0" borderId="0" applyFont="0" applyFill="0" applyBorder="0" applyAlignment="0" applyProtection="0"/>
    <xf numFmtId="40" fontId="15" fillId="0" borderId="0" applyFont="0" applyFill="0" applyBorder="0" applyAlignment="0" applyProtection="0"/>
    <xf numFmtId="38" fontId="15" fillId="0" borderId="0" applyFont="0" applyFill="0" applyBorder="0" applyAlignment="0" applyProtection="0"/>
    <xf numFmtId="0" fontId="16" fillId="0" borderId="0"/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8" fillId="0" borderId="0"/>
    <xf numFmtId="0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0" fontId="19" fillId="3" borderId="0"/>
    <xf numFmtId="0" fontId="19" fillId="3" borderId="0"/>
    <xf numFmtId="0" fontId="19" fillId="3" borderId="0"/>
    <xf numFmtId="0" fontId="7" fillId="0" borderId="0"/>
    <xf numFmtId="0" fontId="20" fillId="0" borderId="0"/>
    <xf numFmtId="0" fontId="21" fillId="0" borderId="0"/>
    <xf numFmtId="0" fontId="7" fillId="0" borderId="0" applyFont="0" applyFill="0" applyBorder="0" applyAlignment="0" applyProtection="0"/>
    <xf numFmtId="0" fontId="21" fillId="0" borderId="0"/>
    <xf numFmtId="0" fontId="22" fillId="0" borderId="0"/>
    <xf numFmtId="0" fontId="23" fillId="0" borderId="0"/>
    <xf numFmtId="0" fontId="20" fillId="0" borderId="0"/>
    <xf numFmtId="0" fontId="11" fillId="0" borderId="0"/>
    <xf numFmtId="0" fontId="7" fillId="0" borderId="0"/>
    <xf numFmtId="0" fontId="20" fillId="0" borderId="0"/>
    <xf numFmtId="0" fontId="11" fillId="0" borderId="0"/>
    <xf numFmtId="0" fontId="23" fillId="0" borderId="0"/>
    <xf numFmtId="0" fontId="2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1" fillId="0" borderId="0"/>
    <xf numFmtId="0" fontId="11" fillId="0" borderId="0"/>
    <xf numFmtId="0" fontId="21" fillId="0" borderId="0"/>
    <xf numFmtId="0" fontId="23" fillId="0" borderId="0"/>
    <xf numFmtId="0" fontId="20" fillId="0" borderId="0"/>
    <xf numFmtId="0" fontId="23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2" fillId="0" borderId="0"/>
    <xf numFmtId="0" fontId="11" fillId="0" borderId="0"/>
    <xf numFmtId="0" fontId="11" fillId="0" borderId="0"/>
    <xf numFmtId="0" fontId="11" fillId="0" borderId="0"/>
    <xf numFmtId="0" fontId="9" fillId="0" borderId="0" applyFont="0" applyFill="0" applyBorder="0" applyAlignment="0" applyProtection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3" fillId="0" borderId="0"/>
    <xf numFmtId="0" fontId="23" fillId="0" borderId="0"/>
    <xf numFmtId="0" fontId="11" fillId="0" borderId="0"/>
    <xf numFmtId="0" fontId="23" fillId="0" borderId="0"/>
    <xf numFmtId="0" fontId="7" fillId="0" borderId="0"/>
    <xf numFmtId="0" fontId="22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2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1" fillId="0" borderId="0"/>
    <xf numFmtId="0" fontId="23" fillId="0" borderId="0"/>
    <xf numFmtId="0" fontId="21" fillId="0" borderId="0"/>
    <xf numFmtId="0" fontId="23" fillId="0" borderId="0"/>
    <xf numFmtId="0" fontId="23" fillId="0" borderId="0"/>
    <xf numFmtId="0" fontId="21" fillId="0" borderId="0"/>
    <xf numFmtId="0" fontId="20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4" fillId="0" borderId="0"/>
    <xf numFmtId="0" fontId="11" fillId="0" borderId="0"/>
    <xf numFmtId="0" fontId="11" fillId="0" borderId="0"/>
    <xf numFmtId="40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/>
    <xf numFmtId="0" fontId="27" fillId="0" borderId="0"/>
    <xf numFmtId="3" fontId="9" fillId="0" borderId="2"/>
    <xf numFmtId="3" fontId="9" fillId="0" borderId="2"/>
    <xf numFmtId="0" fontId="28" fillId="0" borderId="0">
      <alignment horizontal="center" vertical="center"/>
    </xf>
    <xf numFmtId="182" fontId="29" fillId="0" borderId="0" applyFont="0" applyFill="0" applyBorder="0" applyAlignment="0" applyProtection="0"/>
    <xf numFmtId="183" fontId="17" fillId="0" borderId="0" applyFont="0" applyFill="0" applyBorder="0" applyAlignment="0" applyProtection="0"/>
    <xf numFmtId="184" fontId="30" fillId="0" borderId="0">
      <alignment horizontal="center" vertical="center"/>
    </xf>
    <xf numFmtId="9" fontId="31" fillId="0" borderId="0" applyFont="0" applyFill="0" applyBorder="0" applyAlignment="0" applyProtection="0"/>
    <xf numFmtId="0" fontId="32" fillId="0" borderId="0" applyFont="0" applyFill="0" applyBorder="0" applyAlignment="0" applyProtection="0"/>
    <xf numFmtId="0" fontId="7" fillId="0" borderId="4">
      <alignment horizont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4" fillId="8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5" fillId="4" borderId="0" applyNumberFormat="0" applyBorder="0" applyAlignment="0" applyProtection="0">
      <alignment vertical="center"/>
    </xf>
    <xf numFmtId="0" fontId="35" fillId="4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6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8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3" fillId="9" borderId="0" applyNumberFormat="0" applyBorder="0" applyAlignment="0" applyProtection="0">
      <alignment vertical="center"/>
    </xf>
    <xf numFmtId="185" fontId="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0" fontId="39" fillId="0" borderId="5">
      <alignment vertical="center"/>
    </xf>
    <xf numFmtId="0" fontId="24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187" fontId="39" fillId="0" borderId="5">
      <alignment vertical="center"/>
    </xf>
    <xf numFmtId="0" fontId="39" fillId="0" borderId="5">
      <alignment vertical="center"/>
    </xf>
    <xf numFmtId="0" fontId="39" fillId="0" borderId="5">
      <alignment vertical="center"/>
    </xf>
    <xf numFmtId="186" fontId="17" fillId="0" borderId="5">
      <alignment vertical="center"/>
    </xf>
    <xf numFmtId="186" fontId="17" fillId="0" borderId="5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1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4" fillId="13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4" fillId="7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4" fillId="10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8" fillId="5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33" fillId="7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3" fillId="10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7" fillId="14" borderId="0" applyNumberFormat="0" applyBorder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9" fontId="7" fillId="0" borderId="0">
      <protection locked="0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42" fillId="11" borderId="0" applyNumberFormat="0" applyBorder="0" applyAlignment="0" applyProtection="0">
      <alignment vertical="center"/>
    </xf>
    <xf numFmtId="0" fontId="42" fillId="13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14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5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3" fillId="11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5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3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5" fillId="5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5" fillId="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5" fillId="11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7" fillId="0" borderId="0" applyFont="0" applyFill="0" applyBorder="0" applyAlignment="0" applyProtection="0"/>
    <xf numFmtId="0" fontId="46" fillId="0" borderId="0" applyNumberFormat="0" applyFont="0" applyBorder="0" applyAlignment="0"/>
    <xf numFmtId="0" fontId="7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50" fillId="0" borderId="6" applyNumberFormat="0" applyFill="0" applyBorder="0" applyProtection="0">
      <alignment horizontal="left" vertical="center"/>
      <protection locked="0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7" fillId="0" borderId="0" applyFont="0" applyFill="0" applyBorder="0" applyAlignment="0" applyProtection="0"/>
    <xf numFmtId="188" fontId="51" fillId="0" borderId="0" applyFont="0" applyFill="0" applyBorder="0" applyAlignment="0" applyProtection="0"/>
    <xf numFmtId="189" fontId="31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2" fillId="0" borderId="0" applyFont="0" applyFill="0" applyBorder="0" applyAlignment="0" applyProtection="0"/>
    <xf numFmtId="190" fontId="26" fillId="0" borderId="0" applyFont="0" applyFill="0" applyBorder="0" applyAlignment="0" applyProtection="0"/>
    <xf numFmtId="0" fontId="35" fillId="0" borderId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21" fillId="0" borderId="0"/>
    <xf numFmtId="0" fontId="31" fillId="0" borderId="0"/>
    <xf numFmtId="0" fontId="53" fillId="0" borderId="0">
      <alignment horizontal="left"/>
    </xf>
    <xf numFmtId="0" fontId="35" fillId="0" borderId="0"/>
    <xf numFmtId="0" fontId="35" fillId="0" borderId="0"/>
    <xf numFmtId="0" fontId="35" fillId="0" borderId="0"/>
    <xf numFmtId="191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182" fontId="5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7" fillId="0" borderId="0" applyFont="0" applyFill="0" applyBorder="0" applyAlignment="0" applyProtection="0"/>
    <xf numFmtId="192" fontId="26" fillId="0" borderId="0" applyFont="0" applyFill="0" applyBorder="0" applyAlignment="0" applyProtection="0"/>
    <xf numFmtId="0" fontId="35" fillId="0" borderId="0"/>
    <xf numFmtId="0" fontId="26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4" fillId="0" borderId="0">
      <alignment horizontal="centerContinuous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6" fillId="5" borderId="0" applyNumberFormat="0" applyBorder="0" applyAlignment="0" applyProtection="0">
      <alignment vertical="center"/>
    </xf>
    <xf numFmtId="0" fontId="57" fillId="0" borderId="0"/>
    <xf numFmtId="0" fontId="35" fillId="0" borderId="0"/>
    <xf numFmtId="193" fontId="58" fillId="0" borderId="7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21" fillId="0" borderId="0" applyFont="0" applyFill="0" applyBorder="0" applyAlignment="0"/>
    <xf numFmtId="0" fontId="35" fillId="0" borderId="0"/>
    <xf numFmtId="0" fontId="59" fillId="0" borderId="0"/>
    <xf numFmtId="0" fontId="35" fillId="0" borderId="0"/>
    <xf numFmtId="0" fontId="60" fillId="0" borderId="0"/>
    <xf numFmtId="0" fontId="51" fillId="0" borderId="0"/>
    <xf numFmtId="0" fontId="52" fillId="0" borderId="0"/>
    <xf numFmtId="0" fontId="51" fillId="0" borderId="0"/>
    <xf numFmtId="0" fontId="31" fillId="0" borderId="0"/>
    <xf numFmtId="0" fontId="59" fillId="0" borderId="0"/>
    <xf numFmtId="0" fontId="59" fillId="0" borderId="0"/>
    <xf numFmtId="0" fontId="51" fillId="0" borderId="0"/>
    <xf numFmtId="0" fontId="31" fillId="0" borderId="0"/>
    <xf numFmtId="0" fontId="6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54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194" fontId="17" fillId="0" borderId="0" applyFill="0" applyBorder="0" applyAlignment="0"/>
    <xf numFmtId="0" fontId="17" fillId="0" borderId="0" applyFill="0" applyBorder="0" applyAlignment="0"/>
    <xf numFmtId="0" fontId="35" fillId="0" borderId="0"/>
    <xf numFmtId="195" fontId="62" fillId="0" borderId="0" applyFill="0" applyBorder="0" applyAlignment="0"/>
    <xf numFmtId="0" fontId="11" fillId="0" borderId="0" applyFill="0" applyBorder="0" applyAlignment="0"/>
    <xf numFmtId="196" fontId="63" fillId="0" borderId="0" applyFill="0" applyBorder="0" applyAlignment="0"/>
    <xf numFmtId="197" fontId="63" fillId="0" borderId="0" applyFill="0" applyBorder="0" applyAlignment="0"/>
    <xf numFmtId="198" fontId="63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35" fillId="0" borderId="0"/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5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5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6" fillId="0" borderId="0"/>
    <xf numFmtId="179" fontId="66" fillId="0" borderId="0"/>
    <xf numFmtId="0" fontId="35" fillId="0" borderId="0"/>
    <xf numFmtId="0" fontId="35" fillId="0" borderId="0"/>
    <xf numFmtId="0" fontId="35" fillId="0" borderId="0"/>
    <xf numFmtId="199" fontId="67" fillId="1" borderId="0"/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9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9" fillId="25" borderId="9" applyNumberFormat="0" applyAlignment="0" applyProtection="0">
      <alignment vertical="center"/>
    </xf>
    <xf numFmtId="200" fontId="70" fillId="0" borderId="2" applyFont="0" applyFill="0" applyBorder="0">
      <alignment horizontal="right" vertical="center"/>
    </xf>
    <xf numFmtId="201" fontId="71" fillId="0" borderId="2" applyFill="0" applyBorder="0" applyProtection="0">
      <alignment horizontal="right" vertical="center"/>
    </xf>
    <xf numFmtId="202" fontId="7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203" fontId="23" fillId="0" borderId="0" applyFont="0" applyFill="0" applyBorder="0" applyAlignment="0" applyProtection="0"/>
    <xf numFmtId="0" fontId="11" fillId="0" borderId="0" applyFont="0" applyFill="0" applyBorder="0" applyAlignment="0" applyProtection="0"/>
    <xf numFmtId="204" fontId="63" fillId="0" borderId="0"/>
    <xf numFmtId="0" fontId="72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204" fontId="63" fillId="0" borderId="0"/>
    <xf numFmtId="0" fontId="73" fillId="0" borderId="0" applyFont="0" applyFill="0" applyBorder="0" applyAlignment="0" applyProtection="0"/>
    <xf numFmtId="0" fontId="21" fillId="0" borderId="0" applyFont="0" applyFill="0" applyBorder="0" applyAlignment="0" applyProtection="0"/>
    <xf numFmtId="41" fontId="11" fillId="0" borderId="0" applyFont="0" applyFill="0" applyBorder="0" applyAlignment="0" applyProtection="0"/>
    <xf numFmtId="38" fontId="74" fillId="0" borderId="0" applyFont="0" applyFill="0" applyBorder="0" applyAlignment="0" applyProtection="0"/>
    <xf numFmtId="41" fontId="54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1" fillId="0" borderId="0"/>
    <xf numFmtId="4" fontId="75" fillId="0" borderId="0">
      <protection locked="0"/>
    </xf>
    <xf numFmtId="4" fontId="75" fillId="0" borderId="0">
      <protection locked="0"/>
    </xf>
    <xf numFmtId="4" fontId="75" fillId="0" borderId="0">
      <protection locked="0"/>
    </xf>
    <xf numFmtId="205" fontId="22" fillId="0" borderId="0"/>
    <xf numFmtId="206" fontId="17" fillId="0" borderId="0"/>
    <xf numFmtId="207" fontId="76" fillId="0" borderId="0"/>
    <xf numFmtId="0" fontId="11" fillId="0" borderId="0" applyFont="0" applyFill="0" applyBorder="0" applyAlignment="0" applyProtection="0"/>
    <xf numFmtId="3" fontId="77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35" fillId="0" borderId="0"/>
    <xf numFmtId="179" fontId="78" fillId="0" borderId="0" applyBorder="0" applyAlignment="0">
      <alignment horizontal="centerContinuous" vertical="center"/>
      <protection locked="0"/>
    </xf>
    <xf numFmtId="0" fontId="79" fillId="0" borderId="0" applyNumberFormat="0" applyAlignment="0">
      <alignment horizontal="left"/>
    </xf>
    <xf numFmtId="0" fontId="35" fillId="0" borderId="0"/>
    <xf numFmtId="179" fontId="11" fillId="0" borderId="10" applyFont="0" applyBorder="0" applyAlignment="0"/>
    <xf numFmtId="0" fontId="72" fillId="0" borderId="0"/>
    <xf numFmtId="0" fontId="72" fillId="0" borderId="0"/>
    <xf numFmtId="0" fontId="35" fillId="0" borderId="0"/>
    <xf numFmtId="208" fontId="80" fillId="0" borderId="0">
      <protection locked="0"/>
    </xf>
    <xf numFmtId="0" fontId="21" fillId="0" borderId="0" applyFont="0" applyFill="0" applyBorder="0" applyAlignment="0" applyProtection="0"/>
    <xf numFmtId="209" fontId="11" fillId="0" borderId="0" applyFont="0" applyFill="0" applyBorder="0" applyAlignment="0" applyProtection="0"/>
    <xf numFmtId="0" fontId="54" fillId="0" borderId="0" applyFont="0" applyFill="0" applyBorder="0" applyAlignment="0" applyProtection="0"/>
    <xf numFmtId="199" fontId="81" fillId="0" borderId="0" applyFont="0" applyFill="0" applyBorder="0" applyAlignment="0" applyProtection="0"/>
    <xf numFmtId="0" fontId="11" fillId="0" borderId="0" applyFont="0" applyFill="0" applyBorder="0" applyAlignment="0" applyProtection="0"/>
    <xf numFmtId="210" fontId="75" fillId="0" borderId="0">
      <protection locked="0"/>
    </xf>
    <xf numFmtId="210" fontId="75" fillId="0" borderId="0">
      <protection locked="0"/>
    </xf>
    <xf numFmtId="210" fontId="75" fillId="0" borderId="0">
      <protection locked="0"/>
    </xf>
    <xf numFmtId="211" fontId="17" fillId="0" borderId="0" applyFont="0" applyFill="0" applyBorder="0" applyAlignment="0" applyProtection="0"/>
    <xf numFmtId="212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0" fontId="35" fillId="0" borderId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2" fontId="7" fillId="0" borderId="0" applyFont="0" applyFill="0" applyBorder="0" applyAlignment="0" applyProtection="0"/>
    <xf numFmtId="212" fontId="82" fillId="0" borderId="0" applyFont="0" applyFill="0" applyBorder="0" applyAlignment="0" applyProtection="0"/>
    <xf numFmtId="213" fontId="23" fillId="0" borderId="0"/>
    <xf numFmtId="198" fontId="17" fillId="0" borderId="0"/>
    <xf numFmtId="0" fontId="11" fillId="0" borderId="0"/>
    <xf numFmtId="214" fontId="76" fillId="0" borderId="0"/>
    <xf numFmtId="214" fontId="76" fillId="0" borderId="0"/>
    <xf numFmtId="0" fontId="11" fillId="0" borderId="0"/>
    <xf numFmtId="179" fontId="83" fillId="0" borderId="11" applyBorder="0" applyAlignment="0">
      <alignment vertical="center"/>
    </xf>
    <xf numFmtId="0" fontId="84" fillId="0" borderId="0"/>
    <xf numFmtId="179" fontId="85" fillId="26" borderId="12" applyNumberFormat="0" applyBorder="0" applyAlignment="0">
      <alignment vertical="center"/>
      <protection locked="0"/>
    </xf>
    <xf numFmtId="179" fontId="83" fillId="0" borderId="13" applyBorder="0" applyAlignment="0">
      <alignment horizontal="right" vertical="center"/>
    </xf>
    <xf numFmtId="179" fontId="86" fillId="0" borderId="14" applyBorder="0" applyAlignment="0">
      <alignment vertical="center"/>
    </xf>
    <xf numFmtId="0" fontId="54" fillId="0" borderId="0" applyFill="0" applyBorder="0" applyAlignment="0" applyProtection="0"/>
    <xf numFmtId="215" fontId="75" fillId="0" borderId="0">
      <protection locked="0"/>
    </xf>
    <xf numFmtId="0" fontId="35" fillId="0" borderId="0"/>
    <xf numFmtId="0" fontId="54" fillId="0" borderId="0" applyFill="0" applyBorder="0" applyAlignment="0" applyProtection="0"/>
    <xf numFmtId="0" fontId="77" fillId="0" borderId="0" applyFont="0" applyFill="0" applyBorder="0" applyAlignment="0" applyProtection="0"/>
    <xf numFmtId="15" fontId="78" fillId="0" borderId="15" applyBorder="0">
      <alignment horizontal="center" vertical="center"/>
      <protection locked="0"/>
    </xf>
    <xf numFmtId="15" fontId="78" fillId="0" borderId="15" applyBorder="0">
      <alignment horizontal="center" vertical="center"/>
      <protection locked="0"/>
    </xf>
    <xf numFmtId="0" fontId="35" fillId="0" borderId="0"/>
    <xf numFmtId="14" fontId="87" fillId="0" borderId="0" applyFill="0" applyBorder="0" applyAlignment="0"/>
    <xf numFmtId="216" fontId="88" fillId="0" borderId="0">
      <protection locked="0"/>
    </xf>
    <xf numFmtId="179" fontId="89" fillId="0" borderId="16" applyBorder="0" applyAlignment="0">
      <alignment horizontal="center" vertical="center"/>
    </xf>
    <xf numFmtId="179" fontId="83" fillId="0" borderId="17" applyBorder="0" applyAlignment="0">
      <alignment vertical="center"/>
    </xf>
    <xf numFmtId="38" fontId="21" fillId="0" borderId="18">
      <alignment vertical="center"/>
    </xf>
    <xf numFmtId="217" fontId="90" fillId="0" borderId="0" applyFont="0" applyFill="0" applyBorder="0" applyAlignment="0" applyProtection="0"/>
    <xf numFmtId="218" fontId="90" fillId="0" borderId="0" applyFont="0" applyFill="0" applyBorder="0" applyAlignment="0" applyProtection="0"/>
    <xf numFmtId="0" fontId="91" fillId="0" borderId="3">
      <alignment horizontal="center" wrapText="1"/>
    </xf>
    <xf numFmtId="219" fontId="23" fillId="0" borderId="0"/>
    <xf numFmtId="220" fontId="17" fillId="0" borderId="0"/>
    <xf numFmtId="221" fontId="76" fillId="0" borderId="0"/>
    <xf numFmtId="222" fontId="11" fillId="0" borderId="0" applyFill="0" applyBorder="0" applyAlignment="0" applyProtection="0"/>
    <xf numFmtId="0" fontId="35" fillId="0" borderId="0"/>
    <xf numFmtId="223" fontId="11" fillId="0" borderId="0" applyFill="0" applyBorder="0" applyAlignment="0" applyProtection="0"/>
    <xf numFmtId="0" fontId="35" fillId="0" borderId="0"/>
    <xf numFmtId="0" fontId="35" fillId="0" borderId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92" fillId="0" borderId="0" applyNumberFormat="0" applyAlignment="0">
      <alignment horizontal="left"/>
    </xf>
    <xf numFmtId="0" fontId="35" fillId="0" borderId="0"/>
    <xf numFmtId="224" fontId="11" fillId="0" borderId="0" applyFont="0" applyFill="0" applyBorder="0" applyAlignment="0" applyProtection="0"/>
    <xf numFmtId="179" fontId="11" fillId="0" borderId="0" applyFont="0" applyFill="0" applyBorder="0" applyAlignment="0" applyProtection="0"/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9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75" fillId="0" borderId="0">
      <protection locked="0"/>
    </xf>
    <xf numFmtId="0" fontId="35" fillId="0" borderId="0"/>
    <xf numFmtId="0" fontId="95" fillId="0" borderId="0">
      <protection locked="0"/>
    </xf>
    <xf numFmtId="0" fontId="35" fillId="0" borderId="0"/>
    <xf numFmtId="2" fontId="54" fillId="0" borderId="0" applyFill="0" applyBorder="0" applyAlignment="0" applyProtection="0"/>
    <xf numFmtId="225" fontId="75" fillId="0" borderId="0">
      <protection locked="0"/>
    </xf>
    <xf numFmtId="0" fontId="35" fillId="0" borderId="0"/>
    <xf numFmtId="2" fontId="54" fillId="0" borderId="0" applyFill="0" applyBorder="0" applyAlignment="0" applyProtection="0"/>
    <xf numFmtId="2" fontId="77" fillId="0" borderId="0" applyFont="0" applyFill="0" applyBorder="0" applyAlignment="0" applyProtection="0"/>
    <xf numFmtId="0" fontId="35" fillId="0" borderId="0"/>
    <xf numFmtId="2" fontId="77" fillId="0" borderId="0" applyFont="0" applyFill="0" applyBorder="0" applyAlignment="0" applyProtection="0"/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0" fontId="96" fillId="0" borderId="0" applyNumberFormat="0" applyFill="0" applyBorder="0" applyAlignment="0" applyProtection="0">
      <alignment vertical="top"/>
      <protection locked="0"/>
    </xf>
    <xf numFmtId="179" fontId="91" fillId="0" borderId="0" applyBorder="0" applyProtection="0">
      <alignment vertical="center"/>
    </xf>
    <xf numFmtId="0" fontId="22" fillId="0" borderId="19" applyNumberFormat="0" applyFill="0" applyBorder="0" applyAlignment="0" applyProtection="0">
      <protection locked="0"/>
    </xf>
    <xf numFmtId="179" fontId="22" fillId="0" borderId="19" applyNumberFormat="0" applyFill="0" applyBorder="0" applyAlignment="0" applyProtection="0">
      <protection locked="0"/>
    </xf>
    <xf numFmtId="0" fontId="35" fillId="0" borderId="0"/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8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98" fillId="6" borderId="0" applyNumberFormat="0" applyBorder="0" applyAlignment="0" applyProtection="0">
      <alignment vertical="center"/>
    </xf>
    <xf numFmtId="38" fontId="91" fillId="27" borderId="0" applyNumberFormat="0" applyBorder="0" applyAlignment="0" applyProtection="0"/>
    <xf numFmtId="38" fontId="91" fillId="28" borderId="0" applyNumberFormat="0" applyBorder="0" applyAlignment="0" applyProtection="0"/>
    <xf numFmtId="0" fontId="35" fillId="0" borderId="0"/>
    <xf numFmtId="0" fontId="99" fillId="0" borderId="0" applyAlignment="0">
      <alignment horizontal="right"/>
    </xf>
    <xf numFmtId="0" fontId="53" fillId="0" borderId="0"/>
    <xf numFmtId="0" fontId="100" fillId="0" borderId="0"/>
    <xf numFmtId="0" fontId="101" fillId="0" borderId="0">
      <alignment horizontal="left"/>
    </xf>
    <xf numFmtId="179" fontId="101" fillId="0" borderId="0">
      <alignment horizontal="left"/>
    </xf>
    <xf numFmtId="179" fontId="53" fillId="0" borderId="20" applyBorder="0" applyAlignment="0" applyProtection="0">
      <alignment horizontal="centerContinuous" vertical="center"/>
    </xf>
    <xf numFmtId="179" fontId="53" fillId="0" borderId="20" applyBorder="0" applyAlignment="0" applyProtection="0">
      <alignment horizontal="centerContinuous" vertical="center"/>
    </xf>
    <xf numFmtId="0" fontId="35" fillId="0" borderId="0"/>
    <xf numFmtId="0" fontId="102" fillId="0" borderId="21" applyNumberFormat="0" applyAlignment="0" applyProtection="0">
      <alignment horizontal="left" vertical="center"/>
    </xf>
    <xf numFmtId="179" fontId="102" fillId="0" borderId="21" applyNumberFormat="0" applyAlignment="0" applyProtection="0">
      <alignment horizontal="left" vertical="center"/>
    </xf>
    <xf numFmtId="179" fontId="21" fillId="0" borderId="0"/>
    <xf numFmtId="179" fontId="21" fillId="0" borderId="0"/>
    <xf numFmtId="179" fontId="102" fillId="0" borderId="21" applyNumberFormat="0" applyAlignment="0" applyProtection="0">
      <alignment horizontal="left" vertical="center"/>
    </xf>
    <xf numFmtId="0" fontId="35" fillId="0" borderId="0"/>
    <xf numFmtId="0" fontId="102" fillId="0" borderId="22">
      <alignment horizontal="left" vertical="center"/>
    </xf>
    <xf numFmtId="0" fontId="102" fillId="0" borderId="22">
      <alignment horizontal="left" vertical="center"/>
    </xf>
    <xf numFmtId="179" fontId="102" fillId="0" borderId="22">
      <alignment horizontal="left" vertical="center"/>
    </xf>
    <xf numFmtId="179" fontId="21" fillId="0" borderId="0"/>
    <xf numFmtId="0" fontId="102" fillId="0" borderId="22">
      <alignment horizontal="left" vertical="center"/>
    </xf>
    <xf numFmtId="179" fontId="21" fillId="0" borderId="0"/>
    <xf numFmtId="0" fontId="102" fillId="0" borderId="22">
      <alignment horizontal="left" vertical="center"/>
    </xf>
    <xf numFmtId="179" fontId="102" fillId="0" borderId="22">
      <alignment horizontal="left" vertical="center"/>
    </xf>
    <xf numFmtId="0" fontId="35" fillId="0" borderId="0"/>
    <xf numFmtId="0" fontId="102" fillId="0" borderId="22">
      <alignment horizontal="left" vertical="center"/>
    </xf>
    <xf numFmtId="179" fontId="102" fillId="0" borderId="0"/>
    <xf numFmtId="0" fontId="35" fillId="0" borderId="0"/>
    <xf numFmtId="38" fontId="53" fillId="0" borderId="23" applyFill="0" applyProtection="0">
      <alignment horizontal="right" wrapText="1"/>
    </xf>
    <xf numFmtId="0" fontId="10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106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106" fillId="0" borderId="24" applyNumberFormat="0" applyFill="0" applyAlignment="0" applyProtection="0">
      <alignment vertical="center"/>
    </xf>
    <xf numFmtId="0" fontId="107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109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109" fillId="0" borderId="25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1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111" fillId="0" borderId="26" applyNumberFormat="0" applyFill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4" fillId="0" borderId="0" applyNumberFormat="0" applyFill="0" applyBorder="0" applyAlignment="0" applyProtection="0"/>
    <xf numFmtId="216" fontId="80" fillId="0" borderId="0">
      <protection locked="0"/>
    </xf>
    <xf numFmtId="0" fontId="112" fillId="0" borderId="0" applyNumberFormat="0" applyFont="0" applyFill="0" applyBorder="0" applyAlignment="0" applyProtection="0"/>
    <xf numFmtId="0" fontId="35" fillId="0" borderId="0"/>
    <xf numFmtId="0" fontId="112" fillId="0" borderId="0" applyNumberFormat="0" applyFont="0" applyFill="0" applyBorder="0" applyAlignment="0" applyProtection="0"/>
    <xf numFmtId="0" fontId="102" fillId="0" borderId="0" applyNumberFormat="0" applyFill="0" applyBorder="0" applyAlignment="0" applyProtection="0"/>
    <xf numFmtId="216" fontId="80" fillId="0" borderId="0">
      <protection locked="0"/>
    </xf>
    <xf numFmtId="0" fontId="112" fillId="0" borderId="0" applyNumberFormat="0" applyFont="0" applyFill="0" applyBorder="0" applyAlignment="0" applyProtection="0"/>
    <xf numFmtId="0" fontId="35" fillId="0" borderId="0"/>
    <xf numFmtId="0" fontId="112" fillId="0" borderId="0" applyNumberFormat="0" applyFont="0" applyFill="0" applyBorder="0" applyAlignment="0" applyProtection="0"/>
    <xf numFmtId="179" fontId="113" fillId="0" borderId="27" applyNumberFormat="0" applyFont="0" applyBorder="0" applyAlignment="0">
      <alignment horizontal="centerContinuous" vertical="center"/>
    </xf>
    <xf numFmtId="0" fontId="114" fillId="0" borderId="0" applyNumberFormat="0" applyFill="0" applyBorder="0" applyAlignment="0" applyProtection="0"/>
    <xf numFmtId="193" fontId="115" fillId="0" borderId="0">
      <alignment horizontal="left"/>
    </xf>
    <xf numFmtId="193" fontId="116" fillId="0" borderId="0">
      <alignment horizontal="center"/>
    </xf>
    <xf numFmtId="193" fontId="17" fillId="0" borderId="0">
      <alignment horizontal="center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0" fontId="117" fillId="0" borderId="0" applyNumberFormat="0" applyFill="0" applyBorder="0" applyAlignment="0" applyProtection="0">
      <alignment vertical="top"/>
      <protection locked="0"/>
    </xf>
    <xf numFmtId="179" fontId="118" fillId="0" borderId="28" applyFont="0" applyBorder="0" applyAlignment="0">
      <alignment horizontal="center" vertical="center"/>
      <protection locked="0"/>
    </xf>
    <xf numFmtId="0" fontId="119" fillId="9" borderId="8" applyNumberFormat="0" applyAlignment="0" applyProtection="0">
      <alignment vertical="center"/>
    </xf>
    <xf numFmtId="10" fontId="91" fillId="26" borderId="2" applyNumberFormat="0" applyBorder="0" applyAlignment="0" applyProtection="0"/>
    <xf numFmtId="10" fontId="91" fillId="28" borderId="2" applyNumberFormat="0" applyBorder="0" applyAlignment="0" applyProtection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0" fontId="35" fillId="0" borderId="0"/>
    <xf numFmtId="10" fontId="91" fillId="26" borderId="2" applyNumberFormat="0" applyBorder="0" applyAlignment="0" applyProtection="0"/>
    <xf numFmtId="10" fontId="91" fillId="26" borderId="2" applyNumberFormat="0" applyBorder="0" applyAlignment="0" applyProtection="0"/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20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179" fontId="121" fillId="0" borderId="29" applyBorder="0" applyProtection="0">
      <alignment horizontal="centerContinuous" vertical="center"/>
      <protection hidden="1"/>
    </xf>
    <xf numFmtId="226" fontId="10" fillId="0" borderId="2" applyFill="0" applyBorder="0" applyProtection="0">
      <alignment horizontal="right"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179" fontId="122" fillId="0" borderId="30" applyBorder="0">
      <alignment horizontal="center" vertical="center" wrapText="1"/>
      <protection locked="0"/>
    </xf>
    <xf numFmtId="0" fontId="22" fillId="0" borderId="0" applyNumberFormat="0" applyFont="0" applyFill="0" applyBorder="0" applyProtection="0">
      <alignment horizontal="left" vertical="center"/>
    </xf>
    <xf numFmtId="0" fontId="35" fillId="0" borderId="0"/>
    <xf numFmtId="0" fontId="11" fillId="0" borderId="0" applyFill="0" applyBorder="0" applyAlignment="0"/>
    <xf numFmtId="0" fontId="11" fillId="0" borderId="0" applyFill="0" applyBorder="0" applyAlignment="0"/>
    <xf numFmtId="179" fontId="53" fillId="0" borderId="0" applyFont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4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24" fillId="0" borderId="31" applyNumberFormat="0" applyFill="0" applyAlignment="0" applyProtection="0">
      <alignment vertical="center"/>
    </xf>
    <xf numFmtId="179" fontId="53" fillId="0" borderId="32" applyNumberFormat="0" applyFont="0" applyBorder="0" applyAlignment="0">
      <alignment vertical="center"/>
    </xf>
    <xf numFmtId="179" fontId="102" fillId="0" borderId="33" applyFont="0" applyBorder="0" applyAlignment="0">
      <alignment vertical="center"/>
    </xf>
    <xf numFmtId="2" fontId="125" fillId="0" borderId="5" applyBorder="0">
      <alignment horizontal="center"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126" fillId="29" borderId="0" applyNumberFormat="0" applyFont="0" applyBorder="0" applyAlignment="0">
      <alignment horizontal="center"/>
    </xf>
    <xf numFmtId="227" fontId="71" fillId="0" borderId="2" applyFont="0" applyFill="0" applyBorder="0">
      <alignment horizontal="right" vertical="center"/>
    </xf>
    <xf numFmtId="179" fontId="127" fillId="0" borderId="28" applyBorder="0">
      <alignment horizontal="center" vertical="center"/>
    </xf>
    <xf numFmtId="179" fontId="128" fillId="0" borderId="34" applyBorder="0">
      <alignment horizontal="center" vertical="center"/>
    </xf>
    <xf numFmtId="228" fontId="24" fillId="0" borderId="0"/>
    <xf numFmtId="0" fontId="129" fillId="0" borderId="0"/>
    <xf numFmtId="0" fontId="130" fillId="0" borderId="0"/>
    <xf numFmtId="0" fontId="129" fillId="0" borderId="0"/>
    <xf numFmtId="0" fontId="130" fillId="0" borderId="0"/>
    <xf numFmtId="0" fontId="58" fillId="0" borderId="0"/>
    <xf numFmtId="38" fontId="2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0" fontId="131" fillId="0" borderId="35"/>
    <xf numFmtId="179" fontId="131" fillId="0" borderId="35"/>
    <xf numFmtId="0" fontId="131" fillId="0" borderId="35"/>
    <xf numFmtId="0" fontId="35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99" fontId="21" fillId="0" borderId="0" applyFont="0" applyFill="0" applyBorder="0" applyAlignment="0" applyProtection="0"/>
    <xf numFmtId="229" fontId="21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4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34" fillId="15" borderId="0" applyNumberFormat="0" applyBorder="0" applyAlignment="0" applyProtection="0">
      <alignment vertical="center"/>
    </xf>
    <xf numFmtId="0" fontId="35" fillId="0" borderId="0"/>
    <xf numFmtId="230" fontId="135" fillId="0" borderId="36">
      <alignment horizontal="center" vertical="center"/>
      <protection locked="0"/>
    </xf>
    <xf numFmtId="37" fontId="136" fillId="0" borderId="0"/>
    <xf numFmtId="0" fontId="137" fillId="0" borderId="0"/>
    <xf numFmtId="179" fontId="137" fillId="0" borderId="0"/>
    <xf numFmtId="0" fontId="35" fillId="0" borderId="0"/>
    <xf numFmtId="0" fontId="11" fillId="0" borderId="0" applyNumberFormat="0" applyFill="0" applyBorder="0" applyAlignment="0" applyProtection="0"/>
    <xf numFmtId="0" fontId="129" fillId="0" borderId="0"/>
    <xf numFmtId="0" fontId="130" fillId="0" borderId="0"/>
    <xf numFmtId="0" fontId="130" fillId="0" borderId="0"/>
    <xf numFmtId="231" fontId="11" fillId="0" borderId="0"/>
    <xf numFmtId="232" fontId="7" fillId="0" borderId="0"/>
    <xf numFmtId="179" fontId="7" fillId="0" borderId="0"/>
    <xf numFmtId="233" fontId="21" fillId="0" borderId="0"/>
    <xf numFmtId="0" fontId="7" fillId="0" borderId="0"/>
    <xf numFmtId="234" fontId="17" fillId="0" borderId="0"/>
    <xf numFmtId="179" fontId="7" fillId="0" borderId="0"/>
    <xf numFmtId="0" fontId="138" fillId="0" borderId="0"/>
    <xf numFmtId="0" fontId="7" fillId="0" borderId="0"/>
    <xf numFmtId="0" fontId="72" fillId="0" borderId="0"/>
    <xf numFmtId="0" fontId="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9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1" fillId="0" borderId="0"/>
    <xf numFmtId="179" fontId="11" fillId="0" borderId="0"/>
    <xf numFmtId="0" fontId="138" fillId="0" borderId="0"/>
    <xf numFmtId="0" fontId="140" fillId="12" borderId="37" applyNumberFormat="0" applyFont="0" applyAlignment="0" applyProtection="0">
      <alignment vertical="center"/>
    </xf>
    <xf numFmtId="0" fontId="140" fillId="12" borderId="37" applyNumberFormat="0" applyFont="0" applyAlignment="0" applyProtection="0">
      <alignment vertical="center"/>
    </xf>
    <xf numFmtId="0" fontId="17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0" fillId="12" borderId="37" applyNumberFormat="0" applyFont="0" applyAlignment="0" applyProtection="0">
      <alignment vertical="center"/>
    </xf>
    <xf numFmtId="179" fontId="142" fillId="0" borderId="0" applyFont="0" applyAlignment="0" applyProtection="0">
      <alignment horizontal="center"/>
    </xf>
    <xf numFmtId="0" fontId="21" fillId="0" borderId="0"/>
    <xf numFmtId="0" fontId="11" fillId="0" borderId="0" applyFont="0" applyFill="0" applyBorder="0" applyAlignment="0" applyProtection="0"/>
    <xf numFmtId="0" fontId="22" fillId="0" borderId="0"/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4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44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10" fillId="0" borderId="0" applyFont="0" applyFill="0" applyBorder="0" applyAlignment="0" applyProtection="0"/>
    <xf numFmtId="0" fontId="21" fillId="0" borderId="0"/>
    <xf numFmtId="179" fontId="86" fillId="0" borderId="39" applyBorder="0" applyAlignment="0">
      <alignment vertical="center"/>
    </xf>
    <xf numFmtId="0" fontId="10" fillId="0" borderId="0" applyFont="0" applyFill="0" applyBorder="0" applyAlignment="0" applyProtection="0"/>
    <xf numFmtId="235" fontId="80" fillId="0" borderId="0">
      <protection locked="0"/>
    </xf>
    <xf numFmtId="198" fontId="63" fillId="0" borderId="0" applyFont="0" applyFill="0" applyBorder="0" applyAlignment="0" applyProtection="0"/>
    <xf numFmtId="236" fontId="63" fillId="0" borderId="0" applyFont="0" applyFill="0" applyBorder="0" applyAlignment="0" applyProtection="0"/>
    <xf numFmtId="10" fontId="11" fillId="0" borderId="0" applyFont="0" applyFill="0" applyBorder="0" applyAlignment="0" applyProtection="0"/>
    <xf numFmtId="0" fontId="138" fillId="0" borderId="0"/>
    <xf numFmtId="235" fontId="75" fillId="0" borderId="0">
      <protection locked="0"/>
    </xf>
    <xf numFmtId="235" fontId="75" fillId="0" borderId="0">
      <protection locked="0"/>
    </xf>
    <xf numFmtId="235" fontId="75" fillId="0" borderId="0">
      <protection locked="0"/>
    </xf>
    <xf numFmtId="1" fontId="75" fillId="0" borderId="0">
      <protection locked="0"/>
    </xf>
    <xf numFmtId="9" fontId="21" fillId="0" borderId="40" applyNumberFormat="0" applyBorder="0"/>
    <xf numFmtId="0" fontId="11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189" fontId="63" fillId="0" borderId="0" applyFill="0" applyBorder="0" applyAlignment="0"/>
    <xf numFmtId="0" fontId="11" fillId="0" borderId="0" applyFill="0" applyBorder="0" applyAlignment="0"/>
    <xf numFmtId="179" fontId="145" fillId="0" borderId="0" applyBorder="0" applyAlignment="0">
      <alignment horizontal="centerContinuous" vertical="center"/>
      <protection locked="0"/>
    </xf>
    <xf numFmtId="179" fontId="118" fillId="0" borderId="21" applyBorder="0" applyAlignment="0">
      <alignment horizontal="centerContinuous" vertical="center"/>
    </xf>
    <xf numFmtId="0" fontId="21" fillId="0" borderId="0" applyNumberFormat="0" applyFont="0" applyFill="0" applyBorder="0" applyAlignment="0" applyProtection="0">
      <alignment horizontal="left"/>
    </xf>
    <xf numFmtId="179" fontId="146" fillId="0" borderId="41" applyBorder="0">
      <alignment horizontal="left" vertical="center"/>
      <protection locked="0"/>
    </xf>
    <xf numFmtId="2" fontId="11" fillId="0" borderId="2" applyNumberFormat="0" applyFont="0" applyAlignment="0"/>
    <xf numFmtId="30" fontId="147" fillId="0" borderId="0" applyNumberFormat="0" applyFill="0" applyBorder="0" applyAlignment="0" applyProtection="0">
      <alignment horizontal="left"/>
    </xf>
    <xf numFmtId="0" fontId="138" fillId="0" borderId="0"/>
    <xf numFmtId="0" fontId="138" fillId="0" borderId="0"/>
    <xf numFmtId="237" fontId="137" fillId="0" borderId="0"/>
    <xf numFmtId="0" fontId="91" fillId="0" borderId="3" applyAlignment="0"/>
    <xf numFmtId="0" fontId="148" fillId="0" borderId="3"/>
    <xf numFmtId="0" fontId="131" fillId="0" borderId="0"/>
    <xf numFmtId="179" fontId="131" fillId="0" borderId="0"/>
    <xf numFmtId="0" fontId="138" fillId="0" borderId="0"/>
    <xf numFmtId="40" fontId="149" fillId="0" borderId="0" applyBorder="0">
      <alignment horizontal="right"/>
    </xf>
    <xf numFmtId="0" fontId="138" fillId="0" borderId="0"/>
    <xf numFmtId="238" fontId="150" fillId="28" borderId="42" applyNumberFormat="0">
      <alignment horizontal="center" vertical="center"/>
    </xf>
    <xf numFmtId="0" fontId="138" fillId="0" borderId="0"/>
    <xf numFmtId="0" fontId="138" fillId="0" borderId="0"/>
    <xf numFmtId="49" fontId="87" fillId="0" borderId="0" applyFill="0" applyBorder="0" applyAlignment="0"/>
    <xf numFmtId="239" fontId="63" fillId="0" borderId="0" applyFill="0" applyBorder="0" applyAlignment="0"/>
    <xf numFmtId="220" fontId="63" fillId="0" borderId="0" applyFill="0" applyBorder="0" applyAlignment="0"/>
    <xf numFmtId="0" fontId="51" fillId="0" borderId="0"/>
    <xf numFmtId="0" fontId="11" fillId="0" borderId="0"/>
    <xf numFmtId="0" fontId="151" fillId="0" borderId="0" applyNumberFormat="0" applyFill="0" applyBorder="0" applyAlignment="0" applyProtection="0">
      <alignment vertical="center"/>
    </xf>
    <xf numFmtId="0" fontId="152" fillId="0" borderId="0" applyFill="0" applyBorder="0" applyProtection="0">
      <alignment horizontal="centerContinuous" vertical="center"/>
    </xf>
    <xf numFmtId="0" fontId="10" fillId="28" borderId="0" applyFill="0" applyBorder="0" applyProtection="0">
      <alignment horizontal="center" vertical="center"/>
    </xf>
    <xf numFmtId="0" fontId="151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54" fillId="0" borderId="0">
      <alignment horizontal="left" vertical="center"/>
    </xf>
    <xf numFmtId="179" fontId="155" fillId="0" borderId="0" applyFont="0" applyBorder="0" applyAlignment="0">
      <alignment horizontal="center"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240" fontId="7" fillId="0" borderId="2" applyFont="0" applyFill="0" applyBorder="0" applyProtection="0">
      <alignment horizontal="right" vertical="center"/>
    </xf>
    <xf numFmtId="241" fontId="7" fillId="0" borderId="2" applyFont="0" applyFill="0" applyBorder="0">
      <alignment horizontal="right" vertical="center"/>
    </xf>
    <xf numFmtId="0" fontId="54" fillId="0" borderId="43" applyNumberFormat="0" applyFill="0" applyAlignment="0" applyProtection="0"/>
    <xf numFmtId="216" fontId="75" fillId="0" borderId="43">
      <protection locked="0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54" fillId="0" borderId="43" applyNumberFormat="0" applyFill="0" applyAlignment="0" applyProtection="0"/>
    <xf numFmtId="0" fontId="157" fillId="0" borderId="44" applyNumberFormat="0" applyFill="0" applyAlignment="0" applyProtection="0">
      <alignment vertical="center"/>
    </xf>
    <xf numFmtId="0" fontId="54" fillId="0" borderId="43" applyNumberFormat="0" applyFill="0" applyAlignment="0" applyProtection="0"/>
    <xf numFmtId="0" fontId="157" fillId="0" borderId="44" applyNumberFormat="0" applyFill="0" applyAlignment="0" applyProtection="0">
      <alignment vertical="center"/>
    </xf>
    <xf numFmtId="0" fontId="77" fillId="0" borderId="45" applyNumberFormat="0" applyFont="0" applyFill="0" applyAlignment="0" applyProtection="0"/>
    <xf numFmtId="0" fontId="77" fillId="0" borderId="45" applyNumberFormat="0" applyFont="0" applyFill="0" applyAlignment="0" applyProtection="0"/>
    <xf numFmtId="0" fontId="138" fillId="0" borderId="0"/>
    <xf numFmtId="242" fontId="71" fillId="0" borderId="2" applyFont="0" applyFill="0" applyBorder="0">
      <alignment horizontal="right" vertical="center"/>
    </xf>
    <xf numFmtId="179" fontId="158" fillId="0" borderId="33" applyFill="0" applyBorder="0" applyAlignment="0">
      <alignment vertical="center"/>
    </xf>
    <xf numFmtId="0" fontId="159" fillId="3" borderId="0"/>
    <xf numFmtId="0" fontId="138" fillId="0" borderId="0"/>
    <xf numFmtId="0" fontId="138" fillId="0" borderId="0"/>
    <xf numFmtId="243" fontId="21" fillId="0" borderId="0" applyFont="0" applyFill="0" applyBorder="0" applyAlignment="0" applyProtection="0"/>
    <xf numFmtId="244" fontId="11" fillId="0" borderId="0" applyFont="0" applyFill="0" applyBorder="0" applyAlignment="0" applyProtection="0"/>
    <xf numFmtId="179" fontId="86" fillId="0" borderId="46" applyNumberFormat="0" applyBorder="0" applyAlignment="0">
      <alignment horizontal="center" vertical="center"/>
    </xf>
    <xf numFmtId="245" fontId="90" fillId="0" borderId="0" applyFont="0" applyFill="0" applyBorder="0" applyAlignment="0" applyProtection="0"/>
    <xf numFmtId="246" fontId="90" fillId="0" borderId="0" applyFont="0" applyFill="0" applyBorder="0" applyAlignment="0" applyProtection="0"/>
    <xf numFmtId="24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1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1" fillId="0" borderId="0" applyNumberFormat="0" applyFill="0" applyBorder="0" applyAlignment="0" applyProtection="0">
      <alignment vertical="center"/>
    </xf>
    <xf numFmtId="0" fontId="81" fillId="0" borderId="0" applyNumberFormat="0" applyFont="0" applyFill="0" applyBorder="0" applyProtection="0">
      <alignment horizontal="center" vertical="center" wrapText="1"/>
    </xf>
    <xf numFmtId="0" fontId="138" fillId="0" borderId="0"/>
    <xf numFmtId="0" fontId="7" fillId="0" borderId="0" applyFont="0" applyFill="0" applyBorder="0" applyAlignment="0" applyProtection="0"/>
    <xf numFmtId="0" fontId="162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4" fillId="0" borderId="0" applyNumberFormat="0" applyFill="0" applyBorder="0" applyAlignment="0" applyProtection="0">
      <alignment vertical="top"/>
      <protection locked="0"/>
    </xf>
    <xf numFmtId="0" fontId="163" fillId="0" borderId="0" applyNumberFormat="0" applyFill="0" applyBorder="0" applyAlignment="0" applyProtection="0">
      <alignment vertical="top"/>
      <protection locked="0"/>
    </xf>
    <xf numFmtId="0" fontId="164" fillId="0" borderId="0" applyNumberFormat="0" applyFill="0" applyBorder="0" applyAlignment="0" applyProtection="0">
      <alignment vertical="top"/>
      <protection locked="0"/>
    </xf>
    <xf numFmtId="41" fontId="165" fillId="0" borderId="0" applyFont="0" applyFill="0" applyBorder="0" applyAlignment="0" applyProtection="0"/>
    <xf numFmtId="43" fontId="165" fillId="0" borderId="0" applyFont="0" applyFill="0" applyBorder="0" applyAlignment="0" applyProtection="0"/>
    <xf numFmtId="247" fontId="11" fillId="0" borderId="0" applyFont="0" applyFill="0" applyBorder="0" applyAlignment="0" applyProtection="0"/>
    <xf numFmtId="244" fontId="11" fillId="0" borderId="0" applyFont="0" applyFill="0" applyBorder="0" applyAlignment="0" applyProtection="0"/>
    <xf numFmtId="0" fontId="11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138" fillId="0" borderId="0"/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138" fillId="0" borderId="0"/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138" fillId="0" borderId="0"/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138" fillId="0" borderId="0"/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138" fillId="0" borderId="0"/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138" fillId="0" borderId="0"/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7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38" fillId="0" borderId="0"/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66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9" fillId="24" borderId="8" applyNumberFormat="0" applyAlignment="0" applyProtection="0">
      <alignment vertical="center"/>
    </xf>
    <xf numFmtId="0" fontId="138" fillId="0" borderId="0"/>
    <xf numFmtId="0" fontId="138" fillId="0" borderId="0"/>
    <xf numFmtId="0" fontId="138" fillId="0" borderId="0"/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70" fillId="3" borderId="8" applyNumberFormat="0" applyAlignment="0" applyProtection="0">
      <alignment vertical="center"/>
    </xf>
    <xf numFmtId="0" fontId="138" fillId="0" borderId="0"/>
    <xf numFmtId="0" fontId="170" fillId="3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0" fontId="168" fillId="24" borderId="8" applyNumberFormat="0" applyAlignment="0" applyProtection="0">
      <alignment vertical="center"/>
    </xf>
    <xf numFmtId="0" fontId="64" fillId="24" borderId="8" applyNumberFormat="0" applyAlignment="0" applyProtection="0">
      <alignment vertical="center"/>
    </xf>
    <xf numFmtId="248" fontId="7" fillId="0" borderId="0">
      <protection locked="0"/>
    </xf>
    <xf numFmtId="189" fontId="1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" fontId="171" fillId="0" borderId="0" applyFont="0" applyFill="0" applyBorder="0" applyAlignment="0" applyProtection="0"/>
    <xf numFmtId="248" fontId="82" fillId="0" borderId="0">
      <protection locked="0"/>
    </xf>
    <xf numFmtId="2" fontId="171" fillId="0" borderId="0" applyFont="0" applyFill="0" applyBorder="0" applyAlignment="0" applyProtection="0"/>
    <xf numFmtId="248" fontId="82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7" fillId="0" borderId="0">
      <protection locked="0"/>
    </xf>
    <xf numFmtId="248" fontId="82" fillId="0" borderId="0">
      <protection locked="0"/>
    </xf>
    <xf numFmtId="248" fontId="7" fillId="0" borderId="0">
      <protection locked="0"/>
    </xf>
    <xf numFmtId="0" fontId="80" fillId="0" borderId="0">
      <protection locked="0"/>
    </xf>
    <xf numFmtId="0" fontId="172" fillId="0" borderId="0" applyNumberFormat="0" applyFill="0" applyBorder="0" applyAlignment="0" applyProtection="0"/>
    <xf numFmtId="0" fontId="80" fillId="0" borderId="0">
      <protection locked="0"/>
    </xf>
    <xf numFmtId="0" fontId="173" fillId="0" borderId="0" applyNumberFormat="0" applyFill="0" applyBorder="0" applyAlignment="0" applyProtection="0"/>
    <xf numFmtId="0" fontId="7" fillId="0" borderId="0"/>
    <xf numFmtId="0" fontId="138" fillId="0" borderId="0"/>
    <xf numFmtId="0" fontId="138" fillId="0" borderId="0"/>
    <xf numFmtId="0" fontId="138" fillId="0" borderId="0"/>
    <xf numFmtId="0" fontId="174" fillId="0" borderId="0"/>
    <xf numFmtId="176" fontId="17" fillId="0" borderId="0" applyNumberFormat="0" applyFill="0" applyBorder="0" applyAlignment="0">
      <alignment horizontal="left"/>
    </xf>
    <xf numFmtId="49" fontId="22" fillId="0" borderId="0" applyFill="0" applyBorder="0" applyAlignment="0" applyProtection="0">
      <alignment horizontal="center"/>
    </xf>
    <xf numFmtId="0" fontId="11" fillId="0" borderId="0"/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6" fillId="5" borderId="0" applyNumberFormat="0" applyBorder="0" applyAlignment="0" applyProtection="0">
      <alignment vertical="center"/>
    </xf>
    <xf numFmtId="0" fontId="138" fillId="0" borderId="0"/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6" fillId="7" borderId="0" applyNumberFormat="0" applyBorder="0" applyAlignment="0" applyProtection="0">
      <alignment vertical="center"/>
    </xf>
    <xf numFmtId="0" fontId="176" fillId="7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175" fillId="5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75" fillId="0" borderId="0">
      <protection locked="0"/>
    </xf>
    <xf numFmtId="0" fontId="171" fillId="0" borderId="0" applyFont="0" applyFill="0" applyBorder="0" applyAlignment="0" applyProtection="0"/>
    <xf numFmtId="188" fontId="177" fillId="0" borderId="47">
      <alignment vertical="center"/>
    </xf>
    <xf numFmtId="0" fontId="75" fillId="0" borderId="0">
      <protection locked="0"/>
    </xf>
    <xf numFmtId="0" fontId="171" fillId="0" borderId="0" applyFont="0" applyFill="0" applyBorder="0" applyAlignment="0" applyProtection="0"/>
    <xf numFmtId="0" fontId="178" fillId="32" borderId="0">
      <alignment horizontal="center" vertical="center"/>
    </xf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79" fillId="0" borderId="0" applyNumberFormat="0" applyFill="0" applyBorder="0" applyAlignment="0" applyProtection="0">
      <alignment vertical="top"/>
      <protection locked="0"/>
    </xf>
    <xf numFmtId="0" fontId="180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179" fontId="179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81" fillId="0" borderId="0" applyNumberFormat="0" applyFill="0" applyBorder="0" applyAlignment="0" applyProtection="0">
      <alignment vertical="top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82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2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179" fontId="17" fillId="2" borderId="1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38" fillId="0" borderId="0"/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41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82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82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74" fillId="12" borderId="37" applyNumberFormat="0" applyFont="0" applyAlignment="0" applyProtection="0">
      <alignment vertical="center"/>
    </xf>
    <xf numFmtId="0" fontId="17" fillId="0" borderId="0">
      <alignment vertical="center"/>
    </xf>
    <xf numFmtId="0" fontId="74" fillId="12" borderId="37" applyNumberFormat="0" applyFont="0" applyAlignment="0" applyProtection="0">
      <alignment vertical="center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49" fontId="183" fillId="0" borderId="48">
      <alignment vertical="center"/>
    </xf>
    <xf numFmtId="39" fontId="71" fillId="0" borderId="2" applyFont="0" applyFill="0" applyBorder="0">
      <alignment horizontal="right" vertical="center"/>
    </xf>
    <xf numFmtId="0" fontId="182" fillId="0" borderId="0" applyFont="0" applyFill="0" applyBorder="0" applyAlignment="0" applyProtection="0"/>
    <xf numFmtId="236" fontId="182" fillId="0" borderId="0" applyFont="0" applyFill="0" applyBorder="0" applyAlignment="0" applyProtection="0"/>
    <xf numFmtId="0" fontId="184" fillId="0" borderId="0"/>
    <xf numFmtId="0" fontId="185" fillId="0" borderId="0"/>
    <xf numFmtId="0" fontId="185" fillId="0" borderId="0"/>
    <xf numFmtId="0" fontId="17" fillId="0" borderId="0">
      <alignment vertical="center"/>
    </xf>
    <xf numFmtId="0" fontId="184" fillId="0" borderId="0"/>
    <xf numFmtId="0" fontId="185" fillId="0" borderId="0"/>
    <xf numFmtId="0" fontId="184" fillId="0" borderId="0"/>
    <xf numFmtId="179" fontId="185" fillId="0" borderId="0"/>
    <xf numFmtId="179" fontId="185" fillId="0" borderId="0"/>
    <xf numFmtId="0" fontId="17" fillId="0" borderId="0">
      <alignment vertical="center"/>
    </xf>
    <xf numFmtId="0" fontId="184" fillId="0" borderId="0"/>
    <xf numFmtId="0" fontId="185" fillId="0" borderId="0"/>
    <xf numFmtId="0" fontId="184" fillId="0" borderId="0"/>
    <xf numFmtId="0" fontId="185" fillId="0" borderId="0"/>
    <xf numFmtId="0" fontId="17" fillId="0" borderId="0">
      <alignment vertical="center"/>
    </xf>
    <xf numFmtId="0" fontId="17" fillId="0" borderId="0">
      <alignment vertical="center"/>
    </xf>
    <xf numFmtId="0" fontId="184" fillId="0" borderId="0"/>
    <xf numFmtId="9" fontId="186" fillId="0" borderId="0" applyFont="0" applyFill="0" applyBorder="0" applyAlignment="0" applyProtection="0"/>
    <xf numFmtId="10" fontId="28" fillId="0" borderId="0" applyFill="0" applyBorder="0" applyProtection="0">
      <alignment horizontal="right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8" fillId="15" borderId="0" applyNumberFormat="0" applyBorder="0" applyAlignment="0" applyProtection="0">
      <alignment vertical="center"/>
    </xf>
    <xf numFmtId="0" fontId="138" fillId="0" borderId="0"/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89" fillId="15" borderId="0" applyNumberFormat="0" applyBorder="0" applyAlignment="0" applyProtection="0">
      <alignment vertical="center"/>
    </xf>
    <xf numFmtId="0" fontId="189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87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3" fillId="15" borderId="0" applyNumberFormat="0" applyBorder="0" applyAlignment="0" applyProtection="0">
      <alignment vertical="center"/>
    </xf>
    <xf numFmtId="0" fontId="17" fillId="0" borderId="0">
      <alignment vertical="center"/>
    </xf>
    <xf numFmtId="0" fontId="130" fillId="0" borderId="0"/>
    <xf numFmtId="186" fontId="17" fillId="0" borderId="49" applyFont="0" applyFill="0" applyAlignment="0" applyProtection="0">
      <alignment horizontal="center" vertical="center"/>
    </xf>
    <xf numFmtId="0" fontId="10" fillId="0" borderId="0" applyFont="0" applyFill="0" applyBorder="0" applyAlignment="0" applyProtection="0"/>
    <xf numFmtId="0" fontId="7" fillId="0" borderId="0"/>
    <xf numFmtId="0" fontId="138" fillId="0" borderId="0"/>
    <xf numFmtId="0" fontId="138" fillId="0" borderId="0"/>
    <xf numFmtId="0" fontId="138" fillId="0" borderId="0"/>
    <xf numFmtId="247" fontId="17" fillId="0" borderId="0" applyFill="0" applyBorder="0">
      <alignment vertical="center"/>
      <protection hidden="1"/>
    </xf>
    <xf numFmtId="0" fontId="190" fillId="0" borderId="0"/>
    <xf numFmtId="0" fontId="191" fillId="0" borderId="0">
      <alignment justifyLastLine="1"/>
      <protection locked="0"/>
    </xf>
    <xf numFmtId="0" fontId="10" fillId="0" borderId="0" applyFont="0" applyFill="0" applyBorder="0" applyAlignment="0" applyProtection="0"/>
    <xf numFmtId="0" fontId="11" fillId="0" borderId="0" applyFont="0" applyFill="0" applyBorder="0" applyAlignment="0" applyProtection="0"/>
    <xf numFmtId="249" fontId="130" fillId="0" borderId="0"/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8" fillId="0" borderId="0"/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3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5" fillId="25" borderId="9" applyNumberFormat="0" applyAlignment="0" applyProtection="0">
      <alignment vertical="center"/>
    </xf>
    <xf numFmtId="0" fontId="195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38" fillId="0" borderId="0"/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194" fillId="25" borderId="9" applyNumberFormat="0" applyAlignment="0" applyProtection="0">
      <alignment vertical="center"/>
    </xf>
    <xf numFmtId="0" fontId="17" fillId="0" borderId="0">
      <alignment vertical="center"/>
    </xf>
    <xf numFmtId="0" fontId="68" fillId="25" borderId="9" applyNumberFormat="0" applyAlignment="0" applyProtection="0">
      <alignment vertical="center"/>
    </xf>
    <xf numFmtId="0" fontId="17" fillId="0" borderId="0">
      <alignment vertical="center"/>
    </xf>
    <xf numFmtId="0" fontId="196" fillId="27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198" fontId="197" fillId="0" borderId="0">
      <alignment vertical="center"/>
    </xf>
    <xf numFmtId="196" fontId="17" fillId="0" borderId="0">
      <alignment vertical="center"/>
    </xf>
    <xf numFmtId="0" fontId="17" fillId="0" borderId="0">
      <alignment vertical="center"/>
    </xf>
    <xf numFmtId="198" fontId="197" fillId="0" borderId="0">
      <alignment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188" fontId="183" fillId="0" borderId="48">
      <alignment horizontal="right" vertical="center"/>
    </xf>
    <xf numFmtId="41" fontId="17" fillId="0" borderId="0" applyFont="0" applyFill="0" applyBorder="0" applyAlignment="0" applyProtection="0"/>
    <xf numFmtId="182" fontId="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41" fontId="138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/>
    <xf numFmtId="0" fontId="17" fillId="0" borderId="0">
      <alignment vertical="center"/>
    </xf>
    <xf numFmtId="41" fontId="17" fillId="0" borderId="0" applyFont="0" applyFill="0" applyBorder="0" applyAlignment="0" applyProtection="0"/>
    <xf numFmtId="41" fontId="139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41" fontId="139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38" fontId="141" fillId="0" borderId="0" applyFont="0" applyFill="0" applyBorder="0" applyAlignment="0" applyProtection="0"/>
    <xf numFmtId="0" fontId="17" fillId="0" borderId="0">
      <alignment vertical="center"/>
    </xf>
    <xf numFmtId="38" fontId="141" fillId="0" borderId="0" applyFont="0" applyFill="0" applyBorder="0" applyAlignment="0" applyProtection="0"/>
    <xf numFmtId="41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38" fontId="141" fillId="0" borderId="0" applyFont="0" applyFill="0" applyBorder="0" applyAlignment="0" applyProtection="0"/>
    <xf numFmtId="0" fontId="17" fillId="0" borderId="0">
      <alignment vertical="center"/>
    </xf>
    <xf numFmtId="38" fontId="141" fillId="0" borderId="0" applyFont="0" applyFill="0" applyBorder="0" applyAlignment="0" applyProtection="0"/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0" fontId="17" fillId="0" borderId="0">
      <alignment vertical="center"/>
    </xf>
    <xf numFmtId="38" fontId="74" fillId="0" borderId="0" applyFont="0" applyFill="0" applyBorder="0" applyAlignment="0" applyProtection="0"/>
    <xf numFmtId="0" fontId="7" fillId="0" borderId="0"/>
    <xf numFmtId="0" fontId="20" fillId="0" borderId="0"/>
    <xf numFmtId="0" fontId="138" fillId="0" borderId="0"/>
    <xf numFmtId="0" fontId="7" fillId="0" borderId="0"/>
    <xf numFmtId="0" fontId="7" fillId="0" borderId="0"/>
    <xf numFmtId="0" fontId="17" fillId="0" borderId="0">
      <alignment vertical="center"/>
    </xf>
    <xf numFmtId="0" fontId="138" fillId="0" borderId="0"/>
    <xf numFmtId="0" fontId="22" fillId="0" borderId="0"/>
    <xf numFmtId="0" fontId="138" fillId="0" borderId="0"/>
    <xf numFmtId="0" fontId="138" fillId="0" borderId="0"/>
    <xf numFmtId="0" fontId="138" fillId="0" borderId="0"/>
    <xf numFmtId="0" fontId="22" fillId="0" borderId="0"/>
    <xf numFmtId="0" fontId="138" fillId="0" borderId="0"/>
    <xf numFmtId="0" fontId="138" fillId="0" borderId="0"/>
    <xf numFmtId="0" fontId="138" fillId="0" borderId="0"/>
    <xf numFmtId="0" fontId="7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0" fontId="22" fillId="0" borderId="0"/>
    <xf numFmtId="0" fontId="9" fillId="0" borderId="0"/>
    <xf numFmtId="0" fontId="22" fillId="0" borderId="0"/>
    <xf numFmtId="0" fontId="9" fillId="0" borderId="0"/>
    <xf numFmtId="0" fontId="76" fillId="0" borderId="11"/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9" fillId="0" borderId="31" applyNumberFormat="0" applyFill="0" applyAlignment="0" applyProtection="0">
      <alignment vertical="center"/>
    </xf>
    <xf numFmtId="0" fontId="138" fillId="0" borderId="0"/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67" fillId="0" borderId="50" applyNumberFormat="0" applyFill="0" applyAlignment="0" applyProtection="0">
      <alignment vertical="center"/>
    </xf>
    <xf numFmtId="0" fontId="167" fillId="0" borderId="50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98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123" fillId="0" borderId="31" applyNumberFormat="0" applyFill="0" applyAlignment="0" applyProtection="0">
      <alignment vertical="center"/>
    </xf>
    <xf numFmtId="0" fontId="17" fillId="0" borderId="0">
      <alignment vertical="center"/>
    </xf>
    <xf numFmtId="0" fontId="200" fillId="0" borderId="0" applyNumberFormat="0" applyFill="0" applyBorder="0" applyAlignment="0" applyProtection="0">
      <alignment vertical="top"/>
      <protection locked="0"/>
    </xf>
    <xf numFmtId="179" fontId="201" fillId="0" borderId="0" applyNumberFormat="0" applyFill="0" applyBorder="0" applyAlignment="0" applyProtection="0">
      <alignment vertical="top"/>
      <protection locked="0"/>
    </xf>
    <xf numFmtId="0" fontId="202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4" fillId="0" borderId="44" applyNumberFormat="0" applyFill="0" applyAlignment="0" applyProtection="0">
      <alignment vertical="center"/>
    </xf>
    <xf numFmtId="0" fontId="138" fillId="0" borderId="0"/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4" fillId="0" borderId="51" applyNumberFormat="0" applyFill="0" applyAlignment="0" applyProtection="0">
      <alignment vertical="center"/>
    </xf>
    <xf numFmtId="0" fontId="204" fillId="0" borderId="51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203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156" fillId="0" borderId="44" applyNumberFormat="0" applyFill="0" applyAlignment="0" applyProtection="0">
      <alignment vertical="center"/>
    </xf>
    <xf numFmtId="0" fontId="17" fillId="0" borderId="0">
      <alignment vertical="center"/>
    </xf>
    <xf numFmtId="0" fontId="7" fillId="0" borderId="0" applyFont="0" applyFill="0" applyBorder="0" applyAlignment="0" applyProtection="0"/>
    <xf numFmtId="0" fontId="24" fillId="0" borderId="0"/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6" fillId="9" borderId="8" applyNumberFormat="0" applyAlignment="0" applyProtection="0">
      <alignment vertical="center"/>
    </xf>
    <xf numFmtId="0" fontId="138" fillId="0" borderId="0"/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6" fillId="15" borderId="8" applyNumberFormat="0" applyAlignment="0" applyProtection="0">
      <alignment vertical="center"/>
    </xf>
    <xf numFmtId="0" fontId="206" fillId="15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205" fillId="9" borderId="8" applyNumberFormat="0" applyAlignment="0" applyProtection="0">
      <alignment vertical="center"/>
    </xf>
    <xf numFmtId="0" fontId="17" fillId="0" borderId="0">
      <alignment vertical="center"/>
    </xf>
    <xf numFmtId="0" fontId="119" fillId="9" borderId="8" applyNumberFormat="0" applyAlignment="0" applyProtection="0">
      <alignment vertical="center"/>
    </xf>
    <xf numFmtId="0" fontId="17" fillId="0" borderId="0">
      <alignment vertical="center"/>
    </xf>
    <xf numFmtId="4" fontId="75" fillId="0" borderId="0">
      <protection locked="0"/>
    </xf>
    <xf numFmtId="0" fontId="138" fillId="0" borderId="0"/>
    <xf numFmtId="4" fontId="171" fillId="0" borderId="0" applyFont="0" applyFill="0" applyBorder="0" applyAlignment="0" applyProtection="0"/>
    <xf numFmtId="0" fontId="17" fillId="0" borderId="0">
      <alignment vertical="center"/>
    </xf>
    <xf numFmtId="4" fontId="75" fillId="0" borderId="0">
      <protection locked="0"/>
    </xf>
    <xf numFmtId="250" fontId="7" fillId="0" borderId="0">
      <protection locked="0"/>
    </xf>
    <xf numFmtId="3" fontId="171" fillId="0" borderId="0" applyFont="0" applyFill="0" applyBorder="0" applyAlignment="0" applyProtection="0"/>
    <xf numFmtId="250" fontId="82" fillId="0" borderId="0">
      <protection locked="0"/>
    </xf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3" fontId="171" fillId="0" borderId="0" applyFont="0" applyFill="0" applyBorder="0" applyAlignment="0" applyProtection="0"/>
    <xf numFmtId="250" fontId="82" fillId="0" borderId="0">
      <protection locked="0"/>
    </xf>
    <xf numFmtId="3" fontId="171" fillId="0" borderId="0" applyFont="0" applyFill="0" applyBorder="0" applyAlignment="0" applyProtection="0"/>
    <xf numFmtId="250" fontId="82" fillId="0" borderId="0">
      <protection locked="0"/>
    </xf>
    <xf numFmtId="0" fontId="138" fillId="0" borderId="0"/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250" fontId="82" fillId="0" borderId="0">
      <protection locked="0"/>
    </xf>
    <xf numFmtId="0" fontId="17" fillId="0" borderId="0">
      <alignment vertical="center"/>
    </xf>
    <xf numFmtId="250" fontId="7" fillId="0" borderId="0">
      <protection locked="0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8" fillId="0" borderId="24" applyNumberFormat="0" applyFill="0" applyAlignment="0" applyProtection="0">
      <alignment vertical="center"/>
    </xf>
    <xf numFmtId="0" fontId="138" fillId="0" borderId="0"/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209" fillId="0" borderId="52" applyNumberFormat="0" applyFill="0" applyAlignment="0" applyProtection="0">
      <alignment vertical="center"/>
    </xf>
    <xf numFmtId="0" fontId="209" fillId="0" borderId="52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207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05" fillId="0" borderId="24" applyNumberFormat="0" applyFill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2" fillId="0" borderId="25" applyNumberFormat="0" applyFill="0" applyAlignment="0" applyProtection="0">
      <alignment vertical="center"/>
    </xf>
    <xf numFmtId="0" fontId="138" fillId="0" borderId="0"/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213" fillId="0" borderId="53" applyNumberFormat="0" applyFill="0" applyAlignment="0" applyProtection="0">
      <alignment vertical="center"/>
    </xf>
    <xf numFmtId="0" fontId="213" fillId="0" borderId="53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211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08" fillId="0" borderId="25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5" fillId="0" borderId="26" applyNumberFormat="0" applyFill="0" applyAlignment="0" applyProtection="0">
      <alignment vertical="center"/>
    </xf>
    <xf numFmtId="0" fontId="138" fillId="0" borderId="0"/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216" fillId="0" borderId="54" applyNumberFormat="0" applyFill="0" applyAlignment="0" applyProtection="0">
      <alignment vertical="center"/>
    </xf>
    <xf numFmtId="0" fontId="216" fillId="0" borderId="54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214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26" applyNumberFormat="0" applyFill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5" fillId="0" borderId="0" applyNumberFormat="0" applyFill="0" applyBorder="0" applyAlignment="0" applyProtection="0">
      <alignment vertical="center"/>
    </xf>
    <xf numFmtId="0" fontId="138" fillId="0" borderId="0"/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6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38" fillId="0" borderId="0"/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10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51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9" fillId="6" borderId="0" applyNumberFormat="0" applyBorder="0" applyAlignment="0" applyProtection="0">
      <alignment vertical="center"/>
    </xf>
    <xf numFmtId="0" fontId="138" fillId="0" borderId="0"/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219" fillId="8" borderId="0" applyNumberFormat="0" applyBorder="0" applyAlignment="0" applyProtection="0">
      <alignment vertical="center"/>
    </xf>
    <xf numFmtId="0" fontId="219" fillId="8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218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97" fillId="6" borderId="0" applyNumberFormat="0" applyBorder="0" applyAlignment="0" applyProtection="0">
      <alignment vertical="center"/>
    </xf>
    <xf numFmtId="0" fontId="17" fillId="0" borderId="0">
      <alignment vertical="center"/>
    </xf>
    <xf numFmtId="0" fontId="138" fillId="0" borderId="0"/>
    <xf numFmtId="0" fontId="138" fillId="0" borderId="0"/>
    <xf numFmtId="0" fontId="220" fillId="33" borderId="0">
      <alignment vertical="center"/>
    </xf>
    <xf numFmtId="0" fontId="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2" fillId="24" borderId="38" applyNumberFormat="0" applyAlignment="0" applyProtection="0">
      <alignment vertical="center"/>
    </xf>
    <xf numFmtId="0" fontId="138" fillId="0" borderId="0"/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2" fillId="3" borderId="38" applyNumberFormat="0" applyAlignment="0" applyProtection="0">
      <alignment vertical="center"/>
    </xf>
    <xf numFmtId="0" fontId="222" fillId="3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221" fillId="24" borderId="38" applyNumberFormat="0" applyAlignment="0" applyProtection="0">
      <alignment vertical="center"/>
    </xf>
    <xf numFmtId="0" fontId="17" fillId="0" borderId="0">
      <alignment vertical="center"/>
    </xf>
    <xf numFmtId="0" fontId="143" fillId="24" borderId="38" applyNumberFormat="0" applyAlignment="0" applyProtection="0">
      <alignment vertical="center"/>
    </xf>
    <xf numFmtId="0" fontId="17" fillId="0" borderId="0">
      <alignment vertical="center"/>
    </xf>
    <xf numFmtId="0" fontId="7" fillId="0" borderId="0" applyFont="0" applyFill="0" applyBorder="0" applyAlignment="0" applyProtection="0"/>
    <xf numFmtId="182" fontId="7" fillId="0" borderId="0" applyNumberFormat="0" applyFont="0" applyFill="0" applyBorder="0" applyProtection="0">
      <alignment vertical="center"/>
    </xf>
    <xf numFmtId="182" fontId="7" fillId="0" borderId="55"/>
    <xf numFmtId="9" fontId="223" fillId="0" borderId="0"/>
    <xf numFmtId="251" fontId="10" fillId="0" borderId="0" applyFont="0" applyFill="0" applyBorder="0" applyAlignment="0" applyProtection="0"/>
    <xf numFmtId="0" fontId="7" fillId="0" borderId="0" applyFont="0" applyFill="0" applyBorder="0" applyAlignment="0" applyProtection="0"/>
    <xf numFmtId="252" fontId="7" fillId="0" borderId="0" applyFont="0" applyFill="0" applyBorder="0" applyAlignment="0" applyProtection="0"/>
    <xf numFmtId="0" fontId="224" fillId="0" borderId="0" applyFont="0" applyFill="0" applyBorder="0" applyAlignment="0" applyProtection="0"/>
    <xf numFmtId="42" fontId="17" fillId="0" borderId="0" applyFont="0" applyFill="0" applyBorder="0" applyAlignment="0" applyProtection="0"/>
    <xf numFmtId="42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197" fontId="225" fillId="0" borderId="2">
      <alignment horizontal="right" vertical="center"/>
    </xf>
    <xf numFmtId="0" fontId="224" fillId="0" borderId="0" applyFont="0" applyFill="0" applyBorder="0" applyAlignment="0" applyProtection="0"/>
    <xf numFmtId="0" fontId="138" fillId="0" borderId="0"/>
    <xf numFmtId="0" fontId="138" fillId="0" borderId="0"/>
    <xf numFmtId="253" fontId="7" fillId="0" borderId="0">
      <protection locked="0"/>
    </xf>
    <xf numFmtId="186" fontId="17" fillId="0" borderId="0">
      <protection locked="0"/>
    </xf>
    <xf numFmtId="253" fontId="82" fillId="0" borderId="0">
      <protection locked="0"/>
    </xf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10" fontId="171" fillId="0" borderId="0" applyFont="0" applyFill="0" applyBorder="0" applyAlignment="0" applyProtection="0"/>
    <xf numFmtId="253" fontId="82" fillId="0" borderId="0">
      <protection locked="0"/>
    </xf>
    <xf numFmtId="10" fontId="171" fillId="0" borderId="0" applyFont="0" applyFill="0" applyBorder="0" applyAlignment="0" applyProtection="0"/>
    <xf numFmtId="253" fontId="82" fillId="0" borderId="0">
      <protection locked="0"/>
    </xf>
    <xf numFmtId="0" fontId="138" fillId="0" borderId="0"/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253" fontId="82" fillId="0" borderId="0">
      <protection locked="0"/>
    </xf>
    <xf numFmtId="0" fontId="17" fillId="0" borderId="0">
      <alignment vertical="center"/>
    </xf>
    <xf numFmtId="253" fontId="7" fillId="0" borderId="0">
      <protection locked="0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6" fillId="34" borderId="56">
      <alignment vertical="center"/>
    </xf>
    <xf numFmtId="0" fontId="227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228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228" fillId="0" borderId="0" applyNumberFormat="0" applyFill="0" applyBorder="0" applyAlignment="0" applyProtection="0">
      <alignment vertical="top"/>
      <protection locked="0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96" fillId="27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38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/>
    <xf numFmtId="179" fontId="139" fillId="0" borderId="0">
      <alignment vertical="center"/>
    </xf>
    <xf numFmtId="0" fontId="138" fillId="0" borderId="0"/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39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/>
    <xf numFmtId="0" fontId="17" fillId="0" borderId="0"/>
    <xf numFmtId="179" fontId="13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0" fontId="230" fillId="0" borderId="0">
      <alignment vertical="center"/>
    </xf>
    <xf numFmtId="179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230" fillId="0" borderId="0">
      <alignment vertical="center"/>
    </xf>
    <xf numFmtId="179" fontId="139" fillId="0" borderId="0">
      <alignment vertical="center"/>
    </xf>
    <xf numFmtId="0" fontId="138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179" fontId="21" fillId="0" borderId="0"/>
    <xf numFmtId="179" fontId="21" fillId="0" borderId="0"/>
    <xf numFmtId="0" fontId="138" fillId="0" borderId="0"/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1" fillId="0" borderId="0">
      <alignment vertical="center"/>
    </xf>
    <xf numFmtId="0" fontId="74" fillId="0" borderId="0"/>
    <xf numFmtId="0" fontId="1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38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38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7" fillId="0" borderId="0"/>
    <xf numFmtId="0" fontId="138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138" fillId="0" borderId="0"/>
    <xf numFmtId="179" fontId="17" fillId="0" borderId="0">
      <alignment vertical="center"/>
    </xf>
    <xf numFmtId="179" fontId="11" fillId="0" borderId="0"/>
    <xf numFmtId="179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0" fontId="87" fillId="0" borderId="0"/>
    <xf numFmtId="0" fontId="17" fillId="0" borderId="0">
      <alignment vertical="center"/>
    </xf>
    <xf numFmtId="0" fontId="87" fillId="0" borderId="0"/>
    <xf numFmtId="179" fontId="17" fillId="0" borderId="0"/>
    <xf numFmtId="179" fontId="11" fillId="0" borderId="0"/>
    <xf numFmtId="0" fontId="17" fillId="0" borderId="0"/>
    <xf numFmtId="0" fontId="17" fillId="0" borderId="0">
      <alignment vertical="center"/>
    </xf>
    <xf numFmtId="0" fontId="17" fillId="0" borderId="0"/>
    <xf numFmtId="179" fontId="11" fillId="0" borderId="0"/>
    <xf numFmtId="0" fontId="74" fillId="0" borderId="0"/>
    <xf numFmtId="0" fontId="17" fillId="0" borderId="0">
      <alignment vertical="center"/>
    </xf>
    <xf numFmtId="0" fontId="74" fillId="0" borderId="0"/>
    <xf numFmtId="0" fontId="231" fillId="0" borderId="0"/>
    <xf numFmtId="0" fontId="74" fillId="0" borderId="0"/>
    <xf numFmtId="0" fontId="17" fillId="0" borderId="0">
      <alignment vertical="center"/>
    </xf>
    <xf numFmtId="0" fontId="232" fillId="0" borderId="0">
      <alignment vertical="center"/>
    </xf>
    <xf numFmtId="0" fontId="138" fillId="0" borderId="0"/>
    <xf numFmtId="0" fontId="232" fillId="0" borderId="0">
      <alignment vertical="center"/>
    </xf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7" fillId="0" borderId="0"/>
    <xf numFmtId="0" fontId="141" fillId="0" borderId="0"/>
    <xf numFmtId="179" fontId="139" fillId="0" borderId="0">
      <alignment vertical="center"/>
    </xf>
    <xf numFmtId="179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141" fillId="0" borderId="0"/>
    <xf numFmtId="0" fontId="17" fillId="0" borderId="0">
      <alignment vertical="center"/>
    </xf>
    <xf numFmtId="0" fontId="141" fillId="0" borderId="0"/>
    <xf numFmtId="179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179" fontId="11" fillId="0" borderId="0"/>
    <xf numFmtId="0" fontId="233" fillId="0" borderId="0"/>
    <xf numFmtId="0" fontId="17" fillId="0" borderId="0">
      <alignment vertical="center"/>
    </xf>
    <xf numFmtId="0" fontId="233" fillId="0" borderId="0"/>
    <xf numFmtId="179" fontId="17" fillId="0" borderId="0">
      <alignment vertical="center"/>
    </xf>
    <xf numFmtId="0" fontId="17" fillId="0" borderId="0">
      <alignment vertical="center"/>
    </xf>
    <xf numFmtId="0" fontId="138" fillId="0" borderId="0"/>
    <xf numFmtId="0" fontId="17" fillId="0" borderId="0">
      <alignment vertical="center"/>
    </xf>
    <xf numFmtId="0" fontId="116" fillId="0" borderId="0"/>
    <xf numFmtId="0" fontId="141" fillId="0" borderId="0"/>
    <xf numFmtId="0" fontId="116" fillId="0" borderId="0"/>
    <xf numFmtId="179" fontId="33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179" fontId="139" fillId="0" borderId="0">
      <alignment vertical="center"/>
    </xf>
    <xf numFmtId="0" fontId="138" fillId="0" borderId="0"/>
    <xf numFmtId="0" fontId="233" fillId="0" borderId="0"/>
    <xf numFmtId="0" fontId="17" fillId="0" borderId="0">
      <alignment vertical="center"/>
    </xf>
    <xf numFmtId="0" fontId="233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7" fillId="0" borderId="0"/>
    <xf numFmtId="0" fontId="139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41" fillId="0" borderId="0"/>
    <xf numFmtId="179" fontId="11" fillId="0" borderId="0"/>
    <xf numFmtId="0" fontId="138" fillId="0" borderId="0"/>
    <xf numFmtId="0" fontId="11" fillId="0" borderId="0"/>
    <xf numFmtId="0" fontId="17" fillId="0" borderId="0">
      <alignment vertical="center"/>
    </xf>
    <xf numFmtId="0" fontId="11" fillId="0" borderId="0"/>
    <xf numFmtId="0" fontId="17" fillId="0" borderId="0">
      <alignment vertical="center"/>
    </xf>
    <xf numFmtId="0" fontId="74" fillId="0" borderId="0"/>
    <xf numFmtId="0" fontId="17" fillId="0" borderId="0">
      <alignment vertical="center"/>
    </xf>
    <xf numFmtId="0" fontId="74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179" fontId="11" fillId="0" borderId="0"/>
    <xf numFmtId="0" fontId="138" fillId="0" borderId="0"/>
    <xf numFmtId="0" fontId="33" fillId="0" borderId="0"/>
    <xf numFmtId="0" fontId="17" fillId="0" borderId="0">
      <alignment vertical="center"/>
    </xf>
    <xf numFmtId="0" fontId="33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8" fillId="0" borderId="0"/>
    <xf numFmtId="0" fontId="74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231" fillId="0" borderId="0"/>
    <xf numFmtId="0" fontId="138" fillId="0" borderId="0"/>
    <xf numFmtId="0" fontId="139" fillId="0" borderId="0">
      <alignment vertical="center"/>
    </xf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39" fillId="0" borderId="0">
      <alignment vertical="center"/>
    </xf>
    <xf numFmtId="0" fontId="138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0" fontId="141" fillId="0" borderId="0"/>
    <xf numFmtId="179" fontId="17" fillId="0" borderId="0">
      <alignment vertical="center"/>
    </xf>
    <xf numFmtId="0" fontId="138" fillId="0" borderId="0"/>
    <xf numFmtId="0" fontId="229" fillId="0" borderId="0"/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229" fillId="0" borderId="0"/>
    <xf numFmtId="0" fontId="17" fillId="0" borderId="0">
      <alignment vertical="center"/>
    </xf>
    <xf numFmtId="0" fontId="17" fillId="0" borderId="0"/>
    <xf numFmtId="0" fontId="17" fillId="0" borderId="0">
      <alignment vertical="center"/>
    </xf>
    <xf numFmtId="0" fontId="17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" fillId="0" borderId="0">
      <alignment vertical="center"/>
    </xf>
    <xf numFmtId="0" fontId="138" fillId="0" borderId="0"/>
    <xf numFmtId="0" fontId="138" fillId="0" borderId="0"/>
    <xf numFmtId="0" fontId="17" fillId="0" borderId="0">
      <alignment vertical="center"/>
    </xf>
    <xf numFmtId="0" fontId="1" fillId="0" borderId="0">
      <alignment vertical="center"/>
    </xf>
    <xf numFmtId="0" fontId="138" fillId="0" borderId="0"/>
    <xf numFmtId="179" fontId="139" fillId="0" borderId="0">
      <alignment vertical="center"/>
    </xf>
    <xf numFmtId="0" fontId="11" fillId="0" borderId="0"/>
    <xf numFmtId="0" fontId="17" fillId="0" borderId="0">
      <alignment vertical="center"/>
    </xf>
    <xf numFmtId="0" fontId="11" fillId="0" borderId="0"/>
    <xf numFmtId="179" fontId="139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0" fontId="234" fillId="0" borderId="0"/>
    <xf numFmtId="0" fontId="11" fillId="0" borderId="0"/>
    <xf numFmtId="0" fontId="1" fillId="0" borderId="0">
      <alignment vertical="center"/>
    </xf>
    <xf numFmtId="0" fontId="87" fillId="0" borderId="0"/>
    <xf numFmtId="0" fontId="138" fillId="0" borderId="0"/>
    <xf numFmtId="0" fontId="87" fillId="0" borderId="0"/>
    <xf numFmtId="0" fontId="1" fillId="0" borderId="0">
      <alignment vertical="center"/>
    </xf>
    <xf numFmtId="179" fontId="139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" fillId="0" borderId="0">
      <alignment vertical="center"/>
    </xf>
    <xf numFmtId="0" fontId="233" fillId="0" borderId="0"/>
    <xf numFmtId="0" fontId="17" fillId="0" borderId="0">
      <alignment vertical="center"/>
    </xf>
    <xf numFmtId="0" fontId="233" fillId="0" borderId="0"/>
    <xf numFmtId="0" fontId="138" fillId="0" borderId="0"/>
    <xf numFmtId="0" fontId="17" fillId="0" borderId="0">
      <alignment vertical="center"/>
    </xf>
    <xf numFmtId="0" fontId="17" fillId="0" borderId="0"/>
    <xf numFmtId="0" fontId="139" fillId="0" borderId="0">
      <alignment vertical="center"/>
    </xf>
    <xf numFmtId="0" fontId="17" fillId="0" borderId="0"/>
    <xf numFmtId="0" fontId="139" fillId="0" borderId="0">
      <alignment vertical="center"/>
    </xf>
    <xf numFmtId="0" fontId="1" fillId="0" borderId="0">
      <alignment vertical="center"/>
    </xf>
    <xf numFmtId="179" fontId="139" fillId="0" borderId="0">
      <alignment vertical="center"/>
    </xf>
    <xf numFmtId="0" fontId="233" fillId="0" borderId="0"/>
    <xf numFmtId="0" fontId="1" fillId="0" borderId="0">
      <alignment vertical="center"/>
    </xf>
    <xf numFmtId="0" fontId="17" fillId="0" borderId="0">
      <alignment vertical="center"/>
    </xf>
    <xf numFmtId="0" fontId="138" fillId="0" borderId="0"/>
    <xf numFmtId="0" fontId="233" fillId="0" borderId="0"/>
    <xf numFmtId="179" fontId="139" fillId="0" borderId="0">
      <alignment vertical="center"/>
    </xf>
    <xf numFmtId="0" fontId="138" fillId="0" borderId="0"/>
    <xf numFmtId="0" fontId="17" fillId="0" borderId="0"/>
    <xf numFmtId="0" fontId="17" fillId="0" borderId="0">
      <alignment vertical="center"/>
    </xf>
    <xf numFmtId="0" fontId="17" fillId="0" borderId="0"/>
    <xf numFmtId="179" fontId="17" fillId="0" borderId="0"/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1" fillId="0" borderId="0"/>
    <xf numFmtId="0" fontId="17" fillId="0" borderId="0">
      <alignment vertical="center"/>
    </xf>
    <xf numFmtId="0" fontId="1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138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0" fontId="138" fillId="0" borderId="0"/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74" fillId="0" borderId="0"/>
    <xf numFmtId="0" fontId="235" fillId="0" borderId="0"/>
    <xf numFmtId="0" fontId="1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39" fillId="0" borderId="0">
      <alignment vertical="center"/>
    </xf>
    <xf numFmtId="0" fontId="17" fillId="0" borderId="0">
      <alignment vertical="center"/>
    </xf>
    <xf numFmtId="0" fontId="139" fillId="0" borderId="0">
      <alignment vertical="center"/>
    </xf>
    <xf numFmtId="179" fontId="33" fillId="0" borderId="0">
      <alignment vertical="center"/>
    </xf>
    <xf numFmtId="0" fontId="11" fillId="0" borderId="0"/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" fillId="0" borderId="0">
      <alignment vertical="center"/>
    </xf>
    <xf numFmtId="0" fontId="138" fillId="0" borderId="0"/>
    <xf numFmtId="0" fontId="11" fillId="0" borderId="0"/>
    <xf numFmtId="0" fontId="1" fillId="0" borderId="0">
      <alignment vertical="center"/>
    </xf>
    <xf numFmtId="179" fontId="33" fillId="0" borderId="0">
      <alignment vertical="center"/>
    </xf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" fillId="0" borderId="0">
      <alignment vertical="center"/>
    </xf>
    <xf numFmtId="0" fontId="138" fillId="0" borderId="0"/>
    <xf numFmtId="0" fontId="139" fillId="0" borderId="0">
      <alignment vertical="center"/>
    </xf>
    <xf numFmtId="0" fontId="1" fillId="0" borderId="0">
      <alignment vertical="center"/>
    </xf>
    <xf numFmtId="179" fontId="33" fillId="0" borderId="0">
      <alignment vertical="center"/>
    </xf>
    <xf numFmtId="0" fontId="11" fillId="0" borderId="0"/>
    <xf numFmtId="0" fontId="1" fillId="0" borderId="0">
      <alignment vertical="center"/>
    </xf>
    <xf numFmtId="0" fontId="17" fillId="0" borderId="0">
      <alignment vertical="center"/>
    </xf>
    <xf numFmtId="0" fontId="11" fillId="0" borderId="0"/>
    <xf numFmtId="179" fontId="139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36" fillId="0" borderId="0"/>
    <xf numFmtId="0" fontId="1" fillId="0" borderId="0">
      <alignment vertical="center"/>
    </xf>
    <xf numFmtId="0" fontId="74" fillId="0" borderId="0"/>
    <xf numFmtId="0" fontId="138" fillId="0" borderId="0"/>
    <xf numFmtId="0" fontId="236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39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39" fillId="0" borderId="0">
      <alignment vertical="center"/>
    </xf>
    <xf numFmtId="0" fontId="139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38" fillId="0" borderId="0"/>
    <xf numFmtId="0" fontId="17" fillId="0" borderId="0">
      <alignment vertical="center"/>
    </xf>
    <xf numFmtId="0" fontId="138" fillId="0" borderId="0"/>
    <xf numFmtId="0" fontId="138" fillId="0" borderId="0">
      <alignment vertical="center"/>
    </xf>
    <xf numFmtId="0" fontId="17" fillId="0" borderId="0">
      <alignment vertical="center"/>
    </xf>
    <xf numFmtId="0" fontId="138" fillId="0" borderId="0">
      <alignment vertical="center"/>
    </xf>
    <xf numFmtId="179" fontId="33" fillId="0" borderId="0">
      <alignment vertical="center"/>
    </xf>
    <xf numFmtId="0" fontId="138" fillId="0" borderId="0"/>
    <xf numFmtId="0" fontId="17" fillId="0" borderId="0">
      <alignment vertical="center"/>
    </xf>
    <xf numFmtId="179" fontId="139" fillId="0" borderId="0">
      <alignment vertical="center"/>
    </xf>
    <xf numFmtId="0" fontId="138" fillId="0" borderId="0"/>
    <xf numFmtId="0" fontId="17" fillId="0" borderId="0">
      <alignment vertical="center"/>
    </xf>
    <xf numFmtId="179" fontId="33" fillId="0" borderId="0">
      <alignment vertical="center"/>
    </xf>
    <xf numFmtId="0" fontId="138" fillId="0" borderId="0"/>
    <xf numFmtId="0" fontId="139" fillId="0" borderId="0">
      <alignment vertical="center"/>
    </xf>
    <xf numFmtId="0" fontId="17" fillId="0" borderId="0">
      <alignment vertical="center"/>
    </xf>
    <xf numFmtId="0" fontId="11" fillId="0" borderId="0"/>
    <xf numFmtId="0" fontId="138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41" fillId="0" borderId="0"/>
    <xf numFmtId="179" fontId="33" fillId="0" borderId="0">
      <alignment vertical="center"/>
    </xf>
    <xf numFmtId="179" fontId="33" fillId="0" borderId="0">
      <alignment vertical="center"/>
    </xf>
    <xf numFmtId="179" fontId="33" fillId="0" borderId="0">
      <alignment vertical="center"/>
    </xf>
    <xf numFmtId="0" fontId="11" fillId="0" borderId="0"/>
    <xf numFmtId="179" fontId="33" fillId="0" borderId="0">
      <alignment vertical="center"/>
    </xf>
    <xf numFmtId="0" fontId="17" fillId="0" borderId="0">
      <alignment vertical="center"/>
    </xf>
    <xf numFmtId="0" fontId="138" fillId="0" borderId="0"/>
    <xf numFmtId="0" fontId="11" fillId="0" borderId="0"/>
    <xf numFmtId="179" fontId="33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179" fontId="33" fillId="0" borderId="0">
      <alignment vertical="center"/>
    </xf>
    <xf numFmtId="0" fontId="17" fillId="0" borderId="0">
      <alignment vertical="center"/>
    </xf>
    <xf numFmtId="179" fontId="139" fillId="0" borderId="0">
      <alignment vertical="center"/>
    </xf>
    <xf numFmtId="0" fontId="230" fillId="0" borderId="0"/>
    <xf numFmtId="179" fontId="33" fillId="0" borderId="0">
      <alignment vertical="center"/>
    </xf>
    <xf numFmtId="0" fontId="141" fillId="0" borderId="0"/>
    <xf numFmtId="0" fontId="17" fillId="0" borderId="0">
      <alignment vertical="center"/>
    </xf>
    <xf numFmtId="0" fontId="230" fillId="0" borderId="0"/>
    <xf numFmtId="0" fontId="11" fillId="0" borderId="0"/>
    <xf numFmtId="0" fontId="138" fillId="0" borderId="0"/>
    <xf numFmtId="179" fontId="3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179" fontId="11" fillId="0" borderId="0"/>
    <xf numFmtId="0" fontId="17" fillId="0" borderId="0">
      <alignment vertical="center"/>
    </xf>
    <xf numFmtId="0" fontId="17" fillId="0" borderId="0">
      <alignment vertical="center"/>
    </xf>
    <xf numFmtId="0" fontId="11" fillId="0" borderId="0"/>
    <xf numFmtId="0" fontId="17" fillId="0" borderId="0">
      <alignment vertical="center"/>
    </xf>
    <xf numFmtId="0" fontId="138" fillId="0" borderId="0"/>
    <xf numFmtId="0" fontId="236" fillId="0" borderId="0"/>
    <xf numFmtId="0" fontId="139" fillId="0" borderId="0">
      <alignment vertical="center"/>
    </xf>
    <xf numFmtId="0" fontId="236" fillId="0" borderId="0"/>
    <xf numFmtId="0" fontId="13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4" fillId="0" borderId="0"/>
    <xf numFmtId="179" fontId="11" fillId="0" borderId="0"/>
    <xf numFmtId="0" fontId="17" fillId="0" borderId="0">
      <alignment vertical="center"/>
    </xf>
    <xf numFmtId="0" fontId="237" fillId="0" borderId="0">
      <alignment vertical="center"/>
    </xf>
    <xf numFmtId="0" fontId="17" fillId="0" borderId="0">
      <alignment vertical="center"/>
    </xf>
    <xf numFmtId="0" fontId="237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179" fontId="11" fillId="0" borderId="0"/>
    <xf numFmtId="0" fontId="141" fillId="0" borderId="0"/>
    <xf numFmtId="0" fontId="74" fillId="0" borderId="0"/>
    <xf numFmtId="0" fontId="17" fillId="0" borderId="0">
      <alignment vertical="center"/>
    </xf>
    <xf numFmtId="0" fontId="138" fillId="0" borderId="0"/>
    <xf numFmtId="0" fontId="14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8" fillId="0" borderId="0"/>
    <xf numFmtId="179" fontId="11" fillId="0" borderId="0"/>
    <xf numFmtId="179" fontId="11" fillId="0" borderId="0"/>
    <xf numFmtId="0" fontId="138" fillId="0" borderId="0"/>
    <xf numFmtId="0" fontId="139" fillId="0" borderId="0">
      <alignment vertical="center"/>
    </xf>
    <xf numFmtId="179" fontId="139" fillId="0" borderId="0">
      <alignment vertical="center"/>
    </xf>
    <xf numFmtId="0" fontId="17" fillId="0" borderId="0">
      <alignment vertical="center"/>
    </xf>
    <xf numFmtId="0" fontId="138" fillId="0" borderId="0"/>
    <xf numFmtId="0" fontId="139" fillId="0" borderId="0">
      <alignment vertical="center"/>
    </xf>
    <xf numFmtId="0" fontId="138" fillId="0" borderId="0"/>
    <xf numFmtId="0" fontId="138" fillId="0" borderId="0"/>
    <xf numFmtId="0" fontId="138" fillId="0" borderId="0"/>
    <xf numFmtId="0" fontId="24" fillId="0" borderId="0">
      <alignment vertical="center"/>
    </xf>
    <xf numFmtId="179" fontId="238" fillId="0" borderId="0"/>
    <xf numFmtId="0" fontId="138" fillId="0" borderId="0"/>
    <xf numFmtId="0" fontId="138" fillId="0" borderId="0"/>
    <xf numFmtId="0" fontId="239" fillId="0" borderId="0" applyNumberFormat="0" applyFill="0" applyBorder="0" applyAlignment="0" applyProtection="0">
      <alignment vertical="top"/>
      <protection locked="0"/>
    </xf>
    <xf numFmtId="0" fontId="63" fillId="0" borderId="0">
      <alignment vertical="center"/>
    </xf>
    <xf numFmtId="0" fontId="240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24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3" fillId="0" borderId="0">
      <alignment vertical="center"/>
    </xf>
    <xf numFmtId="0" fontId="75" fillId="0" borderId="45">
      <protection locked="0"/>
    </xf>
    <xf numFmtId="0" fontId="171" fillId="0" borderId="45" applyNumberFormat="0" applyFont="0" applyFill="0" applyAlignment="0" applyProtection="0"/>
    <xf numFmtId="0" fontId="17" fillId="0" borderId="0">
      <alignment vertical="center"/>
    </xf>
    <xf numFmtId="0" fontId="75" fillId="0" borderId="45">
      <protection locked="0"/>
    </xf>
    <xf numFmtId="3" fontId="241" fillId="0" borderId="0" applyFont="0" applyFill="0" applyBorder="0" applyAlignment="0" applyProtection="0"/>
    <xf numFmtId="38" fontId="242" fillId="0" borderId="0" applyFont="0" applyFill="0" applyBorder="0" applyAlignment="0" applyProtection="0"/>
    <xf numFmtId="40" fontId="243" fillId="0" borderId="0" applyFont="0" applyFill="0" applyBorder="0" applyAlignment="0" applyProtection="0"/>
    <xf numFmtId="38" fontId="243" fillId="0" borderId="0" applyFont="0" applyFill="0" applyBorder="0" applyAlignment="0" applyProtection="0"/>
    <xf numFmtId="0" fontId="138" fillId="0" borderId="0"/>
    <xf numFmtId="0" fontId="138" fillId="0" borderId="0"/>
    <xf numFmtId="0" fontId="138" fillId="0" borderId="0"/>
    <xf numFmtId="3" fontId="28" fillId="0" borderId="57">
      <alignment vertical="center"/>
    </xf>
    <xf numFmtId="0" fontId="138" fillId="0" borderId="0"/>
    <xf numFmtId="0" fontId="138" fillId="0" borderId="0"/>
    <xf numFmtId="0" fontId="138" fillId="0" borderId="0"/>
    <xf numFmtId="254" fontId="230" fillId="0" borderId="0" applyFont="0" applyFill="0" applyBorder="0" applyAlignment="0" applyProtection="0"/>
    <xf numFmtId="255" fontId="230" fillId="0" borderId="0" applyFont="0" applyFill="0" applyBorder="0" applyAlignment="0" applyProtection="0"/>
    <xf numFmtId="256" fontId="7" fillId="0" borderId="0">
      <protection locked="0"/>
    </xf>
    <xf numFmtId="257" fontId="17" fillId="0" borderId="0">
      <protection locked="0"/>
    </xf>
    <xf numFmtId="256" fontId="82" fillId="0" borderId="0">
      <protection locked="0"/>
    </xf>
    <xf numFmtId="0" fontId="17" fillId="0" borderId="0">
      <alignment vertical="center"/>
    </xf>
    <xf numFmtId="256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1" fillId="0" borderId="0" applyFont="0" applyFill="0" applyBorder="0" applyAlignment="0" applyProtection="0"/>
    <xf numFmtId="256" fontId="82" fillId="0" borderId="0">
      <protection locked="0"/>
    </xf>
    <xf numFmtId="0" fontId="171" fillId="0" borderId="0" applyFont="0" applyFill="0" applyBorder="0" applyAlignment="0" applyProtection="0"/>
    <xf numFmtId="256" fontId="82" fillId="0" borderId="0">
      <protection locked="0"/>
    </xf>
    <xf numFmtId="256" fontId="82" fillId="0" borderId="0">
      <protection locked="0"/>
    </xf>
    <xf numFmtId="0" fontId="17" fillId="0" borderId="0">
      <alignment vertical="center"/>
    </xf>
    <xf numFmtId="256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256" fontId="7" fillId="0" borderId="0">
      <protection locked="0"/>
    </xf>
    <xf numFmtId="258" fontId="7" fillId="0" borderId="0">
      <protection locked="0"/>
    </xf>
    <xf numFmtId="197" fontId="17" fillId="0" borderId="0">
      <protection locked="0"/>
    </xf>
    <xf numFmtId="258" fontId="82" fillId="0" borderId="0">
      <protection locked="0"/>
    </xf>
    <xf numFmtId="0" fontId="17" fillId="0" borderId="0">
      <alignment vertical="center"/>
    </xf>
    <xf numFmtId="258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228" fontId="171" fillId="0" borderId="0" applyFont="0" applyFill="0" applyBorder="0" applyAlignment="0" applyProtection="0"/>
    <xf numFmtId="258" fontId="82" fillId="0" borderId="0">
      <protection locked="0"/>
    </xf>
    <xf numFmtId="228" fontId="171" fillId="0" borderId="0" applyFont="0" applyFill="0" applyBorder="0" applyAlignment="0" applyProtection="0"/>
    <xf numFmtId="258" fontId="82" fillId="0" borderId="0">
      <protection locked="0"/>
    </xf>
    <xf numFmtId="258" fontId="82" fillId="0" borderId="0">
      <protection locked="0"/>
    </xf>
    <xf numFmtId="0" fontId="17" fillId="0" borderId="0">
      <alignment vertical="center"/>
    </xf>
    <xf numFmtId="258" fontId="82" fillId="0" borderId="0">
      <protection locked="0"/>
    </xf>
    <xf numFmtId="0" fontId="17" fillId="0" borderId="0">
      <alignment vertical="center"/>
    </xf>
    <xf numFmtId="0" fontId="17" fillId="0" borderId="0">
      <alignment vertical="center"/>
    </xf>
    <xf numFmtId="258" fontId="7" fillId="0" borderId="0">
      <protection locked="0"/>
    </xf>
    <xf numFmtId="0" fontId="138" fillId="0" borderId="0"/>
    <xf numFmtId="0" fontId="138" fillId="0" borderId="0"/>
    <xf numFmtId="0" fontId="138" fillId="0" borderId="0"/>
    <xf numFmtId="0" fontId="17" fillId="0" borderId="0">
      <alignment vertical="center"/>
    </xf>
    <xf numFmtId="0" fontId="251" fillId="0" borderId="0"/>
    <xf numFmtId="0" fontId="11" fillId="0" borderId="0"/>
    <xf numFmtId="0" fontId="74" fillId="0" borderId="0"/>
    <xf numFmtId="0" fontId="17" fillId="0" borderId="0"/>
    <xf numFmtId="0" fontId="1" fillId="0" borderId="0">
      <alignment vertical="center"/>
    </xf>
  </cellStyleXfs>
  <cellXfs count="104">
    <xf numFmtId="0" fontId="0" fillId="0" borderId="0" xfId="0">
      <alignment vertical="center"/>
    </xf>
    <xf numFmtId="0" fontId="2" fillId="0" borderId="0" xfId="0" applyFont="1" applyFill="1" applyAlignment="1">
      <alignment horizontal="left" vertical="center" textRotation="180"/>
    </xf>
    <xf numFmtId="0" fontId="4" fillId="0" borderId="2" xfId="0" applyFont="1" applyFill="1" applyBorder="1" applyAlignment="1">
      <alignment horizontal="left" vertical="top" textRotation="180"/>
    </xf>
    <xf numFmtId="0" fontId="4" fillId="0" borderId="2" xfId="0" applyFont="1" applyFill="1" applyBorder="1" applyAlignment="1">
      <alignment horizontal="center" vertical="top" textRotation="180"/>
    </xf>
    <xf numFmtId="0" fontId="2" fillId="0" borderId="0" xfId="0" applyFont="1" applyFill="1" applyAlignment="1">
      <alignment horizontal="left" vertical="top" textRotation="180"/>
    </xf>
    <xf numFmtId="49" fontId="2" fillId="0" borderId="0" xfId="0" applyNumberFormat="1" applyFont="1" applyFill="1" applyAlignment="1">
      <alignment horizontal="left" vertical="center" textRotation="180"/>
    </xf>
    <xf numFmtId="0" fontId="2" fillId="0" borderId="0" xfId="0" applyFon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top"/>
    </xf>
    <xf numFmtId="0" fontId="6" fillId="0" borderId="0" xfId="0" applyFont="1" applyFill="1" applyAlignment="1">
      <alignment horizontal="left" vertical="top"/>
    </xf>
    <xf numFmtId="49" fontId="2" fillId="0" borderId="0" xfId="0" applyNumberFormat="1" applyFont="1" applyFill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2" fillId="35" borderId="0" xfId="0" applyFont="1" applyFill="1" applyAlignment="1">
      <alignment horizontal="left" vertical="center" textRotation="180"/>
    </xf>
    <xf numFmtId="0" fontId="4" fillId="35" borderId="2" xfId="0" applyFont="1" applyFill="1" applyBorder="1" applyAlignment="1">
      <alignment horizontal="left" vertical="top" textRotation="180"/>
    </xf>
    <xf numFmtId="0" fontId="4" fillId="36" borderId="2" xfId="0" applyFont="1" applyFill="1" applyBorder="1" applyAlignment="1">
      <alignment horizontal="left" vertical="top" textRotation="180"/>
    </xf>
    <xf numFmtId="49" fontId="4" fillId="36" borderId="2" xfId="0" applyNumberFormat="1" applyFont="1" applyFill="1" applyBorder="1" applyAlignment="1">
      <alignment horizontal="center" vertical="top" textRotation="180"/>
    </xf>
    <xf numFmtId="0" fontId="4" fillId="36" borderId="2" xfId="0" applyFont="1" applyFill="1" applyBorder="1" applyAlignment="1">
      <alignment horizontal="center" vertical="top" textRotation="180"/>
    </xf>
    <xf numFmtId="176" fontId="2" fillId="0" borderId="0" xfId="0" quotePrefix="1" applyNumberFormat="1" applyFont="1" applyFill="1" applyAlignment="1">
      <alignment horizontal="center" vertical="center"/>
    </xf>
    <xf numFmtId="177" fontId="6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top"/>
    </xf>
    <xf numFmtId="0" fontId="2" fillId="0" borderId="0" xfId="0" applyNumberFormat="1" applyFont="1" applyFill="1" applyAlignment="1">
      <alignment horizontal="center" vertical="center"/>
    </xf>
    <xf numFmtId="0" fontId="244" fillId="0" borderId="0" xfId="0" applyFont="1" applyFill="1" applyAlignment="1">
      <alignment horizontal="left" vertical="center"/>
    </xf>
    <xf numFmtId="0" fontId="2" fillId="37" borderId="0" xfId="0" applyFont="1" applyFill="1" applyAlignment="1">
      <alignment horizontal="center" vertical="center"/>
    </xf>
    <xf numFmtId="0" fontId="2" fillId="39" borderId="0" xfId="0" applyFont="1" applyFill="1" applyAlignment="1">
      <alignment horizontal="left" vertical="center"/>
    </xf>
    <xf numFmtId="0" fontId="6" fillId="39" borderId="0" xfId="0" applyFont="1" applyFill="1" applyAlignment="1">
      <alignment horizontal="left" vertical="center"/>
    </xf>
    <xf numFmtId="0" fontId="4" fillId="39" borderId="0" xfId="0" applyFont="1" applyFill="1" applyAlignment="1">
      <alignment horizontal="left" vertical="center"/>
    </xf>
    <xf numFmtId="0" fontId="2" fillId="39" borderId="0" xfId="0" applyFont="1" applyFill="1" applyAlignment="1">
      <alignment horizontal="left" vertical="top"/>
    </xf>
    <xf numFmtId="0" fontId="6" fillId="39" borderId="0" xfId="0" applyFont="1" applyFill="1" applyAlignment="1">
      <alignment horizontal="left" vertical="top"/>
    </xf>
    <xf numFmtId="176" fontId="2" fillId="39" borderId="0" xfId="0" quotePrefix="1" applyNumberFormat="1" applyFont="1" applyFill="1" applyAlignment="1">
      <alignment horizontal="center" vertical="center"/>
    </xf>
    <xf numFmtId="177" fontId="6" fillId="39" borderId="0" xfId="0" applyNumberFormat="1" applyFont="1" applyFill="1" applyAlignment="1">
      <alignment horizontal="center" vertical="center"/>
    </xf>
    <xf numFmtId="49" fontId="2" fillId="39" borderId="0" xfId="0" applyNumberFormat="1" applyFont="1" applyFill="1" applyAlignment="1">
      <alignment horizontal="center" vertical="center"/>
    </xf>
    <xf numFmtId="49" fontId="2" fillId="39" borderId="0" xfId="0" applyNumberFormat="1" applyFont="1" applyFill="1" applyAlignment="1">
      <alignment horizontal="center" vertical="top"/>
    </xf>
    <xf numFmtId="0" fontId="2" fillId="39" borderId="0" xfId="0" applyNumberFormat="1" applyFont="1" applyFill="1" applyAlignment="1">
      <alignment horizontal="center" vertical="center"/>
    </xf>
    <xf numFmtId="49" fontId="2" fillId="39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top"/>
    </xf>
    <xf numFmtId="176" fontId="4" fillId="0" borderId="0" xfId="0" quotePrefix="1" applyNumberFormat="1" applyFont="1" applyFill="1" applyAlignment="1">
      <alignment horizontal="center" vertical="center"/>
    </xf>
    <xf numFmtId="177" fontId="4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top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left" vertical="center"/>
    </xf>
    <xf numFmtId="0" fontId="245" fillId="0" borderId="0" xfId="0" applyFont="1" applyFill="1" applyAlignment="1">
      <alignment horizontal="center" vertical="center"/>
    </xf>
    <xf numFmtId="0" fontId="246" fillId="0" borderId="58" xfId="35436" applyFont="1" applyFill="1" applyBorder="1" applyAlignment="1">
      <alignment horizontal="center" vertical="center"/>
    </xf>
    <xf numFmtId="259" fontId="247" fillId="0" borderId="58" xfId="37102" quotePrefix="1" applyNumberFormat="1" applyFont="1" applyFill="1" applyBorder="1" applyAlignment="1">
      <alignment vertical="center" wrapText="1"/>
    </xf>
    <xf numFmtId="0" fontId="246" fillId="0" borderId="0" xfId="35436" applyFont="1" applyFill="1" applyBorder="1" applyAlignment="1">
      <alignment vertical="center"/>
    </xf>
    <xf numFmtId="0" fontId="246" fillId="0" borderId="0" xfId="35436" applyFont="1" applyFill="1" applyAlignment="1">
      <alignment horizontal="center" vertical="center"/>
    </xf>
    <xf numFmtId="0" fontId="249" fillId="0" borderId="58" xfId="35436" applyFont="1" applyFill="1" applyBorder="1" applyAlignment="1">
      <alignment horizontal="center" vertical="center"/>
    </xf>
    <xf numFmtId="0" fontId="247" fillId="0" borderId="58" xfId="37102" applyNumberFormat="1" applyFont="1" applyFill="1" applyBorder="1" applyAlignment="1">
      <alignment horizontal="center" vertical="center" wrapText="1"/>
    </xf>
    <xf numFmtId="0" fontId="247" fillId="0" borderId="58" xfId="37102" quotePrefix="1" applyNumberFormat="1" applyFont="1" applyFill="1" applyBorder="1" applyAlignment="1">
      <alignment horizontal="center" vertical="center" wrapText="1"/>
    </xf>
    <xf numFmtId="0" fontId="250" fillId="0" borderId="58" xfId="35436" applyFont="1" applyFill="1" applyBorder="1" applyAlignment="1">
      <alignment horizontal="center" vertical="center"/>
    </xf>
    <xf numFmtId="0" fontId="250" fillId="0" borderId="58" xfId="37103" applyFont="1" applyFill="1" applyBorder="1" applyAlignment="1" applyProtection="1">
      <alignment horizontal="center" vertical="center"/>
      <protection locked="0"/>
    </xf>
    <xf numFmtId="0" fontId="250" fillId="0" borderId="58" xfId="37104" applyFont="1" applyFill="1" applyBorder="1" applyAlignment="1">
      <alignment horizontal="center" vertical="center"/>
    </xf>
    <xf numFmtId="0" fontId="250" fillId="0" borderId="58" xfId="35436" applyFont="1" applyFill="1" applyBorder="1" applyAlignment="1">
      <alignment horizontal="center" vertical="center" wrapText="1"/>
    </xf>
    <xf numFmtId="0" fontId="11" fillId="0" borderId="58" xfId="35436" applyFont="1" applyFill="1" applyBorder="1" applyAlignment="1">
      <alignment horizontal="center" vertical="center"/>
    </xf>
    <xf numFmtId="0" fontId="250" fillId="0" borderId="58" xfId="37105" applyFont="1" applyFill="1" applyBorder="1" applyAlignment="1">
      <alignment horizontal="center" vertical="center" wrapText="1"/>
    </xf>
    <xf numFmtId="0" fontId="250" fillId="0" borderId="58" xfId="37104" applyFont="1" applyFill="1" applyBorder="1" applyAlignment="1">
      <alignment horizontal="center" vertical="center" wrapText="1"/>
    </xf>
    <xf numFmtId="0" fontId="250" fillId="0" borderId="11" xfId="35436" applyFont="1" applyFill="1" applyBorder="1" applyAlignment="1">
      <alignment horizontal="center" vertical="center"/>
    </xf>
    <xf numFmtId="0" fontId="250" fillId="0" borderId="0" xfId="35436" applyFont="1" applyFill="1" applyAlignment="1">
      <alignment horizontal="center" vertical="center"/>
    </xf>
    <xf numFmtId="0" fontId="250" fillId="0" borderId="59" xfId="35436" applyFont="1" applyFill="1" applyBorder="1" applyAlignment="1">
      <alignment horizontal="center" vertical="center"/>
    </xf>
    <xf numFmtId="0" fontId="250" fillId="38" borderId="58" xfId="35436" applyFont="1" applyFill="1" applyBorder="1" applyAlignment="1">
      <alignment horizontal="center" vertical="center"/>
    </xf>
    <xf numFmtId="0" fontId="252" fillId="0" borderId="58" xfId="35436" applyFont="1" applyFill="1" applyBorder="1" applyAlignment="1">
      <alignment horizontal="center" vertical="center"/>
    </xf>
    <xf numFmtId="0" fontId="250" fillId="0" borderId="58" xfId="37106" applyNumberFormat="1" applyFont="1" applyFill="1" applyBorder="1" applyAlignment="1">
      <alignment horizontal="center" vertical="center" shrinkToFit="1"/>
    </xf>
    <xf numFmtId="0" fontId="250" fillId="0" borderId="60" xfId="37104" applyFont="1" applyFill="1" applyBorder="1" applyAlignment="1">
      <alignment horizontal="center" vertical="center"/>
    </xf>
    <xf numFmtId="0" fontId="250" fillId="37" borderId="58" xfId="37105" applyFont="1" applyFill="1" applyBorder="1" applyAlignment="1">
      <alignment horizontal="center" vertical="center" wrapText="1"/>
    </xf>
    <xf numFmtId="0" fontId="250" fillId="37" borderId="58" xfId="37104" applyFont="1" applyFill="1" applyBorder="1" applyAlignment="1">
      <alignment horizontal="center" vertical="center" wrapText="1"/>
    </xf>
    <xf numFmtId="0" fontId="250" fillId="0" borderId="61" xfId="35436" applyFont="1" applyFill="1" applyBorder="1" applyAlignment="1">
      <alignment horizontal="center" vertical="center"/>
    </xf>
    <xf numFmtId="0" fontId="250" fillId="0" borderId="62" xfId="35436" applyFont="1" applyFill="1" applyBorder="1" applyAlignment="1">
      <alignment horizontal="center" vertical="center"/>
    </xf>
    <xf numFmtId="0" fontId="250" fillId="0" borderId="63" xfId="35436" applyFont="1" applyFill="1" applyBorder="1" applyAlignment="1">
      <alignment horizontal="center" vertical="center"/>
    </xf>
    <xf numFmtId="0" fontId="250" fillId="0" borderId="60" xfId="35436" applyFont="1" applyFill="1" applyBorder="1" applyAlignment="1">
      <alignment horizontal="center" vertical="center" wrapText="1"/>
    </xf>
    <xf numFmtId="0" fontId="253" fillId="0" borderId="58" xfId="35436" applyFont="1" applyFill="1" applyBorder="1" applyAlignment="1">
      <alignment horizontal="center" vertical="center"/>
    </xf>
    <xf numFmtId="0" fontId="253" fillId="0" borderId="58" xfId="37103" applyFont="1" applyFill="1" applyBorder="1" applyAlignment="1" applyProtection="1">
      <alignment horizontal="center" vertical="center"/>
      <protection locked="0"/>
    </xf>
    <xf numFmtId="0" fontId="253" fillId="0" borderId="58" xfId="35436" applyFont="1" applyFill="1" applyBorder="1" applyAlignment="1">
      <alignment horizontal="center" vertical="center" wrapText="1"/>
    </xf>
    <xf numFmtId="0" fontId="250" fillId="38" borderId="58" xfId="37105" applyFont="1" applyFill="1" applyBorder="1" applyAlignment="1">
      <alignment horizontal="center" vertical="center" wrapText="1"/>
    </xf>
    <xf numFmtId="0" fontId="250" fillId="38" borderId="58" xfId="37104" applyFont="1" applyFill="1" applyBorder="1" applyAlignment="1">
      <alignment horizontal="center" vertical="center" wrapText="1"/>
    </xf>
    <xf numFmtId="0" fontId="250" fillId="0" borderId="58" xfId="37102" applyNumberFormat="1" applyFont="1" applyFill="1" applyBorder="1" applyAlignment="1" applyProtection="1">
      <alignment horizontal="center" vertical="center"/>
      <protection locked="0"/>
    </xf>
    <xf numFmtId="0" fontId="246" fillId="0" borderId="58" xfId="35436" applyFont="1" applyFill="1" applyBorder="1" applyAlignment="1">
      <alignment horizontal="center" vertical="center" wrapText="1"/>
    </xf>
    <xf numFmtId="0" fontId="246" fillId="0" borderId="62" xfId="35436" applyFont="1" applyFill="1" applyBorder="1" applyAlignment="1">
      <alignment horizontal="center" vertical="center"/>
    </xf>
    <xf numFmtId="0" fontId="253" fillId="0" borderId="58" xfId="37104" applyFont="1" applyFill="1" applyBorder="1" applyAlignment="1">
      <alignment horizontal="center" vertical="center"/>
    </xf>
    <xf numFmtId="0" fontId="253" fillId="0" borderId="62" xfId="35436" applyFont="1" applyFill="1" applyBorder="1" applyAlignment="1">
      <alignment horizontal="center" vertical="center"/>
    </xf>
    <xf numFmtId="0" fontId="250" fillId="0" borderId="58" xfId="37102" applyFont="1" applyFill="1" applyBorder="1" applyAlignment="1">
      <alignment horizontal="center" vertical="center" wrapText="1"/>
    </xf>
    <xf numFmtId="0" fontId="250" fillId="0" borderId="58" xfId="37107" applyFont="1" applyFill="1" applyBorder="1" applyAlignment="1">
      <alignment horizontal="center" vertical="center"/>
    </xf>
    <xf numFmtId="0" fontId="253" fillId="0" borderId="58" xfId="37107" applyFont="1" applyFill="1" applyBorder="1" applyAlignment="1">
      <alignment horizontal="center" vertical="center"/>
    </xf>
    <xf numFmtId="0" fontId="250" fillId="0" borderId="58" xfId="35436" applyNumberFormat="1" applyFont="1" applyFill="1" applyBorder="1" applyAlignment="1">
      <alignment horizontal="center" vertical="center" shrinkToFit="1"/>
    </xf>
    <xf numFmtId="0" fontId="250" fillId="0" borderId="64" xfId="35436" applyFont="1" applyFill="1" applyBorder="1" applyAlignment="1">
      <alignment horizontal="center" vertical="center"/>
    </xf>
    <xf numFmtId="0" fontId="250" fillId="0" borderId="0" xfId="35436" applyFont="1" applyFill="1" applyBorder="1" applyAlignment="1">
      <alignment horizontal="center" vertical="center"/>
    </xf>
    <xf numFmtId="0" fontId="250" fillId="0" borderId="0" xfId="37103" applyFont="1" applyFill="1" applyBorder="1" applyAlignment="1" applyProtection="1">
      <alignment horizontal="center" vertical="center"/>
      <protection locked="0"/>
    </xf>
    <xf numFmtId="0" fontId="250" fillId="0" borderId="0" xfId="35436" applyFont="1" applyFill="1" applyBorder="1" applyAlignment="1">
      <alignment horizontal="center" vertical="center" wrapText="1"/>
    </xf>
    <xf numFmtId="0" fontId="246" fillId="0" borderId="0" xfId="35436" applyFont="1" applyFill="1" applyBorder="1" applyAlignment="1">
      <alignment horizontal="center" vertical="center"/>
    </xf>
    <xf numFmtId="0" fontId="250" fillId="0" borderId="0" xfId="37102" applyNumberFormat="1" applyFont="1" applyFill="1" applyBorder="1" applyAlignment="1" applyProtection="1">
      <alignment horizontal="center" vertical="center"/>
      <protection locked="0"/>
    </xf>
    <xf numFmtId="0" fontId="246" fillId="0" borderId="0" xfId="35436" applyFont="1" applyFill="1" applyBorder="1" applyAlignment="1">
      <alignment horizontal="center" vertical="center" wrapText="1"/>
    </xf>
    <xf numFmtId="0" fontId="250" fillId="0" borderId="0" xfId="37106" quotePrefix="1" applyNumberFormat="1" applyFont="1" applyFill="1" applyBorder="1" applyAlignment="1">
      <alignment horizontal="center" vertical="center" shrinkToFit="1"/>
    </xf>
    <xf numFmtId="0" fontId="253" fillId="0" borderId="0" xfId="35436" applyFont="1" applyFill="1" applyBorder="1" applyAlignment="1">
      <alignment horizontal="center" vertical="center"/>
    </xf>
    <xf numFmtId="0" fontId="253" fillId="0" borderId="0" xfId="37103" applyFont="1" applyFill="1" applyBorder="1" applyAlignment="1" applyProtection="1">
      <alignment horizontal="center" vertical="center"/>
      <protection locked="0"/>
    </xf>
    <xf numFmtId="0" fontId="253" fillId="0" borderId="0" xfId="35436" applyFont="1" applyFill="1" applyBorder="1" applyAlignment="1">
      <alignment horizontal="center" vertical="center" wrapText="1"/>
    </xf>
    <xf numFmtId="0" fontId="246" fillId="0" borderId="0" xfId="35436" applyFont="1" applyFill="1" applyAlignment="1">
      <alignment horizontal="center" vertical="center" wrapText="1"/>
    </xf>
    <xf numFmtId="0" fontId="4" fillId="0" borderId="0" xfId="0" applyFont="1" applyFill="1" applyBorder="1" applyAlignment="1">
      <alignment horizontal="left" vertical="top" textRotation="180"/>
    </xf>
    <xf numFmtId="0" fontId="4" fillId="38" borderId="2" xfId="0" applyFont="1" applyFill="1" applyBorder="1" applyAlignment="1">
      <alignment horizontal="left" vertical="top" textRotation="180"/>
    </xf>
    <xf numFmtId="0" fontId="2" fillId="0" borderId="0" xfId="0" applyFont="1" applyFill="1" applyAlignment="1">
      <alignment horizontal="left" vertical="center" wrapText="1"/>
    </xf>
    <xf numFmtId="0" fontId="247" fillId="0" borderId="58" xfId="35436" applyFont="1" applyFill="1" applyBorder="1" applyAlignment="1">
      <alignment horizontal="center" vertical="center"/>
    </xf>
    <xf numFmtId="0" fontId="247" fillId="0" borderId="58" xfId="35436" applyFont="1" applyFill="1" applyBorder="1" applyAlignment="1">
      <alignment horizontal="center" vertical="center" wrapText="1"/>
    </xf>
  </cellXfs>
  <cellStyles count="37108">
    <cellStyle name="' '" xfId="1"/>
    <cellStyle name=" [0]_인원95년" xfId="2"/>
    <cellStyle name="_x000c_ōᅺb0ōᆊbXōᆚbōᆪb¨ōᆺb섄ōᇊb섰ōᇚb셌ōᇪb셨ōᇺb손ōሊbÌōሚbôōሪbŀōሺbŨōቊbƀōቚb솴ōቪb쇌ōቺb쇬ōኊb숄ōኚb술ōኪbƜōኺbƸōዊbǜōዚbǸōዪbɄō" xfId="3"/>
    <cellStyle name="&quot;큰제목&quot;" xfId="4"/>
    <cellStyle name="#,##0" xfId="5"/>
    <cellStyle name="(콤마)" xfId="6"/>
    <cellStyle name="?" xfId="7"/>
    <cellStyle name="??" xfId="8"/>
    <cellStyle name="?? [0.00]_10-17 (2))a_DCS (2)(2" xfId="9"/>
    <cellStyle name="??&amp;O?&amp;H?_x0008__x000f__x0007_?_x0007__x0001__x0001_" xfId="10"/>
    <cellStyle name="??&amp;O?&amp;H?_x0008__x000f__x0007_?_x0007__x0001__x0001_ 2" xfId="11"/>
    <cellStyle name="??&amp;O?&amp;H?_x0008__x000f__x0007_?_x0007__x0001__x0001_ 3" xfId="12"/>
    <cellStyle name="??&amp;O?&amp;H?_x0008__x000f__x0007_?_x0007__x0001__x0001_ 3 2" xfId="13"/>
    <cellStyle name="??&amp;O?&amp;H?_x0008__x000f__x0007_?_x0007__x0001__x0001_ 4" xfId="14"/>
    <cellStyle name="??&amp;O?&amp;H?_x0008_??_x0007__x0001__x0001_" xfId="15"/>
    <cellStyle name="??&amp;O?&amp;H?_x0008_??_x0007__x0001__x0001_ 2" xfId="16"/>
    <cellStyle name="??&amp;O?&amp;H?_x0008_??_x0007__x0001__x0001_ 3" xfId="17"/>
    <cellStyle name="??&amp;O?&amp;H?_x0008_??_x0007__x0001__x0001_ 3 2" xfId="18"/>
    <cellStyle name="??&amp;O?&amp;H?_x0008_??_x0007__x0001__x0001_ 4" xfId="19"/>
    <cellStyle name="??&amp;O?&amp;H?_x0008__x000f__x0007_?_x0007__x0001__x0001__100 AREA" xfId="20"/>
    <cellStyle name="??&amp;O?&amp;H?_x0008_x_x000b_P_x000c__x0007__x0001__x0001_" xfId="21"/>
    <cellStyle name="??&amp;쏗?뷐9_x0008__x0011__x0007_?_x0007__x0001__x0001_" xfId="22"/>
    <cellStyle name="???? [0.00]_10-17 (2)rd) mate" xfId="23"/>
    <cellStyle name="????_10-17 (2)st (stan" xfId="24"/>
    <cellStyle name="??_??CODE" xfId="25"/>
    <cellStyle name="??A? [0]_SPECIAL-PROCESS" xfId="26"/>
    <cellStyle name="??A?_SPECIAL-PROCESS" xfId="27"/>
    <cellStyle name="?ðC%U?&amp;H?_x0008_?s_x000a__x0007__x0001__x0001_" xfId="28"/>
    <cellStyle name="?W?_laroux" xfId="29"/>
    <cellStyle name="?귽긣깑" xfId="30"/>
    <cellStyle name="?曹%U?&amp;H?_x0008_?s_x000a__x0007__x0001__x0001_" xfId="31"/>
    <cellStyle name="?曹%U?&amp;H?_x0008_?s_x000a__x0007__x0001__x0001_ 2" xfId="32"/>
    <cellStyle name="?珠??? " xfId="33"/>
    <cellStyle name="?珠???  2" xfId="34"/>
    <cellStyle name="?珠???  2 2" xfId="35"/>
    <cellStyle name="]_x0004_" xfId="36"/>
    <cellStyle name="_2010년 3월 연차보수 LIST" xfId="37"/>
    <cellStyle name="_6.계장공사" xfId="38"/>
    <cellStyle name="_7" xfId="39"/>
    <cellStyle name="_8.계장공사" xfId="40"/>
    <cellStyle name="_'99상반기경영개선활동결과(게시용)" xfId="41"/>
    <cellStyle name="_C245" xfId="42"/>
    <cellStyle name="_C252" xfId="43"/>
    <cellStyle name="_CA4-I&amp;C-1205" xfId="44"/>
    <cellStyle name="_CELL001-BM(070423)30%-1" xfId="45"/>
    <cellStyle name="_Conn.list" xfId="46"/>
    <cellStyle name="_DIRECT-CONT" xfId="47"/>
    <cellStyle name="_PMMA(견적)" xfId="48"/>
    <cellStyle name="_SHIPPING" xfId="49"/>
    <cellStyle name="_SHIPPING_I&amp;C-(CA4)_-1204" xfId="50"/>
    <cellStyle name="_SHIPPING_I&amp;C-(CA4)_-1204 2" xfId="51"/>
    <cellStyle name="_SHIPPING_I&amp;C-(CA4)_-1204 2 2" xfId="52"/>
    <cellStyle name="_SHIPPING_I&amp;C-(CA4)_-1204 2_EVA_IO_LIST(REV.1)발송용" xfId="53"/>
    <cellStyle name="_TW-2320 Tray 제작교체" xfId="54"/>
    <cellStyle name="_TW-2320 Tray 제작교체1" xfId="55"/>
    <cellStyle name="_견적1228" xfId="56"/>
    <cellStyle name="_견적서" xfId="57"/>
    <cellStyle name="_견적서 (OSOS PBT) - 전기" xfId="58"/>
    <cellStyle name="_견적서집계" xfId="59"/>
    <cellStyle name="_계약변경2차(대덕전자)" xfId="60"/>
    <cellStyle name="_계약변경최종(대덕전자)" xfId="61"/>
    <cellStyle name="_내역서(INST)" xfId="62"/>
    <cellStyle name="_내역서(NEW)" xfId="63"/>
    <cellStyle name="_단가표" xfId="64"/>
    <cellStyle name="_대덕2차견적(1차수정)내역서" xfId="65"/>
    <cellStyle name="_도레이_공장동-BM(1104)" xfId="66"/>
    <cellStyle name="_별첨(계획서및실적서양식)" xfId="67"/>
    <cellStyle name="_별첨(계획서및실적서양식)_1" xfId="68"/>
    <cellStyle name="_별첨(계획서및실적서양식)_1_2008년 변압기 절연유 여과 시방서(C-1.2, TR-1101)" xfId="69"/>
    <cellStyle name="_별첨(계획서및실적서양식)_1_U-1401-G 냉동기 수리 시방서_081210" xfId="70"/>
    <cellStyle name="_별첨(계획서및실적서양식)_1_변압기 절연유 GAS 분석 시방서(2008년 하반기)" xfId="71"/>
    <cellStyle name="_소방전기실행내역" xfId="72"/>
    <cellStyle name="_양식" xfId="73"/>
    <cellStyle name="_양식_1" xfId="74"/>
    <cellStyle name="_양식_2" xfId="75"/>
    <cellStyle name="_양식_2008년 변압기 절연유 여과 시방서(C-1.2, TR-1101)" xfId="76"/>
    <cellStyle name="_양식_U-1401-G 냉동기 수리 시방서_081210" xfId="77"/>
    <cellStyle name="_양식_변압기 절연유 GAS 분석 시방서(2008년 하반기)" xfId="78"/>
    <cellStyle name="_월례매출_1_상반기_11월당월 (2)_1월" xfId="79"/>
    <cellStyle name="_유첨3(서식)" xfId="80"/>
    <cellStyle name="_유첨3(서식)_1" xfId="81"/>
    <cellStyle name="_유첨3(서식)_2008년 변압기 절연유 여과 시방서(C-1.2, TR-1101)" xfId="82"/>
    <cellStyle name="_유첨3(서식)_U-1401-G 냉동기 수리 시방서_081210" xfId="83"/>
    <cellStyle name="_유첨3(서식)_변압기 절연유 GAS 분석 시방서(2008년 하반기)" xfId="84"/>
    <cellStyle name="_입찰서0901" xfId="85"/>
    <cellStyle name="_입찰서1016" xfId="86"/>
    <cellStyle name="_전기공사실행(전체)내역" xfId="87"/>
    <cellStyle name="_전체공사내역서" xfId="88"/>
    <cellStyle name="_조직유지_총괄표" xfId="89"/>
    <cellStyle name="_지정과제2차심의list" xfId="90"/>
    <cellStyle name="_지정과제2차심의list_1" xfId="91"/>
    <cellStyle name="_지정과제2차심의list_2" xfId="92"/>
    <cellStyle name="_지정과제2차심의list_2_2008년 변압기 절연유 여과 시방서(C-1.2, TR-1101)" xfId="93"/>
    <cellStyle name="_지정과제2차심의list_2_U-1401-G 냉동기 수리 시방서_081210" xfId="94"/>
    <cellStyle name="_지정과제2차심의list_2_변압기 절연유 GAS 분석 시방서(2008년 하반기)" xfId="95"/>
    <cellStyle name="_지정과제2차심의결과" xfId="96"/>
    <cellStyle name="_지정과제2차심의결과(금액조정후최종)" xfId="97"/>
    <cellStyle name="_지정과제2차심의결과(금액조정후최종)_1" xfId="98"/>
    <cellStyle name="_지정과제2차심의결과(금액조정후최종)_2008년 변압기 절연유 여과 시방서(C-1.2, TR-1101)" xfId="99"/>
    <cellStyle name="_지정과제2차심의결과(금액조정후최종)_U-1401-G 냉동기 수리 시방서_081210" xfId="100"/>
    <cellStyle name="_지정과제2차심의결과(금액조정후최종)_변압기 절연유 GAS 분석 시방서(2008년 하반기)" xfId="101"/>
    <cellStyle name="_지정과제2차심의결과_1" xfId="102"/>
    <cellStyle name="_지정과제2차심의결과_2008년 변압기 절연유 여과 시방서(C-1.2, TR-1101)" xfId="103"/>
    <cellStyle name="_지정과제2차심의결과_U-1401-G 냉동기 수리 시방서_081210" xfId="104"/>
    <cellStyle name="_지정과제2차심의결과_변압기 절연유 GAS 분석 시방서(2008년 하반기)" xfId="105"/>
    <cellStyle name="_집중관리(981231)" xfId="106"/>
    <cellStyle name="_집중관리(981231)_1" xfId="107"/>
    <cellStyle name="_집중관리(981231)_1_2008년 변압기 절연유 여과 시방서(C-1.2, TR-1101)" xfId="108"/>
    <cellStyle name="_집중관리(981231)_1_U-1401-G 냉동기 수리 시방서_081210" xfId="109"/>
    <cellStyle name="_집중관리(981231)_1_변압기 절연유 GAS 분석 시방서(2008년 하반기)" xfId="110"/>
    <cellStyle name="_집중관리(지정과제및 양식)" xfId="111"/>
    <cellStyle name="_집중관리(지정과제및 양식)_1" xfId="112"/>
    <cellStyle name="_집중관리(지정과제및 양식)_2008년 변압기 절연유 여과 시방서(C-1.2, TR-1101)" xfId="113"/>
    <cellStyle name="_집중관리(지정과제및 양식)_U-1401-G 냉동기 수리 시방서_081210" xfId="114"/>
    <cellStyle name="_집중관리(지정과제및 양식)_변압기 절연유 GAS 분석 시방서(2008년 하반기)" xfId="115"/>
    <cellStyle name="_철골비교" xfId="116"/>
    <cellStyle name="_총괄공사대갑 " xfId="117"/>
    <cellStyle name="_총괄내역서" xfId="118"/>
    <cellStyle name="_총괄대갑내역서(0327)" xfId="119"/>
    <cellStyle name="_추가견적서" xfId="120"/>
    <cellStyle name="_페어견적" xfId="121"/>
    <cellStyle name="_평창하이테크-제출" xfId="122"/>
    <cellStyle name="_폐수 작업 상세 내역" xfId="123"/>
    <cellStyle name="’E‰Y [0.00]_laroux" xfId="124"/>
    <cellStyle name="’E‰Y_laroux" xfId="125"/>
    <cellStyle name="¤@?e_TEST-1 " xfId="126"/>
    <cellStyle name="•W€_1-5" xfId="127"/>
    <cellStyle name="•W_1-5" xfId="128"/>
    <cellStyle name="æØè [0.00]_PRODUCT DETAIL Q1" xfId="129"/>
    <cellStyle name="æØè_PRODUCT DETAIL Q1" xfId="130"/>
    <cellStyle name="ÊÝ [0.00]_PRODUCT DETAIL Q1" xfId="131"/>
    <cellStyle name="ÊÝ_PRODUCT DETAIL Q1" xfId="132"/>
    <cellStyle name="W?_BOOKSHIP" xfId="133"/>
    <cellStyle name="W_BOOKSHIP" xfId="134"/>
    <cellStyle name="0.0" xfId="135"/>
    <cellStyle name="0.00" xfId="136"/>
    <cellStyle name="1" xfId="137"/>
    <cellStyle name="¹?¤? [0]_SPECIAL-PROCESS" xfId="138"/>
    <cellStyle name="¹?¤?_SPECIAL-PROCESS" xfId="139"/>
    <cellStyle name="1_시민계략공사" xfId="140"/>
    <cellStyle name="¹eºÐA²_±aA¸" xfId="141"/>
    <cellStyle name="1월당월 (2)_1월" xfId="142"/>
    <cellStyle name="2)" xfId="143"/>
    <cellStyle name="20% - Accent1" xfId="144"/>
    <cellStyle name="20% - Accent1 2" xfId="145"/>
    <cellStyle name="20% - Accent1 2 2" xfId="146"/>
    <cellStyle name="20% - Accent1 3" xfId="147"/>
    <cellStyle name="20% - Accent1 4" xfId="148"/>
    <cellStyle name="20% - Accent1 5" xfId="149"/>
    <cellStyle name="20% - Accent1 6" xfId="150"/>
    <cellStyle name="20% - Accent2" xfId="151"/>
    <cellStyle name="20% - Accent2 2" xfId="152"/>
    <cellStyle name="20% - Accent2 2 2" xfId="153"/>
    <cellStyle name="20% - Accent2 3" xfId="154"/>
    <cellStyle name="20% - Accent2 4" xfId="155"/>
    <cellStyle name="20% - Accent2 5" xfId="156"/>
    <cellStyle name="20% - Accent2 6" xfId="157"/>
    <cellStyle name="20% - Accent3" xfId="158"/>
    <cellStyle name="20% - Accent3 2" xfId="159"/>
    <cellStyle name="20% - Accent3 2 2" xfId="160"/>
    <cellStyle name="20% - Accent3 3" xfId="161"/>
    <cellStyle name="20% - Accent3 4" xfId="162"/>
    <cellStyle name="20% - Accent3 5" xfId="163"/>
    <cellStyle name="20% - Accent3 6" xfId="164"/>
    <cellStyle name="20% - Accent4" xfId="165"/>
    <cellStyle name="20% - Accent4 2" xfId="166"/>
    <cellStyle name="20% - Accent4 2 2" xfId="167"/>
    <cellStyle name="20% - Accent4 3" xfId="168"/>
    <cellStyle name="20% - Accent4 4" xfId="169"/>
    <cellStyle name="20% - Accent4 5" xfId="170"/>
    <cellStyle name="20% - Accent4 6" xfId="171"/>
    <cellStyle name="20% - Accent5" xfId="172"/>
    <cellStyle name="20% - Accent5 2" xfId="173"/>
    <cellStyle name="20% - Accent5 2 2" xfId="174"/>
    <cellStyle name="20% - Accent5 3" xfId="175"/>
    <cellStyle name="20% - Accent5 4" xfId="176"/>
    <cellStyle name="20% - Accent5 5" xfId="177"/>
    <cellStyle name="20% - Accent5 6" xfId="178"/>
    <cellStyle name="20% - Accent6" xfId="179"/>
    <cellStyle name="20% - Accent6 2" xfId="180"/>
    <cellStyle name="20% - Accent6 2 2" xfId="181"/>
    <cellStyle name="20% - Accent6 3" xfId="182"/>
    <cellStyle name="20% - Accent6 4" xfId="183"/>
    <cellStyle name="20% - Accent6 5" xfId="184"/>
    <cellStyle name="20% - Accent6 6" xfId="185"/>
    <cellStyle name="20% - Colore 1" xfId="186"/>
    <cellStyle name="20% - Colore 1 2" xfId="187"/>
    <cellStyle name="20% - Colore 2" xfId="188"/>
    <cellStyle name="20% - Colore 2 2" xfId="189"/>
    <cellStyle name="20% - Colore 3" xfId="190"/>
    <cellStyle name="20% - Colore 3 2" xfId="191"/>
    <cellStyle name="20% - Colore 4" xfId="192"/>
    <cellStyle name="20% - Colore 4 2" xfId="193"/>
    <cellStyle name="20% - Colore 5" xfId="194"/>
    <cellStyle name="20% - Colore 5 2" xfId="195"/>
    <cellStyle name="20% - Colore 6" xfId="196"/>
    <cellStyle name="20% - Colore 6 2" xfId="197"/>
    <cellStyle name="20% - 强调文字颜色 1" xfId="198"/>
    <cellStyle name="20% - 强调文字颜色 1 2" xfId="199"/>
    <cellStyle name="20% - 强调文字颜色 1 2 2" xfId="200"/>
    <cellStyle name="20% - 强调文字颜色 1 3" xfId="201"/>
    <cellStyle name="20% - 强调文字颜色 2" xfId="202"/>
    <cellStyle name="20% - 强调文字颜色 2 2" xfId="203"/>
    <cellStyle name="20% - 强调文字颜色 2 2 2" xfId="204"/>
    <cellStyle name="20% - 强调文字颜色 2 3" xfId="205"/>
    <cellStyle name="20% - 强调文字颜色 3" xfId="206"/>
    <cellStyle name="20% - 强调文字颜色 3 2" xfId="207"/>
    <cellStyle name="20% - 强调文字颜色 3 2 2" xfId="208"/>
    <cellStyle name="20% - 强调文字颜色 3 3" xfId="209"/>
    <cellStyle name="20% - 强调文字颜色 4" xfId="210"/>
    <cellStyle name="20% - 强调文字颜色 4 2" xfId="211"/>
    <cellStyle name="20% - 强调文字颜色 4 2 2" xfId="212"/>
    <cellStyle name="20% - 强调文字颜色 4 3" xfId="213"/>
    <cellStyle name="20% - 强调文字颜色 5" xfId="214"/>
    <cellStyle name="20% - 强调文字颜色 5 2" xfId="215"/>
    <cellStyle name="20% - 强调文字颜色 5 2 2" xfId="216"/>
    <cellStyle name="20% - 强调文字颜色 5 3" xfId="217"/>
    <cellStyle name="20% - 强调文字颜色 6" xfId="218"/>
    <cellStyle name="20% - 强调文字颜色 6 2" xfId="219"/>
    <cellStyle name="20% - 强调文字颜色 6 2 2" xfId="220"/>
    <cellStyle name="20% - 强调文字颜色 6 3" xfId="221"/>
    <cellStyle name="20% - 강조색1 10" xfId="222"/>
    <cellStyle name="20% - 강조색1 10 2" xfId="223"/>
    <cellStyle name="20% - 강조색1 10 2 2" xfId="224"/>
    <cellStyle name="20% - 강조색1 10 2 2 2" xfId="225"/>
    <cellStyle name="20% - 강조색1 10 2 2 2 2" xfId="226"/>
    <cellStyle name="20% - 강조색1 10 2 2 3" xfId="227"/>
    <cellStyle name="20% - 강조색1 10 2 2 4" xfId="228"/>
    <cellStyle name="20% - 강조색1 10 2 2 5" xfId="229"/>
    <cellStyle name="20% - 강조색1 10 2 3" xfId="230"/>
    <cellStyle name="20% - 강조색1 10 2 3 2" xfId="231"/>
    <cellStyle name="20% - 강조색1 10 2 4" xfId="232"/>
    <cellStyle name="20% - 강조색1 10 2 5" xfId="233"/>
    <cellStyle name="20% - 강조색1 10 2 6" xfId="234"/>
    <cellStyle name="20% - 강조색1 10 3" xfId="235"/>
    <cellStyle name="20% - 강조색1 10 3 2" xfId="236"/>
    <cellStyle name="20% - 강조색1 10 3 2 2" xfId="237"/>
    <cellStyle name="20% - 강조색1 10 3 3" xfId="238"/>
    <cellStyle name="20% - 강조색1 10 3 4" xfId="239"/>
    <cellStyle name="20% - 강조색1 10 3 5" xfId="240"/>
    <cellStyle name="20% - 강조색1 11" xfId="241"/>
    <cellStyle name="20% - 강조색1 11 2" xfId="242"/>
    <cellStyle name="20% - 강조색1 11 2 2" xfId="243"/>
    <cellStyle name="20% - 강조색1 11 2 2 2" xfId="244"/>
    <cellStyle name="20% - 강조색1 11 2 2 2 2" xfId="245"/>
    <cellStyle name="20% - 강조색1 11 2 2 3" xfId="246"/>
    <cellStyle name="20% - 강조색1 11 2 2 4" xfId="247"/>
    <cellStyle name="20% - 강조색1 11 2 2 5" xfId="248"/>
    <cellStyle name="20% - 강조색1 11 2 3" xfId="249"/>
    <cellStyle name="20% - 강조색1 11 2 3 2" xfId="250"/>
    <cellStyle name="20% - 강조색1 11 2 4" xfId="251"/>
    <cellStyle name="20% - 강조색1 11 2 5" xfId="252"/>
    <cellStyle name="20% - 강조색1 11 2 6" xfId="253"/>
    <cellStyle name="20% - 강조색1 11 3" xfId="254"/>
    <cellStyle name="20% - 강조색1 11 3 2" xfId="255"/>
    <cellStyle name="20% - 강조색1 11 3 2 2" xfId="256"/>
    <cellStyle name="20% - 강조색1 11 3 3" xfId="257"/>
    <cellStyle name="20% - 강조색1 11 3 4" xfId="258"/>
    <cellStyle name="20% - 강조색1 11 3 5" xfId="259"/>
    <cellStyle name="20% - 강조색1 12" xfId="260"/>
    <cellStyle name="20% - 강조색1 12 2" xfId="261"/>
    <cellStyle name="20% - 강조색1 12 2 2" xfId="262"/>
    <cellStyle name="20% - 강조색1 12 2 2 2" xfId="263"/>
    <cellStyle name="20% - 강조색1 12 2 3" xfId="264"/>
    <cellStyle name="20% - 강조색1 12 2 4" xfId="265"/>
    <cellStyle name="20% - 강조색1 12 2 5" xfId="266"/>
    <cellStyle name="20% - 강조색1 13" xfId="267"/>
    <cellStyle name="20% - 강조색1 13 2" xfId="268"/>
    <cellStyle name="20% - 강조색1 13 2 2" xfId="269"/>
    <cellStyle name="20% - 강조색1 13 3" xfId="270"/>
    <cellStyle name="20% - 강조색1 13 4" xfId="271"/>
    <cellStyle name="20% - 강조색1 13 5" xfId="272"/>
    <cellStyle name="20% - 강조색1 14" xfId="273"/>
    <cellStyle name="20% - 강조색1 2" xfId="274"/>
    <cellStyle name="20% - 강조색1 2 2" xfId="275"/>
    <cellStyle name="20% - 강조색1 2 2 2" xfId="276"/>
    <cellStyle name="20% - 강조색1 2 2 2 2" xfId="277"/>
    <cellStyle name="20% - 강조색1 2 2 2 2 2" xfId="278"/>
    <cellStyle name="20% - 강조색1 2 2 2 3" xfId="279"/>
    <cellStyle name="20% - 강조색1 2 2 2 4" xfId="280"/>
    <cellStyle name="20% - 강조색1 2 2 2 5" xfId="281"/>
    <cellStyle name="20% - 강조색1 2 2 3" xfId="282"/>
    <cellStyle name="20% - 강조색1 2 2 3 2" xfId="283"/>
    <cellStyle name="20% - 강조색1 2 2 4" xfId="284"/>
    <cellStyle name="20% - 강조색1 2 2 5" xfId="285"/>
    <cellStyle name="20% - 강조색1 2 2 6" xfId="286"/>
    <cellStyle name="20% - 강조색1 2 2 7" xfId="287"/>
    <cellStyle name="20% - 강조색1 2 3" xfId="288"/>
    <cellStyle name="20% - 강조색1 2 3 2" xfId="289"/>
    <cellStyle name="20% - 강조색1 2 3 2 2" xfId="290"/>
    <cellStyle name="20% - 강조색1 2 3 3" xfId="291"/>
    <cellStyle name="20% - 강조색1 2 3 4" xfId="292"/>
    <cellStyle name="20% - 강조색1 2 3 5" xfId="293"/>
    <cellStyle name="20% - 강조색1 2 4" xfId="294"/>
    <cellStyle name="20% - 강조색1 3" xfId="295"/>
    <cellStyle name="20% - 강조색1 3 2" xfId="296"/>
    <cellStyle name="20% - 강조색1 3 2 2" xfId="297"/>
    <cellStyle name="20% - 강조색1 3 2 2 2" xfId="298"/>
    <cellStyle name="20% - 강조색1 3 2 2 2 2" xfId="299"/>
    <cellStyle name="20% - 강조색1 3 2 2 3" xfId="300"/>
    <cellStyle name="20% - 강조색1 3 2 2 4" xfId="301"/>
    <cellStyle name="20% - 강조색1 3 2 2 5" xfId="302"/>
    <cellStyle name="20% - 강조색1 3 2 3" xfId="303"/>
    <cellStyle name="20% - 강조색1 3 2 3 2" xfId="304"/>
    <cellStyle name="20% - 강조색1 3 2 4" xfId="305"/>
    <cellStyle name="20% - 강조색1 3 2 5" xfId="306"/>
    <cellStyle name="20% - 강조색1 3 2 6" xfId="307"/>
    <cellStyle name="20% - 강조색1 3 2 7" xfId="308"/>
    <cellStyle name="20% - 강조색1 3 3" xfId="309"/>
    <cellStyle name="20% - 강조색1 3 3 2" xfId="310"/>
    <cellStyle name="20% - 강조색1 3 3 2 2" xfId="311"/>
    <cellStyle name="20% - 강조색1 3 3 3" xfId="312"/>
    <cellStyle name="20% - 강조색1 3 3 4" xfId="313"/>
    <cellStyle name="20% - 강조색1 3 3 5" xfId="314"/>
    <cellStyle name="20% - 강조색1 3 4" xfId="315"/>
    <cellStyle name="20% - 강조색1 4" xfId="316"/>
    <cellStyle name="20% - 강조색1 4 2" xfId="317"/>
    <cellStyle name="20% - 강조색1 4 2 2" xfId="318"/>
    <cellStyle name="20% - 강조색1 4 2 2 2" xfId="319"/>
    <cellStyle name="20% - 강조색1 4 2 2 2 2" xfId="320"/>
    <cellStyle name="20% - 강조색1 4 2 2 3" xfId="321"/>
    <cellStyle name="20% - 강조색1 4 2 2 4" xfId="322"/>
    <cellStyle name="20% - 강조색1 4 2 2 5" xfId="323"/>
    <cellStyle name="20% - 강조색1 4 2 3" xfId="324"/>
    <cellStyle name="20% - 강조색1 4 2 3 2" xfId="325"/>
    <cellStyle name="20% - 강조색1 4 2 4" xfId="326"/>
    <cellStyle name="20% - 강조색1 4 2 5" xfId="327"/>
    <cellStyle name="20% - 강조색1 4 2 6" xfId="328"/>
    <cellStyle name="20% - 강조색1 4 3" xfId="329"/>
    <cellStyle name="20% - 강조색1 4 3 2" xfId="330"/>
    <cellStyle name="20% - 강조색1 4 3 2 2" xfId="331"/>
    <cellStyle name="20% - 강조색1 4 3 3" xfId="332"/>
    <cellStyle name="20% - 강조색1 4 3 4" xfId="333"/>
    <cellStyle name="20% - 강조색1 4 3 5" xfId="334"/>
    <cellStyle name="20% - 강조색1 5" xfId="335"/>
    <cellStyle name="20% - 강조색1 5 2" xfId="336"/>
    <cellStyle name="20% - 강조색1 5 2 2" xfId="337"/>
    <cellStyle name="20% - 강조색1 5 2 2 2" xfId="338"/>
    <cellStyle name="20% - 강조색1 5 2 2 2 2" xfId="339"/>
    <cellStyle name="20% - 강조색1 5 2 2 3" xfId="340"/>
    <cellStyle name="20% - 강조색1 5 2 2 4" xfId="341"/>
    <cellStyle name="20% - 강조색1 5 2 2 5" xfId="342"/>
    <cellStyle name="20% - 강조색1 5 2 3" xfId="343"/>
    <cellStyle name="20% - 강조색1 5 2 3 2" xfId="344"/>
    <cellStyle name="20% - 강조색1 5 2 4" xfId="345"/>
    <cellStyle name="20% - 강조색1 5 2 5" xfId="346"/>
    <cellStyle name="20% - 강조색1 5 2 6" xfId="347"/>
    <cellStyle name="20% - 강조색1 5 3" xfId="348"/>
    <cellStyle name="20% - 강조색1 5 3 2" xfId="349"/>
    <cellStyle name="20% - 강조색1 5 3 2 2" xfId="350"/>
    <cellStyle name="20% - 강조색1 5 3 3" xfId="351"/>
    <cellStyle name="20% - 강조색1 5 3 4" xfId="352"/>
    <cellStyle name="20% - 강조색1 5 3 5" xfId="353"/>
    <cellStyle name="20% - 강조색1 6" xfId="354"/>
    <cellStyle name="20% - 강조색1 6 2" xfId="355"/>
    <cellStyle name="20% - 강조색1 6 2 2" xfId="356"/>
    <cellStyle name="20% - 강조색1 6 2 2 2" xfId="357"/>
    <cellStyle name="20% - 강조색1 6 2 2 2 2" xfId="358"/>
    <cellStyle name="20% - 강조색1 6 2 2 3" xfId="359"/>
    <cellStyle name="20% - 강조색1 6 2 2 4" xfId="360"/>
    <cellStyle name="20% - 강조색1 6 2 2 5" xfId="361"/>
    <cellStyle name="20% - 강조색1 6 2 3" xfId="362"/>
    <cellStyle name="20% - 강조색1 6 2 3 2" xfId="363"/>
    <cellStyle name="20% - 강조색1 6 2 4" xfId="364"/>
    <cellStyle name="20% - 강조색1 6 2 5" xfId="365"/>
    <cellStyle name="20% - 강조색1 6 2 6" xfId="366"/>
    <cellStyle name="20% - 강조색1 6 3" xfId="367"/>
    <cellStyle name="20% - 강조색1 6 3 2" xfId="368"/>
    <cellStyle name="20% - 강조색1 6 3 2 2" xfId="369"/>
    <cellStyle name="20% - 강조색1 6 3 3" xfId="370"/>
    <cellStyle name="20% - 강조색1 6 3 4" xfId="371"/>
    <cellStyle name="20% - 강조색1 6 3 5" xfId="372"/>
    <cellStyle name="20% - 강조색1 7" xfId="373"/>
    <cellStyle name="20% - 강조색1 7 2" xfId="374"/>
    <cellStyle name="20% - 강조색1 7 2 2" xfId="375"/>
    <cellStyle name="20% - 강조색1 7 2 2 2" xfId="376"/>
    <cellStyle name="20% - 강조색1 7 2 2 2 2" xfId="377"/>
    <cellStyle name="20% - 강조색1 7 2 2 3" xfId="378"/>
    <cellStyle name="20% - 강조색1 7 2 2 4" xfId="379"/>
    <cellStyle name="20% - 강조색1 7 2 2 5" xfId="380"/>
    <cellStyle name="20% - 강조색1 7 2 3" xfId="381"/>
    <cellStyle name="20% - 강조색1 7 2 3 2" xfId="382"/>
    <cellStyle name="20% - 강조색1 7 2 4" xfId="383"/>
    <cellStyle name="20% - 강조색1 7 2 5" xfId="384"/>
    <cellStyle name="20% - 강조색1 7 2 6" xfId="385"/>
    <cellStyle name="20% - 강조색1 7 3" xfId="386"/>
    <cellStyle name="20% - 강조색1 7 3 2" xfId="387"/>
    <cellStyle name="20% - 강조색1 7 3 2 2" xfId="388"/>
    <cellStyle name="20% - 강조색1 7 3 3" xfId="389"/>
    <cellStyle name="20% - 강조색1 7 3 4" xfId="390"/>
    <cellStyle name="20% - 강조색1 7 3 5" xfId="391"/>
    <cellStyle name="20% - 강조색1 8" xfId="392"/>
    <cellStyle name="20% - 강조색1 8 2" xfId="393"/>
    <cellStyle name="20% - 강조색1 8 2 2" xfId="394"/>
    <cellStyle name="20% - 강조색1 8 2 2 2" xfId="395"/>
    <cellStyle name="20% - 강조색1 8 2 2 2 2" xfId="396"/>
    <cellStyle name="20% - 강조색1 8 2 2 3" xfId="397"/>
    <cellStyle name="20% - 강조색1 8 2 2 4" xfId="398"/>
    <cellStyle name="20% - 강조색1 8 2 2 5" xfId="399"/>
    <cellStyle name="20% - 강조색1 8 2 3" xfId="400"/>
    <cellStyle name="20% - 강조색1 8 2 3 2" xfId="401"/>
    <cellStyle name="20% - 강조색1 8 2 4" xfId="402"/>
    <cellStyle name="20% - 강조색1 8 2 5" xfId="403"/>
    <cellStyle name="20% - 강조색1 8 2 6" xfId="404"/>
    <cellStyle name="20% - 강조색1 8 3" xfId="405"/>
    <cellStyle name="20% - 강조색1 8 3 2" xfId="406"/>
    <cellStyle name="20% - 강조색1 8 3 2 2" xfId="407"/>
    <cellStyle name="20% - 강조색1 8 3 3" xfId="408"/>
    <cellStyle name="20% - 강조색1 8 3 4" xfId="409"/>
    <cellStyle name="20% - 강조색1 8 3 5" xfId="410"/>
    <cellStyle name="20% - 강조색1 9" xfId="411"/>
    <cellStyle name="20% - 강조색1 9 2" xfId="412"/>
    <cellStyle name="20% - 강조색1 9 2 2" xfId="413"/>
    <cellStyle name="20% - 강조색1 9 2 2 2" xfId="414"/>
    <cellStyle name="20% - 강조색1 9 2 2 2 2" xfId="415"/>
    <cellStyle name="20% - 강조색1 9 2 2 3" xfId="416"/>
    <cellStyle name="20% - 강조색1 9 2 2 4" xfId="417"/>
    <cellStyle name="20% - 강조색1 9 2 2 5" xfId="418"/>
    <cellStyle name="20% - 강조색1 9 2 3" xfId="419"/>
    <cellStyle name="20% - 강조색1 9 2 3 2" xfId="420"/>
    <cellStyle name="20% - 강조색1 9 2 4" xfId="421"/>
    <cellStyle name="20% - 강조색1 9 2 5" xfId="422"/>
    <cellStyle name="20% - 강조색1 9 2 6" xfId="423"/>
    <cellStyle name="20% - 강조색1 9 3" xfId="424"/>
    <cellStyle name="20% - 강조색1 9 3 2" xfId="425"/>
    <cellStyle name="20% - 강조색1 9 3 2 2" xfId="426"/>
    <cellStyle name="20% - 강조색1 9 3 3" xfId="427"/>
    <cellStyle name="20% - 강조색1 9 3 4" xfId="428"/>
    <cellStyle name="20% - 강조색1 9 3 5" xfId="429"/>
    <cellStyle name="20% - 강조색2 10" xfId="430"/>
    <cellStyle name="20% - 강조색2 10 2" xfId="431"/>
    <cellStyle name="20% - 강조색2 10 2 2" xfId="432"/>
    <cellStyle name="20% - 강조색2 10 2 2 2" xfId="433"/>
    <cellStyle name="20% - 강조색2 10 2 2 2 2" xfId="434"/>
    <cellStyle name="20% - 강조색2 10 2 2 3" xfId="435"/>
    <cellStyle name="20% - 강조색2 10 2 2 4" xfId="436"/>
    <cellStyle name="20% - 강조색2 10 2 2 5" xfId="437"/>
    <cellStyle name="20% - 강조색2 10 2 3" xfId="438"/>
    <cellStyle name="20% - 강조색2 10 2 3 2" xfId="439"/>
    <cellStyle name="20% - 강조색2 10 2 4" xfId="440"/>
    <cellStyle name="20% - 강조색2 10 2 5" xfId="441"/>
    <cellStyle name="20% - 강조색2 10 2 6" xfId="442"/>
    <cellStyle name="20% - 강조색2 10 3" xfId="443"/>
    <cellStyle name="20% - 강조색2 10 3 2" xfId="444"/>
    <cellStyle name="20% - 강조색2 10 3 2 2" xfId="445"/>
    <cellStyle name="20% - 강조색2 10 3 3" xfId="446"/>
    <cellStyle name="20% - 강조색2 10 3 4" xfId="447"/>
    <cellStyle name="20% - 강조색2 10 3 5" xfId="448"/>
    <cellStyle name="20% - 강조색2 11" xfId="449"/>
    <cellStyle name="20% - 강조색2 11 2" xfId="450"/>
    <cellStyle name="20% - 강조색2 11 2 2" xfId="451"/>
    <cellStyle name="20% - 강조색2 11 2 2 2" xfId="452"/>
    <cellStyle name="20% - 강조색2 11 2 2 2 2" xfId="453"/>
    <cellStyle name="20% - 강조색2 11 2 2 3" xfId="454"/>
    <cellStyle name="20% - 강조색2 11 2 2 4" xfId="455"/>
    <cellStyle name="20% - 강조색2 11 2 2 5" xfId="456"/>
    <cellStyle name="20% - 강조색2 11 2 3" xfId="457"/>
    <cellStyle name="20% - 강조색2 11 2 3 2" xfId="458"/>
    <cellStyle name="20% - 강조색2 11 2 4" xfId="459"/>
    <cellStyle name="20% - 강조색2 11 2 5" xfId="460"/>
    <cellStyle name="20% - 강조색2 11 2 6" xfId="461"/>
    <cellStyle name="20% - 강조색2 11 3" xfId="462"/>
    <cellStyle name="20% - 강조색2 11 3 2" xfId="463"/>
    <cellStyle name="20% - 강조색2 11 3 2 2" xfId="464"/>
    <cellStyle name="20% - 강조색2 11 3 3" xfId="465"/>
    <cellStyle name="20% - 강조색2 11 3 4" xfId="466"/>
    <cellStyle name="20% - 강조색2 11 3 5" xfId="467"/>
    <cellStyle name="20% - 강조색2 12" xfId="468"/>
    <cellStyle name="20% - 강조색2 12 2" xfId="469"/>
    <cellStyle name="20% - 강조색2 12 2 2" xfId="470"/>
    <cellStyle name="20% - 강조색2 12 2 2 2" xfId="471"/>
    <cellStyle name="20% - 강조색2 12 2 3" xfId="472"/>
    <cellStyle name="20% - 강조색2 12 2 4" xfId="473"/>
    <cellStyle name="20% - 강조색2 12 2 5" xfId="474"/>
    <cellStyle name="20% - 강조색2 13" xfId="475"/>
    <cellStyle name="20% - 강조색2 13 2" xfId="476"/>
    <cellStyle name="20% - 강조색2 13 2 2" xfId="477"/>
    <cellStyle name="20% - 강조색2 13 3" xfId="478"/>
    <cellStyle name="20% - 강조색2 13 4" xfId="479"/>
    <cellStyle name="20% - 강조색2 13 5" xfId="480"/>
    <cellStyle name="20% - 강조색2 14" xfId="481"/>
    <cellStyle name="20% - 강조색2 2" xfId="482"/>
    <cellStyle name="20% - 강조색2 2 2" xfId="483"/>
    <cellStyle name="20% - 강조색2 2 2 2" xfId="484"/>
    <cellStyle name="20% - 강조색2 2 2 2 2" xfId="485"/>
    <cellStyle name="20% - 강조색2 2 2 2 2 2" xfId="486"/>
    <cellStyle name="20% - 강조색2 2 2 2 3" xfId="487"/>
    <cellStyle name="20% - 강조색2 2 2 2 4" xfId="488"/>
    <cellStyle name="20% - 강조색2 2 2 2 5" xfId="489"/>
    <cellStyle name="20% - 강조색2 2 2 3" xfId="490"/>
    <cellStyle name="20% - 강조색2 2 2 3 2" xfId="491"/>
    <cellStyle name="20% - 강조색2 2 2 4" xfId="492"/>
    <cellStyle name="20% - 강조색2 2 2 5" xfId="493"/>
    <cellStyle name="20% - 강조색2 2 2 6" xfId="494"/>
    <cellStyle name="20% - 강조색2 2 2 7" xfId="495"/>
    <cellStyle name="20% - 강조색2 2 3" xfId="496"/>
    <cellStyle name="20% - 강조색2 2 3 2" xfId="497"/>
    <cellStyle name="20% - 강조색2 2 3 2 2" xfId="498"/>
    <cellStyle name="20% - 강조색2 2 3 3" xfId="499"/>
    <cellStyle name="20% - 강조색2 2 3 4" xfId="500"/>
    <cellStyle name="20% - 강조색2 2 3 5" xfId="501"/>
    <cellStyle name="20% - 강조색2 2 4" xfId="502"/>
    <cellStyle name="20% - 강조색2 3" xfId="503"/>
    <cellStyle name="20% - 강조색2 3 2" xfId="504"/>
    <cellStyle name="20% - 강조색2 3 2 2" xfId="505"/>
    <cellStyle name="20% - 강조색2 3 2 2 2" xfId="506"/>
    <cellStyle name="20% - 강조색2 3 2 2 2 2" xfId="507"/>
    <cellStyle name="20% - 강조색2 3 2 2 3" xfId="508"/>
    <cellStyle name="20% - 강조색2 3 2 2 4" xfId="509"/>
    <cellStyle name="20% - 강조색2 3 2 2 5" xfId="510"/>
    <cellStyle name="20% - 강조색2 3 2 3" xfId="511"/>
    <cellStyle name="20% - 강조색2 3 2 3 2" xfId="512"/>
    <cellStyle name="20% - 강조색2 3 2 4" xfId="513"/>
    <cellStyle name="20% - 강조색2 3 2 5" xfId="514"/>
    <cellStyle name="20% - 강조색2 3 2 6" xfId="515"/>
    <cellStyle name="20% - 강조색2 3 2 7" xfId="516"/>
    <cellStyle name="20% - 강조색2 3 3" xfId="517"/>
    <cellStyle name="20% - 강조색2 3 3 2" xfId="518"/>
    <cellStyle name="20% - 강조색2 3 3 2 2" xfId="519"/>
    <cellStyle name="20% - 강조색2 3 3 3" xfId="520"/>
    <cellStyle name="20% - 강조색2 3 3 4" xfId="521"/>
    <cellStyle name="20% - 강조색2 3 3 5" xfId="522"/>
    <cellStyle name="20% - 강조색2 3 4" xfId="523"/>
    <cellStyle name="20% - 강조색2 4" xfId="524"/>
    <cellStyle name="20% - 강조색2 4 2" xfId="525"/>
    <cellStyle name="20% - 강조색2 4 2 2" xfId="526"/>
    <cellStyle name="20% - 강조색2 4 2 2 2" xfId="527"/>
    <cellStyle name="20% - 강조색2 4 2 2 2 2" xfId="528"/>
    <cellStyle name="20% - 강조색2 4 2 2 3" xfId="529"/>
    <cellStyle name="20% - 강조색2 4 2 2 4" xfId="530"/>
    <cellStyle name="20% - 강조색2 4 2 2 5" xfId="531"/>
    <cellStyle name="20% - 강조색2 4 2 3" xfId="532"/>
    <cellStyle name="20% - 강조색2 4 2 3 2" xfId="533"/>
    <cellStyle name="20% - 강조색2 4 2 4" xfId="534"/>
    <cellStyle name="20% - 강조색2 4 2 5" xfId="535"/>
    <cellStyle name="20% - 강조색2 4 2 6" xfId="536"/>
    <cellStyle name="20% - 강조색2 4 3" xfId="537"/>
    <cellStyle name="20% - 강조색2 4 3 2" xfId="538"/>
    <cellStyle name="20% - 강조색2 4 3 2 2" xfId="539"/>
    <cellStyle name="20% - 강조색2 4 3 3" xfId="540"/>
    <cellStyle name="20% - 강조색2 4 3 4" xfId="541"/>
    <cellStyle name="20% - 강조색2 4 3 5" xfId="542"/>
    <cellStyle name="20% - 강조색2 5" xfId="543"/>
    <cellStyle name="20% - 강조색2 5 2" xfId="544"/>
    <cellStyle name="20% - 강조색2 5 2 2" xfId="545"/>
    <cellStyle name="20% - 강조색2 5 2 2 2" xfId="546"/>
    <cellStyle name="20% - 강조색2 5 2 2 2 2" xfId="547"/>
    <cellStyle name="20% - 강조색2 5 2 2 3" xfId="548"/>
    <cellStyle name="20% - 강조색2 5 2 2 4" xfId="549"/>
    <cellStyle name="20% - 강조색2 5 2 2 5" xfId="550"/>
    <cellStyle name="20% - 강조색2 5 2 3" xfId="551"/>
    <cellStyle name="20% - 강조색2 5 2 3 2" xfId="552"/>
    <cellStyle name="20% - 강조색2 5 2 4" xfId="553"/>
    <cellStyle name="20% - 강조색2 5 2 5" xfId="554"/>
    <cellStyle name="20% - 강조색2 5 2 6" xfId="555"/>
    <cellStyle name="20% - 강조색2 5 3" xfId="556"/>
    <cellStyle name="20% - 강조색2 5 3 2" xfId="557"/>
    <cellStyle name="20% - 강조색2 5 3 2 2" xfId="558"/>
    <cellStyle name="20% - 강조색2 5 3 3" xfId="559"/>
    <cellStyle name="20% - 강조색2 5 3 4" xfId="560"/>
    <cellStyle name="20% - 강조색2 5 3 5" xfId="561"/>
    <cellStyle name="20% - 강조색2 6" xfId="562"/>
    <cellStyle name="20% - 강조색2 6 2" xfId="563"/>
    <cellStyle name="20% - 강조색2 6 2 2" xfId="564"/>
    <cellStyle name="20% - 강조색2 6 2 2 2" xfId="565"/>
    <cellStyle name="20% - 강조색2 6 2 2 2 2" xfId="566"/>
    <cellStyle name="20% - 강조색2 6 2 2 3" xfId="567"/>
    <cellStyle name="20% - 강조색2 6 2 2 4" xfId="568"/>
    <cellStyle name="20% - 강조색2 6 2 2 5" xfId="569"/>
    <cellStyle name="20% - 강조색2 6 2 3" xfId="570"/>
    <cellStyle name="20% - 강조색2 6 2 3 2" xfId="571"/>
    <cellStyle name="20% - 강조색2 6 2 4" xfId="572"/>
    <cellStyle name="20% - 강조색2 6 2 5" xfId="573"/>
    <cellStyle name="20% - 강조색2 6 2 6" xfId="574"/>
    <cellStyle name="20% - 강조색2 6 3" xfId="575"/>
    <cellStyle name="20% - 강조색2 6 3 2" xfId="576"/>
    <cellStyle name="20% - 강조색2 6 3 2 2" xfId="577"/>
    <cellStyle name="20% - 강조색2 6 3 3" xfId="578"/>
    <cellStyle name="20% - 강조색2 6 3 4" xfId="579"/>
    <cellStyle name="20% - 강조색2 6 3 5" xfId="580"/>
    <cellStyle name="20% - 강조색2 7" xfId="581"/>
    <cellStyle name="20% - 강조색2 7 2" xfId="582"/>
    <cellStyle name="20% - 강조색2 7 2 2" xfId="583"/>
    <cellStyle name="20% - 강조색2 7 2 2 2" xfId="584"/>
    <cellStyle name="20% - 강조색2 7 2 2 2 2" xfId="585"/>
    <cellStyle name="20% - 강조색2 7 2 2 3" xfId="586"/>
    <cellStyle name="20% - 강조색2 7 2 2 4" xfId="587"/>
    <cellStyle name="20% - 강조색2 7 2 2 5" xfId="588"/>
    <cellStyle name="20% - 강조색2 7 2 3" xfId="589"/>
    <cellStyle name="20% - 강조색2 7 2 3 2" xfId="590"/>
    <cellStyle name="20% - 강조색2 7 2 4" xfId="591"/>
    <cellStyle name="20% - 강조색2 7 2 5" xfId="592"/>
    <cellStyle name="20% - 강조색2 7 2 6" xfId="593"/>
    <cellStyle name="20% - 강조색2 7 3" xfId="594"/>
    <cellStyle name="20% - 강조색2 7 3 2" xfId="595"/>
    <cellStyle name="20% - 강조색2 7 3 2 2" xfId="596"/>
    <cellStyle name="20% - 강조색2 7 3 3" xfId="597"/>
    <cellStyle name="20% - 강조색2 7 3 4" xfId="598"/>
    <cellStyle name="20% - 강조색2 7 3 5" xfId="599"/>
    <cellStyle name="20% - 강조색2 8" xfId="600"/>
    <cellStyle name="20% - 강조색2 8 2" xfId="601"/>
    <cellStyle name="20% - 강조색2 8 2 2" xfId="602"/>
    <cellStyle name="20% - 강조색2 8 2 2 2" xfId="603"/>
    <cellStyle name="20% - 강조색2 8 2 2 2 2" xfId="604"/>
    <cellStyle name="20% - 강조색2 8 2 2 3" xfId="605"/>
    <cellStyle name="20% - 강조색2 8 2 2 4" xfId="606"/>
    <cellStyle name="20% - 강조색2 8 2 2 5" xfId="607"/>
    <cellStyle name="20% - 강조색2 8 2 3" xfId="608"/>
    <cellStyle name="20% - 강조색2 8 2 3 2" xfId="609"/>
    <cellStyle name="20% - 강조색2 8 2 4" xfId="610"/>
    <cellStyle name="20% - 강조색2 8 2 5" xfId="611"/>
    <cellStyle name="20% - 강조색2 8 2 6" xfId="612"/>
    <cellStyle name="20% - 강조색2 8 3" xfId="613"/>
    <cellStyle name="20% - 강조색2 8 3 2" xfId="614"/>
    <cellStyle name="20% - 강조색2 8 3 2 2" xfId="615"/>
    <cellStyle name="20% - 강조색2 8 3 3" xfId="616"/>
    <cellStyle name="20% - 강조색2 8 3 4" xfId="617"/>
    <cellStyle name="20% - 강조색2 8 3 5" xfId="618"/>
    <cellStyle name="20% - 강조색2 9" xfId="619"/>
    <cellStyle name="20% - 강조색2 9 2" xfId="620"/>
    <cellStyle name="20% - 강조색2 9 2 2" xfId="621"/>
    <cellStyle name="20% - 강조색2 9 2 2 2" xfId="622"/>
    <cellStyle name="20% - 강조색2 9 2 2 2 2" xfId="623"/>
    <cellStyle name="20% - 강조색2 9 2 2 3" xfId="624"/>
    <cellStyle name="20% - 강조색2 9 2 2 4" xfId="625"/>
    <cellStyle name="20% - 강조색2 9 2 2 5" xfId="626"/>
    <cellStyle name="20% - 강조색2 9 2 3" xfId="627"/>
    <cellStyle name="20% - 강조색2 9 2 3 2" xfId="628"/>
    <cellStyle name="20% - 강조색2 9 2 4" xfId="629"/>
    <cellStyle name="20% - 강조색2 9 2 5" xfId="630"/>
    <cellStyle name="20% - 강조색2 9 2 6" xfId="631"/>
    <cellStyle name="20% - 강조색2 9 3" xfId="632"/>
    <cellStyle name="20% - 강조색2 9 3 2" xfId="633"/>
    <cellStyle name="20% - 강조색2 9 3 2 2" xfId="634"/>
    <cellStyle name="20% - 강조색2 9 3 3" xfId="635"/>
    <cellStyle name="20% - 강조색2 9 3 4" xfId="636"/>
    <cellStyle name="20% - 강조색2 9 3 5" xfId="637"/>
    <cellStyle name="20% - 강조색3 10" xfId="638"/>
    <cellStyle name="20% - 강조색3 10 2" xfId="639"/>
    <cellStyle name="20% - 강조색3 10 2 2" xfId="640"/>
    <cellStyle name="20% - 강조색3 10 2 2 2" xfId="641"/>
    <cellStyle name="20% - 강조색3 10 2 2 2 2" xfId="642"/>
    <cellStyle name="20% - 강조색3 10 2 2 3" xfId="643"/>
    <cellStyle name="20% - 강조색3 10 2 2 4" xfId="644"/>
    <cellStyle name="20% - 강조색3 10 2 2 5" xfId="645"/>
    <cellStyle name="20% - 강조색3 10 2 3" xfId="646"/>
    <cellStyle name="20% - 강조색3 10 2 3 2" xfId="647"/>
    <cellStyle name="20% - 강조색3 10 2 4" xfId="648"/>
    <cellStyle name="20% - 강조색3 10 2 5" xfId="649"/>
    <cellStyle name="20% - 강조색3 10 2 6" xfId="650"/>
    <cellStyle name="20% - 강조색3 10 3" xfId="651"/>
    <cellStyle name="20% - 강조색3 10 3 2" xfId="652"/>
    <cellStyle name="20% - 강조색3 10 3 2 2" xfId="653"/>
    <cellStyle name="20% - 강조색3 10 3 3" xfId="654"/>
    <cellStyle name="20% - 강조색3 10 3 4" xfId="655"/>
    <cellStyle name="20% - 강조색3 10 3 5" xfId="656"/>
    <cellStyle name="20% - 강조색3 11" xfId="657"/>
    <cellStyle name="20% - 강조색3 11 2" xfId="658"/>
    <cellStyle name="20% - 강조색3 11 2 2" xfId="659"/>
    <cellStyle name="20% - 강조색3 11 2 2 2" xfId="660"/>
    <cellStyle name="20% - 강조색3 11 2 2 2 2" xfId="661"/>
    <cellStyle name="20% - 강조색3 11 2 2 3" xfId="662"/>
    <cellStyle name="20% - 강조색3 11 2 2 4" xfId="663"/>
    <cellStyle name="20% - 강조색3 11 2 2 5" xfId="664"/>
    <cellStyle name="20% - 강조색3 11 2 3" xfId="665"/>
    <cellStyle name="20% - 강조색3 11 2 3 2" xfId="666"/>
    <cellStyle name="20% - 강조색3 11 2 4" xfId="667"/>
    <cellStyle name="20% - 강조색3 11 2 5" xfId="668"/>
    <cellStyle name="20% - 강조색3 11 2 6" xfId="669"/>
    <cellStyle name="20% - 강조색3 11 3" xfId="670"/>
    <cellStyle name="20% - 강조색3 11 3 2" xfId="671"/>
    <cellStyle name="20% - 강조색3 11 3 2 2" xfId="672"/>
    <cellStyle name="20% - 강조색3 11 3 3" xfId="673"/>
    <cellStyle name="20% - 강조색3 11 3 4" xfId="674"/>
    <cellStyle name="20% - 강조색3 11 3 5" xfId="675"/>
    <cellStyle name="20% - 강조색3 12" xfId="676"/>
    <cellStyle name="20% - 강조색3 12 2" xfId="677"/>
    <cellStyle name="20% - 강조색3 12 2 2" xfId="678"/>
    <cellStyle name="20% - 강조색3 12 2 2 2" xfId="679"/>
    <cellStyle name="20% - 강조색3 12 2 3" xfId="680"/>
    <cellStyle name="20% - 강조색3 12 2 4" xfId="681"/>
    <cellStyle name="20% - 강조색3 12 2 5" xfId="682"/>
    <cellStyle name="20% - 강조색3 13" xfId="683"/>
    <cellStyle name="20% - 강조색3 13 2" xfId="684"/>
    <cellStyle name="20% - 강조색3 13 2 2" xfId="685"/>
    <cellStyle name="20% - 강조색3 13 3" xfId="686"/>
    <cellStyle name="20% - 강조색3 13 4" xfId="687"/>
    <cellStyle name="20% - 강조색3 13 5" xfId="688"/>
    <cellStyle name="20% - 강조색3 14" xfId="689"/>
    <cellStyle name="20% - 강조색3 2" xfId="690"/>
    <cellStyle name="20% - 강조색3 2 2" xfId="691"/>
    <cellStyle name="20% - 강조색3 2 2 2" xfId="692"/>
    <cellStyle name="20% - 강조색3 2 2 2 2" xfId="693"/>
    <cellStyle name="20% - 강조색3 2 2 2 2 2" xfId="694"/>
    <cellStyle name="20% - 강조색3 2 2 2 3" xfId="695"/>
    <cellStyle name="20% - 강조색3 2 2 2 4" xfId="696"/>
    <cellStyle name="20% - 강조색3 2 2 2 5" xfId="697"/>
    <cellStyle name="20% - 강조색3 2 2 3" xfId="698"/>
    <cellStyle name="20% - 강조색3 2 2 3 2" xfId="699"/>
    <cellStyle name="20% - 강조색3 2 2 4" xfId="700"/>
    <cellStyle name="20% - 강조색3 2 2 5" xfId="701"/>
    <cellStyle name="20% - 강조색3 2 2 6" xfId="702"/>
    <cellStyle name="20% - 강조색3 2 2 7" xfId="703"/>
    <cellStyle name="20% - 강조색3 2 3" xfId="704"/>
    <cellStyle name="20% - 강조색3 2 3 2" xfId="705"/>
    <cellStyle name="20% - 강조색3 2 3 2 2" xfId="706"/>
    <cellStyle name="20% - 강조색3 2 3 3" xfId="707"/>
    <cellStyle name="20% - 강조색3 2 3 4" xfId="708"/>
    <cellStyle name="20% - 강조색3 2 3 5" xfId="709"/>
    <cellStyle name="20% - 강조색3 2 4" xfId="710"/>
    <cellStyle name="20% - 강조색3 3" xfId="711"/>
    <cellStyle name="20% - 강조색3 3 2" xfId="712"/>
    <cellStyle name="20% - 강조색3 3 2 2" xfId="713"/>
    <cellStyle name="20% - 강조색3 3 2 2 2" xfId="714"/>
    <cellStyle name="20% - 강조색3 3 2 2 2 2" xfId="715"/>
    <cellStyle name="20% - 강조색3 3 2 2 3" xfId="716"/>
    <cellStyle name="20% - 강조색3 3 2 2 4" xfId="717"/>
    <cellStyle name="20% - 강조색3 3 2 2 5" xfId="718"/>
    <cellStyle name="20% - 강조색3 3 2 3" xfId="719"/>
    <cellStyle name="20% - 강조색3 3 2 3 2" xfId="720"/>
    <cellStyle name="20% - 강조색3 3 2 4" xfId="721"/>
    <cellStyle name="20% - 강조색3 3 2 5" xfId="722"/>
    <cellStyle name="20% - 강조색3 3 2 6" xfId="723"/>
    <cellStyle name="20% - 강조색3 3 2 7" xfId="724"/>
    <cellStyle name="20% - 강조색3 3 3" xfId="725"/>
    <cellStyle name="20% - 강조색3 3 3 2" xfId="726"/>
    <cellStyle name="20% - 강조색3 3 3 2 2" xfId="727"/>
    <cellStyle name="20% - 강조색3 3 3 3" xfId="728"/>
    <cellStyle name="20% - 강조색3 3 3 4" xfId="729"/>
    <cellStyle name="20% - 강조색3 3 3 5" xfId="730"/>
    <cellStyle name="20% - 강조색3 3 4" xfId="731"/>
    <cellStyle name="20% - 강조색3 4" xfId="732"/>
    <cellStyle name="20% - 강조색3 4 2" xfId="733"/>
    <cellStyle name="20% - 강조색3 4 2 2" xfId="734"/>
    <cellStyle name="20% - 강조색3 4 2 2 2" xfId="735"/>
    <cellStyle name="20% - 강조색3 4 2 2 2 2" xfId="736"/>
    <cellStyle name="20% - 강조색3 4 2 2 3" xfId="737"/>
    <cellStyle name="20% - 강조색3 4 2 2 4" xfId="738"/>
    <cellStyle name="20% - 강조색3 4 2 2 5" xfId="739"/>
    <cellStyle name="20% - 강조색3 4 2 3" xfId="740"/>
    <cellStyle name="20% - 강조색3 4 2 3 2" xfId="741"/>
    <cellStyle name="20% - 강조색3 4 2 4" xfId="742"/>
    <cellStyle name="20% - 강조색3 4 2 5" xfId="743"/>
    <cellStyle name="20% - 강조색3 4 2 6" xfId="744"/>
    <cellStyle name="20% - 강조색3 4 3" xfId="745"/>
    <cellStyle name="20% - 강조색3 4 3 2" xfId="746"/>
    <cellStyle name="20% - 강조색3 4 3 2 2" xfId="747"/>
    <cellStyle name="20% - 강조색3 4 3 3" xfId="748"/>
    <cellStyle name="20% - 강조색3 4 3 4" xfId="749"/>
    <cellStyle name="20% - 강조색3 4 3 5" xfId="750"/>
    <cellStyle name="20% - 강조색3 5" xfId="751"/>
    <cellStyle name="20% - 강조색3 5 2" xfId="752"/>
    <cellStyle name="20% - 강조색3 5 2 2" xfId="753"/>
    <cellStyle name="20% - 강조색3 5 2 2 2" xfId="754"/>
    <cellStyle name="20% - 강조색3 5 2 2 2 2" xfId="755"/>
    <cellStyle name="20% - 강조색3 5 2 2 3" xfId="756"/>
    <cellStyle name="20% - 강조색3 5 2 2 4" xfId="757"/>
    <cellStyle name="20% - 강조색3 5 2 2 5" xfId="758"/>
    <cellStyle name="20% - 강조색3 5 2 3" xfId="759"/>
    <cellStyle name="20% - 강조색3 5 2 3 2" xfId="760"/>
    <cellStyle name="20% - 강조색3 5 2 4" xfId="761"/>
    <cellStyle name="20% - 강조색3 5 2 5" xfId="762"/>
    <cellStyle name="20% - 강조색3 5 2 6" xfId="763"/>
    <cellStyle name="20% - 강조색3 5 3" xfId="764"/>
    <cellStyle name="20% - 강조색3 5 3 2" xfId="765"/>
    <cellStyle name="20% - 강조색3 5 3 2 2" xfId="766"/>
    <cellStyle name="20% - 강조색3 5 3 3" xfId="767"/>
    <cellStyle name="20% - 강조색3 5 3 4" xfId="768"/>
    <cellStyle name="20% - 강조색3 5 3 5" xfId="769"/>
    <cellStyle name="20% - 강조색3 6" xfId="770"/>
    <cellStyle name="20% - 강조색3 6 2" xfId="771"/>
    <cellStyle name="20% - 강조색3 6 2 2" xfId="772"/>
    <cellStyle name="20% - 강조색3 6 2 2 2" xfId="773"/>
    <cellStyle name="20% - 강조색3 6 2 2 2 2" xfId="774"/>
    <cellStyle name="20% - 강조색3 6 2 2 3" xfId="775"/>
    <cellStyle name="20% - 강조색3 6 2 2 4" xfId="776"/>
    <cellStyle name="20% - 강조색3 6 2 2 5" xfId="777"/>
    <cellStyle name="20% - 강조색3 6 2 3" xfId="778"/>
    <cellStyle name="20% - 강조색3 6 2 3 2" xfId="779"/>
    <cellStyle name="20% - 강조색3 6 2 4" xfId="780"/>
    <cellStyle name="20% - 강조색3 6 2 5" xfId="781"/>
    <cellStyle name="20% - 강조색3 6 2 6" xfId="782"/>
    <cellStyle name="20% - 강조색3 6 3" xfId="783"/>
    <cellStyle name="20% - 강조색3 6 3 2" xfId="784"/>
    <cellStyle name="20% - 강조색3 6 3 2 2" xfId="785"/>
    <cellStyle name="20% - 강조색3 6 3 3" xfId="786"/>
    <cellStyle name="20% - 강조색3 6 3 4" xfId="787"/>
    <cellStyle name="20% - 강조색3 6 3 5" xfId="788"/>
    <cellStyle name="20% - 강조색3 7" xfId="789"/>
    <cellStyle name="20% - 강조색3 7 2" xfId="790"/>
    <cellStyle name="20% - 강조색3 7 2 2" xfId="791"/>
    <cellStyle name="20% - 강조색3 7 2 2 2" xfId="792"/>
    <cellStyle name="20% - 강조색3 7 2 2 2 2" xfId="793"/>
    <cellStyle name="20% - 강조색3 7 2 2 3" xfId="794"/>
    <cellStyle name="20% - 강조색3 7 2 2 4" xfId="795"/>
    <cellStyle name="20% - 강조색3 7 2 2 5" xfId="796"/>
    <cellStyle name="20% - 강조색3 7 2 3" xfId="797"/>
    <cellStyle name="20% - 강조색3 7 2 3 2" xfId="798"/>
    <cellStyle name="20% - 강조색3 7 2 4" xfId="799"/>
    <cellStyle name="20% - 강조색3 7 2 5" xfId="800"/>
    <cellStyle name="20% - 강조색3 7 2 6" xfId="801"/>
    <cellStyle name="20% - 강조색3 7 3" xfId="802"/>
    <cellStyle name="20% - 강조색3 7 3 2" xfId="803"/>
    <cellStyle name="20% - 강조색3 7 3 2 2" xfId="804"/>
    <cellStyle name="20% - 강조색3 7 3 3" xfId="805"/>
    <cellStyle name="20% - 강조색3 7 3 4" xfId="806"/>
    <cellStyle name="20% - 강조색3 7 3 5" xfId="807"/>
    <cellStyle name="20% - 강조색3 8" xfId="808"/>
    <cellStyle name="20% - 강조색3 8 2" xfId="809"/>
    <cellStyle name="20% - 강조색3 8 2 2" xfId="810"/>
    <cellStyle name="20% - 강조색3 8 2 2 2" xfId="811"/>
    <cellStyle name="20% - 강조색3 8 2 2 2 2" xfId="812"/>
    <cellStyle name="20% - 강조색3 8 2 2 3" xfId="813"/>
    <cellStyle name="20% - 강조색3 8 2 2 4" xfId="814"/>
    <cellStyle name="20% - 강조색3 8 2 2 5" xfId="815"/>
    <cellStyle name="20% - 강조색3 8 2 3" xfId="816"/>
    <cellStyle name="20% - 강조색3 8 2 3 2" xfId="817"/>
    <cellStyle name="20% - 강조색3 8 2 4" xfId="818"/>
    <cellStyle name="20% - 강조색3 8 2 5" xfId="819"/>
    <cellStyle name="20% - 강조색3 8 2 6" xfId="820"/>
    <cellStyle name="20% - 강조색3 8 3" xfId="821"/>
    <cellStyle name="20% - 강조색3 8 3 2" xfId="822"/>
    <cellStyle name="20% - 강조색3 8 3 2 2" xfId="823"/>
    <cellStyle name="20% - 강조색3 8 3 3" xfId="824"/>
    <cellStyle name="20% - 강조색3 8 3 4" xfId="825"/>
    <cellStyle name="20% - 강조색3 8 3 5" xfId="826"/>
    <cellStyle name="20% - 강조색3 9" xfId="827"/>
    <cellStyle name="20% - 강조색3 9 2" xfId="828"/>
    <cellStyle name="20% - 강조색3 9 2 2" xfId="829"/>
    <cellStyle name="20% - 강조색3 9 2 2 2" xfId="830"/>
    <cellStyle name="20% - 강조색3 9 2 2 2 2" xfId="831"/>
    <cellStyle name="20% - 강조색3 9 2 2 3" xfId="832"/>
    <cellStyle name="20% - 강조색3 9 2 2 4" xfId="833"/>
    <cellStyle name="20% - 강조색3 9 2 2 5" xfId="834"/>
    <cellStyle name="20% - 강조색3 9 2 3" xfId="835"/>
    <cellStyle name="20% - 강조색3 9 2 3 2" xfId="836"/>
    <cellStyle name="20% - 강조색3 9 2 4" xfId="837"/>
    <cellStyle name="20% - 강조색3 9 2 5" xfId="838"/>
    <cellStyle name="20% - 강조색3 9 2 6" xfId="839"/>
    <cellStyle name="20% - 강조색3 9 3" xfId="840"/>
    <cellStyle name="20% - 강조색3 9 3 2" xfId="841"/>
    <cellStyle name="20% - 강조색3 9 3 2 2" xfId="842"/>
    <cellStyle name="20% - 강조색3 9 3 3" xfId="843"/>
    <cellStyle name="20% - 강조색3 9 3 4" xfId="844"/>
    <cellStyle name="20% - 강조색3 9 3 5" xfId="845"/>
    <cellStyle name="20% - 강조색4 10" xfId="846"/>
    <cellStyle name="20% - 강조색4 10 2" xfId="847"/>
    <cellStyle name="20% - 강조색4 10 2 2" xfId="848"/>
    <cellStyle name="20% - 강조색4 10 2 2 2" xfId="849"/>
    <cellStyle name="20% - 강조색4 10 2 2 2 2" xfId="850"/>
    <cellStyle name="20% - 강조색4 10 2 2 3" xfId="851"/>
    <cellStyle name="20% - 강조색4 10 2 2 4" xfId="852"/>
    <cellStyle name="20% - 강조색4 10 2 2 5" xfId="853"/>
    <cellStyle name="20% - 강조색4 10 2 3" xfId="854"/>
    <cellStyle name="20% - 강조색4 10 2 3 2" xfId="855"/>
    <cellStyle name="20% - 강조색4 10 2 4" xfId="856"/>
    <cellStyle name="20% - 강조색4 10 2 5" xfId="857"/>
    <cellStyle name="20% - 강조색4 10 2 6" xfId="858"/>
    <cellStyle name="20% - 강조색4 10 3" xfId="859"/>
    <cellStyle name="20% - 강조색4 10 3 2" xfId="860"/>
    <cellStyle name="20% - 강조색4 10 3 2 2" xfId="861"/>
    <cellStyle name="20% - 강조색4 10 3 3" xfId="862"/>
    <cellStyle name="20% - 강조색4 10 3 4" xfId="863"/>
    <cellStyle name="20% - 강조색4 10 3 5" xfId="864"/>
    <cellStyle name="20% - 강조색4 11" xfId="865"/>
    <cellStyle name="20% - 강조색4 11 2" xfId="866"/>
    <cellStyle name="20% - 강조색4 11 2 2" xfId="867"/>
    <cellStyle name="20% - 강조색4 11 2 2 2" xfId="868"/>
    <cellStyle name="20% - 강조색4 11 2 2 2 2" xfId="869"/>
    <cellStyle name="20% - 강조색4 11 2 2 3" xfId="870"/>
    <cellStyle name="20% - 강조색4 11 2 2 4" xfId="871"/>
    <cellStyle name="20% - 강조색4 11 2 2 5" xfId="872"/>
    <cellStyle name="20% - 강조색4 11 2 3" xfId="873"/>
    <cellStyle name="20% - 강조색4 11 2 3 2" xfId="874"/>
    <cellStyle name="20% - 강조색4 11 2 4" xfId="875"/>
    <cellStyle name="20% - 강조색4 11 2 5" xfId="876"/>
    <cellStyle name="20% - 강조색4 11 2 6" xfId="877"/>
    <cellStyle name="20% - 강조색4 11 3" xfId="878"/>
    <cellStyle name="20% - 강조색4 11 3 2" xfId="879"/>
    <cellStyle name="20% - 강조색4 11 3 2 2" xfId="880"/>
    <cellStyle name="20% - 강조색4 11 3 3" xfId="881"/>
    <cellStyle name="20% - 강조색4 11 3 4" xfId="882"/>
    <cellStyle name="20% - 강조색4 11 3 5" xfId="883"/>
    <cellStyle name="20% - 강조색4 12" xfId="884"/>
    <cellStyle name="20% - 강조색4 12 2" xfId="885"/>
    <cellStyle name="20% - 강조색4 12 2 2" xfId="886"/>
    <cellStyle name="20% - 강조색4 12 2 2 2" xfId="887"/>
    <cellStyle name="20% - 강조색4 12 2 3" xfId="888"/>
    <cellStyle name="20% - 강조색4 12 2 4" xfId="889"/>
    <cellStyle name="20% - 강조색4 12 2 5" xfId="890"/>
    <cellStyle name="20% - 강조색4 13" xfId="891"/>
    <cellStyle name="20% - 강조색4 13 2" xfId="892"/>
    <cellStyle name="20% - 강조색4 13 2 2" xfId="893"/>
    <cellStyle name="20% - 강조색4 13 3" xfId="894"/>
    <cellStyle name="20% - 강조색4 13 4" xfId="895"/>
    <cellStyle name="20% - 강조색4 13 5" xfId="896"/>
    <cellStyle name="20% - 강조색4 14" xfId="897"/>
    <cellStyle name="20% - 강조색4 2" xfId="898"/>
    <cellStyle name="20% - 강조색4 2 2" xfId="899"/>
    <cellStyle name="20% - 강조색4 2 2 2" xfId="900"/>
    <cellStyle name="20% - 강조색4 2 2 2 2" xfId="901"/>
    <cellStyle name="20% - 강조색4 2 2 2 2 2" xfId="902"/>
    <cellStyle name="20% - 강조색4 2 2 2 3" xfId="903"/>
    <cellStyle name="20% - 강조색4 2 2 2 4" xfId="904"/>
    <cellStyle name="20% - 강조색4 2 2 2 5" xfId="905"/>
    <cellStyle name="20% - 강조색4 2 2 3" xfId="906"/>
    <cellStyle name="20% - 강조색4 2 2 3 2" xfId="907"/>
    <cellStyle name="20% - 강조색4 2 2 4" xfId="908"/>
    <cellStyle name="20% - 강조색4 2 2 5" xfId="909"/>
    <cellStyle name="20% - 강조색4 2 2 6" xfId="910"/>
    <cellStyle name="20% - 강조색4 2 2 7" xfId="911"/>
    <cellStyle name="20% - 강조색4 2 3" xfId="912"/>
    <cellStyle name="20% - 강조색4 2 3 2" xfId="913"/>
    <cellStyle name="20% - 강조색4 2 3 2 2" xfId="914"/>
    <cellStyle name="20% - 강조색4 2 3 3" xfId="915"/>
    <cellStyle name="20% - 강조색4 2 3 4" xfId="916"/>
    <cellStyle name="20% - 강조색4 2 3 5" xfId="917"/>
    <cellStyle name="20% - 강조색4 2 4" xfId="918"/>
    <cellStyle name="20% - 강조색4 3" xfId="919"/>
    <cellStyle name="20% - 강조색4 3 2" xfId="920"/>
    <cellStyle name="20% - 강조색4 3 2 2" xfId="921"/>
    <cellStyle name="20% - 강조색4 3 2 2 2" xfId="922"/>
    <cellStyle name="20% - 강조색4 3 2 2 2 2" xfId="923"/>
    <cellStyle name="20% - 강조색4 3 2 2 3" xfId="924"/>
    <cellStyle name="20% - 강조색4 3 2 2 4" xfId="925"/>
    <cellStyle name="20% - 강조색4 3 2 2 5" xfId="926"/>
    <cellStyle name="20% - 강조색4 3 2 3" xfId="927"/>
    <cellStyle name="20% - 강조색4 3 2 3 2" xfId="928"/>
    <cellStyle name="20% - 강조색4 3 2 4" xfId="929"/>
    <cellStyle name="20% - 강조색4 3 2 5" xfId="930"/>
    <cellStyle name="20% - 강조색4 3 2 6" xfId="931"/>
    <cellStyle name="20% - 강조색4 3 2 7" xfId="932"/>
    <cellStyle name="20% - 강조색4 3 3" xfId="933"/>
    <cellStyle name="20% - 강조색4 3 3 2" xfId="934"/>
    <cellStyle name="20% - 강조색4 3 3 2 2" xfId="935"/>
    <cellStyle name="20% - 강조색4 3 3 3" xfId="936"/>
    <cellStyle name="20% - 강조색4 3 3 4" xfId="937"/>
    <cellStyle name="20% - 강조색4 3 3 5" xfId="938"/>
    <cellStyle name="20% - 강조색4 3 4" xfId="939"/>
    <cellStyle name="20% - 강조색4 4" xfId="940"/>
    <cellStyle name="20% - 강조색4 4 2" xfId="941"/>
    <cellStyle name="20% - 강조색4 4 2 2" xfId="942"/>
    <cellStyle name="20% - 강조색4 4 2 2 2" xfId="943"/>
    <cellStyle name="20% - 강조색4 4 2 2 2 2" xfId="944"/>
    <cellStyle name="20% - 강조색4 4 2 2 3" xfId="945"/>
    <cellStyle name="20% - 강조색4 4 2 2 4" xfId="946"/>
    <cellStyle name="20% - 강조색4 4 2 2 5" xfId="947"/>
    <cellStyle name="20% - 강조색4 4 2 3" xfId="948"/>
    <cellStyle name="20% - 강조색4 4 2 3 2" xfId="949"/>
    <cellStyle name="20% - 강조색4 4 2 4" xfId="950"/>
    <cellStyle name="20% - 강조색4 4 2 5" xfId="951"/>
    <cellStyle name="20% - 강조색4 4 2 6" xfId="952"/>
    <cellStyle name="20% - 강조색4 4 3" xfId="953"/>
    <cellStyle name="20% - 강조색4 4 3 2" xfId="954"/>
    <cellStyle name="20% - 강조색4 4 3 2 2" xfId="955"/>
    <cellStyle name="20% - 강조색4 4 3 3" xfId="956"/>
    <cellStyle name="20% - 강조색4 4 3 4" xfId="957"/>
    <cellStyle name="20% - 강조색4 4 3 5" xfId="958"/>
    <cellStyle name="20% - 강조색4 5" xfId="959"/>
    <cellStyle name="20% - 강조색4 5 2" xfId="960"/>
    <cellStyle name="20% - 강조색4 5 2 2" xfId="961"/>
    <cellStyle name="20% - 강조색4 5 2 2 2" xfId="962"/>
    <cellStyle name="20% - 강조색4 5 2 2 2 2" xfId="963"/>
    <cellStyle name="20% - 강조색4 5 2 2 3" xfId="964"/>
    <cellStyle name="20% - 강조색4 5 2 2 4" xfId="965"/>
    <cellStyle name="20% - 강조색4 5 2 2 5" xfId="966"/>
    <cellStyle name="20% - 강조색4 5 2 3" xfId="967"/>
    <cellStyle name="20% - 강조색4 5 2 3 2" xfId="968"/>
    <cellStyle name="20% - 강조색4 5 2 4" xfId="969"/>
    <cellStyle name="20% - 강조색4 5 2 5" xfId="970"/>
    <cellStyle name="20% - 강조색4 5 2 6" xfId="971"/>
    <cellStyle name="20% - 강조색4 5 3" xfId="972"/>
    <cellStyle name="20% - 강조색4 5 3 2" xfId="973"/>
    <cellStyle name="20% - 강조색4 5 3 2 2" xfId="974"/>
    <cellStyle name="20% - 강조색4 5 3 3" xfId="975"/>
    <cellStyle name="20% - 강조색4 5 3 4" xfId="976"/>
    <cellStyle name="20% - 강조색4 5 3 5" xfId="977"/>
    <cellStyle name="20% - 강조색4 6" xfId="978"/>
    <cellStyle name="20% - 강조색4 6 2" xfId="979"/>
    <cellStyle name="20% - 강조색4 6 2 2" xfId="980"/>
    <cellStyle name="20% - 강조색4 6 2 2 2" xfId="981"/>
    <cellStyle name="20% - 강조색4 6 2 2 2 2" xfId="982"/>
    <cellStyle name="20% - 강조색4 6 2 2 3" xfId="983"/>
    <cellStyle name="20% - 강조색4 6 2 2 4" xfId="984"/>
    <cellStyle name="20% - 강조색4 6 2 2 5" xfId="985"/>
    <cellStyle name="20% - 강조색4 6 2 3" xfId="986"/>
    <cellStyle name="20% - 강조색4 6 2 3 2" xfId="987"/>
    <cellStyle name="20% - 강조색4 6 2 4" xfId="988"/>
    <cellStyle name="20% - 강조색4 6 2 5" xfId="989"/>
    <cellStyle name="20% - 강조색4 6 2 6" xfId="990"/>
    <cellStyle name="20% - 강조색4 6 3" xfId="991"/>
    <cellStyle name="20% - 강조색4 6 3 2" xfId="992"/>
    <cellStyle name="20% - 강조색4 6 3 2 2" xfId="993"/>
    <cellStyle name="20% - 강조색4 6 3 3" xfId="994"/>
    <cellStyle name="20% - 강조색4 6 3 4" xfId="995"/>
    <cellStyle name="20% - 강조색4 6 3 5" xfId="996"/>
    <cellStyle name="20% - 강조색4 7" xfId="997"/>
    <cellStyle name="20% - 강조색4 7 2" xfId="998"/>
    <cellStyle name="20% - 강조색4 7 2 2" xfId="999"/>
    <cellStyle name="20% - 강조색4 7 2 2 2" xfId="1000"/>
    <cellStyle name="20% - 강조색4 7 2 2 2 2" xfId="1001"/>
    <cellStyle name="20% - 강조색4 7 2 2 3" xfId="1002"/>
    <cellStyle name="20% - 강조색4 7 2 2 4" xfId="1003"/>
    <cellStyle name="20% - 강조색4 7 2 2 5" xfId="1004"/>
    <cellStyle name="20% - 강조색4 7 2 3" xfId="1005"/>
    <cellStyle name="20% - 강조색4 7 2 3 2" xfId="1006"/>
    <cellStyle name="20% - 강조색4 7 2 4" xfId="1007"/>
    <cellStyle name="20% - 강조색4 7 2 5" xfId="1008"/>
    <cellStyle name="20% - 강조색4 7 2 6" xfId="1009"/>
    <cellStyle name="20% - 강조색4 7 3" xfId="1010"/>
    <cellStyle name="20% - 강조색4 7 3 2" xfId="1011"/>
    <cellStyle name="20% - 강조색4 7 3 2 2" xfId="1012"/>
    <cellStyle name="20% - 강조색4 7 3 3" xfId="1013"/>
    <cellStyle name="20% - 강조색4 7 3 4" xfId="1014"/>
    <cellStyle name="20% - 강조색4 7 3 5" xfId="1015"/>
    <cellStyle name="20% - 강조색4 8" xfId="1016"/>
    <cellStyle name="20% - 강조색4 8 2" xfId="1017"/>
    <cellStyle name="20% - 강조색4 8 2 2" xfId="1018"/>
    <cellStyle name="20% - 강조색4 8 2 2 2" xfId="1019"/>
    <cellStyle name="20% - 강조색4 8 2 2 2 2" xfId="1020"/>
    <cellStyle name="20% - 강조색4 8 2 2 3" xfId="1021"/>
    <cellStyle name="20% - 강조색4 8 2 2 4" xfId="1022"/>
    <cellStyle name="20% - 강조색4 8 2 2 5" xfId="1023"/>
    <cellStyle name="20% - 강조색4 8 2 3" xfId="1024"/>
    <cellStyle name="20% - 강조색4 8 2 3 2" xfId="1025"/>
    <cellStyle name="20% - 강조색4 8 2 4" xfId="1026"/>
    <cellStyle name="20% - 강조색4 8 2 5" xfId="1027"/>
    <cellStyle name="20% - 강조색4 8 2 6" xfId="1028"/>
    <cellStyle name="20% - 강조색4 8 3" xfId="1029"/>
    <cellStyle name="20% - 강조색4 8 3 2" xfId="1030"/>
    <cellStyle name="20% - 강조색4 8 3 2 2" xfId="1031"/>
    <cellStyle name="20% - 강조색4 8 3 3" xfId="1032"/>
    <cellStyle name="20% - 강조색4 8 3 4" xfId="1033"/>
    <cellStyle name="20% - 강조색4 8 3 5" xfId="1034"/>
    <cellStyle name="20% - 강조색4 9" xfId="1035"/>
    <cellStyle name="20% - 강조색4 9 2" xfId="1036"/>
    <cellStyle name="20% - 강조색4 9 2 2" xfId="1037"/>
    <cellStyle name="20% - 강조색4 9 2 2 2" xfId="1038"/>
    <cellStyle name="20% - 강조색4 9 2 2 2 2" xfId="1039"/>
    <cellStyle name="20% - 강조색4 9 2 2 3" xfId="1040"/>
    <cellStyle name="20% - 강조색4 9 2 2 4" xfId="1041"/>
    <cellStyle name="20% - 강조색4 9 2 2 5" xfId="1042"/>
    <cellStyle name="20% - 강조색4 9 2 3" xfId="1043"/>
    <cellStyle name="20% - 강조색4 9 2 3 2" xfId="1044"/>
    <cellStyle name="20% - 강조색4 9 2 4" xfId="1045"/>
    <cellStyle name="20% - 강조색4 9 2 5" xfId="1046"/>
    <cellStyle name="20% - 강조색4 9 2 6" xfId="1047"/>
    <cellStyle name="20% - 강조색4 9 3" xfId="1048"/>
    <cellStyle name="20% - 강조색4 9 3 2" xfId="1049"/>
    <cellStyle name="20% - 강조색4 9 3 2 2" xfId="1050"/>
    <cellStyle name="20% - 강조색4 9 3 3" xfId="1051"/>
    <cellStyle name="20% - 강조색4 9 3 4" xfId="1052"/>
    <cellStyle name="20% - 강조색4 9 3 5" xfId="1053"/>
    <cellStyle name="20% - 강조색5 10" xfId="1054"/>
    <cellStyle name="20% - 강조색5 10 2" xfId="1055"/>
    <cellStyle name="20% - 강조색5 10 2 2" xfId="1056"/>
    <cellStyle name="20% - 강조색5 10 2 2 2" xfId="1057"/>
    <cellStyle name="20% - 강조색5 10 2 2 2 2" xfId="1058"/>
    <cellStyle name="20% - 강조색5 10 2 2 3" xfId="1059"/>
    <cellStyle name="20% - 강조색5 10 2 2 4" xfId="1060"/>
    <cellStyle name="20% - 강조색5 10 2 2 5" xfId="1061"/>
    <cellStyle name="20% - 강조색5 10 2 3" xfId="1062"/>
    <cellStyle name="20% - 강조색5 10 2 3 2" xfId="1063"/>
    <cellStyle name="20% - 강조색5 10 2 4" xfId="1064"/>
    <cellStyle name="20% - 강조색5 10 2 5" xfId="1065"/>
    <cellStyle name="20% - 강조색5 10 2 6" xfId="1066"/>
    <cellStyle name="20% - 강조색5 10 3" xfId="1067"/>
    <cellStyle name="20% - 강조색5 10 3 2" xfId="1068"/>
    <cellStyle name="20% - 강조색5 10 3 2 2" xfId="1069"/>
    <cellStyle name="20% - 강조색5 10 3 3" xfId="1070"/>
    <cellStyle name="20% - 강조색5 10 3 4" xfId="1071"/>
    <cellStyle name="20% - 강조색5 10 3 5" xfId="1072"/>
    <cellStyle name="20% - 강조색5 11" xfId="1073"/>
    <cellStyle name="20% - 강조색5 11 2" xfId="1074"/>
    <cellStyle name="20% - 강조색5 11 2 2" xfId="1075"/>
    <cellStyle name="20% - 강조색5 11 2 2 2" xfId="1076"/>
    <cellStyle name="20% - 강조색5 11 2 2 2 2" xfId="1077"/>
    <cellStyle name="20% - 강조색5 11 2 2 3" xfId="1078"/>
    <cellStyle name="20% - 강조색5 11 2 2 4" xfId="1079"/>
    <cellStyle name="20% - 강조색5 11 2 2 5" xfId="1080"/>
    <cellStyle name="20% - 강조색5 11 2 3" xfId="1081"/>
    <cellStyle name="20% - 강조색5 11 2 3 2" xfId="1082"/>
    <cellStyle name="20% - 강조색5 11 2 4" xfId="1083"/>
    <cellStyle name="20% - 강조색5 11 2 5" xfId="1084"/>
    <cellStyle name="20% - 강조색5 11 2 6" xfId="1085"/>
    <cellStyle name="20% - 강조색5 11 3" xfId="1086"/>
    <cellStyle name="20% - 강조색5 11 3 2" xfId="1087"/>
    <cellStyle name="20% - 강조색5 11 3 2 2" xfId="1088"/>
    <cellStyle name="20% - 강조색5 11 3 3" xfId="1089"/>
    <cellStyle name="20% - 강조색5 11 3 4" xfId="1090"/>
    <cellStyle name="20% - 강조색5 11 3 5" xfId="1091"/>
    <cellStyle name="20% - 강조색5 12" xfId="1092"/>
    <cellStyle name="20% - 강조색5 12 2" xfId="1093"/>
    <cellStyle name="20% - 강조색5 12 2 2" xfId="1094"/>
    <cellStyle name="20% - 강조색5 12 2 2 2" xfId="1095"/>
    <cellStyle name="20% - 강조색5 12 2 3" xfId="1096"/>
    <cellStyle name="20% - 강조색5 12 2 4" xfId="1097"/>
    <cellStyle name="20% - 강조색5 12 2 5" xfId="1098"/>
    <cellStyle name="20% - 강조색5 13" xfId="1099"/>
    <cellStyle name="20% - 강조색5 13 2" xfId="1100"/>
    <cellStyle name="20% - 강조색5 13 2 2" xfId="1101"/>
    <cellStyle name="20% - 강조색5 13 3" xfId="1102"/>
    <cellStyle name="20% - 강조색5 13 4" xfId="1103"/>
    <cellStyle name="20% - 강조색5 13 5" xfId="1104"/>
    <cellStyle name="20% - 강조색5 14" xfId="1105"/>
    <cellStyle name="20% - 강조색5 2" xfId="1106"/>
    <cellStyle name="20% - 강조색5 2 2" xfId="1107"/>
    <cellStyle name="20% - 강조색5 2 2 2" xfId="1108"/>
    <cellStyle name="20% - 강조색5 2 2 2 2" xfId="1109"/>
    <cellStyle name="20% - 강조색5 2 2 2 2 2" xfId="1110"/>
    <cellStyle name="20% - 강조색5 2 2 2 3" xfId="1111"/>
    <cellStyle name="20% - 강조색5 2 2 2 4" xfId="1112"/>
    <cellStyle name="20% - 강조색5 2 2 2 5" xfId="1113"/>
    <cellStyle name="20% - 강조색5 2 2 3" xfId="1114"/>
    <cellStyle name="20% - 강조색5 2 2 3 2" xfId="1115"/>
    <cellStyle name="20% - 강조색5 2 2 4" xfId="1116"/>
    <cellStyle name="20% - 강조색5 2 2 5" xfId="1117"/>
    <cellStyle name="20% - 강조색5 2 2 6" xfId="1118"/>
    <cellStyle name="20% - 강조색5 2 2 7" xfId="1119"/>
    <cellStyle name="20% - 강조색5 2 3" xfId="1120"/>
    <cellStyle name="20% - 강조색5 2 3 2" xfId="1121"/>
    <cellStyle name="20% - 강조색5 2 3 2 2" xfId="1122"/>
    <cellStyle name="20% - 강조색5 2 3 3" xfId="1123"/>
    <cellStyle name="20% - 강조색5 2 3 4" xfId="1124"/>
    <cellStyle name="20% - 강조색5 2 3 5" xfId="1125"/>
    <cellStyle name="20% - 강조색5 2 3 6" xfId="1126"/>
    <cellStyle name="20% - 강조색5 2 4" xfId="1127"/>
    <cellStyle name="20% - 강조색5 3" xfId="1128"/>
    <cellStyle name="20% - 강조색5 3 2" xfId="1129"/>
    <cellStyle name="20% - 강조색5 3 2 2" xfId="1130"/>
    <cellStyle name="20% - 강조색5 3 2 2 2" xfId="1131"/>
    <cellStyle name="20% - 강조색5 3 2 2 2 2" xfId="1132"/>
    <cellStyle name="20% - 강조색5 3 2 2 3" xfId="1133"/>
    <cellStyle name="20% - 강조색5 3 2 2 4" xfId="1134"/>
    <cellStyle name="20% - 강조색5 3 2 2 5" xfId="1135"/>
    <cellStyle name="20% - 강조색5 3 2 3" xfId="1136"/>
    <cellStyle name="20% - 강조색5 3 2 3 2" xfId="1137"/>
    <cellStyle name="20% - 강조색5 3 2 4" xfId="1138"/>
    <cellStyle name="20% - 강조색5 3 2 5" xfId="1139"/>
    <cellStyle name="20% - 강조색5 3 2 6" xfId="1140"/>
    <cellStyle name="20% - 강조색5 3 3" xfId="1141"/>
    <cellStyle name="20% - 강조색5 3 3 2" xfId="1142"/>
    <cellStyle name="20% - 강조색5 3 3 2 2" xfId="1143"/>
    <cellStyle name="20% - 강조색5 3 3 3" xfId="1144"/>
    <cellStyle name="20% - 강조색5 3 3 4" xfId="1145"/>
    <cellStyle name="20% - 강조색5 3 3 5" xfId="1146"/>
    <cellStyle name="20% - 강조색5 4" xfId="1147"/>
    <cellStyle name="20% - 강조색5 4 2" xfId="1148"/>
    <cellStyle name="20% - 강조색5 4 2 2" xfId="1149"/>
    <cellStyle name="20% - 강조색5 4 2 2 2" xfId="1150"/>
    <cellStyle name="20% - 강조색5 4 2 2 2 2" xfId="1151"/>
    <cellStyle name="20% - 강조색5 4 2 2 3" xfId="1152"/>
    <cellStyle name="20% - 강조색5 4 2 2 4" xfId="1153"/>
    <cellStyle name="20% - 강조색5 4 2 2 5" xfId="1154"/>
    <cellStyle name="20% - 강조색5 4 2 3" xfId="1155"/>
    <cellStyle name="20% - 강조색5 4 2 3 2" xfId="1156"/>
    <cellStyle name="20% - 강조색5 4 2 4" xfId="1157"/>
    <cellStyle name="20% - 강조색5 4 2 5" xfId="1158"/>
    <cellStyle name="20% - 강조색5 4 2 6" xfId="1159"/>
    <cellStyle name="20% - 강조색5 4 3" xfId="1160"/>
    <cellStyle name="20% - 강조색5 4 3 2" xfId="1161"/>
    <cellStyle name="20% - 강조색5 4 3 2 2" xfId="1162"/>
    <cellStyle name="20% - 강조색5 4 3 3" xfId="1163"/>
    <cellStyle name="20% - 강조색5 4 3 4" xfId="1164"/>
    <cellStyle name="20% - 강조색5 4 3 5" xfId="1165"/>
    <cellStyle name="20% - 강조색5 5" xfId="1166"/>
    <cellStyle name="20% - 강조색5 5 2" xfId="1167"/>
    <cellStyle name="20% - 강조색5 5 2 2" xfId="1168"/>
    <cellStyle name="20% - 강조색5 5 2 2 2" xfId="1169"/>
    <cellStyle name="20% - 강조색5 5 2 2 2 2" xfId="1170"/>
    <cellStyle name="20% - 강조색5 5 2 2 3" xfId="1171"/>
    <cellStyle name="20% - 강조색5 5 2 2 4" xfId="1172"/>
    <cellStyle name="20% - 강조색5 5 2 2 5" xfId="1173"/>
    <cellStyle name="20% - 강조색5 5 2 3" xfId="1174"/>
    <cellStyle name="20% - 강조색5 5 2 3 2" xfId="1175"/>
    <cellStyle name="20% - 강조색5 5 2 4" xfId="1176"/>
    <cellStyle name="20% - 강조색5 5 2 5" xfId="1177"/>
    <cellStyle name="20% - 강조색5 5 2 6" xfId="1178"/>
    <cellStyle name="20% - 강조색5 5 3" xfId="1179"/>
    <cellStyle name="20% - 강조색5 5 3 2" xfId="1180"/>
    <cellStyle name="20% - 강조색5 5 3 2 2" xfId="1181"/>
    <cellStyle name="20% - 강조색5 5 3 3" xfId="1182"/>
    <cellStyle name="20% - 강조색5 5 3 4" xfId="1183"/>
    <cellStyle name="20% - 강조색5 5 3 5" xfId="1184"/>
    <cellStyle name="20% - 강조색5 6" xfId="1185"/>
    <cellStyle name="20% - 강조색5 6 2" xfId="1186"/>
    <cellStyle name="20% - 강조색5 6 2 2" xfId="1187"/>
    <cellStyle name="20% - 강조색5 6 2 2 2" xfId="1188"/>
    <cellStyle name="20% - 강조색5 6 2 2 2 2" xfId="1189"/>
    <cellStyle name="20% - 강조색5 6 2 2 3" xfId="1190"/>
    <cellStyle name="20% - 강조색5 6 2 2 4" xfId="1191"/>
    <cellStyle name="20% - 강조색5 6 2 2 5" xfId="1192"/>
    <cellStyle name="20% - 강조색5 6 2 3" xfId="1193"/>
    <cellStyle name="20% - 강조색5 6 2 3 2" xfId="1194"/>
    <cellStyle name="20% - 강조색5 6 2 4" xfId="1195"/>
    <cellStyle name="20% - 강조색5 6 2 5" xfId="1196"/>
    <cellStyle name="20% - 강조색5 6 2 6" xfId="1197"/>
    <cellStyle name="20% - 강조색5 6 3" xfId="1198"/>
    <cellStyle name="20% - 강조색5 6 3 2" xfId="1199"/>
    <cellStyle name="20% - 강조색5 6 3 2 2" xfId="1200"/>
    <cellStyle name="20% - 강조색5 6 3 3" xfId="1201"/>
    <cellStyle name="20% - 강조색5 6 3 4" xfId="1202"/>
    <cellStyle name="20% - 강조색5 6 3 5" xfId="1203"/>
    <cellStyle name="20% - 강조색5 7" xfId="1204"/>
    <cellStyle name="20% - 강조색5 7 2" xfId="1205"/>
    <cellStyle name="20% - 강조색5 7 2 2" xfId="1206"/>
    <cellStyle name="20% - 강조색5 7 2 2 2" xfId="1207"/>
    <cellStyle name="20% - 강조색5 7 2 2 2 2" xfId="1208"/>
    <cellStyle name="20% - 강조색5 7 2 2 3" xfId="1209"/>
    <cellStyle name="20% - 강조색5 7 2 2 4" xfId="1210"/>
    <cellStyle name="20% - 강조색5 7 2 2 5" xfId="1211"/>
    <cellStyle name="20% - 강조색5 7 2 3" xfId="1212"/>
    <cellStyle name="20% - 강조색5 7 2 3 2" xfId="1213"/>
    <cellStyle name="20% - 강조색5 7 2 4" xfId="1214"/>
    <cellStyle name="20% - 강조색5 7 2 5" xfId="1215"/>
    <cellStyle name="20% - 강조색5 7 2 6" xfId="1216"/>
    <cellStyle name="20% - 강조색5 7 3" xfId="1217"/>
    <cellStyle name="20% - 강조색5 7 3 2" xfId="1218"/>
    <cellStyle name="20% - 강조색5 7 3 2 2" xfId="1219"/>
    <cellStyle name="20% - 강조색5 7 3 3" xfId="1220"/>
    <cellStyle name="20% - 강조색5 7 3 4" xfId="1221"/>
    <cellStyle name="20% - 강조색5 7 3 5" xfId="1222"/>
    <cellStyle name="20% - 강조색5 8" xfId="1223"/>
    <cellStyle name="20% - 강조색5 8 2" xfId="1224"/>
    <cellStyle name="20% - 강조색5 8 2 2" xfId="1225"/>
    <cellStyle name="20% - 강조색5 8 2 2 2" xfId="1226"/>
    <cellStyle name="20% - 강조색5 8 2 2 2 2" xfId="1227"/>
    <cellStyle name="20% - 강조색5 8 2 2 3" xfId="1228"/>
    <cellStyle name="20% - 강조색5 8 2 2 4" xfId="1229"/>
    <cellStyle name="20% - 강조색5 8 2 2 5" xfId="1230"/>
    <cellStyle name="20% - 강조색5 8 2 3" xfId="1231"/>
    <cellStyle name="20% - 강조색5 8 2 3 2" xfId="1232"/>
    <cellStyle name="20% - 강조색5 8 2 4" xfId="1233"/>
    <cellStyle name="20% - 강조색5 8 2 5" xfId="1234"/>
    <cellStyle name="20% - 강조색5 8 2 6" xfId="1235"/>
    <cellStyle name="20% - 강조색5 8 3" xfId="1236"/>
    <cellStyle name="20% - 강조색5 8 3 2" xfId="1237"/>
    <cellStyle name="20% - 강조색5 8 3 2 2" xfId="1238"/>
    <cellStyle name="20% - 강조색5 8 3 3" xfId="1239"/>
    <cellStyle name="20% - 강조색5 8 3 4" xfId="1240"/>
    <cellStyle name="20% - 강조색5 8 3 5" xfId="1241"/>
    <cellStyle name="20% - 강조색5 9" xfId="1242"/>
    <cellStyle name="20% - 강조색5 9 2" xfId="1243"/>
    <cellStyle name="20% - 강조색5 9 2 2" xfId="1244"/>
    <cellStyle name="20% - 강조색5 9 2 2 2" xfId="1245"/>
    <cellStyle name="20% - 강조색5 9 2 2 2 2" xfId="1246"/>
    <cellStyle name="20% - 강조색5 9 2 2 3" xfId="1247"/>
    <cellStyle name="20% - 강조색5 9 2 2 4" xfId="1248"/>
    <cellStyle name="20% - 강조색5 9 2 2 5" xfId="1249"/>
    <cellStyle name="20% - 강조색5 9 2 3" xfId="1250"/>
    <cellStyle name="20% - 강조색5 9 2 3 2" xfId="1251"/>
    <cellStyle name="20% - 강조색5 9 2 4" xfId="1252"/>
    <cellStyle name="20% - 강조색5 9 2 5" xfId="1253"/>
    <cellStyle name="20% - 강조색5 9 2 6" xfId="1254"/>
    <cellStyle name="20% - 강조색5 9 3" xfId="1255"/>
    <cellStyle name="20% - 강조색5 9 3 2" xfId="1256"/>
    <cellStyle name="20% - 강조색5 9 3 2 2" xfId="1257"/>
    <cellStyle name="20% - 강조색5 9 3 3" xfId="1258"/>
    <cellStyle name="20% - 강조색5 9 3 4" xfId="1259"/>
    <cellStyle name="20% - 강조색5 9 3 5" xfId="1260"/>
    <cellStyle name="20% - 강조색6 10" xfId="1261"/>
    <cellStyle name="20% - 강조색6 10 2" xfId="1262"/>
    <cellStyle name="20% - 강조색6 10 2 2" xfId="1263"/>
    <cellStyle name="20% - 강조색6 10 2 2 2" xfId="1264"/>
    <cellStyle name="20% - 강조색6 10 2 2 2 2" xfId="1265"/>
    <cellStyle name="20% - 강조색6 10 2 2 3" xfId="1266"/>
    <cellStyle name="20% - 강조색6 10 2 2 4" xfId="1267"/>
    <cellStyle name="20% - 강조색6 10 2 2 5" xfId="1268"/>
    <cellStyle name="20% - 강조색6 10 2 3" xfId="1269"/>
    <cellStyle name="20% - 강조색6 10 2 3 2" xfId="1270"/>
    <cellStyle name="20% - 강조색6 10 2 4" xfId="1271"/>
    <cellStyle name="20% - 강조색6 10 2 5" xfId="1272"/>
    <cellStyle name="20% - 강조색6 10 2 6" xfId="1273"/>
    <cellStyle name="20% - 강조색6 10 3" xfId="1274"/>
    <cellStyle name="20% - 강조색6 10 3 2" xfId="1275"/>
    <cellStyle name="20% - 강조색6 10 3 2 2" xfId="1276"/>
    <cellStyle name="20% - 강조색6 10 3 3" xfId="1277"/>
    <cellStyle name="20% - 강조색6 10 3 4" xfId="1278"/>
    <cellStyle name="20% - 강조색6 10 3 5" xfId="1279"/>
    <cellStyle name="20% - 강조색6 11" xfId="1280"/>
    <cellStyle name="20% - 강조색6 11 2" xfId="1281"/>
    <cellStyle name="20% - 강조색6 11 2 2" xfId="1282"/>
    <cellStyle name="20% - 강조색6 11 2 2 2" xfId="1283"/>
    <cellStyle name="20% - 강조색6 11 2 2 2 2" xfId="1284"/>
    <cellStyle name="20% - 강조색6 11 2 2 3" xfId="1285"/>
    <cellStyle name="20% - 강조색6 11 2 2 4" xfId="1286"/>
    <cellStyle name="20% - 강조색6 11 2 2 5" xfId="1287"/>
    <cellStyle name="20% - 강조색6 11 2 3" xfId="1288"/>
    <cellStyle name="20% - 강조색6 11 2 3 2" xfId="1289"/>
    <cellStyle name="20% - 강조색6 11 2 4" xfId="1290"/>
    <cellStyle name="20% - 강조색6 11 2 5" xfId="1291"/>
    <cellStyle name="20% - 강조색6 11 2 6" xfId="1292"/>
    <cellStyle name="20% - 강조색6 11 3" xfId="1293"/>
    <cellStyle name="20% - 강조색6 11 3 2" xfId="1294"/>
    <cellStyle name="20% - 강조색6 11 3 2 2" xfId="1295"/>
    <cellStyle name="20% - 강조색6 11 3 3" xfId="1296"/>
    <cellStyle name="20% - 강조색6 11 3 4" xfId="1297"/>
    <cellStyle name="20% - 강조색6 11 3 5" xfId="1298"/>
    <cellStyle name="20% - 강조색6 12" xfId="1299"/>
    <cellStyle name="20% - 강조색6 12 2" xfId="1300"/>
    <cellStyle name="20% - 강조색6 12 2 2" xfId="1301"/>
    <cellStyle name="20% - 강조색6 12 2 2 2" xfId="1302"/>
    <cellStyle name="20% - 강조색6 12 2 3" xfId="1303"/>
    <cellStyle name="20% - 강조색6 12 2 4" xfId="1304"/>
    <cellStyle name="20% - 강조색6 12 2 5" xfId="1305"/>
    <cellStyle name="20% - 강조색6 13" xfId="1306"/>
    <cellStyle name="20% - 강조색6 13 2" xfId="1307"/>
    <cellStyle name="20% - 강조색6 13 2 2" xfId="1308"/>
    <cellStyle name="20% - 강조색6 13 3" xfId="1309"/>
    <cellStyle name="20% - 강조색6 13 4" xfId="1310"/>
    <cellStyle name="20% - 강조색6 13 5" xfId="1311"/>
    <cellStyle name="20% - 강조색6 14" xfId="1312"/>
    <cellStyle name="20% - 강조색6 2" xfId="1313"/>
    <cellStyle name="20% - 강조색6 2 2" xfId="1314"/>
    <cellStyle name="20% - 강조색6 2 2 2" xfId="1315"/>
    <cellStyle name="20% - 강조색6 2 2 2 2" xfId="1316"/>
    <cellStyle name="20% - 강조색6 2 2 2 2 2" xfId="1317"/>
    <cellStyle name="20% - 강조색6 2 2 2 3" xfId="1318"/>
    <cellStyle name="20% - 강조색6 2 2 2 4" xfId="1319"/>
    <cellStyle name="20% - 강조색6 2 2 2 5" xfId="1320"/>
    <cellStyle name="20% - 강조색6 2 2 3" xfId="1321"/>
    <cellStyle name="20% - 강조색6 2 2 3 2" xfId="1322"/>
    <cellStyle name="20% - 강조색6 2 2 4" xfId="1323"/>
    <cellStyle name="20% - 강조색6 2 2 5" xfId="1324"/>
    <cellStyle name="20% - 강조색6 2 2 6" xfId="1325"/>
    <cellStyle name="20% - 강조색6 2 2 7" xfId="1326"/>
    <cellStyle name="20% - 강조색6 2 3" xfId="1327"/>
    <cellStyle name="20% - 강조색6 2 3 2" xfId="1328"/>
    <cellStyle name="20% - 강조색6 2 3 2 2" xfId="1329"/>
    <cellStyle name="20% - 강조색6 2 3 3" xfId="1330"/>
    <cellStyle name="20% - 강조색6 2 3 4" xfId="1331"/>
    <cellStyle name="20% - 강조색6 2 3 5" xfId="1332"/>
    <cellStyle name="20% - 강조색6 2 4" xfId="1333"/>
    <cellStyle name="20% - 강조색6 3" xfId="1334"/>
    <cellStyle name="20% - 강조색6 3 2" xfId="1335"/>
    <cellStyle name="20% - 강조색6 3 2 2" xfId="1336"/>
    <cellStyle name="20% - 강조색6 3 2 2 2" xfId="1337"/>
    <cellStyle name="20% - 강조색6 3 2 2 2 2" xfId="1338"/>
    <cellStyle name="20% - 강조색6 3 2 2 3" xfId="1339"/>
    <cellStyle name="20% - 강조색6 3 2 2 4" xfId="1340"/>
    <cellStyle name="20% - 강조색6 3 2 2 5" xfId="1341"/>
    <cellStyle name="20% - 강조색6 3 2 3" xfId="1342"/>
    <cellStyle name="20% - 강조색6 3 2 3 2" xfId="1343"/>
    <cellStyle name="20% - 강조색6 3 2 4" xfId="1344"/>
    <cellStyle name="20% - 강조색6 3 2 5" xfId="1345"/>
    <cellStyle name="20% - 강조색6 3 2 6" xfId="1346"/>
    <cellStyle name="20% - 강조색6 3 2 7" xfId="1347"/>
    <cellStyle name="20% - 강조색6 3 3" xfId="1348"/>
    <cellStyle name="20% - 강조색6 3 3 2" xfId="1349"/>
    <cellStyle name="20% - 강조색6 3 3 2 2" xfId="1350"/>
    <cellStyle name="20% - 강조색6 3 3 3" xfId="1351"/>
    <cellStyle name="20% - 강조색6 3 3 4" xfId="1352"/>
    <cellStyle name="20% - 강조색6 3 3 5" xfId="1353"/>
    <cellStyle name="20% - 강조색6 3 4" xfId="1354"/>
    <cellStyle name="20% - 강조색6 4" xfId="1355"/>
    <cellStyle name="20% - 강조색6 4 2" xfId="1356"/>
    <cellStyle name="20% - 강조색6 4 2 2" xfId="1357"/>
    <cellStyle name="20% - 강조색6 4 2 2 2" xfId="1358"/>
    <cellStyle name="20% - 강조색6 4 2 2 2 2" xfId="1359"/>
    <cellStyle name="20% - 강조색6 4 2 2 3" xfId="1360"/>
    <cellStyle name="20% - 강조색6 4 2 2 4" xfId="1361"/>
    <cellStyle name="20% - 강조색6 4 2 2 5" xfId="1362"/>
    <cellStyle name="20% - 강조색6 4 2 3" xfId="1363"/>
    <cellStyle name="20% - 강조색6 4 2 3 2" xfId="1364"/>
    <cellStyle name="20% - 강조색6 4 2 4" xfId="1365"/>
    <cellStyle name="20% - 강조색6 4 2 5" xfId="1366"/>
    <cellStyle name="20% - 강조색6 4 2 6" xfId="1367"/>
    <cellStyle name="20% - 강조색6 4 3" xfId="1368"/>
    <cellStyle name="20% - 강조색6 4 3 2" xfId="1369"/>
    <cellStyle name="20% - 강조색6 4 3 2 2" xfId="1370"/>
    <cellStyle name="20% - 강조색6 4 3 3" xfId="1371"/>
    <cellStyle name="20% - 강조색6 4 3 4" xfId="1372"/>
    <cellStyle name="20% - 강조색6 4 3 5" xfId="1373"/>
    <cellStyle name="20% - 강조색6 5" xfId="1374"/>
    <cellStyle name="20% - 강조색6 5 2" xfId="1375"/>
    <cellStyle name="20% - 강조색6 5 2 2" xfId="1376"/>
    <cellStyle name="20% - 강조색6 5 2 2 2" xfId="1377"/>
    <cellStyle name="20% - 강조색6 5 2 2 2 2" xfId="1378"/>
    <cellStyle name="20% - 강조색6 5 2 2 3" xfId="1379"/>
    <cellStyle name="20% - 강조색6 5 2 2 4" xfId="1380"/>
    <cellStyle name="20% - 강조색6 5 2 2 5" xfId="1381"/>
    <cellStyle name="20% - 강조색6 5 2 3" xfId="1382"/>
    <cellStyle name="20% - 강조색6 5 2 3 2" xfId="1383"/>
    <cellStyle name="20% - 강조색6 5 2 4" xfId="1384"/>
    <cellStyle name="20% - 강조색6 5 2 5" xfId="1385"/>
    <cellStyle name="20% - 강조색6 5 2 6" xfId="1386"/>
    <cellStyle name="20% - 강조색6 5 3" xfId="1387"/>
    <cellStyle name="20% - 강조색6 5 3 2" xfId="1388"/>
    <cellStyle name="20% - 강조색6 5 3 2 2" xfId="1389"/>
    <cellStyle name="20% - 강조색6 5 3 3" xfId="1390"/>
    <cellStyle name="20% - 강조색6 5 3 4" xfId="1391"/>
    <cellStyle name="20% - 강조색6 5 3 5" xfId="1392"/>
    <cellStyle name="20% - 강조색6 6" xfId="1393"/>
    <cellStyle name="20% - 강조색6 6 2" xfId="1394"/>
    <cellStyle name="20% - 강조색6 6 2 2" xfId="1395"/>
    <cellStyle name="20% - 강조색6 6 2 2 2" xfId="1396"/>
    <cellStyle name="20% - 강조색6 6 2 2 2 2" xfId="1397"/>
    <cellStyle name="20% - 강조색6 6 2 2 3" xfId="1398"/>
    <cellStyle name="20% - 강조색6 6 2 2 4" xfId="1399"/>
    <cellStyle name="20% - 강조색6 6 2 2 5" xfId="1400"/>
    <cellStyle name="20% - 강조색6 6 2 3" xfId="1401"/>
    <cellStyle name="20% - 강조색6 6 2 3 2" xfId="1402"/>
    <cellStyle name="20% - 강조색6 6 2 4" xfId="1403"/>
    <cellStyle name="20% - 강조색6 6 2 5" xfId="1404"/>
    <cellStyle name="20% - 강조색6 6 2 6" xfId="1405"/>
    <cellStyle name="20% - 강조색6 6 3" xfId="1406"/>
    <cellStyle name="20% - 강조색6 6 3 2" xfId="1407"/>
    <cellStyle name="20% - 강조색6 6 3 2 2" xfId="1408"/>
    <cellStyle name="20% - 강조색6 6 3 3" xfId="1409"/>
    <cellStyle name="20% - 강조색6 6 3 4" xfId="1410"/>
    <cellStyle name="20% - 강조색6 6 3 5" xfId="1411"/>
    <cellStyle name="20% - 강조색6 7" xfId="1412"/>
    <cellStyle name="20% - 강조색6 7 2" xfId="1413"/>
    <cellStyle name="20% - 강조색6 7 2 2" xfId="1414"/>
    <cellStyle name="20% - 강조색6 7 2 2 2" xfId="1415"/>
    <cellStyle name="20% - 강조색6 7 2 2 2 2" xfId="1416"/>
    <cellStyle name="20% - 강조색6 7 2 2 3" xfId="1417"/>
    <cellStyle name="20% - 강조색6 7 2 2 4" xfId="1418"/>
    <cellStyle name="20% - 강조색6 7 2 2 5" xfId="1419"/>
    <cellStyle name="20% - 강조색6 7 2 3" xfId="1420"/>
    <cellStyle name="20% - 강조색6 7 2 3 2" xfId="1421"/>
    <cellStyle name="20% - 강조색6 7 2 4" xfId="1422"/>
    <cellStyle name="20% - 강조색6 7 2 5" xfId="1423"/>
    <cellStyle name="20% - 강조색6 7 2 6" xfId="1424"/>
    <cellStyle name="20% - 강조색6 7 3" xfId="1425"/>
    <cellStyle name="20% - 강조색6 7 3 2" xfId="1426"/>
    <cellStyle name="20% - 강조색6 7 3 2 2" xfId="1427"/>
    <cellStyle name="20% - 강조색6 7 3 3" xfId="1428"/>
    <cellStyle name="20% - 강조색6 7 3 4" xfId="1429"/>
    <cellStyle name="20% - 강조색6 7 3 5" xfId="1430"/>
    <cellStyle name="20% - 강조색6 8" xfId="1431"/>
    <cellStyle name="20% - 강조색6 8 2" xfId="1432"/>
    <cellStyle name="20% - 강조색6 8 2 2" xfId="1433"/>
    <cellStyle name="20% - 강조색6 8 2 2 2" xfId="1434"/>
    <cellStyle name="20% - 강조색6 8 2 2 2 2" xfId="1435"/>
    <cellStyle name="20% - 강조색6 8 2 2 3" xfId="1436"/>
    <cellStyle name="20% - 강조색6 8 2 2 4" xfId="1437"/>
    <cellStyle name="20% - 강조색6 8 2 2 5" xfId="1438"/>
    <cellStyle name="20% - 강조색6 8 2 3" xfId="1439"/>
    <cellStyle name="20% - 강조색6 8 2 3 2" xfId="1440"/>
    <cellStyle name="20% - 강조색6 8 2 4" xfId="1441"/>
    <cellStyle name="20% - 강조색6 8 2 5" xfId="1442"/>
    <cellStyle name="20% - 강조색6 8 2 6" xfId="1443"/>
    <cellStyle name="20% - 강조색6 8 3" xfId="1444"/>
    <cellStyle name="20% - 강조색6 8 3 2" xfId="1445"/>
    <cellStyle name="20% - 강조색6 8 3 2 2" xfId="1446"/>
    <cellStyle name="20% - 강조색6 8 3 3" xfId="1447"/>
    <cellStyle name="20% - 강조색6 8 3 4" xfId="1448"/>
    <cellStyle name="20% - 강조색6 8 3 5" xfId="1449"/>
    <cellStyle name="20% - 강조색6 9" xfId="1450"/>
    <cellStyle name="20% - 강조색6 9 2" xfId="1451"/>
    <cellStyle name="20% - 강조색6 9 2 2" xfId="1452"/>
    <cellStyle name="20% - 강조색6 9 2 2 2" xfId="1453"/>
    <cellStyle name="20% - 강조색6 9 2 2 2 2" xfId="1454"/>
    <cellStyle name="20% - 강조색6 9 2 2 3" xfId="1455"/>
    <cellStyle name="20% - 강조색6 9 2 2 4" xfId="1456"/>
    <cellStyle name="20% - 강조색6 9 2 2 5" xfId="1457"/>
    <cellStyle name="20% - 강조색6 9 2 3" xfId="1458"/>
    <cellStyle name="20% - 강조색6 9 2 3 2" xfId="1459"/>
    <cellStyle name="20% - 강조색6 9 2 4" xfId="1460"/>
    <cellStyle name="20% - 강조색6 9 2 5" xfId="1461"/>
    <cellStyle name="20% - 강조색6 9 2 6" xfId="1462"/>
    <cellStyle name="20% - 강조색6 9 3" xfId="1463"/>
    <cellStyle name="20% - 강조색6 9 3 2" xfId="1464"/>
    <cellStyle name="20% - 강조색6 9 3 2 2" xfId="1465"/>
    <cellStyle name="20% - 강조색6 9 3 3" xfId="1466"/>
    <cellStyle name="20% - 강조색6 9 3 4" xfId="1467"/>
    <cellStyle name="20% - 강조색6 9 3 5" xfId="1468"/>
    <cellStyle name="3" xfId="1469"/>
    <cellStyle name="3_견적사양" xfId="1470"/>
    <cellStyle name="3_견적사양(10.25 추손)..." xfId="1471"/>
    <cellStyle name="3_견적사양-1" xfId="1472"/>
    <cellStyle name="3_견적사양3" xfId="1473"/>
    <cellStyle name="3_견적사양3(추손)" xfId="1474"/>
    <cellStyle name="3_견적서(POSCO제출용)" xfId="1475"/>
    <cellStyle name="3_견적서(원가)" xfId="1476"/>
    <cellStyle name="3_산#2-2설비별기본물량산출 집계 " xfId="1477"/>
    <cellStyle name="3_산#2-2설비별기본물량산출 집계 _20DECANT-A" xfId="1478"/>
    <cellStyle name="3_산#2-2설비별기본물량산출 집계 _20DECANT-C" xfId="1479"/>
    <cellStyle name="3_산#2-2설비별기본물량산출 집계 _20DECANT-사양서" xfId="1480"/>
    <cellStyle name="3_산#2-2설비별기본물량산출 집계 _b" xfId="1481"/>
    <cellStyle name="3_산#2-2설비별기본물량산출 집계 _화4-2기" xfId="1482"/>
    <cellStyle name="3_산#2-2설비별기본물량산출 집계 _화4기" xfId="1483"/>
    <cellStyle name="3_산#7-5 비파괴검사(RT) " xfId="1484"/>
    <cellStyle name="3_산세약품소요량 " xfId="1485"/>
    <cellStyle name="3_산세약품소요량 _20DECANT-A" xfId="1486"/>
    <cellStyle name="3_산세약품소요량 _20DECANT-C" xfId="1487"/>
    <cellStyle name="3_산세약품소요량 _20DECANT-사양서" xfId="1488"/>
    <cellStyle name="3_산세약품소요량 _b" xfId="1489"/>
    <cellStyle name="3_산세약품소요량 _화4-2기" xfId="1490"/>
    <cellStyle name="3_산세약품소요량 _화4기" xfId="1491"/>
    <cellStyle name="3_재질 U-COM UP GRADE견적내역" xfId="1492"/>
    <cellStyle name="3_포스콘U-COM UP GRADE견적('03.04.26)정철호" xfId="1493"/>
    <cellStyle name="40% - Accent1" xfId="1494"/>
    <cellStyle name="40% - Accent1 2" xfId="1495"/>
    <cellStyle name="40% - Accent1 2 2" xfId="1496"/>
    <cellStyle name="40% - Accent1 3" xfId="1497"/>
    <cellStyle name="40% - Accent1 4" xfId="1498"/>
    <cellStyle name="40% - Accent1 5" xfId="1499"/>
    <cellStyle name="40% - Accent1 6" xfId="1500"/>
    <cellStyle name="40% - Accent2" xfId="1501"/>
    <cellStyle name="40% - Accent2 2" xfId="1502"/>
    <cellStyle name="40% - Accent2 2 2" xfId="1503"/>
    <cellStyle name="40% - Accent2 3" xfId="1504"/>
    <cellStyle name="40% - Accent2 4" xfId="1505"/>
    <cellStyle name="40% - Accent2 5" xfId="1506"/>
    <cellStyle name="40% - Accent2 6" xfId="1507"/>
    <cellStyle name="40% - Accent3" xfId="1508"/>
    <cellStyle name="40% - Accent3 2" xfId="1509"/>
    <cellStyle name="40% - Accent3 2 2" xfId="1510"/>
    <cellStyle name="40% - Accent3 3" xfId="1511"/>
    <cellStyle name="40% - Accent3 4" xfId="1512"/>
    <cellStyle name="40% - Accent3 5" xfId="1513"/>
    <cellStyle name="40% - Accent3 6" xfId="1514"/>
    <cellStyle name="40% - Accent4" xfId="1515"/>
    <cellStyle name="40% - Accent4 2" xfId="1516"/>
    <cellStyle name="40% - Accent4 2 2" xfId="1517"/>
    <cellStyle name="40% - Accent4 3" xfId="1518"/>
    <cellStyle name="40% - Accent4 4" xfId="1519"/>
    <cellStyle name="40% - Accent4 5" xfId="1520"/>
    <cellStyle name="40% - Accent4 6" xfId="1521"/>
    <cellStyle name="40% - Accent5" xfId="1522"/>
    <cellStyle name="40% - Accent5 2" xfId="1523"/>
    <cellStyle name="40% - Accent5 2 2" xfId="1524"/>
    <cellStyle name="40% - Accent5 3" xfId="1525"/>
    <cellStyle name="40% - Accent5 4" xfId="1526"/>
    <cellStyle name="40% - Accent5 5" xfId="1527"/>
    <cellStyle name="40% - Accent5 6" xfId="1528"/>
    <cellStyle name="40% - Accent6" xfId="1529"/>
    <cellStyle name="40% - Accent6 2" xfId="1530"/>
    <cellStyle name="40% - Accent6 2 2" xfId="1531"/>
    <cellStyle name="40% - Accent6 3" xfId="1532"/>
    <cellStyle name="40% - Accent6 4" xfId="1533"/>
    <cellStyle name="40% - Accent6 5" xfId="1534"/>
    <cellStyle name="40% - Accent6 6" xfId="1535"/>
    <cellStyle name="40% - Colore 1" xfId="1536"/>
    <cellStyle name="40% - Colore 1 2" xfId="1537"/>
    <cellStyle name="40% - Colore 2" xfId="1538"/>
    <cellStyle name="40% - Colore 2 2" xfId="1539"/>
    <cellStyle name="40% - Colore 3" xfId="1540"/>
    <cellStyle name="40% - Colore 3 2" xfId="1541"/>
    <cellStyle name="40% - Colore 4" xfId="1542"/>
    <cellStyle name="40% - Colore 4 2" xfId="1543"/>
    <cellStyle name="40% - Colore 5" xfId="1544"/>
    <cellStyle name="40% - Colore 5 2" xfId="1545"/>
    <cellStyle name="40% - Colore 6" xfId="1546"/>
    <cellStyle name="40% - Colore 6 2" xfId="1547"/>
    <cellStyle name="40% - 强调文字颜色 1" xfId="1548"/>
    <cellStyle name="40% - 强调文字颜色 1 2" xfId="1549"/>
    <cellStyle name="40% - 强调文字颜色 1 2 2" xfId="1550"/>
    <cellStyle name="40% - 强调文字颜色 1 3" xfId="1551"/>
    <cellStyle name="40% - 强调文字颜色 2" xfId="1552"/>
    <cellStyle name="40% - 强调文字颜色 2 2" xfId="1553"/>
    <cellStyle name="40% - 强调文字颜色 2 2 2" xfId="1554"/>
    <cellStyle name="40% - 强调文字颜色 2 3" xfId="1555"/>
    <cellStyle name="40% - 强调文字颜色 3" xfId="1556"/>
    <cellStyle name="40% - 强调文字颜色 3 2" xfId="1557"/>
    <cellStyle name="40% - 强调文字颜色 3 2 2" xfId="1558"/>
    <cellStyle name="40% - 强调文字颜色 3 3" xfId="1559"/>
    <cellStyle name="40% - 强调文字颜色 4" xfId="1560"/>
    <cellStyle name="40% - 强调文字颜色 4 2" xfId="1561"/>
    <cellStyle name="40% - 强调文字颜色 4 2 2" xfId="1562"/>
    <cellStyle name="40% - 强调文字颜色 4 3" xfId="1563"/>
    <cellStyle name="40% - 强调文字颜色 5" xfId="1564"/>
    <cellStyle name="40% - 强调文字颜色 5 2" xfId="1565"/>
    <cellStyle name="40% - 强调文字颜色 5 2 2" xfId="1566"/>
    <cellStyle name="40% - 强调文字颜色 5 3" xfId="1567"/>
    <cellStyle name="40% - 强调文字颜色 6" xfId="1568"/>
    <cellStyle name="40% - 强调文字颜色 6 2" xfId="1569"/>
    <cellStyle name="40% - 强调文字颜色 6 2 2" xfId="1570"/>
    <cellStyle name="40% - 强调文字颜色 6 3" xfId="1571"/>
    <cellStyle name="40% - 강조색1 10" xfId="1572"/>
    <cellStyle name="40% - 강조색1 10 2" xfId="1573"/>
    <cellStyle name="40% - 강조색1 10 2 2" xfId="1574"/>
    <cellStyle name="40% - 강조색1 10 2 2 2" xfId="1575"/>
    <cellStyle name="40% - 강조색1 10 2 2 2 2" xfId="1576"/>
    <cellStyle name="40% - 강조색1 10 2 2 3" xfId="1577"/>
    <cellStyle name="40% - 강조색1 10 2 2 4" xfId="1578"/>
    <cellStyle name="40% - 강조색1 10 2 2 5" xfId="1579"/>
    <cellStyle name="40% - 강조색1 10 2 3" xfId="1580"/>
    <cellStyle name="40% - 강조색1 10 2 3 2" xfId="1581"/>
    <cellStyle name="40% - 강조색1 10 2 4" xfId="1582"/>
    <cellStyle name="40% - 강조색1 10 2 5" xfId="1583"/>
    <cellStyle name="40% - 강조색1 10 2 6" xfId="1584"/>
    <cellStyle name="40% - 강조색1 10 3" xfId="1585"/>
    <cellStyle name="40% - 강조색1 10 3 2" xfId="1586"/>
    <cellStyle name="40% - 강조색1 10 3 2 2" xfId="1587"/>
    <cellStyle name="40% - 강조색1 10 3 3" xfId="1588"/>
    <cellStyle name="40% - 강조색1 10 3 4" xfId="1589"/>
    <cellStyle name="40% - 강조색1 10 3 5" xfId="1590"/>
    <cellStyle name="40% - 강조색1 11" xfId="1591"/>
    <cellStyle name="40% - 강조색1 11 2" xfId="1592"/>
    <cellStyle name="40% - 강조색1 11 2 2" xfId="1593"/>
    <cellStyle name="40% - 강조색1 11 2 2 2" xfId="1594"/>
    <cellStyle name="40% - 강조색1 11 2 2 2 2" xfId="1595"/>
    <cellStyle name="40% - 강조색1 11 2 2 3" xfId="1596"/>
    <cellStyle name="40% - 강조색1 11 2 2 4" xfId="1597"/>
    <cellStyle name="40% - 강조색1 11 2 2 5" xfId="1598"/>
    <cellStyle name="40% - 강조색1 11 2 3" xfId="1599"/>
    <cellStyle name="40% - 강조색1 11 2 3 2" xfId="1600"/>
    <cellStyle name="40% - 강조색1 11 2 4" xfId="1601"/>
    <cellStyle name="40% - 강조색1 11 2 5" xfId="1602"/>
    <cellStyle name="40% - 강조색1 11 2 6" xfId="1603"/>
    <cellStyle name="40% - 강조색1 11 3" xfId="1604"/>
    <cellStyle name="40% - 강조색1 11 3 2" xfId="1605"/>
    <cellStyle name="40% - 강조색1 11 3 2 2" xfId="1606"/>
    <cellStyle name="40% - 강조색1 11 3 3" xfId="1607"/>
    <cellStyle name="40% - 강조색1 11 3 4" xfId="1608"/>
    <cellStyle name="40% - 강조색1 11 3 5" xfId="1609"/>
    <cellStyle name="40% - 강조색1 12" xfId="1610"/>
    <cellStyle name="40% - 강조색1 12 2" xfId="1611"/>
    <cellStyle name="40% - 강조색1 12 2 2" xfId="1612"/>
    <cellStyle name="40% - 강조색1 12 2 2 2" xfId="1613"/>
    <cellStyle name="40% - 강조색1 12 2 3" xfId="1614"/>
    <cellStyle name="40% - 강조색1 12 2 4" xfId="1615"/>
    <cellStyle name="40% - 강조색1 12 2 5" xfId="1616"/>
    <cellStyle name="40% - 강조색1 13" xfId="1617"/>
    <cellStyle name="40% - 강조색1 13 2" xfId="1618"/>
    <cellStyle name="40% - 강조색1 13 2 2" xfId="1619"/>
    <cellStyle name="40% - 강조색1 13 3" xfId="1620"/>
    <cellStyle name="40% - 강조색1 13 4" xfId="1621"/>
    <cellStyle name="40% - 강조색1 13 5" xfId="1622"/>
    <cellStyle name="40% - 강조색1 14" xfId="1623"/>
    <cellStyle name="40% - 강조색1 2" xfId="1624"/>
    <cellStyle name="40% - 강조색1 2 2" xfId="1625"/>
    <cellStyle name="40% - 강조색1 2 2 2" xfId="1626"/>
    <cellStyle name="40% - 강조색1 2 2 2 2" xfId="1627"/>
    <cellStyle name="40% - 강조색1 2 2 2 2 2" xfId="1628"/>
    <cellStyle name="40% - 강조색1 2 2 2 3" xfId="1629"/>
    <cellStyle name="40% - 강조색1 2 2 2 4" xfId="1630"/>
    <cellStyle name="40% - 강조색1 2 2 2 5" xfId="1631"/>
    <cellStyle name="40% - 강조색1 2 2 3" xfId="1632"/>
    <cellStyle name="40% - 강조색1 2 2 3 2" xfId="1633"/>
    <cellStyle name="40% - 강조색1 2 2 4" xfId="1634"/>
    <cellStyle name="40% - 강조색1 2 2 5" xfId="1635"/>
    <cellStyle name="40% - 강조색1 2 2 6" xfId="1636"/>
    <cellStyle name="40% - 강조색1 2 2 7" xfId="1637"/>
    <cellStyle name="40% - 강조색1 2 3" xfId="1638"/>
    <cellStyle name="40% - 강조색1 2 3 2" xfId="1639"/>
    <cellStyle name="40% - 강조색1 2 3 2 2" xfId="1640"/>
    <cellStyle name="40% - 강조색1 2 3 3" xfId="1641"/>
    <cellStyle name="40% - 강조색1 2 3 4" xfId="1642"/>
    <cellStyle name="40% - 강조색1 2 3 5" xfId="1643"/>
    <cellStyle name="40% - 강조색1 2 4" xfId="1644"/>
    <cellStyle name="40% - 강조색1 3" xfId="1645"/>
    <cellStyle name="40% - 강조색1 3 2" xfId="1646"/>
    <cellStyle name="40% - 강조색1 3 2 2" xfId="1647"/>
    <cellStyle name="40% - 강조색1 3 2 2 2" xfId="1648"/>
    <cellStyle name="40% - 강조색1 3 2 2 2 2" xfId="1649"/>
    <cellStyle name="40% - 강조색1 3 2 2 3" xfId="1650"/>
    <cellStyle name="40% - 강조색1 3 2 2 4" xfId="1651"/>
    <cellStyle name="40% - 강조색1 3 2 2 5" xfId="1652"/>
    <cellStyle name="40% - 강조색1 3 2 3" xfId="1653"/>
    <cellStyle name="40% - 강조색1 3 2 3 2" xfId="1654"/>
    <cellStyle name="40% - 강조색1 3 2 4" xfId="1655"/>
    <cellStyle name="40% - 강조색1 3 2 5" xfId="1656"/>
    <cellStyle name="40% - 강조색1 3 2 6" xfId="1657"/>
    <cellStyle name="40% - 강조색1 3 2 7" xfId="1658"/>
    <cellStyle name="40% - 강조색1 3 3" xfId="1659"/>
    <cellStyle name="40% - 강조색1 3 3 2" xfId="1660"/>
    <cellStyle name="40% - 강조색1 3 3 2 2" xfId="1661"/>
    <cellStyle name="40% - 강조색1 3 3 3" xfId="1662"/>
    <cellStyle name="40% - 강조색1 3 3 4" xfId="1663"/>
    <cellStyle name="40% - 강조색1 3 3 5" xfId="1664"/>
    <cellStyle name="40% - 강조색1 3 4" xfId="1665"/>
    <cellStyle name="40% - 강조색1 4" xfId="1666"/>
    <cellStyle name="40% - 강조색1 4 2" xfId="1667"/>
    <cellStyle name="40% - 강조색1 4 2 2" xfId="1668"/>
    <cellStyle name="40% - 강조색1 4 2 2 2" xfId="1669"/>
    <cellStyle name="40% - 강조색1 4 2 2 2 2" xfId="1670"/>
    <cellStyle name="40% - 강조색1 4 2 2 3" xfId="1671"/>
    <cellStyle name="40% - 강조색1 4 2 2 4" xfId="1672"/>
    <cellStyle name="40% - 강조색1 4 2 2 5" xfId="1673"/>
    <cellStyle name="40% - 강조색1 4 2 3" xfId="1674"/>
    <cellStyle name="40% - 강조색1 4 2 3 2" xfId="1675"/>
    <cellStyle name="40% - 강조색1 4 2 4" xfId="1676"/>
    <cellStyle name="40% - 강조색1 4 2 5" xfId="1677"/>
    <cellStyle name="40% - 강조색1 4 2 6" xfId="1678"/>
    <cellStyle name="40% - 강조색1 4 3" xfId="1679"/>
    <cellStyle name="40% - 강조색1 4 3 2" xfId="1680"/>
    <cellStyle name="40% - 강조색1 4 3 2 2" xfId="1681"/>
    <cellStyle name="40% - 강조색1 4 3 3" xfId="1682"/>
    <cellStyle name="40% - 강조색1 4 3 4" xfId="1683"/>
    <cellStyle name="40% - 강조색1 4 3 5" xfId="1684"/>
    <cellStyle name="40% - 강조색1 5" xfId="1685"/>
    <cellStyle name="40% - 강조색1 5 2" xfId="1686"/>
    <cellStyle name="40% - 강조색1 5 2 2" xfId="1687"/>
    <cellStyle name="40% - 강조색1 5 2 2 2" xfId="1688"/>
    <cellStyle name="40% - 강조색1 5 2 2 2 2" xfId="1689"/>
    <cellStyle name="40% - 강조색1 5 2 2 3" xfId="1690"/>
    <cellStyle name="40% - 강조색1 5 2 2 4" xfId="1691"/>
    <cellStyle name="40% - 강조색1 5 2 2 5" xfId="1692"/>
    <cellStyle name="40% - 강조색1 5 2 3" xfId="1693"/>
    <cellStyle name="40% - 강조색1 5 2 3 2" xfId="1694"/>
    <cellStyle name="40% - 강조색1 5 2 4" xfId="1695"/>
    <cellStyle name="40% - 강조색1 5 2 5" xfId="1696"/>
    <cellStyle name="40% - 강조색1 5 2 6" xfId="1697"/>
    <cellStyle name="40% - 강조색1 5 3" xfId="1698"/>
    <cellStyle name="40% - 강조색1 5 3 2" xfId="1699"/>
    <cellStyle name="40% - 강조색1 5 3 2 2" xfId="1700"/>
    <cellStyle name="40% - 강조색1 5 3 3" xfId="1701"/>
    <cellStyle name="40% - 강조색1 5 3 4" xfId="1702"/>
    <cellStyle name="40% - 강조색1 5 3 5" xfId="1703"/>
    <cellStyle name="40% - 강조색1 6" xfId="1704"/>
    <cellStyle name="40% - 강조색1 6 2" xfId="1705"/>
    <cellStyle name="40% - 강조색1 6 2 2" xfId="1706"/>
    <cellStyle name="40% - 강조색1 6 2 2 2" xfId="1707"/>
    <cellStyle name="40% - 강조색1 6 2 2 2 2" xfId="1708"/>
    <cellStyle name="40% - 강조색1 6 2 2 3" xfId="1709"/>
    <cellStyle name="40% - 강조색1 6 2 2 4" xfId="1710"/>
    <cellStyle name="40% - 강조색1 6 2 2 5" xfId="1711"/>
    <cellStyle name="40% - 강조색1 6 2 3" xfId="1712"/>
    <cellStyle name="40% - 강조색1 6 2 3 2" xfId="1713"/>
    <cellStyle name="40% - 강조색1 6 2 4" xfId="1714"/>
    <cellStyle name="40% - 강조색1 6 2 5" xfId="1715"/>
    <cellStyle name="40% - 강조색1 6 2 6" xfId="1716"/>
    <cellStyle name="40% - 강조색1 6 3" xfId="1717"/>
    <cellStyle name="40% - 강조색1 6 3 2" xfId="1718"/>
    <cellStyle name="40% - 강조색1 6 3 2 2" xfId="1719"/>
    <cellStyle name="40% - 강조색1 6 3 3" xfId="1720"/>
    <cellStyle name="40% - 강조색1 6 3 4" xfId="1721"/>
    <cellStyle name="40% - 강조색1 6 3 5" xfId="1722"/>
    <cellStyle name="40% - 강조색1 7" xfId="1723"/>
    <cellStyle name="40% - 강조색1 7 2" xfId="1724"/>
    <cellStyle name="40% - 강조색1 7 2 2" xfId="1725"/>
    <cellStyle name="40% - 강조색1 7 2 2 2" xfId="1726"/>
    <cellStyle name="40% - 강조색1 7 2 2 2 2" xfId="1727"/>
    <cellStyle name="40% - 강조색1 7 2 2 3" xfId="1728"/>
    <cellStyle name="40% - 강조색1 7 2 2 4" xfId="1729"/>
    <cellStyle name="40% - 강조색1 7 2 2 5" xfId="1730"/>
    <cellStyle name="40% - 강조색1 7 2 3" xfId="1731"/>
    <cellStyle name="40% - 강조색1 7 2 3 2" xfId="1732"/>
    <cellStyle name="40% - 강조색1 7 2 4" xfId="1733"/>
    <cellStyle name="40% - 강조색1 7 2 5" xfId="1734"/>
    <cellStyle name="40% - 강조색1 7 2 6" xfId="1735"/>
    <cellStyle name="40% - 강조색1 7 3" xfId="1736"/>
    <cellStyle name="40% - 강조색1 7 3 2" xfId="1737"/>
    <cellStyle name="40% - 강조색1 7 3 2 2" xfId="1738"/>
    <cellStyle name="40% - 강조색1 7 3 3" xfId="1739"/>
    <cellStyle name="40% - 강조색1 7 3 4" xfId="1740"/>
    <cellStyle name="40% - 강조색1 7 3 5" xfId="1741"/>
    <cellStyle name="40% - 강조색1 8" xfId="1742"/>
    <cellStyle name="40% - 강조색1 8 2" xfId="1743"/>
    <cellStyle name="40% - 강조색1 8 2 2" xfId="1744"/>
    <cellStyle name="40% - 강조색1 8 2 2 2" xfId="1745"/>
    <cellStyle name="40% - 강조색1 8 2 2 2 2" xfId="1746"/>
    <cellStyle name="40% - 강조색1 8 2 2 3" xfId="1747"/>
    <cellStyle name="40% - 강조색1 8 2 2 4" xfId="1748"/>
    <cellStyle name="40% - 강조색1 8 2 2 5" xfId="1749"/>
    <cellStyle name="40% - 강조색1 8 2 3" xfId="1750"/>
    <cellStyle name="40% - 강조색1 8 2 3 2" xfId="1751"/>
    <cellStyle name="40% - 강조색1 8 2 4" xfId="1752"/>
    <cellStyle name="40% - 강조색1 8 2 5" xfId="1753"/>
    <cellStyle name="40% - 강조색1 8 2 6" xfId="1754"/>
    <cellStyle name="40% - 강조색1 8 3" xfId="1755"/>
    <cellStyle name="40% - 강조색1 8 3 2" xfId="1756"/>
    <cellStyle name="40% - 강조색1 8 3 2 2" xfId="1757"/>
    <cellStyle name="40% - 강조색1 8 3 3" xfId="1758"/>
    <cellStyle name="40% - 강조색1 8 3 4" xfId="1759"/>
    <cellStyle name="40% - 강조색1 8 3 5" xfId="1760"/>
    <cellStyle name="40% - 강조색1 9" xfId="1761"/>
    <cellStyle name="40% - 강조색1 9 2" xfId="1762"/>
    <cellStyle name="40% - 강조색1 9 2 2" xfId="1763"/>
    <cellStyle name="40% - 강조색1 9 2 2 2" xfId="1764"/>
    <cellStyle name="40% - 강조색1 9 2 2 2 2" xfId="1765"/>
    <cellStyle name="40% - 강조색1 9 2 2 3" xfId="1766"/>
    <cellStyle name="40% - 강조색1 9 2 2 4" xfId="1767"/>
    <cellStyle name="40% - 강조색1 9 2 2 5" xfId="1768"/>
    <cellStyle name="40% - 강조색1 9 2 3" xfId="1769"/>
    <cellStyle name="40% - 강조색1 9 2 3 2" xfId="1770"/>
    <cellStyle name="40% - 강조색1 9 2 4" xfId="1771"/>
    <cellStyle name="40% - 강조색1 9 2 5" xfId="1772"/>
    <cellStyle name="40% - 강조색1 9 2 6" xfId="1773"/>
    <cellStyle name="40% - 강조색1 9 3" xfId="1774"/>
    <cellStyle name="40% - 강조색1 9 3 2" xfId="1775"/>
    <cellStyle name="40% - 강조색1 9 3 2 2" xfId="1776"/>
    <cellStyle name="40% - 강조색1 9 3 3" xfId="1777"/>
    <cellStyle name="40% - 강조색1 9 3 4" xfId="1778"/>
    <cellStyle name="40% - 강조색1 9 3 5" xfId="1779"/>
    <cellStyle name="40% - 강조색2 10" xfId="1780"/>
    <cellStyle name="40% - 강조색2 10 2" xfId="1781"/>
    <cellStyle name="40% - 강조색2 10 2 2" xfId="1782"/>
    <cellStyle name="40% - 강조색2 10 2 2 2" xfId="1783"/>
    <cellStyle name="40% - 강조색2 10 2 2 2 2" xfId="1784"/>
    <cellStyle name="40% - 강조색2 10 2 2 3" xfId="1785"/>
    <cellStyle name="40% - 강조색2 10 2 2 4" xfId="1786"/>
    <cellStyle name="40% - 강조색2 10 2 2 5" xfId="1787"/>
    <cellStyle name="40% - 강조색2 10 2 3" xfId="1788"/>
    <cellStyle name="40% - 강조색2 10 2 3 2" xfId="1789"/>
    <cellStyle name="40% - 강조색2 10 2 4" xfId="1790"/>
    <cellStyle name="40% - 강조색2 10 2 5" xfId="1791"/>
    <cellStyle name="40% - 강조색2 10 2 6" xfId="1792"/>
    <cellStyle name="40% - 강조색2 10 3" xfId="1793"/>
    <cellStyle name="40% - 강조색2 10 3 2" xfId="1794"/>
    <cellStyle name="40% - 강조색2 10 3 2 2" xfId="1795"/>
    <cellStyle name="40% - 강조색2 10 3 3" xfId="1796"/>
    <cellStyle name="40% - 강조색2 10 3 4" xfId="1797"/>
    <cellStyle name="40% - 강조색2 10 3 5" xfId="1798"/>
    <cellStyle name="40% - 강조색2 11" xfId="1799"/>
    <cellStyle name="40% - 강조색2 11 2" xfId="1800"/>
    <cellStyle name="40% - 강조색2 11 2 2" xfId="1801"/>
    <cellStyle name="40% - 강조색2 11 2 2 2" xfId="1802"/>
    <cellStyle name="40% - 강조색2 11 2 2 2 2" xfId="1803"/>
    <cellStyle name="40% - 강조색2 11 2 2 3" xfId="1804"/>
    <cellStyle name="40% - 강조색2 11 2 2 4" xfId="1805"/>
    <cellStyle name="40% - 강조색2 11 2 2 5" xfId="1806"/>
    <cellStyle name="40% - 강조색2 11 2 3" xfId="1807"/>
    <cellStyle name="40% - 강조색2 11 2 3 2" xfId="1808"/>
    <cellStyle name="40% - 강조색2 11 2 4" xfId="1809"/>
    <cellStyle name="40% - 강조색2 11 2 5" xfId="1810"/>
    <cellStyle name="40% - 강조색2 11 2 6" xfId="1811"/>
    <cellStyle name="40% - 강조색2 11 3" xfId="1812"/>
    <cellStyle name="40% - 강조색2 11 3 2" xfId="1813"/>
    <cellStyle name="40% - 강조색2 11 3 2 2" xfId="1814"/>
    <cellStyle name="40% - 강조색2 11 3 3" xfId="1815"/>
    <cellStyle name="40% - 강조색2 11 3 4" xfId="1816"/>
    <cellStyle name="40% - 강조색2 11 3 5" xfId="1817"/>
    <cellStyle name="40% - 강조색2 12" xfId="1818"/>
    <cellStyle name="40% - 강조색2 12 2" xfId="1819"/>
    <cellStyle name="40% - 강조색2 12 2 2" xfId="1820"/>
    <cellStyle name="40% - 강조색2 12 2 2 2" xfId="1821"/>
    <cellStyle name="40% - 강조색2 12 2 3" xfId="1822"/>
    <cellStyle name="40% - 강조색2 12 2 4" xfId="1823"/>
    <cellStyle name="40% - 강조색2 12 2 5" xfId="1824"/>
    <cellStyle name="40% - 강조색2 13" xfId="1825"/>
    <cellStyle name="40% - 강조색2 13 2" xfId="1826"/>
    <cellStyle name="40% - 강조색2 13 2 2" xfId="1827"/>
    <cellStyle name="40% - 강조색2 13 3" xfId="1828"/>
    <cellStyle name="40% - 강조색2 13 4" xfId="1829"/>
    <cellStyle name="40% - 강조색2 13 5" xfId="1830"/>
    <cellStyle name="40% - 강조색2 14" xfId="1831"/>
    <cellStyle name="40% - 강조색2 2" xfId="1832"/>
    <cellStyle name="40% - 강조색2 2 2" xfId="1833"/>
    <cellStyle name="40% - 강조색2 2 2 2" xfId="1834"/>
    <cellStyle name="40% - 강조색2 2 2 2 2" xfId="1835"/>
    <cellStyle name="40% - 강조색2 2 2 2 2 2" xfId="1836"/>
    <cellStyle name="40% - 강조색2 2 2 2 3" xfId="1837"/>
    <cellStyle name="40% - 강조색2 2 2 2 4" xfId="1838"/>
    <cellStyle name="40% - 강조색2 2 2 2 5" xfId="1839"/>
    <cellStyle name="40% - 강조색2 2 2 3" xfId="1840"/>
    <cellStyle name="40% - 강조색2 2 2 3 2" xfId="1841"/>
    <cellStyle name="40% - 강조색2 2 2 4" xfId="1842"/>
    <cellStyle name="40% - 강조색2 2 2 5" xfId="1843"/>
    <cellStyle name="40% - 강조색2 2 2 6" xfId="1844"/>
    <cellStyle name="40% - 강조색2 2 2 7" xfId="1845"/>
    <cellStyle name="40% - 강조색2 2 3" xfId="1846"/>
    <cellStyle name="40% - 강조색2 2 3 2" xfId="1847"/>
    <cellStyle name="40% - 강조색2 2 3 2 2" xfId="1848"/>
    <cellStyle name="40% - 강조색2 2 3 3" xfId="1849"/>
    <cellStyle name="40% - 강조색2 2 3 4" xfId="1850"/>
    <cellStyle name="40% - 강조색2 2 3 5" xfId="1851"/>
    <cellStyle name="40% - 강조색2 2 3 6" xfId="1852"/>
    <cellStyle name="40% - 강조색2 2 4" xfId="1853"/>
    <cellStyle name="40% - 강조색2 3" xfId="1854"/>
    <cellStyle name="40% - 강조색2 3 2" xfId="1855"/>
    <cellStyle name="40% - 강조색2 3 2 2" xfId="1856"/>
    <cellStyle name="40% - 강조색2 3 2 2 2" xfId="1857"/>
    <cellStyle name="40% - 강조색2 3 2 2 2 2" xfId="1858"/>
    <cellStyle name="40% - 강조색2 3 2 2 3" xfId="1859"/>
    <cellStyle name="40% - 강조색2 3 2 2 4" xfId="1860"/>
    <cellStyle name="40% - 강조색2 3 2 2 5" xfId="1861"/>
    <cellStyle name="40% - 강조색2 3 2 3" xfId="1862"/>
    <cellStyle name="40% - 강조색2 3 2 3 2" xfId="1863"/>
    <cellStyle name="40% - 강조색2 3 2 4" xfId="1864"/>
    <cellStyle name="40% - 강조색2 3 2 5" xfId="1865"/>
    <cellStyle name="40% - 강조색2 3 2 6" xfId="1866"/>
    <cellStyle name="40% - 강조색2 3 3" xfId="1867"/>
    <cellStyle name="40% - 강조색2 3 3 2" xfId="1868"/>
    <cellStyle name="40% - 강조색2 3 3 2 2" xfId="1869"/>
    <cellStyle name="40% - 강조색2 3 3 3" xfId="1870"/>
    <cellStyle name="40% - 강조색2 3 3 4" xfId="1871"/>
    <cellStyle name="40% - 강조색2 3 3 5" xfId="1872"/>
    <cellStyle name="40% - 강조색2 4" xfId="1873"/>
    <cellStyle name="40% - 강조색2 4 2" xfId="1874"/>
    <cellStyle name="40% - 강조색2 4 2 2" xfId="1875"/>
    <cellStyle name="40% - 강조색2 4 2 2 2" xfId="1876"/>
    <cellStyle name="40% - 강조색2 4 2 2 2 2" xfId="1877"/>
    <cellStyle name="40% - 강조색2 4 2 2 3" xfId="1878"/>
    <cellStyle name="40% - 강조색2 4 2 2 4" xfId="1879"/>
    <cellStyle name="40% - 강조색2 4 2 2 5" xfId="1880"/>
    <cellStyle name="40% - 강조색2 4 2 3" xfId="1881"/>
    <cellStyle name="40% - 강조색2 4 2 3 2" xfId="1882"/>
    <cellStyle name="40% - 강조색2 4 2 4" xfId="1883"/>
    <cellStyle name="40% - 강조색2 4 2 5" xfId="1884"/>
    <cellStyle name="40% - 강조색2 4 2 6" xfId="1885"/>
    <cellStyle name="40% - 강조색2 4 3" xfId="1886"/>
    <cellStyle name="40% - 강조색2 4 3 2" xfId="1887"/>
    <cellStyle name="40% - 강조색2 4 3 2 2" xfId="1888"/>
    <cellStyle name="40% - 강조색2 4 3 3" xfId="1889"/>
    <cellStyle name="40% - 강조색2 4 3 4" xfId="1890"/>
    <cellStyle name="40% - 강조색2 4 3 5" xfId="1891"/>
    <cellStyle name="40% - 강조색2 5" xfId="1892"/>
    <cellStyle name="40% - 강조색2 5 2" xfId="1893"/>
    <cellStyle name="40% - 강조색2 5 2 2" xfId="1894"/>
    <cellStyle name="40% - 강조색2 5 2 2 2" xfId="1895"/>
    <cellStyle name="40% - 강조색2 5 2 2 2 2" xfId="1896"/>
    <cellStyle name="40% - 강조색2 5 2 2 3" xfId="1897"/>
    <cellStyle name="40% - 강조색2 5 2 2 4" xfId="1898"/>
    <cellStyle name="40% - 강조색2 5 2 2 5" xfId="1899"/>
    <cellStyle name="40% - 강조색2 5 2 3" xfId="1900"/>
    <cellStyle name="40% - 강조색2 5 2 3 2" xfId="1901"/>
    <cellStyle name="40% - 강조색2 5 2 4" xfId="1902"/>
    <cellStyle name="40% - 강조색2 5 2 5" xfId="1903"/>
    <cellStyle name="40% - 강조색2 5 2 6" xfId="1904"/>
    <cellStyle name="40% - 강조색2 5 3" xfId="1905"/>
    <cellStyle name="40% - 강조색2 5 3 2" xfId="1906"/>
    <cellStyle name="40% - 강조색2 5 3 2 2" xfId="1907"/>
    <cellStyle name="40% - 강조색2 5 3 3" xfId="1908"/>
    <cellStyle name="40% - 강조색2 5 3 4" xfId="1909"/>
    <cellStyle name="40% - 강조색2 5 3 5" xfId="1910"/>
    <cellStyle name="40% - 강조색2 6" xfId="1911"/>
    <cellStyle name="40% - 강조색2 6 2" xfId="1912"/>
    <cellStyle name="40% - 강조색2 6 2 2" xfId="1913"/>
    <cellStyle name="40% - 강조색2 6 2 2 2" xfId="1914"/>
    <cellStyle name="40% - 강조색2 6 2 2 2 2" xfId="1915"/>
    <cellStyle name="40% - 강조색2 6 2 2 3" xfId="1916"/>
    <cellStyle name="40% - 강조색2 6 2 2 4" xfId="1917"/>
    <cellStyle name="40% - 강조색2 6 2 2 5" xfId="1918"/>
    <cellStyle name="40% - 강조색2 6 2 3" xfId="1919"/>
    <cellStyle name="40% - 강조색2 6 2 3 2" xfId="1920"/>
    <cellStyle name="40% - 강조색2 6 2 4" xfId="1921"/>
    <cellStyle name="40% - 강조색2 6 2 5" xfId="1922"/>
    <cellStyle name="40% - 강조색2 6 2 6" xfId="1923"/>
    <cellStyle name="40% - 강조색2 6 3" xfId="1924"/>
    <cellStyle name="40% - 강조색2 6 3 2" xfId="1925"/>
    <cellStyle name="40% - 강조색2 6 3 2 2" xfId="1926"/>
    <cellStyle name="40% - 강조색2 6 3 3" xfId="1927"/>
    <cellStyle name="40% - 강조색2 6 3 4" xfId="1928"/>
    <cellStyle name="40% - 강조색2 6 3 5" xfId="1929"/>
    <cellStyle name="40% - 강조색2 7" xfId="1930"/>
    <cellStyle name="40% - 강조색2 7 2" xfId="1931"/>
    <cellStyle name="40% - 강조색2 7 2 2" xfId="1932"/>
    <cellStyle name="40% - 강조색2 7 2 2 2" xfId="1933"/>
    <cellStyle name="40% - 강조색2 7 2 2 2 2" xfId="1934"/>
    <cellStyle name="40% - 강조색2 7 2 2 3" xfId="1935"/>
    <cellStyle name="40% - 강조색2 7 2 2 4" xfId="1936"/>
    <cellStyle name="40% - 강조색2 7 2 2 5" xfId="1937"/>
    <cellStyle name="40% - 강조색2 7 2 3" xfId="1938"/>
    <cellStyle name="40% - 강조색2 7 2 3 2" xfId="1939"/>
    <cellStyle name="40% - 강조색2 7 2 4" xfId="1940"/>
    <cellStyle name="40% - 강조색2 7 2 5" xfId="1941"/>
    <cellStyle name="40% - 강조색2 7 2 6" xfId="1942"/>
    <cellStyle name="40% - 강조색2 7 3" xfId="1943"/>
    <cellStyle name="40% - 강조색2 7 3 2" xfId="1944"/>
    <cellStyle name="40% - 강조색2 7 3 2 2" xfId="1945"/>
    <cellStyle name="40% - 강조색2 7 3 3" xfId="1946"/>
    <cellStyle name="40% - 강조색2 7 3 4" xfId="1947"/>
    <cellStyle name="40% - 강조색2 7 3 5" xfId="1948"/>
    <cellStyle name="40% - 강조색2 8" xfId="1949"/>
    <cellStyle name="40% - 강조색2 8 2" xfId="1950"/>
    <cellStyle name="40% - 강조색2 8 2 2" xfId="1951"/>
    <cellStyle name="40% - 강조색2 8 2 2 2" xfId="1952"/>
    <cellStyle name="40% - 강조색2 8 2 2 2 2" xfId="1953"/>
    <cellStyle name="40% - 강조색2 8 2 2 3" xfId="1954"/>
    <cellStyle name="40% - 강조색2 8 2 2 4" xfId="1955"/>
    <cellStyle name="40% - 강조색2 8 2 2 5" xfId="1956"/>
    <cellStyle name="40% - 강조색2 8 2 3" xfId="1957"/>
    <cellStyle name="40% - 강조색2 8 2 3 2" xfId="1958"/>
    <cellStyle name="40% - 강조색2 8 2 4" xfId="1959"/>
    <cellStyle name="40% - 강조색2 8 2 5" xfId="1960"/>
    <cellStyle name="40% - 강조색2 8 2 6" xfId="1961"/>
    <cellStyle name="40% - 강조색2 8 3" xfId="1962"/>
    <cellStyle name="40% - 강조색2 8 3 2" xfId="1963"/>
    <cellStyle name="40% - 강조색2 8 3 2 2" xfId="1964"/>
    <cellStyle name="40% - 강조색2 8 3 3" xfId="1965"/>
    <cellStyle name="40% - 강조색2 8 3 4" xfId="1966"/>
    <cellStyle name="40% - 강조색2 8 3 5" xfId="1967"/>
    <cellStyle name="40% - 강조색2 9" xfId="1968"/>
    <cellStyle name="40% - 강조색2 9 2" xfId="1969"/>
    <cellStyle name="40% - 강조색2 9 2 2" xfId="1970"/>
    <cellStyle name="40% - 강조색2 9 2 2 2" xfId="1971"/>
    <cellStyle name="40% - 강조색2 9 2 2 2 2" xfId="1972"/>
    <cellStyle name="40% - 강조색2 9 2 2 3" xfId="1973"/>
    <cellStyle name="40% - 강조색2 9 2 2 4" xfId="1974"/>
    <cellStyle name="40% - 강조색2 9 2 2 5" xfId="1975"/>
    <cellStyle name="40% - 강조색2 9 2 3" xfId="1976"/>
    <cellStyle name="40% - 강조색2 9 2 3 2" xfId="1977"/>
    <cellStyle name="40% - 강조색2 9 2 4" xfId="1978"/>
    <cellStyle name="40% - 강조색2 9 2 5" xfId="1979"/>
    <cellStyle name="40% - 강조색2 9 2 6" xfId="1980"/>
    <cellStyle name="40% - 강조색2 9 3" xfId="1981"/>
    <cellStyle name="40% - 강조색2 9 3 2" xfId="1982"/>
    <cellStyle name="40% - 강조색2 9 3 2 2" xfId="1983"/>
    <cellStyle name="40% - 강조색2 9 3 3" xfId="1984"/>
    <cellStyle name="40% - 강조색2 9 3 4" xfId="1985"/>
    <cellStyle name="40% - 강조색2 9 3 5" xfId="1986"/>
    <cellStyle name="40% - 강조색3 10" xfId="1987"/>
    <cellStyle name="40% - 강조색3 10 2" xfId="1988"/>
    <cellStyle name="40% - 강조색3 10 2 2" xfId="1989"/>
    <cellStyle name="40% - 강조색3 10 2 2 2" xfId="1990"/>
    <cellStyle name="40% - 강조색3 10 2 2 2 2" xfId="1991"/>
    <cellStyle name="40% - 강조색3 10 2 2 3" xfId="1992"/>
    <cellStyle name="40% - 강조색3 10 2 2 4" xfId="1993"/>
    <cellStyle name="40% - 강조색3 10 2 2 5" xfId="1994"/>
    <cellStyle name="40% - 강조색3 10 2 3" xfId="1995"/>
    <cellStyle name="40% - 강조색3 10 2 3 2" xfId="1996"/>
    <cellStyle name="40% - 강조색3 10 2 4" xfId="1997"/>
    <cellStyle name="40% - 강조색3 10 2 5" xfId="1998"/>
    <cellStyle name="40% - 강조색3 10 2 6" xfId="1999"/>
    <cellStyle name="40% - 강조색3 10 3" xfId="2000"/>
    <cellStyle name="40% - 강조색3 10 3 2" xfId="2001"/>
    <cellStyle name="40% - 강조색3 10 3 2 2" xfId="2002"/>
    <cellStyle name="40% - 강조색3 10 3 3" xfId="2003"/>
    <cellStyle name="40% - 강조색3 10 3 4" xfId="2004"/>
    <cellStyle name="40% - 강조색3 10 3 5" xfId="2005"/>
    <cellStyle name="40% - 강조색3 11" xfId="2006"/>
    <cellStyle name="40% - 강조색3 11 2" xfId="2007"/>
    <cellStyle name="40% - 강조색3 11 2 2" xfId="2008"/>
    <cellStyle name="40% - 강조색3 11 2 2 2" xfId="2009"/>
    <cellStyle name="40% - 강조색3 11 2 2 2 2" xfId="2010"/>
    <cellStyle name="40% - 강조색3 11 2 2 3" xfId="2011"/>
    <cellStyle name="40% - 강조색3 11 2 2 4" xfId="2012"/>
    <cellStyle name="40% - 강조색3 11 2 2 5" xfId="2013"/>
    <cellStyle name="40% - 강조색3 11 2 3" xfId="2014"/>
    <cellStyle name="40% - 강조색3 11 2 3 2" xfId="2015"/>
    <cellStyle name="40% - 강조색3 11 2 4" xfId="2016"/>
    <cellStyle name="40% - 강조색3 11 2 5" xfId="2017"/>
    <cellStyle name="40% - 강조색3 11 2 6" xfId="2018"/>
    <cellStyle name="40% - 강조색3 11 3" xfId="2019"/>
    <cellStyle name="40% - 강조색3 11 3 2" xfId="2020"/>
    <cellStyle name="40% - 강조색3 11 3 2 2" xfId="2021"/>
    <cellStyle name="40% - 강조색3 11 3 3" xfId="2022"/>
    <cellStyle name="40% - 강조색3 11 3 4" xfId="2023"/>
    <cellStyle name="40% - 강조색3 11 3 5" xfId="2024"/>
    <cellStyle name="40% - 강조색3 12" xfId="2025"/>
    <cellStyle name="40% - 강조색3 12 2" xfId="2026"/>
    <cellStyle name="40% - 강조색3 12 2 2" xfId="2027"/>
    <cellStyle name="40% - 강조색3 12 2 2 2" xfId="2028"/>
    <cellStyle name="40% - 강조색3 12 2 3" xfId="2029"/>
    <cellStyle name="40% - 강조색3 12 2 4" xfId="2030"/>
    <cellStyle name="40% - 강조색3 12 2 5" xfId="2031"/>
    <cellStyle name="40% - 강조색3 13" xfId="2032"/>
    <cellStyle name="40% - 강조색3 13 2" xfId="2033"/>
    <cellStyle name="40% - 강조색3 13 2 2" xfId="2034"/>
    <cellStyle name="40% - 강조색3 13 3" xfId="2035"/>
    <cellStyle name="40% - 강조색3 13 4" xfId="2036"/>
    <cellStyle name="40% - 강조색3 13 5" xfId="2037"/>
    <cellStyle name="40% - 강조색3 14" xfId="2038"/>
    <cellStyle name="40% - 강조색3 2" xfId="2039"/>
    <cellStyle name="40% - 강조색3 2 2" xfId="2040"/>
    <cellStyle name="40% - 강조색3 2 2 2" xfId="2041"/>
    <cellStyle name="40% - 강조색3 2 2 2 2" xfId="2042"/>
    <cellStyle name="40% - 강조색3 2 2 2 2 2" xfId="2043"/>
    <cellStyle name="40% - 강조색3 2 2 2 3" xfId="2044"/>
    <cellStyle name="40% - 강조색3 2 2 2 4" xfId="2045"/>
    <cellStyle name="40% - 강조색3 2 2 2 5" xfId="2046"/>
    <cellStyle name="40% - 강조색3 2 2 3" xfId="2047"/>
    <cellStyle name="40% - 강조색3 2 2 3 2" xfId="2048"/>
    <cellStyle name="40% - 강조색3 2 2 4" xfId="2049"/>
    <cellStyle name="40% - 강조색3 2 2 5" xfId="2050"/>
    <cellStyle name="40% - 강조색3 2 2 6" xfId="2051"/>
    <cellStyle name="40% - 강조색3 2 2 7" xfId="2052"/>
    <cellStyle name="40% - 강조색3 2 3" xfId="2053"/>
    <cellStyle name="40% - 강조색3 2 3 2" xfId="2054"/>
    <cellStyle name="40% - 강조색3 2 3 2 2" xfId="2055"/>
    <cellStyle name="40% - 강조색3 2 3 3" xfId="2056"/>
    <cellStyle name="40% - 강조색3 2 3 4" xfId="2057"/>
    <cellStyle name="40% - 강조색3 2 3 5" xfId="2058"/>
    <cellStyle name="40% - 강조색3 2 4" xfId="2059"/>
    <cellStyle name="40% - 강조색3 3" xfId="2060"/>
    <cellStyle name="40% - 강조색3 3 2" xfId="2061"/>
    <cellStyle name="40% - 강조색3 3 2 2" xfId="2062"/>
    <cellStyle name="40% - 강조색3 3 2 2 2" xfId="2063"/>
    <cellStyle name="40% - 강조색3 3 2 2 2 2" xfId="2064"/>
    <cellStyle name="40% - 강조색3 3 2 2 3" xfId="2065"/>
    <cellStyle name="40% - 강조색3 3 2 2 4" xfId="2066"/>
    <cellStyle name="40% - 강조색3 3 2 2 5" xfId="2067"/>
    <cellStyle name="40% - 강조색3 3 2 3" xfId="2068"/>
    <cellStyle name="40% - 강조색3 3 2 3 2" xfId="2069"/>
    <cellStyle name="40% - 강조색3 3 2 4" xfId="2070"/>
    <cellStyle name="40% - 강조색3 3 2 5" xfId="2071"/>
    <cellStyle name="40% - 강조색3 3 2 6" xfId="2072"/>
    <cellStyle name="40% - 강조색3 3 2 7" xfId="2073"/>
    <cellStyle name="40% - 강조색3 3 3" xfId="2074"/>
    <cellStyle name="40% - 강조색3 3 3 2" xfId="2075"/>
    <cellStyle name="40% - 강조색3 3 3 2 2" xfId="2076"/>
    <cellStyle name="40% - 강조색3 3 3 3" xfId="2077"/>
    <cellStyle name="40% - 강조색3 3 3 4" xfId="2078"/>
    <cellStyle name="40% - 강조색3 3 3 5" xfId="2079"/>
    <cellStyle name="40% - 강조색3 3 4" xfId="2080"/>
    <cellStyle name="40% - 강조색3 4" xfId="2081"/>
    <cellStyle name="40% - 강조색3 4 2" xfId="2082"/>
    <cellStyle name="40% - 강조색3 4 2 2" xfId="2083"/>
    <cellStyle name="40% - 강조색3 4 2 2 2" xfId="2084"/>
    <cellStyle name="40% - 강조색3 4 2 2 2 2" xfId="2085"/>
    <cellStyle name="40% - 강조색3 4 2 2 3" xfId="2086"/>
    <cellStyle name="40% - 강조색3 4 2 2 4" xfId="2087"/>
    <cellStyle name="40% - 강조색3 4 2 2 5" xfId="2088"/>
    <cellStyle name="40% - 강조색3 4 2 3" xfId="2089"/>
    <cellStyle name="40% - 강조색3 4 2 3 2" xfId="2090"/>
    <cellStyle name="40% - 강조색3 4 2 4" xfId="2091"/>
    <cellStyle name="40% - 강조색3 4 2 5" xfId="2092"/>
    <cellStyle name="40% - 강조색3 4 2 6" xfId="2093"/>
    <cellStyle name="40% - 강조색3 4 3" xfId="2094"/>
    <cellStyle name="40% - 강조색3 4 3 2" xfId="2095"/>
    <cellStyle name="40% - 강조색3 4 3 2 2" xfId="2096"/>
    <cellStyle name="40% - 강조색3 4 3 3" xfId="2097"/>
    <cellStyle name="40% - 강조색3 4 3 4" xfId="2098"/>
    <cellStyle name="40% - 강조색3 4 3 5" xfId="2099"/>
    <cellStyle name="40% - 강조색3 5" xfId="2100"/>
    <cellStyle name="40% - 강조색3 5 2" xfId="2101"/>
    <cellStyle name="40% - 강조색3 5 2 2" xfId="2102"/>
    <cellStyle name="40% - 강조색3 5 2 2 2" xfId="2103"/>
    <cellStyle name="40% - 강조색3 5 2 2 2 2" xfId="2104"/>
    <cellStyle name="40% - 강조색3 5 2 2 3" xfId="2105"/>
    <cellStyle name="40% - 강조색3 5 2 2 4" xfId="2106"/>
    <cellStyle name="40% - 강조색3 5 2 2 5" xfId="2107"/>
    <cellStyle name="40% - 강조색3 5 2 3" xfId="2108"/>
    <cellStyle name="40% - 강조색3 5 2 3 2" xfId="2109"/>
    <cellStyle name="40% - 강조색3 5 2 4" xfId="2110"/>
    <cellStyle name="40% - 강조색3 5 2 5" xfId="2111"/>
    <cellStyle name="40% - 강조색3 5 2 6" xfId="2112"/>
    <cellStyle name="40% - 강조색3 5 3" xfId="2113"/>
    <cellStyle name="40% - 강조색3 5 3 2" xfId="2114"/>
    <cellStyle name="40% - 강조색3 5 3 2 2" xfId="2115"/>
    <cellStyle name="40% - 강조색3 5 3 3" xfId="2116"/>
    <cellStyle name="40% - 강조색3 5 3 4" xfId="2117"/>
    <cellStyle name="40% - 강조색3 5 3 5" xfId="2118"/>
    <cellStyle name="40% - 강조색3 6" xfId="2119"/>
    <cellStyle name="40% - 강조색3 6 2" xfId="2120"/>
    <cellStyle name="40% - 강조색3 6 2 2" xfId="2121"/>
    <cellStyle name="40% - 강조색3 6 2 2 2" xfId="2122"/>
    <cellStyle name="40% - 강조색3 6 2 2 2 2" xfId="2123"/>
    <cellStyle name="40% - 강조색3 6 2 2 3" xfId="2124"/>
    <cellStyle name="40% - 강조색3 6 2 2 4" xfId="2125"/>
    <cellStyle name="40% - 강조색3 6 2 2 5" xfId="2126"/>
    <cellStyle name="40% - 강조색3 6 2 3" xfId="2127"/>
    <cellStyle name="40% - 강조색3 6 2 3 2" xfId="2128"/>
    <cellStyle name="40% - 강조색3 6 2 4" xfId="2129"/>
    <cellStyle name="40% - 강조색3 6 2 5" xfId="2130"/>
    <cellStyle name="40% - 강조색3 6 2 6" xfId="2131"/>
    <cellStyle name="40% - 강조색3 6 3" xfId="2132"/>
    <cellStyle name="40% - 강조색3 6 3 2" xfId="2133"/>
    <cellStyle name="40% - 강조색3 6 3 2 2" xfId="2134"/>
    <cellStyle name="40% - 강조색3 6 3 3" xfId="2135"/>
    <cellStyle name="40% - 강조색3 6 3 4" xfId="2136"/>
    <cellStyle name="40% - 강조색3 6 3 5" xfId="2137"/>
    <cellStyle name="40% - 강조색3 7" xfId="2138"/>
    <cellStyle name="40% - 강조색3 7 2" xfId="2139"/>
    <cellStyle name="40% - 강조색3 7 2 2" xfId="2140"/>
    <cellStyle name="40% - 강조색3 7 2 2 2" xfId="2141"/>
    <cellStyle name="40% - 강조색3 7 2 2 2 2" xfId="2142"/>
    <cellStyle name="40% - 강조색3 7 2 2 3" xfId="2143"/>
    <cellStyle name="40% - 강조색3 7 2 2 4" xfId="2144"/>
    <cellStyle name="40% - 강조색3 7 2 2 5" xfId="2145"/>
    <cellStyle name="40% - 강조색3 7 2 3" xfId="2146"/>
    <cellStyle name="40% - 강조색3 7 2 3 2" xfId="2147"/>
    <cellStyle name="40% - 강조색3 7 2 4" xfId="2148"/>
    <cellStyle name="40% - 강조색3 7 2 5" xfId="2149"/>
    <cellStyle name="40% - 강조색3 7 2 6" xfId="2150"/>
    <cellStyle name="40% - 강조색3 7 3" xfId="2151"/>
    <cellStyle name="40% - 강조색3 7 3 2" xfId="2152"/>
    <cellStyle name="40% - 강조색3 7 3 2 2" xfId="2153"/>
    <cellStyle name="40% - 강조색3 7 3 3" xfId="2154"/>
    <cellStyle name="40% - 강조색3 7 3 4" xfId="2155"/>
    <cellStyle name="40% - 강조색3 7 3 5" xfId="2156"/>
    <cellStyle name="40% - 강조색3 8" xfId="2157"/>
    <cellStyle name="40% - 강조색3 8 2" xfId="2158"/>
    <cellStyle name="40% - 강조색3 8 2 2" xfId="2159"/>
    <cellStyle name="40% - 강조색3 8 2 2 2" xfId="2160"/>
    <cellStyle name="40% - 강조색3 8 2 2 2 2" xfId="2161"/>
    <cellStyle name="40% - 강조색3 8 2 2 3" xfId="2162"/>
    <cellStyle name="40% - 강조색3 8 2 2 4" xfId="2163"/>
    <cellStyle name="40% - 강조색3 8 2 2 5" xfId="2164"/>
    <cellStyle name="40% - 강조색3 8 2 3" xfId="2165"/>
    <cellStyle name="40% - 강조색3 8 2 3 2" xfId="2166"/>
    <cellStyle name="40% - 강조색3 8 2 4" xfId="2167"/>
    <cellStyle name="40% - 강조색3 8 2 5" xfId="2168"/>
    <cellStyle name="40% - 강조색3 8 2 6" xfId="2169"/>
    <cellStyle name="40% - 강조색3 8 3" xfId="2170"/>
    <cellStyle name="40% - 강조색3 8 3 2" xfId="2171"/>
    <cellStyle name="40% - 강조색3 8 3 2 2" xfId="2172"/>
    <cellStyle name="40% - 강조색3 8 3 3" xfId="2173"/>
    <cellStyle name="40% - 강조색3 8 3 4" xfId="2174"/>
    <cellStyle name="40% - 강조색3 8 3 5" xfId="2175"/>
    <cellStyle name="40% - 강조색3 9" xfId="2176"/>
    <cellStyle name="40% - 강조색3 9 2" xfId="2177"/>
    <cellStyle name="40% - 강조색3 9 2 2" xfId="2178"/>
    <cellStyle name="40% - 강조색3 9 2 2 2" xfId="2179"/>
    <cellStyle name="40% - 강조색3 9 2 2 2 2" xfId="2180"/>
    <cellStyle name="40% - 강조색3 9 2 2 3" xfId="2181"/>
    <cellStyle name="40% - 강조색3 9 2 2 4" xfId="2182"/>
    <cellStyle name="40% - 강조색3 9 2 2 5" xfId="2183"/>
    <cellStyle name="40% - 강조색3 9 2 3" xfId="2184"/>
    <cellStyle name="40% - 강조색3 9 2 3 2" xfId="2185"/>
    <cellStyle name="40% - 강조색3 9 2 4" xfId="2186"/>
    <cellStyle name="40% - 강조색3 9 2 5" xfId="2187"/>
    <cellStyle name="40% - 강조색3 9 2 6" xfId="2188"/>
    <cellStyle name="40% - 강조색3 9 3" xfId="2189"/>
    <cellStyle name="40% - 강조색3 9 3 2" xfId="2190"/>
    <cellStyle name="40% - 강조색3 9 3 2 2" xfId="2191"/>
    <cellStyle name="40% - 강조색3 9 3 3" xfId="2192"/>
    <cellStyle name="40% - 강조색3 9 3 4" xfId="2193"/>
    <cellStyle name="40% - 강조색3 9 3 5" xfId="2194"/>
    <cellStyle name="40% - 강조색4 10" xfId="2195"/>
    <cellStyle name="40% - 강조색4 10 2" xfId="2196"/>
    <cellStyle name="40% - 강조색4 10 2 2" xfId="2197"/>
    <cellStyle name="40% - 강조색4 10 2 2 2" xfId="2198"/>
    <cellStyle name="40% - 강조색4 10 2 2 2 2" xfId="2199"/>
    <cellStyle name="40% - 강조색4 10 2 2 3" xfId="2200"/>
    <cellStyle name="40% - 강조색4 10 2 2 4" xfId="2201"/>
    <cellStyle name="40% - 강조색4 10 2 2 5" xfId="2202"/>
    <cellStyle name="40% - 강조색4 10 2 3" xfId="2203"/>
    <cellStyle name="40% - 강조색4 10 2 3 2" xfId="2204"/>
    <cellStyle name="40% - 강조색4 10 2 4" xfId="2205"/>
    <cellStyle name="40% - 강조색4 10 2 5" xfId="2206"/>
    <cellStyle name="40% - 강조색4 10 2 6" xfId="2207"/>
    <cellStyle name="40% - 강조색4 10 3" xfId="2208"/>
    <cellStyle name="40% - 강조색4 10 3 2" xfId="2209"/>
    <cellStyle name="40% - 강조색4 10 3 2 2" xfId="2210"/>
    <cellStyle name="40% - 강조색4 10 3 3" xfId="2211"/>
    <cellStyle name="40% - 강조색4 10 3 4" xfId="2212"/>
    <cellStyle name="40% - 강조색4 10 3 5" xfId="2213"/>
    <cellStyle name="40% - 강조색4 11" xfId="2214"/>
    <cellStyle name="40% - 강조색4 11 2" xfId="2215"/>
    <cellStyle name="40% - 강조색4 11 2 2" xfId="2216"/>
    <cellStyle name="40% - 강조색4 11 2 2 2" xfId="2217"/>
    <cellStyle name="40% - 강조색4 11 2 2 2 2" xfId="2218"/>
    <cellStyle name="40% - 강조색4 11 2 2 3" xfId="2219"/>
    <cellStyle name="40% - 강조색4 11 2 2 4" xfId="2220"/>
    <cellStyle name="40% - 강조색4 11 2 2 5" xfId="2221"/>
    <cellStyle name="40% - 강조색4 11 2 3" xfId="2222"/>
    <cellStyle name="40% - 강조색4 11 2 3 2" xfId="2223"/>
    <cellStyle name="40% - 강조색4 11 2 4" xfId="2224"/>
    <cellStyle name="40% - 강조색4 11 2 5" xfId="2225"/>
    <cellStyle name="40% - 강조색4 11 2 6" xfId="2226"/>
    <cellStyle name="40% - 강조색4 11 3" xfId="2227"/>
    <cellStyle name="40% - 강조색4 11 3 2" xfId="2228"/>
    <cellStyle name="40% - 강조색4 11 3 2 2" xfId="2229"/>
    <cellStyle name="40% - 강조색4 11 3 3" xfId="2230"/>
    <cellStyle name="40% - 강조색4 11 3 4" xfId="2231"/>
    <cellStyle name="40% - 강조색4 11 3 5" xfId="2232"/>
    <cellStyle name="40% - 강조색4 12" xfId="2233"/>
    <cellStyle name="40% - 강조색4 12 2" xfId="2234"/>
    <cellStyle name="40% - 강조색4 12 2 2" xfId="2235"/>
    <cellStyle name="40% - 강조색4 12 2 2 2" xfId="2236"/>
    <cellStyle name="40% - 강조색4 12 2 3" xfId="2237"/>
    <cellStyle name="40% - 강조색4 12 2 4" xfId="2238"/>
    <cellStyle name="40% - 강조색4 12 2 5" xfId="2239"/>
    <cellStyle name="40% - 강조색4 13" xfId="2240"/>
    <cellStyle name="40% - 강조색4 13 2" xfId="2241"/>
    <cellStyle name="40% - 강조색4 13 2 2" xfId="2242"/>
    <cellStyle name="40% - 강조색4 13 3" xfId="2243"/>
    <cellStyle name="40% - 강조색4 13 4" xfId="2244"/>
    <cellStyle name="40% - 강조색4 13 5" xfId="2245"/>
    <cellStyle name="40% - 강조색4 14" xfId="2246"/>
    <cellStyle name="40% - 강조색4 2" xfId="2247"/>
    <cellStyle name="40% - 강조색4 2 2" xfId="2248"/>
    <cellStyle name="40% - 강조색4 2 2 2" xfId="2249"/>
    <cellStyle name="40% - 강조색4 2 2 2 2" xfId="2250"/>
    <cellStyle name="40% - 강조색4 2 2 2 2 2" xfId="2251"/>
    <cellStyle name="40% - 강조색4 2 2 2 3" xfId="2252"/>
    <cellStyle name="40% - 강조색4 2 2 2 4" xfId="2253"/>
    <cellStyle name="40% - 강조색4 2 2 2 5" xfId="2254"/>
    <cellStyle name="40% - 강조색4 2 2 3" xfId="2255"/>
    <cellStyle name="40% - 강조색4 2 2 3 2" xfId="2256"/>
    <cellStyle name="40% - 강조색4 2 2 4" xfId="2257"/>
    <cellStyle name="40% - 강조색4 2 2 5" xfId="2258"/>
    <cellStyle name="40% - 강조색4 2 2 6" xfId="2259"/>
    <cellStyle name="40% - 강조색4 2 2 7" xfId="2260"/>
    <cellStyle name="40% - 강조색4 2 3" xfId="2261"/>
    <cellStyle name="40% - 강조색4 2 3 2" xfId="2262"/>
    <cellStyle name="40% - 강조색4 2 3 2 2" xfId="2263"/>
    <cellStyle name="40% - 강조색4 2 3 3" xfId="2264"/>
    <cellStyle name="40% - 강조색4 2 3 4" xfId="2265"/>
    <cellStyle name="40% - 강조색4 2 3 5" xfId="2266"/>
    <cellStyle name="40% - 강조색4 2 4" xfId="2267"/>
    <cellStyle name="40% - 강조색4 3" xfId="2268"/>
    <cellStyle name="40% - 강조색4 3 2" xfId="2269"/>
    <cellStyle name="40% - 강조색4 3 2 2" xfId="2270"/>
    <cellStyle name="40% - 강조색4 3 2 2 2" xfId="2271"/>
    <cellStyle name="40% - 강조색4 3 2 2 2 2" xfId="2272"/>
    <cellStyle name="40% - 강조색4 3 2 2 3" xfId="2273"/>
    <cellStyle name="40% - 강조색4 3 2 2 4" xfId="2274"/>
    <cellStyle name="40% - 강조색4 3 2 2 5" xfId="2275"/>
    <cellStyle name="40% - 강조색4 3 2 3" xfId="2276"/>
    <cellStyle name="40% - 강조색4 3 2 3 2" xfId="2277"/>
    <cellStyle name="40% - 강조색4 3 2 4" xfId="2278"/>
    <cellStyle name="40% - 강조색4 3 2 5" xfId="2279"/>
    <cellStyle name="40% - 강조색4 3 2 6" xfId="2280"/>
    <cellStyle name="40% - 강조색4 3 2 7" xfId="2281"/>
    <cellStyle name="40% - 강조색4 3 3" xfId="2282"/>
    <cellStyle name="40% - 강조색4 3 3 2" xfId="2283"/>
    <cellStyle name="40% - 강조색4 3 3 2 2" xfId="2284"/>
    <cellStyle name="40% - 강조색4 3 3 3" xfId="2285"/>
    <cellStyle name="40% - 강조색4 3 3 4" xfId="2286"/>
    <cellStyle name="40% - 강조색4 3 3 5" xfId="2287"/>
    <cellStyle name="40% - 강조색4 3 4" xfId="2288"/>
    <cellStyle name="40% - 강조색4 4" xfId="2289"/>
    <cellStyle name="40% - 강조색4 4 2" xfId="2290"/>
    <cellStyle name="40% - 강조색4 4 2 2" xfId="2291"/>
    <cellStyle name="40% - 강조색4 4 2 2 2" xfId="2292"/>
    <cellStyle name="40% - 강조색4 4 2 2 2 2" xfId="2293"/>
    <cellStyle name="40% - 강조색4 4 2 2 3" xfId="2294"/>
    <cellStyle name="40% - 강조색4 4 2 2 4" xfId="2295"/>
    <cellStyle name="40% - 강조색4 4 2 2 5" xfId="2296"/>
    <cellStyle name="40% - 강조색4 4 2 3" xfId="2297"/>
    <cellStyle name="40% - 강조색4 4 2 3 2" xfId="2298"/>
    <cellStyle name="40% - 강조색4 4 2 4" xfId="2299"/>
    <cellStyle name="40% - 강조색4 4 2 5" xfId="2300"/>
    <cellStyle name="40% - 강조색4 4 2 6" xfId="2301"/>
    <cellStyle name="40% - 강조색4 4 3" xfId="2302"/>
    <cellStyle name="40% - 강조색4 4 3 2" xfId="2303"/>
    <cellStyle name="40% - 강조색4 4 3 2 2" xfId="2304"/>
    <cellStyle name="40% - 강조색4 4 3 3" xfId="2305"/>
    <cellStyle name="40% - 강조색4 4 3 4" xfId="2306"/>
    <cellStyle name="40% - 강조색4 4 3 5" xfId="2307"/>
    <cellStyle name="40% - 강조색4 5" xfId="2308"/>
    <cellStyle name="40% - 강조색4 5 2" xfId="2309"/>
    <cellStyle name="40% - 강조색4 5 2 2" xfId="2310"/>
    <cellStyle name="40% - 강조색4 5 2 2 2" xfId="2311"/>
    <cellStyle name="40% - 강조색4 5 2 2 2 2" xfId="2312"/>
    <cellStyle name="40% - 강조색4 5 2 2 3" xfId="2313"/>
    <cellStyle name="40% - 강조색4 5 2 2 4" xfId="2314"/>
    <cellStyle name="40% - 강조색4 5 2 2 5" xfId="2315"/>
    <cellStyle name="40% - 강조색4 5 2 3" xfId="2316"/>
    <cellStyle name="40% - 강조색4 5 2 3 2" xfId="2317"/>
    <cellStyle name="40% - 강조색4 5 2 4" xfId="2318"/>
    <cellStyle name="40% - 강조색4 5 2 5" xfId="2319"/>
    <cellStyle name="40% - 강조색4 5 2 6" xfId="2320"/>
    <cellStyle name="40% - 강조색4 5 3" xfId="2321"/>
    <cellStyle name="40% - 강조색4 5 3 2" xfId="2322"/>
    <cellStyle name="40% - 강조색4 5 3 2 2" xfId="2323"/>
    <cellStyle name="40% - 강조색4 5 3 3" xfId="2324"/>
    <cellStyle name="40% - 강조색4 5 3 4" xfId="2325"/>
    <cellStyle name="40% - 강조색4 5 3 5" xfId="2326"/>
    <cellStyle name="40% - 강조색4 6" xfId="2327"/>
    <cellStyle name="40% - 강조색4 6 2" xfId="2328"/>
    <cellStyle name="40% - 강조색4 6 2 2" xfId="2329"/>
    <cellStyle name="40% - 강조색4 6 2 2 2" xfId="2330"/>
    <cellStyle name="40% - 강조색4 6 2 2 2 2" xfId="2331"/>
    <cellStyle name="40% - 강조색4 6 2 2 3" xfId="2332"/>
    <cellStyle name="40% - 강조색4 6 2 2 4" xfId="2333"/>
    <cellStyle name="40% - 강조색4 6 2 2 5" xfId="2334"/>
    <cellStyle name="40% - 강조색4 6 2 3" xfId="2335"/>
    <cellStyle name="40% - 강조색4 6 2 3 2" xfId="2336"/>
    <cellStyle name="40% - 강조색4 6 2 4" xfId="2337"/>
    <cellStyle name="40% - 강조색4 6 2 5" xfId="2338"/>
    <cellStyle name="40% - 강조색4 6 2 6" xfId="2339"/>
    <cellStyle name="40% - 강조색4 6 3" xfId="2340"/>
    <cellStyle name="40% - 강조색4 6 3 2" xfId="2341"/>
    <cellStyle name="40% - 강조색4 6 3 2 2" xfId="2342"/>
    <cellStyle name="40% - 강조색4 6 3 3" xfId="2343"/>
    <cellStyle name="40% - 강조색4 6 3 4" xfId="2344"/>
    <cellStyle name="40% - 강조색4 6 3 5" xfId="2345"/>
    <cellStyle name="40% - 강조색4 7" xfId="2346"/>
    <cellStyle name="40% - 강조색4 7 2" xfId="2347"/>
    <cellStyle name="40% - 강조색4 7 2 2" xfId="2348"/>
    <cellStyle name="40% - 강조색4 7 2 2 2" xfId="2349"/>
    <cellStyle name="40% - 강조색4 7 2 2 2 2" xfId="2350"/>
    <cellStyle name="40% - 강조색4 7 2 2 3" xfId="2351"/>
    <cellStyle name="40% - 강조색4 7 2 2 4" xfId="2352"/>
    <cellStyle name="40% - 강조색4 7 2 2 5" xfId="2353"/>
    <cellStyle name="40% - 강조색4 7 2 3" xfId="2354"/>
    <cellStyle name="40% - 강조색4 7 2 3 2" xfId="2355"/>
    <cellStyle name="40% - 강조색4 7 2 4" xfId="2356"/>
    <cellStyle name="40% - 강조색4 7 2 5" xfId="2357"/>
    <cellStyle name="40% - 강조색4 7 2 6" xfId="2358"/>
    <cellStyle name="40% - 강조색4 7 3" xfId="2359"/>
    <cellStyle name="40% - 강조색4 7 3 2" xfId="2360"/>
    <cellStyle name="40% - 강조색4 7 3 2 2" xfId="2361"/>
    <cellStyle name="40% - 강조색4 7 3 3" xfId="2362"/>
    <cellStyle name="40% - 강조색4 7 3 4" xfId="2363"/>
    <cellStyle name="40% - 강조색4 7 3 5" xfId="2364"/>
    <cellStyle name="40% - 강조색4 8" xfId="2365"/>
    <cellStyle name="40% - 강조색4 8 2" xfId="2366"/>
    <cellStyle name="40% - 강조색4 8 2 2" xfId="2367"/>
    <cellStyle name="40% - 강조색4 8 2 2 2" xfId="2368"/>
    <cellStyle name="40% - 강조색4 8 2 2 2 2" xfId="2369"/>
    <cellStyle name="40% - 강조색4 8 2 2 3" xfId="2370"/>
    <cellStyle name="40% - 강조색4 8 2 2 4" xfId="2371"/>
    <cellStyle name="40% - 강조색4 8 2 2 5" xfId="2372"/>
    <cellStyle name="40% - 강조색4 8 2 3" xfId="2373"/>
    <cellStyle name="40% - 강조색4 8 2 3 2" xfId="2374"/>
    <cellStyle name="40% - 강조색4 8 2 4" xfId="2375"/>
    <cellStyle name="40% - 강조색4 8 2 5" xfId="2376"/>
    <cellStyle name="40% - 강조색4 8 2 6" xfId="2377"/>
    <cellStyle name="40% - 강조색4 8 3" xfId="2378"/>
    <cellStyle name="40% - 강조색4 8 3 2" xfId="2379"/>
    <cellStyle name="40% - 강조색4 8 3 2 2" xfId="2380"/>
    <cellStyle name="40% - 강조색4 8 3 3" xfId="2381"/>
    <cellStyle name="40% - 강조색4 8 3 4" xfId="2382"/>
    <cellStyle name="40% - 강조색4 8 3 5" xfId="2383"/>
    <cellStyle name="40% - 강조색4 9" xfId="2384"/>
    <cellStyle name="40% - 강조색4 9 2" xfId="2385"/>
    <cellStyle name="40% - 강조색4 9 2 2" xfId="2386"/>
    <cellStyle name="40% - 강조색4 9 2 2 2" xfId="2387"/>
    <cellStyle name="40% - 강조색4 9 2 2 2 2" xfId="2388"/>
    <cellStyle name="40% - 강조색4 9 2 2 3" xfId="2389"/>
    <cellStyle name="40% - 강조색4 9 2 2 4" xfId="2390"/>
    <cellStyle name="40% - 강조색4 9 2 2 5" xfId="2391"/>
    <cellStyle name="40% - 강조색4 9 2 3" xfId="2392"/>
    <cellStyle name="40% - 강조색4 9 2 3 2" xfId="2393"/>
    <cellStyle name="40% - 강조색4 9 2 4" xfId="2394"/>
    <cellStyle name="40% - 강조색4 9 2 5" xfId="2395"/>
    <cellStyle name="40% - 강조색4 9 2 6" xfId="2396"/>
    <cellStyle name="40% - 강조색4 9 3" xfId="2397"/>
    <cellStyle name="40% - 강조색4 9 3 2" xfId="2398"/>
    <cellStyle name="40% - 강조색4 9 3 2 2" xfId="2399"/>
    <cellStyle name="40% - 강조색4 9 3 3" xfId="2400"/>
    <cellStyle name="40% - 강조색4 9 3 4" xfId="2401"/>
    <cellStyle name="40% - 강조색4 9 3 5" xfId="2402"/>
    <cellStyle name="40% - 강조색5 10" xfId="2403"/>
    <cellStyle name="40% - 강조색5 10 2" xfId="2404"/>
    <cellStyle name="40% - 강조색5 10 2 2" xfId="2405"/>
    <cellStyle name="40% - 강조색5 10 2 2 2" xfId="2406"/>
    <cellStyle name="40% - 강조색5 10 2 2 2 2" xfId="2407"/>
    <cellStyle name="40% - 강조색5 10 2 2 3" xfId="2408"/>
    <cellStyle name="40% - 강조색5 10 2 2 4" xfId="2409"/>
    <cellStyle name="40% - 강조색5 10 2 2 5" xfId="2410"/>
    <cellStyle name="40% - 강조색5 10 2 3" xfId="2411"/>
    <cellStyle name="40% - 강조색5 10 2 3 2" xfId="2412"/>
    <cellStyle name="40% - 강조색5 10 2 4" xfId="2413"/>
    <cellStyle name="40% - 강조색5 10 2 5" xfId="2414"/>
    <cellStyle name="40% - 강조색5 10 2 6" xfId="2415"/>
    <cellStyle name="40% - 강조색5 10 3" xfId="2416"/>
    <cellStyle name="40% - 강조색5 10 3 2" xfId="2417"/>
    <cellStyle name="40% - 강조색5 10 3 2 2" xfId="2418"/>
    <cellStyle name="40% - 강조색5 10 3 3" xfId="2419"/>
    <cellStyle name="40% - 강조색5 10 3 4" xfId="2420"/>
    <cellStyle name="40% - 강조색5 10 3 5" xfId="2421"/>
    <cellStyle name="40% - 강조색5 11" xfId="2422"/>
    <cellStyle name="40% - 강조색5 11 2" xfId="2423"/>
    <cellStyle name="40% - 강조색5 11 2 2" xfId="2424"/>
    <cellStyle name="40% - 강조색5 11 2 2 2" xfId="2425"/>
    <cellStyle name="40% - 강조색5 11 2 2 2 2" xfId="2426"/>
    <cellStyle name="40% - 강조색5 11 2 2 3" xfId="2427"/>
    <cellStyle name="40% - 강조색5 11 2 2 4" xfId="2428"/>
    <cellStyle name="40% - 강조색5 11 2 2 5" xfId="2429"/>
    <cellStyle name="40% - 강조색5 11 2 3" xfId="2430"/>
    <cellStyle name="40% - 강조색5 11 2 3 2" xfId="2431"/>
    <cellStyle name="40% - 강조색5 11 2 4" xfId="2432"/>
    <cellStyle name="40% - 강조색5 11 2 5" xfId="2433"/>
    <cellStyle name="40% - 강조색5 11 2 6" xfId="2434"/>
    <cellStyle name="40% - 강조색5 11 3" xfId="2435"/>
    <cellStyle name="40% - 강조색5 11 3 2" xfId="2436"/>
    <cellStyle name="40% - 강조색5 11 3 2 2" xfId="2437"/>
    <cellStyle name="40% - 강조색5 11 3 3" xfId="2438"/>
    <cellStyle name="40% - 강조색5 11 3 4" xfId="2439"/>
    <cellStyle name="40% - 강조색5 11 3 5" xfId="2440"/>
    <cellStyle name="40% - 강조색5 12" xfId="2441"/>
    <cellStyle name="40% - 강조색5 12 2" xfId="2442"/>
    <cellStyle name="40% - 강조색5 12 2 2" xfId="2443"/>
    <cellStyle name="40% - 강조색5 12 2 2 2" xfId="2444"/>
    <cellStyle name="40% - 강조색5 12 2 3" xfId="2445"/>
    <cellStyle name="40% - 강조색5 12 2 4" xfId="2446"/>
    <cellStyle name="40% - 강조색5 12 2 5" xfId="2447"/>
    <cellStyle name="40% - 강조색5 13" xfId="2448"/>
    <cellStyle name="40% - 강조색5 13 2" xfId="2449"/>
    <cellStyle name="40% - 강조색5 13 2 2" xfId="2450"/>
    <cellStyle name="40% - 강조색5 13 3" xfId="2451"/>
    <cellStyle name="40% - 강조색5 13 4" xfId="2452"/>
    <cellStyle name="40% - 강조색5 13 5" xfId="2453"/>
    <cellStyle name="40% - 강조색5 14" xfId="2454"/>
    <cellStyle name="40% - 강조색5 2" xfId="2455"/>
    <cellStyle name="40% - 강조색5 2 2" xfId="2456"/>
    <cellStyle name="40% - 강조색5 2 2 2" xfId="2457"/>
    <cellStyle name="40% - 강조색5 2 2 2 2" xfId="2458"/>
    <cellStyle name="40% - 강조색5 2 2 2 2 2" xfId="2459"/>
    <cellStyle name="40% - 강조색5 2 2 2 3" xfId="2460"/>
    <cellStyle name="40% - 강조색5 2 2 2 4" xfId="2461"/>
    <cellStyle name="40% - 강조색5 2 2 2 5" xfId="2462"/>
    <cellStyle name="40% - 강조색5 2 2 3" xfId="2463"/>
    <cellStyle name="40% - 강조색5 2 2 3 2" xfId="2464"/>
    <cellStyle name="40% - 강조색5 2 2 4" xfId="2465"/>
    <cellStyle name="40% - 강조색5 2 2 5" xfId="2466"/>
    <cellStyle name="40% - 강조색5 2 2 6" xfId="2467"/>
    <cellStyle name="40% - 강조색5 2 2 7" xfId="2468"/>
    <cellStyle name="40% - 강조색5 2 3" xfId="2469"/>
    <cellStyle name="40% - 강조색5 2 3 2" xfId="2470"/>
    <cellStyle name="40% - 강조색5 2 3 2 2" xfId="2471"/>
    <cellStyle name="40% - 강조색5 2 3 3" xfId="2472"/>
    <cellStyle name="40% - 강조색5 2 3 4" xfId="2473"/>
    <cellStyle name="40% - 강조색5 2 3 5" xfId="2474"/>
    <cellStyle name="40% - 강조색5 2 4" xfId="2475"/>
    <cellStyle name="40% - 강조색5 3" xfId="2476"/>
    <cellStyle name="40% - 강조색5 3 2" xfId="2477"/>
    <cellStyle name="40% - 강조색5 3 2 2" xfId="2478"/>
    <cellStyle name="40% - 강조색5 3 2 2 2" xfId="2479"/>
    <cellStyle name="40% - 강조색5 3 2 2 2 2" xfId="2480"/>
    <cellStyle name="40% - 강조색5 3 2 2 3" xfId="2481"/>
    <cellStyle name="40% - 강조색5 3 2 2 4" xfId="2482"/>
    <cellStyle name="40% - 강조색5 3 2 2 5" xfId="2483"/>
    <cellStyle name="40% - 강조색5 3 2 3" xfId="2484"/>
    <cellStyle name="40% - 강조색5 3 2 3 2" xfId="2485"/>
    <cellStyle name="40% - 강조색5 3 2 4" xfId="2486"/>
    <cellStyle name="40% - 강조색5 3 2 5" xfId="2487"/>
    <cellStyle name="40% - 강조색5 3 2 6" xfId="2488"/>
    <cellStyle name="40% - 강조색5 3 2 7" xfId="2489"/>
    <cellStyle name="40% - 강조색5 3 3" xfId="2490"/>
    <cellStyle name="40% - 강조색5 3 3 2" xfId="2491"/>
    <cellStyle name="40% - 강조색5 3 3 2 2" xfId="2492"/>
    <cellStyle name="40% - 강조색5 3 3 3" xfId="2493"/>
    <cellStyle name="40% - 강조색5 3 3 4" xfId="2494"/>
    <cellStyle name="40% - 강조색5 3 3 5" xfId="2495"/>
    <cellStyle name="40% - 강조색5 3 4" xfId="2496"/>
    <cellStyle name="40% - 강조색5 4" xfId="2497"/>
    <cellStyle name="40% - 강조색5 4 2" xfId="2498"/>
    <cellStyle name="40% - 강조색5 4 2 2" xfId="2499"/>
    <cellStyle name="40% - 강조색5 4 2 2 2" xfId="2500"/>
    <cellStyle name="40% - 강조색5 4 2 2 2 2" xfId="2501"/>
    <cellStyle name="40% - 강조색5 4 2 2 3" xfId="2502"/>
    <cellStyle name="40% - 강조색5 4 2 2 4" xfId="2503"/>
    <cellStyle name="40% - 강조색5 4 2 2 5" xfId="2504"/>
    <cellStyle name="40% - 강조색5 4 2 3" xfId="2505"/>
    <cellStyle name="40% - 강조색5 4 2 3 2" xfId="2506"/>
    <cellStyle name="40% - 강조색5 4 2 4" xfId="2507"/>
    <cellStyle name="40% - 강조색5 4 2 5" xfId="2508"/>
    <cellStyle name="40% - 강조색5 4 2 6" xfId="2509"/>
    <cellStyle name="40% - 강조색5 4 3" xfId="2510"/>
    <cellStyle name="40% - 강조색5 4 3 2" xfId="2511"/>
    <cellStyle name="40% - 강조색5 4 3 2 2" xfId="2512"/>
    <cellStyle name="40% - 강조색5 4 3 3" xfId="2513"/>
    <cellStyle name="40% - 강조색5 4 3 4" xfId="2514"/>
    <cellStyle name="40% - 강조색5 4 3 5" xfId="2515"/>
    <cellStyle name="40% - 강조색5 5" xfId="2516"/>
    <cellStyle name="40% - 강조색5 5 2" xfId="2517"/>
    <cellStyle name="40% - 강조색5 5 2 2" xfId="2518"/>
    <cellStyle name="40% - 강조색5 5 2 2 2" xfId="2519"/>
    <cellStyle name="40% - 강조색5 5 2 2 2 2" xfId="2520"/>
    <cellStyle name="40% - 강조색5 5 2 2 3" xfId="2521"/>
    <cellStyle name="40% - 강조색5 5 2 2 4" xfId="2522"/>
    <cellStyle name="40% - 강조색5 5 2 2 5" xfId="2523"/>
    <cellStyle name="40% - 강조색5 5 2 3" xfId="2524"/>
    <cellStyle name="40% - 강조색5 5 2 3 2" xfId="2525"/>
    <cellStyle name="40% - 강조색5 5 2 4" xfId="2526"/>
    <cellStyle name="40% - 강조색5 5 2 5" xfId="2527"/>
    <cellStyle name="40% - 강조색5 5 2 6" xfId="2528"/>
    <cellStyle name="40% - 강조색5 5 3" xfId="2529"/>
    <cellStyle name="40% - 강조색5 5 3 2" xfId="2530"/>
    <cellStyle name="40% - 강조색5 5 3 2 2" xfId="2531"/>
    <cellStyle name="40% - 강조색5 5 3 3" xfId="2532"/>
    <cellStyle name="40% - 강조색5 5 3 4" xfId="2533"/>
    <cellStyle name="40% - 강조색5 5 3 5" xfId="2534"/>
    <cellStyle name="40% - 강조색5 6" xfId="2535"/>
    <cellStyle name="40% - 강조색5 6 2" xfId="2536"/>
    <cellStyle name="40% - 강조색5 6 2 2" xfId="2537"/>
    <cellStyle name="40% - 강조색5 6 2 2 2" xfId="2538"/>
    <cellStyle name="40% - 강조색5 6 2 2 2 2" xfId="2539"/>
    <cellStyle name="40% - 강조색5 6 2 2 3" xfId="2540"/>
    <cellStyle name="40% - 강조색5 6 2 2 4" xfId="2541"/>
    <cellStyle name="40% - 강조색5 6 2 2 5" xfId="2542"/>
    <cellStyle name="40% - 강조색5 6 2 3" xfId="2543"/>
    <cellStyle name="40% - 강조색5 6 2 3 2" xfId="2544"/>
    <cellStyle name="40% - 강조색5 6 2 4" xfId="2545"/>
    <cellStyle name="40% - 강조색5 6 2 5" xfId="2546"/>
    <cellStyle name="40% - 강조색5 6 2 6" xfId="2547"/>
    <cellStyle name="40% - 강조색5 6 3" xfId="2548"/>
    <cellStyle name="40% - 강조색5 6 3 2" xfId="2549"/>
    <cellStyle name="40% - 강조색5 6 3 2 2" xfId="2550"/>
    <cellStyle name="40% - 강조색5 6 3 3" xfId="2551"/>
    <cellStyle name="40% - 강조색5 6 3 4" xfId="2552"/>
    <cellStyle name="40% - 강조색5 6 3 5" xfId="2553"/>
    <cellStyle name="40% - 강조색5 7" xfId="2554"/>
    <cellStyle name="40% - 강조색5 7 2" xfId="2555"/>
    <cellStyle name="40% - 강조색5 7 2 2" xfId="2556"/>
    <cellStyle name="40% - 강조색5 7 2 2 2" xfId="2557"/>
    <cellStyle name="40% - 강조색5 7 2 2 2 2" xfId="2558"/>
    <cellStyle name="40% - 강조색5 7 2 2 3" xfId="2559"/>
    <cellStyle name="40% - 강조색5 7 2 2 4" xfId="2560"/>
    <cellStyle name="40% - 강조색5 7 2 2 5" xfId="2561"/>
    <cellStyle name="40% - 강조색5 7 2 3" xfId="2562"/>
    <cellStyle name="40% - 강조색5 7 2 3 2" xfId="2563"/>
    <cellStyle name="40% - 강조색5 7 2 4" xfId="2564"/>
    <cellStyle name="40% - 강조색5 7 2 5" xfId="2565"/>
    <cellStyle name="40% - 강조색5 7 2 6" xfId="2566"/>
    <cellStyle name="40% - 강조색5 7 3" xfId="2567"/>
    <cellStyle name="40% - 강조색5 7 3 2" xfId="2568"/>
    <cellStyle name="40% - 강조색5 7 3 2 2" xfId="2569"/>
    <cellStyle name="40% - 강조색5 7 3 3" xfId="2570"/>
    <cellStyle name="40% - 강조색5 7 3 4" xfId="2571"/>
    <cellStyle name="40% - 강조색5 7 3 5" xfId="2572"/>
    <cellStyle name="40% - 강조색5 8" xfId="2573"/>
    <cellStyle name="40% - 강조색5 8 2" xfId="2574"/>
    <cellStyle name="40% - 강조색5 8 2 2" xfId="2575"/>
    <cellStyle name="40% - 강조색5 8 2 2 2" xfId="2576"/>
    <cellStyle name="40% - 강조색5 8 2 2 2 2" xfId="2577"/>
    <cellStyle name="40% - 강조색5 8 2 2 3" xfId="2578"/>
    <cellStyle name="40% - 강조색5 8 2 2 4" xfId="2579"/>
    <cellStyle name="40% - 강조색5 8 2 2 5" xfId="2580"/>
    <cellStyle name="40% - 강조색5 8 2 3" xfId="2581"/>
    <cellStyle name="40% - 강조색5 8 2 3 2" xfId="2582"/>
    <cellStyle name="40% - 강조색5 8 2 4" xfId="2583"/>
    <cellStyle name="40% - 강조색5 8 2 5" xfId="2584"/>
    <cellStyle name="40% - 강조색5 8 2 6" xfId="2585"/>
    <cellStyle name="40% - 강조색5 8 3" xfId="2586"/>
    <cellStyle name="40% - 강조색5 8 3 2" xfId="2587"/>
    <cellStyle name="40% - 강조색5 8 3 2 2" xfId="2588"/>
    <cellStyle name="40% - 강조색5 8 3 3" xfId="2589"/>
    <cellStyle name="40% - 강조색5 8 3 4" xfId="2590"/>
    <cellStyle name="40% - 강조색5 8 3 5" xfId="2591"/>
    <cellStyle name="40% - 강조색5 9" xfId="2592"/>
    <cellStyle name="40% - 강조색5 9 2" xfId="2593"/>
    <cellStyle name="40% - 강조색5 9 2 2" xfId="2594"/>
    <cellStyle name="40% - 강조색5 9 2 2 2" xfId="2595"/>
    <cellStyle name="40% - 강조색5 9 2 2 2 2" xfId="2596"/>
    <cellStyle name="40% - 강조색5 9 2 2 3" xfId="2597"/>
    <cellStyle name="40% - 강조색5 9 2 2 4" xfId="2598"/>
    <cellStyle name="40% - 강조색5 9 2 2 5" xfId="2599"/>
    <cellStyle name="40% - 강조색5 9 2 3" xfId="2600"/>
    <cellStyle name="40% - 강조색5 9 2 3 2" xfId="2601"/>
    <cellStyle name="40% - 강조색5 9 2 4" xfId="2602"/>
    <cellStyle name="40% - 강조색5 9 2 5" xfId="2603"/>
    <cellStyle name="40% - 강조색5 9 2 6" xfId="2604"/>
    <cellStyle name="40% - 강조색5 9 3" xfId="2605"/>
    <cellStyle name="40% - 강조색5 9 3 2" xfId="2606"/>
    <cellStyle name="40% - 강조색5 9 3 2 2" xfId="2607"/>
    <cellStyle name="40% - 강조색5 9 3 3" xfId="2608"/>
    <cellStyle name="40% - 강조색5 9 3 4" xfId="2609"/>
    <cellStyle name="40% - 강조색5 9 3 5" xfId="2610"/>
    <cellStyle name="40% - 강조색6 10" xfId="2611"/>
    <cellStyle name="40% - 강조색6 10 2" xfId="2612"/>
    <cellStyle name="40% - 강조색6 10 2 2" xfId="2613"/>
    <cellStyle name="40% - 강조색6 10 2 2 2" xfId="2614"/>
    <cellStyle name="40% - 강조색6 10 2 2 2 2" xfId="2615"/>
    <cellStyle name="40% - 강조색6 10 2 2 3" xfId="2616"/>
    <cellStyle name="40% - 강조색6 10 2 2 4" xfId="2617"/>
    <cellStyle name="40% - 강조색6 10 2 2 5" xfId="2618"/>
    <cellStyle name="40% - 강조색6 10 2 3" xfId="2619"/>
    <cellStyle name="40% - 강조색6 10 2 3 2" xfId="2620"/>
    <cellStyle name="40% - 강조색6 10 2 4" xfId="2621"/>
    <cellStyle name="40% - 강조색6 10 2 5" xfId="2622"/>
    <cellStyle name="40% - 강조색6 10 2 6" xfId="2623"/>
    <cellStyle name="40% - 강조색6 10 3" xfId="2624"/>
    <cellStyle name="40% - 강조색6 10 3 2" xfId="2625"/>
    <cellStyle name="40% - 강조색6 10 3 2 2" xfId="2626"/>
    <cellStyle name="40% - 강조색6 10 3 3" xfId="2627"/>
    <cellStyle name="40% - 강조색6 10 3 4" xfId="2628"/>
    <cellStyle name="40% - 강조색6 10 3 5" xfId="2629"/>
    <cellStyle name="40% - 강조색6 11" xfId="2630"/>
    <cellStyle name="40% - 강조색6 11 2" xfId="2631"/>
    <cellStyle name="40% - 강조색6 11 2 2" xfId="2632"/>
    <cellStyle name="40% - 강조색6 11 2 2 2" xfId="2633"/>
    <cellStyle name="40% - 강조색6 11 2 2 2 2" xfId="2634"/>
    <cellStyle name="40% - 강조색6 11 2 2 3" xfId="2635"/>
    <cellStyle name="40% - 강조색6 11 2 2 4" xfId="2636"/>
    <cellStyle name="40% - 강조색6 11 2 2 5" xfId="2637"/>
    <cellStyle name="40% - 강조색6 11 2 3" xfId="2638"/>
    <cellStyle name="40% - 강조색6 11 2 3 2" xfId="2639"/>
    <cellStyle name="40% - 강조색6 11 2 4" xfId="2640"/>
    <cellStyle name="40% - 강조색6 11 2 5" xfId="2641"/>
    <cellStyle name="40% - 강조색6 11 2 6" xfId="2642"/>
    <cellStyle name="40% - 강조색6 11 3" xfId="2643"/>
    <cellStyle name="40% - 강조색6 11 3 2" xfId="2644"/>
    <cellStyle name="40% - 강조색6 11 3 2 2" xfId="2645"/>
    <cellStyle name="40% - 강조색6 11 3 3" xfId="2646"/>
    <cellStyle name="40% - 강조색6 11 3 4" xfId="2647"/>
    <cellStyle name="40% - 강조색6 11 3 5" xfId="2648"/>
    <cellStyle name="40% - 강조색6 12" xfId="2649"/>
    <cellStyle name="40% - 강조색6 12 2" xfId="2650"/>
    <cellStyle name="40% - 강조색6 12 2 2" xfId="2651"/>
    <cellStyle name="40% - 강조색6 12 2 2 2" xfId="2652"/>
    <cellStyle name="40% - 강조색6 12 2 3" xfId="2653"/>
    <cellStyle name="40% - 강조색6 12 2 4" xfId="2654"/>
    <cellStyle name="40% - 강조색6 12 2 5" xfId="2655"/>
    <cellStyle name="40% - 강조색6 13" xfId="2656"/>
    <cellStyle name="40% - 강조색6 13 2" xfId="2657"/>
    <cellStyle name="40% - 강조색6 13 2 2" xfId="2658"/>
    <cellStyle name="40% - 강조색6 13 3" xfId="2659"/>
    <cellStyle name="40% - 강조색6 13 4" xfId="2660"/>
    <cellStyle name="40% - 강조색6 13 5" xfId="2661"/>
    <cellStyle name="40% - 강조색6 14" xfId="2662"/>
    <cellStyle name="40% - 강조색6 2" xfId="2663"/>
    <cellStyle name="40% - 강조색6 2 2" xfId="2664"/>
    <cellStyle name="40% - 강조색6 2 2 2" xfId="2665"/>
    <cellStyle name="40% - 강조색6 2 2 2 2" xfId="2666"/>
    <cellStyle name="40% - 강조색6 2 2 2 2 2" xfId="2667"/>
    <cellStyle name="40% - 강조색6 2 2 2 3" xfId="2668"/>
    <cellStyle name="40% - 강조색6 2 2 2 4" xfId="2669"/>
    <cellStyle name="40% - 강조색6 2 2 2 5" xfId="2670"/>
    <cellStyle name="40% - 강조색6 2 2 3" xfId="2671"/>
    <cellStyle name="40% - 강조색6 2 2 3 2" xfId="2672"/>
    <cellStyle name="40% - 강조색6 2 2 4" xfId="2673"/>
    <cellStyle name="40% - 강조색6 2 2 5" xfId="2674"/>
    <cellStyle name="40% - 강조색6 2 2 6" xfId="2675"/>
    <cellStyle name="40% - 강조색6 2 2 7" xfId="2676"/>
    <cellStyle name="40% - 강조색6 2 3" xfId="2677"/>
    <cellStyle name="40% - 강조색6 2 3 2" xfId="2678"/>
    <cellStyle name="40% - 강조색6 2 3 2 2" xfId="2679"/>
    <cellStyle name="40% - 강조색6 2 3 3" xfId="2680"/>
    <cellStyle name="40% - 강조색6 2 3 4" xfId="2681"/>
    <cellStyle name="40% - 강조색6 2 3 5" xfId="2682"/>
    <cellStyle name="40% - 강조색6 2 4" xfId="2683"/>
    <cellStyle name="40% - 강조색6 3" xfId="2684"/>
    <cellStyle name="40% - 강조색6 3 2" xfId="2685"/>
    <cellStyle name="40% - 강조색6 3 2 2" xfId="2686"/>
    <cellStyle name="40% - 강조색6 3 2 2 2" xfId="2687"/>
    <cellStyle name="40% - 강조색6 3 2 2 2 2" xfId="2688"/>
    <cellStyle name="40% - 강조색6 3 2 2 3" xfId="2689"/>
    <cellStyle name="40% - 강조색6 3 2 2 4" xfId="2690"/>
    <cellStyle name="40% - 강조색6 3 2 2 5" xfId="2691"/>
    <cellStyle name="40% - 강조색6 3 2 3" xfId="2692"/>
    <cellStyle name="40% - 강조색6 3 2 3 2" xfId="2693"/>
    <cellStyle name="40% - 강조색6 3 2 4" xfId="2694"/>
    <cellStyle name="40% - 강조색6 3 2 5" xfId="2695"/>
    <cellStyle name="40% - 강조색6 3 2 6" xfId="2696"/>
    <cellStyle name="40% - 강조색6 3 2 7" xfId="2697"/>
    <cellStyle name="40% - 강조색6 3 3" xfId="2698"/>
    <cellStyle name="40% - 강조색6 3 3 2" xfId="2699"/>
    <cellStyle name="40% - 강조색6 3 3 2 2" xfId="2700"/>
    <cellStyle name="40% - 강조색6 3 3 3" xfId="2701"/>
    <cellStyle name="40% - 강조색6 3 3 4" xfId="2702"/>
    <cellStyle name="40% - 강조색6 3 3 5" xfId="2703"/>
    <cellStyle name="40% - 강조색6 3 4" xfId="2704"/>
    <cellStyle name="40% - 강조색6 4" xfId="2705"/>
    <cellStyle name="40% - 강조색6 4 2" xfId="2706"/>
    <cellStyle name="40% - 강조색6 4 2 2" xfId="2707"/>
    <cellStyle name="40% - 강조색6 4 2 2 2" xfId="2708"/>
    <cellStyle name="40% - 강조색6 4 2 2 2 2" xfId="2709"/>
    <cellStyle name="40% - 강조색6 4 2 2 3" xfId="2710"/>
    <cellStyle name="40% - 강조색6 4 2 2 4" xfId="2711"/>
    <cellStyle name="40% - 강조색6 4 2 2 5" xfId="2712"/>
    <cellStyle name="40% - 강조색6 4 2 3" xfId="2713"/>
    <cellStyle name="40% - 강조색6 4 2 3 2" xfId="2714"/>
    <cellStyle name="40% - 강조색6 4 2 4" xfId="2715"/>
    <cellStyle name="40% - 강조색6 4 2 5" xfId="2716"/>
    <cellStyle name="40% - 강조색6 4 2 6" xfId="2717"/>
    <cellStyle name="40% - 강조색6 4 3" xfId="2718"/>
    <cellStyle name="40% - 강조색6 4 3 2" xfId="2719"/>
    <cellStyle name="40% - 강조색6 4 3 2 2" xfId="2720"/>
    <cellStyle name="40% - 강조색6 4 3 3" xfId="2721"/>
    <cellStyle name="40% - 강조색6 4 3 4" xfId="2722"/>
    <cellStyle name="40% - 강조색6 4 3 5" xfId="2723"/>
    <cellStyle name="40% - 강조색6 5" xfId="2724"/>
    <cellStyle name="40% - 강조색6 5 2" xfId="2725"/>
    <cellStyle name="40% - 강조색6 5 2 2" xfId="2726"/>
    <cellStyle name="40% - 강조색6 5 2 2 2" xfId="2727"/>
    <cellStyle name="40% - 강조색6 5 2 2 2 2" xfId="2728"/>
    <cellStyle name="40% - 강조색6 5 2 2 3" xfId="2729"/>
    <cellStyle name="40% - 강조색6 5 2 2 4" xfId="2730"/>
    <cellStyle name="40% - 강조색6 5 2 2 5" xfId="2731"/>
    <cellStyle name="40% - 강조색6 5 2 3" xfId="2732"/>
    <cellStyle name="40% - 강조색6 5 2 3 2" xfId="2733"/>
    <cellStyle name="40% - 강조색6 5 2 4" xfId="2734"/>
    <cellStyle name="40% - 강조색6 5 2 5" xfId="2735"/>
    <cellStyle name="40% - 강조색6 5 2 6" xfId="2736"/>
    <cellStyle name="40% - 강조색6 5 3" xfId="2737"/>
    <cellStyle name="40% - 강조색6 5 3 2" xfId="2738"/>
    <cellStyle name="40% - 강조색6 5 3 2 2" xfId="2739"/>
    <cellStyle name="40% - 강조색6 5 3 3" xfId="2740"/>
    <cellStyle name="40% - 강조색6 5 3 4" xfId="2741"/>
    <cellStyle name="40% - 강조색6 5 3 5" xfId="2742"/>
    <cellStyle name="40% - 강조색6 6" xfId="2743"/>
    <cellStyle name="40% - 강조색6 6 2" xfId="2744"/>
    <cellStyle name="40% - 강조색6 6 2 2" xfId="2745"/>
    <cellStyle name="40% - 강조색6 6 2 2 2" xfId="2746"/>
    <cellStyle name="40% - 강조색6 6 2 2 2 2" xfId="2747"/>
    <cellStyle name="40% - 강조색6 6 2 2 3" xfId="2748"/>
    <cellStyle name="40% - 강조색6 6 2 2 4" xfId="2749"/>
    <cellStyle name="40% - 강조색6 6 2 2 5" xfId="2750"/>
    <cellStyle name="40% - 강조색6 6 2 3" xfId="2751"/>
    <cellStyle name="40% - 강조색6 6 2 3 2" xfId="2752"/>
    <cellStyle name="40% - 강조색6 6 2 4" xfId="2753"/>
    <cellStyle name="40% - 강조색6 6 2 5" xfId="2754"/>
    <cellStyle name="40% - 강조색6 6 2 6" xfId="2755"/>
    <cellStyle name="40% - 강조색6 6 3" xfId="2756"/>
    <cellStyle name="40% - 강조색6 6 3 2" xfId="2757"/>
    <cellStyle name="40% - 강조색6 6 3 2 2" xfId="2758"/>
    <cellStyle name="40% - 강조색6 6 3 3" xfId="2759"/>
    <cellStyle name="40% - 강조색6 6 3 4" xfId="2760"/>
    <cellStyle name="40% - 강조색6 6 3 5" xfId="2761"/>
    <cellStyle name="40% - 강조색6 7" xfId="2762"/>
    <cellStyle name="40% - 강조색6 7 2" xfId="2763"/>
    <cellStyle name="40% - 강조색6 7 2 2" xfId="2764"/>
    <cellStyle name="40% - 강조색6 7 2 2 2" xfId="2765"/>
    <cellStyle name="40% - 강조색6 7 2 2 2 2" xfId="2766"/>
    <cellStyle name="40% - 강조색6 7 2 2 3" xfId="2767"/>
    <cellStyle name="40% - 강조색6 7 2 2 4" xfId="2768"/>
    <cellStyle name="40% - 강조색6 7 2 2 5" xfId="2769"/>
    <cellStyle name="40% - 강조색6 7 2 3" xfId="2770"/>
    <cellStyle name="40% - 강조색6 7 2 3 2" xfId="2771"/>
    <cellStyle name="40% - 강조색6 7 2 4" xfId="2772"/>
    <cellStyle name="40% - 강조색6 7 2 5" xfId="2773"/>
    <cellStyle name="40% - 강조색6 7 2 6" xfId="2774"/>
    <cellStyle name="40% - 강조색6 7 3" xfId="2775"/>
    <cellStyle name="40% - 강조색6 7 3 2" xfId="2776"/>
    <cellStyle name="40% - 강조색6 7 3 2 2" xfId="2777"/>
    <cellStyle name="40% - 강조색6 7 3 3" xfId="2778"/>
    <cellStyle name="40% - 강조색6 7 3 4" xfId="2779"/>
    <cellStyle name="40% - 강조색6 7 3 5" xfId="2780"/>
    <cellStyle name="40% - 강조색6 8" xfId="2781"/>
    <cellStyle name="40% - 강조색6 8 2" xfId="2782"/>
    <cellStyle name="40% - 강조색6 8 2 2" xfId="2783"/>
    <cellStyle name="40% - 강조색6 8 2 2 2" xfId="2784"/>
    <cellStyle name="40% - 강조색6 8 2 2 2 2" xfId="2785"/>
    <cellStyle name="40% - 강조색6 8 2 2 3" xfId="2786"/>
    <cellStyle name="40% - 강조색6 8 2 2 4" xfId="2787"/>
    <cellStyle name="40% - 강조색6 8 2 2 5" xfId="2788"/>
    <cellStyle name="40% - 강조색6 8 2 3" xfId="2789"/>
    <cellStyle name="40% - 강조색6 8 2 3 2" xfId="2790"/>
    <cellStyle name="40% - 강조색6 8 2 4" xfId="2791"/>
    <cellStyle name="40% - 강조색6 8 2 5" xfId="2792"/>
    <cellStyle name="40% - 강조색6 8 2 6" xfId="2793"/>
    <cellStyle name="40% - 강조색6 8 3" xfId="2794"/>
    <cellStyle name="40% - 강조색6 8 3 2" xfId="2795"/>
    <cellStyle name="40% - 강조색6 8 3 2 2" xfId="2796"/>
    <cellStyle name="40% - 강조색6 8 3 3" xfId="2797"/>
    <cellStyle name="40% - 강조색6 8 3 4" xfId="2798"/>
    <cellStyle name="40% - 강조색6 8 3 5" xfId="2799"/>
    <cellStyle name="40% - 강조색6 9" xfId="2800"/>
    <cellStyle name="40% - 강조색6 9 2" xfId="2801"/>
    <cellStyle name="40% - 강조색6 9 2 2" xfId="2802"/>
    <cellStyle name="40% - 강조색6 9 2 2 2" xfId="2803"/>
    <cellStyle name="40% - 강조색6 9 2 2 2 2" xfId="2804"/>
    <cellStyle name="40% - 강조색6 9 2 2 3" xfId="2805"/>
    <cellStyle name="40% - 강조색6 9 2 2 4" xfId="2806"/>
    <cellStyle name="40% - 강조색6 9 2 2 5" xfId="2807"/>
    <cellStyle name="40% - 강조색6 9 2 3" xfId="2808"/>
    <cellStyle name="40% - 강조색6 9 2 3 2" xfId="2809"/>
    <cellStyle name="40% - 강조색6 9 2 4" xfId="2810"/>
    <cellStyle name="40% - 강조색6 9 2 5" xfId="2811"/>
    <cellStyle name="40% - 강조색6 9 2 6" xfId="2812"/>
    <cellStyle name="40% - 강조색6 9 3" xfId="2813"/>
    <cellStyle name="40% - 강조색6 9 3 2" xfId="2814"/>
    <cellStyle name="40% - 강조색6 9 3 2 2" xfId="2815"/>
    <cellStyle name="40% - 강조색6 9 3 3" xfId="2816"/>
    <cellStyle name="40% - 강조색6 9 3 4" xfId="2817"/>
    <cellStyle name="40% - 강조색6 9 3 5" xfId="2818"/>
    <cellStyle name="60" xfId="2819"/>
    <cellStyle name="60% - Accent1" xfId="2820"/>
    <cellStyle name="60% - Accent1 2" xfId="2821"/>
    <cellStyle name="60% - Accent1 2 2" xfId="2822"/>
    <cellStyle name="60% - Accent1 3" xfId="2823"/>
    <cellStyle name="60% - Accent1 4" xfId="2824"/>
    <cellStyle name="60% - Accent1 5" xfId="2825"/>
    <cellStyle name="60% - Accent1 6" xfId="2826"/>
    <cellStyle name="60% - Accent2" xfId="2827"/>
    <cellStyle name="60% - Accent2 2" xfId="2828"/>
    <cellStyle name="60% - Accent2 2 2" xfId="2829"/>
    <cellStyle name="60% - Accent2 3" xfId="2830"/>
    <cellStyle name="60% - Accent2 4" xfId="2831"/>
    <cellStyle name="60% - Accent2 5" xfId="2832"/>
    <cellStyle name="60% - Accent2 6" xfId="2833"/>
    <cellStyle name="60% - Accent3" xfId="2834"/>
    <cellStyle name="60% - Accent3 2" xfId="2835"/>
    <cellStyle name="60% - Accent3 2 2" xfId="2836"/>
    <cellStyle name="60% - Accent3 3" xfId="2837"/>
    <cellStyle name="60% - Accent3 4" xfId="2838"/>
    <cellStyle name="60% - Accent3 5" xfId="2839"/>
    <cellStyle name="60% - Accent3 6" xfId="2840"/>
    <cellStyle name="60% - Accent4" xfId="2841"/>
    <cellStyle name="60% - Accent4 2" xfId="2842"/>
    <cellStyle name="60% - Accent4 2 2" xfId="2843"/>
    <cellStyle name="60% - Accent4 3" xfId="2844"/>
    <cellStyle name="60% - Accent4 4" xfId="2845"/>
    <cellStyle name="60% - Accent4 5" xfId="2846"/>
    <cellStyle name="60% - Accent4 6" xfId="2847"/>
    <cellStyle name="60% - Accent5" xfId="2848"/>
    <cellStyle name="60% - Accent5 2" xfId="2849"/>
    <cellStyle name="60% - Accent5 2 2" xfId="2850"/>
    <cellStyle name="60% - Accent5 3" xfId="2851"/>
    <cellStyle name="60% - Accent5 4" xfId="2852"/>
    <cellStyle name="60% - Accent5 5" xfId="2853"/>
    <cellStyle name="60% - Accent5 6" xfId="2854"/>
    <cellStyle name="60% - Accent6" xfId="2855"/>
    <cellStyle name="60% - Accent6 2" xfId="2856"/>
    <cellStyle name="60% - Accent6 2 2" xfId="2857"/>
    <cellStyle name="60% - Accent6 3" xfId="2858"/>
    <cellStyle name="60% - Accent6 4" xfId="2859"/>
    <cellStyle name="60% - Accent6 5" xfId="2860"/>
    <cellStyle name="60% - Accent6 6" xfId="2861"/>
    <cellStyle name="60% - Colore 1" xfId="2862"/>
    <cellStyle name="60% - Colore 2" xfId="2863"/>
    <cellStyle name="60% - Colore 3" xfId="2864"/>
    <cellStyle name="60% - Colore 4" xfId="2865"/>
    <cellStyle name="60% - Colore 5" xfId="2866"/>
    <cellStyle name="60% - Colore 6" xfId="2867"/>
    <cellStyle name="60% - 强调文字颜色 1" xfId="2868"/>
    <cellStyle name="60% - 强调文字颜色 1 2" xfId="2869"/>
    <cellStyle name="60% - 强调文字颜色 1 2 2" xfId="2870"/>
    <cellStyle name="60% - 强调文字颜色 2" xfId="2871"/>
    <cellStyle name="60% - 强调文字颜色 2 2" xfId="2872"/>
    <cellStyle name="60% - 强调文字颜色 2 2 2" xfId="2873"/>
    <cellStyle name="60% - 强调文字颜色 3" xfId="2874"/>
    <cellStyle name="60% - 强调文字颜色 3 2" xfId="2875"/>
    <cellStyle name="60% - 强调文字颜色 3 2 2" xfId="2876"/>
    <cellStyle name="60% - 强调文字颜色 4" xfId="2877"/>
    <cellStyle name="60% - 强调文字颜色 4 2" xfId="2878"/>
    <cellStyle name="60% - 强调文字颜色 4 2 2" xfId="2879"/>
    <cellStyle name="60% - 强调文字颜色 5" xfId="2880"/>
    <cellStyle name="60% - 强调文字颜色 5 2" xfId="2881"/>
    <cellStyle name="60% - 强调文字颜色 5 2 2" xfId="2882"/>
    <cellStyle name="60% - 强调文字颜色 6" xfId="2883"/>
    <cellStyle name="60% - 强调文字颜色 6 2" xfId="2884"/>
    <cellStyle name="60% - 强调文字颜色 6 2 2" xfId="2885"/>
    <cellStyle name="60% - 강조색1 10" xfId="2886"/>
    <cellStyle name="60% - 강조색1 10 2" xfId="2887"/>
    <cellStyle name="60% - 강조색1 10 2 2" xfId="2888"/>
    <cellStyle name="60% - 강조색1 10 2 2 2" xfId="2889"/>
    <cellStyle name="60% - 강조색1 10 2 2 2 2" xfId="2890"/>
    <cellStyle name="60% - 강조색1 10 2 2 3" xfId="2891"/>
    <cellStyle name="60% - 강조색1 10 2 2 4" xfId="2892"/>
    <cellStyle name="60% - 강조색1 10 2 2 5" xfId="2893"/>
    <cellStyle name="60% - 강조색1 10 2 3" xfId="2894"/>
    <cellStyle name="60% - 강조색1 10 2 3 2" xfId="2895"/>
    <cellStyle name="60% - 강조색1 10 2 4" xfId="2896"/>
    <cellStyle name="60% - 강조색1 10 2 5" xfId="2897"/>
    <cellStyle name="60% - 강조색1 10 2 6" xfId="2898"/>
    <cellStyle name="60% - 강조색1 10 3" xfId="2899"/>
    <cellStyle name="60% - 강조색1 10 3 2" xfId="2900"/>
    <cellStyle name="60% - 강조색1 10 3 2 2" xfId="2901"/>
    <cellStyle name="60% - 강조색1 10 3 3" xfId="2902"/>
    <cellStyle name="60% - 강조색1 10 3 4" xfId="2903"/>
    <cellStyle name="60% - 강조색1 10 3 5" xfId="2904"/>
    <cellStyle name="60% - 강조색1 11" xfId="2905"/>
    <cellStyle name="60% - 강조색1 11 2" xfId="2906"/>
    <cellStyle name="60% - 강조색1 11 2 2" xfId="2907"/>
    <cellStyle name="60% - 강조색1 11 2 2 2" xfId="2908"/>
    <cellStyle name="60% - 강조색1 11 2 2 2 2" xfId="2909"/>
    <cellStyle name="60% - 강조색1 11 2 2 3" xfId="2910"/>
    <cellStyle name="60% - 강조색1 11 2 2 4" xfId="2911"/>
    <cellStyle name="60% - 강조색1 11 2 2 5" xfId="2912"/>
    <cellStyle name="60% - 강조색1 11 2 3" xfId="2913"/>
    <cellStyle name="60% - 강조색1 11 2 3 2" xfId="2914"/>
    <cellStyle name="60% - 강조색1 11 2 4" xfId="2915"/>
    <cellStyle name="60% - 강조색1 11 2 5" xfId="2916"/>
    <cellStyle name="60% - 강조색1 11 2 6" xfId="2917"/>
    <cellStyle name="60% - 강조색1 11 3" xfId="2918"/>
    <cellStyle name="60% - 강조색1 11 3 2" xfId="2919"/>
    <cellStyle name="60% - 강조색1 11 3 2 2" xfId="2920"/>
    <cellStyle name="60% - 강조색1 11 3 3" xfId="2921"/>
    <cellStyle name="60% - 강조색1 11 3 4" xfId="2922"/>
    <cellStyle name="60% - 강조색1 11 3 5" xfId="2923"/>
    <cellStyle name="60% - 강조색1 12" xfId="2924"/>
    <cellStyle name="60% - 강조색1 12 2" xfId="2925"/>
    <cellStyle name="60% - 강조색1 12 2 2" xfId="2926"/>
    <cellStyle name="60% - 강조색1 12 2 2 2" xfId="2927"/>
    <cellStyle name="60% - 강조색1 12 2 3" xfId="2928"/>
    <cellStyle name="60% - 강조색1 12 2 4" xfId="2929"/>
    <cellStyle name="60% - 강조색1 12 2 5" xfId="2930"/>
    <cellStyle name="60% - 강조색1 13" xfId="2931"/>
    <cellStyle name="60% - 강조색1 13 2" xfId="2932"/>
    <cellStyle name="60% - 강조색1 13 2 2" xfId="2933"/>
    <cellStyle name="60% - 강조색1 13 3" xfId="2934"/>
    <cellStyle name="60% - 강조색1 13 4" xfId="2935"/>
    <cellStyle name="60% - 강조색1 13 5" xfId="2936"/>
    <cellStyle name="60% - 강조색1 14" xfId="2937"/>
    <cellStyle name="60% - 강조색1 2" xfId="2938"/>
    <cellStyle name="60% - 강조색1 2 2" xfId="2939"/>
    <cellStyle name="60% - 강조색1 2 2 2" xfId="2940"/>
    <cellStyle name="60% - 강조색1 2 2 2 2" xfId="2941"/>
    <cellStyle name="60% - 강조색1 2 2 2 2 2" xfId="2942"/>
    <cellStyle name="60% - 강조색1 2 2 2 3" xfId="2943"/>
    <cellStyle name="60% - 강조색1 2 2 2 4" xfId="2944"/>
    <cellStyle name="60% - 강조색1 2 2 2 5" xfId="2945"/>
    <cellStyle name="60% - 강조색1 2 2 3" xfId="2946"/>
    <cellStyle name="60% - 강조색1 2 2 3 2" xfId="2947"/>
    <cellStyle name="60% - 강조색1 2 2 4" xfId="2948"/>
    <cellStyle name="60% - 강조색1 2 2 5" xfId="2949"/>
    <cellStyle name="60% - 강조색1 2 2 6" xfId="2950"/>
    <cellStyle name="60% - 강조색1 2 2 7" xfId="2951"/>
    <cellStyle name="60% - 강조색1 2 3" xfId="2952"/>
    <cellStyle name="60% - 강조색1 2 3 2" xfId="2953"/>
    <cellStyle name="60% - 강조색1 2 3 2 2" xfId="2954"/>
    <cellStyle name="60% - 강조색1 2 3 3" xfId="2955"/>
    <cellStyle name="60% - 강조색1 2 3 4" xfId="2956"/>
    <cellStyle name="60% - 강조색1 2 3 5" xfId="2957"/>
    <cellStyle name="60% - 강조색1 3" xfId="2958"/>
    <cellStyle name="60% - 강조색1 3 2" xfId="2959"/>
    <cellStyle name="60% - 강조색1 3 2 2" xfId="2960"/>
    <cellStyle name="60% - 강조색1 3 2 2 2" xfId="2961"/>
    <cellStyle name="60% - 강조색1 3 2 2 2 2" xfId="2962"/>
    <cellStyle name="60% - 강조색1 3 2 2 3" xfId="2963"/>
    <cellStyle name="60% - 강조색1 3 2 2 4" xfId="2964"/>
    <cellStyle name="60% - 강조색1 3 2 2 5" xfId="2965"/>
    <cellStyle name="60% - 강조색1 3 2 3" xfId="2966"/>
    <cellStyle name="60% - 강조색1 3 2 3 2" xfId="2967"/>
    <cellStyle name="60% - 강조색1 3 2 4" xfId="2968"/>
    <cellStyle name="60% - 강조색1 3 2 5" xfId="2969"/>
    <cellStyle name="60% - 강조색1 3 2 6" xfId="2970"/>
    <cellStyle name="60% - 강조색1 3 2 7" xfId="2971"/>
    <cellStyle name="60% - 강조색1 3 3" xfId="2972"/>
    <cellStyle name="60% - 강조색1 3 3 2" xfId="2973"/>
    <cellStyle name="60% - 강조색1 3 3 2 2" xfId="2974"/>
    <cellStyle name="60% - 강조색1 3 3 3" xfId="2975"/>
    <cellStyle name="60% - 강조색1 3 3 4" xfId="2976"/>
    <cellStyle name="60% - 강조색1 3 3 5" xfId="2977"/>
    <cellStyle name="60% - 강조색1 3 4" xfId="2978"/>
    <cellStyle name="60% - 강조색1 4" xfId="2979"/>
    <cellStyle name="60% - 강조색1 4 2" xfId="2980"/>
    <cellStyle name="60% - 강조색1 4 2 2" xfId="2981"/>
    <cellStyle name="60% - 강조색1 4 2 2 2" xfId="2982"/>
    <cellStyle name="60% - 강조색1 4 2 2 2 2" xfId="2983"/>
    <cellStyle name="60% - 강조색1 4 2 2 3" xfId="2984"/>
    <cellStyle name="60% - 강조색1 4 2 2 4" xfId="2985"/>
    <cellStyle name="60% - 강조색1 4 2 2 5" xfId="2986"/>
    <cellStyle name="60% - 강조색1 4 2 3" xfId="2987"/>
    <cellStyle name="60% - 강조색1 4 2 3 2" xfId="2988"/>
    <cellStyle name="60% - 강조색1 4 2 4" xfId="2989"/>
    <cellStyle name="60% - 강조색1 4 2 5" xfId="2990"/>
    <cellStyle name="60% - 강조색1 4 2 6" xfId="2991"/>
    <cellStyle name="60% - 강조색1 4 3" xfId="2992"/>
    <cellStyle name="60% - 강조색1 4 3 2" xfId="2993"/>
    <cellStyle name="60% - 강조색1 4 3 2 2" xfId="2994"/>
    <cellStyle name="60% - 강조색1 4 3 3" xfId="2995"/>
    <cellStyle name="60% - 강조색1 4 3 4" xfId="2996"/>
    <cellStyle name="60% - 강조색1 4 3 5" xfId="2997"/>
    <cellStyle name="60% - 강조색1 5" xfId="2998"/>
    <cellStyle name="60% - 강조색1 5 2" xfId="2999"/>
    <cellStyle name="60% - 강조색1 5 2 2" xfId="3000"/>
    <cellStyle name="60% - 강조색1 5 2 2 2" xfId="3001"/>
    <cellStyle name="60% - 강조색1 5 2 2 2 2" xfId="3002"/>
    <cellStyle name="60% - 강조색1 5 2 2 3" xfId="3003"/>
    <cellStyle name="60% - 강조색1 5 2 2 4" xfId="3004"/>
    <cellStyle name="60% - 강조색1 5 2 2 5" xfId="3005"/>
    <cellStyle name="60% - 강조색1 5 2 3" xfId="3006"/>
    <cellStyle name="60% - 강조색1 5 2 3 2" xfId="3007"/>
    <cellStyle name="60% - 강조색1 5 2 4" xfId="3008"/>
    <cellStyle name="60% - 강조색1 5 2 5" xfId="3009"/>
    <cellStyle name="60% - 강조색1 5 2 6" xfId="3010"/>
    <cellStyle name="60% - 강조색1 5 3" xfId="3011"/>
    <cellStyle name="60% - 강조색1 5 3 2" xfId="3012"/>
    <cellStyle name="60% - 강조색1 5 3 2 2" xfId="3013"/>
    <cellStyle name="60% - 강조색1 5 3 3" xfId="3014"/>
    <cellStyle name="60% - 강조색1 5 3 4" xfId="3015"/>
    <cellStyle name="60% - 강조색1 5 3 5" xfId="3016"/>
    <cellStyle name="60% - 강조색1 6" xfId="3017"/>
    <cellStyle name="60% - 강조색1 6 2" xfId="3018"/>
    <cellStyle name="60% - 강조색1 6 2 2" xfId="3019"/>
    <cellStyle name="60% - 강조색1 6 2 2 2" xfId="3020"/>
    <cellStyle name="60% - 강조색1 6 2 2 2 2" xfId="3021"/>
    <cellStyle name="60% - 강조색1 6 2 2 3" xfId="3022"/>
    <cellStyle name="60% - 강조색1 6 2 2 4" xfId="3023"/>
    <cellStyle name="60% - 강조색1 6 2 2 5" xfId="3024"/>
    <cellStyle name="60% - 강조색1 6 2 3" xfId="3025"/>
    <cellStyle name="60% - 강조색1 6 2 3 2" xfId="3026"/>
    <cellStyle name="60% - 강조색1 6 2 4" xfId="3027"/>
    <cellStyle name="60% - 강조색1 6 2 5" xfId="3028"/>
    <cellStyle name="60% - 강조색1 6 2 6" xfId="3029"/>
    <cellStyle name="60% - 강조색1 6 3" xfId="3030"/>
    <cellStyle name="60% - 강조색1 6 3 2" xfId="3031"/>
    <cellStyle name="60% - 강조색1 6 3 2 2" xfId="3032"/>
    <cellStyle name="60% - 강조색1 6 3 3" xfId="3033"/>
    <cellStyle name="60% - 강조색1 6 3 4" xfId="3034"/>
    <cellStyle name="60% - 강조색1 6 3 5" xfId="3035"/>
    <cellStyle name="60% - 강조색1 7" xfId="3036"/>
    <cellStyle name="60% - 강조색1 7 2" xfId="3037"/>
    <cellStyle name="60% - 강조색1 7 2 2" xfId="3038"/>
    <cellStyle name="60% - 강조색1 7 2 2 2" xfId="3039"/>
    <cellStyle name="60% - 강조색1 7 2 2 2 2" xfId="3040"/>
    <cellStyle name="60% - 강조색1 7 2 2 3" xfId="3041"/>
    <cellStyle name="60% - 강조색1 7 2 2 4" xfId="3042"/>
    <cellStyle name="60% - 강조색1 7 2 2 5" xfId="3043"/>
    <cellStyle name="60% - 강조색1 7 2 3" xfId="3044"/>
    <cellStyle name="60% - 강조색1 7 2 3 2" xfId="3045"/>
    <cellStyle name="60% - 강조색1 7 2 4" xfId="3046"/>
    <cellStyle name="60% - 강조색1 7 2 5" xfId="3047"/>
    <cellStyle name="60% - 강조색1 7 2 6" xfId="3048"/>
    <cellStyle name="60% - 강조색1 7 3" xfId="3049"/>
    <cellStyle name="60% - 강조색1 7 3 2" xfId="3050"/>
    <cellStyle name="60% - 강조색1 7 3 2 2" xfId="3051"/>
    <cellStyle name="60% - 강조색1 7 3 3" xfId="3052"/>
    <cellStyle name="60% - 강조색1 7 3 4" xfId="3053"/>
    <cellStyle name="60% - 강조색1 7 3 5" xfId="3054"/>
    <cellStyle name="60% - 강조색1 8" xfId="3055"/>
    <cellStyle name="60% - 강조색1 8 2" xfId="3056"/>
    <cellStyle name="60% - 강조색1 8 2 2" xfId="3057"/>
    <cellStyle name="60% - 강조색1 8 2 2 2" xfId="3058"/>
    <cellStyle name="60% - 강조색1 8 2 2 2 2" xfId="3059"/>
    <cellStyle name="60% - 강조색1 8 2 2 3" xfId="3060"/>
    <cellStyle name="60% - 강조색1 8 2 2 4" xfId="3061"/>
    <cellStyle name="60% - 강조색1 8 2 2 5" xfId="3062"/>
    <cellStyle name="60% - 강조색1 8 2 3" xfId="3063"/>
    <cellStyle name="60% - 강조색1 8 2 3 2" xfId="3064"/>
    <cellStyle name="60% - 강조색1 8 2 4" xfId="3065"/>
    <cellStyle name="60% - 강조색1 8 2 5" xfId="3066"/>
    <cellStyle name="60% - 강조색1 8 2 6" xfId="3067"/>
    <cellStyle name="60% - 강조색1 8 3" xfId="3068"/>
    <cellStyle name="60% - 강조색1 8 3 2" xfId="3069"/>
    <cellStyle name="60% - 강조색1 8 3 2 2" xfId="3070"/>
    <cellStyle name="60% - 강조색1 8 3 3" xfId="3071"/>
    <cellStyle name="60% - 강조색1 8 3 4" xfId="3072"/>
    <cellStyle name="60% - 강조색1 8 3 5" xfId="3073"/>
    <cellStyle name="60% - 강조색1 9" xfId="3074"/>
    <cellStyle name="60% - 강조색1 9 2" xfId="3075"/>
    <cellStyle name="60% - 강조색1 9 2 2" xfId="3076"/>
    <cellStyle name="60% - 강조색1 9 2 2 2" xfId="3077"/>
    <cellStyle name="60% - 강조색1 9 2 2 2 2" xfId="3078"/>
    <cellStyle name="60% - 강조색1 9 2 2 3" xfId="3079"/>
    <cellStyle name="60% - 강조색1 9 2 2 4" xfId="3080"/>
    <cellStyle name="60% - 강조색1 9 2 2 5" xfId="3081"/>
    <cellStyle name="60% - 강조색1 9 2 3" xfId="3082"/>
    <cellStyle name="60% - 강조색1 9 2 3 2" xfId="3083"/>
    <cellStyle name="60% - 강조색1 9 2 4" xfId="3084"/>
    <cellStyle name="60% - 강조색1 9 2 5" xfId="3085"/>
    <cellStyle name="60% - 강조색1 9 2 6" xfId="3086"/>
    <cellStyle name="60% - 강조색1 9 3" xfId="3087"/>
    <cellStyle name="60% - 강조색1 9 3 2" xfId="3088"/>
    <cellStyle name="60% - 강조색1 9 3 2 2" xfId="3089"/>
    <cellStyle name="60% - 강조색1 9 3 3" xfId="3090"/>
    <cellStyle name="60% - 강조색1 9 3 4" xfId="3091"/>
    <cellStyle name="60% - 강조색1 9 3 5" xfId="3092"/>
    <cellStyle name="60% - 강조색2 10" xfId="3093"/>
    <cellStyle name="60% - 강조색2 10 2" xfId="3094"/>
    <cellStyle name="60% - 강조색2 10 2 2" xfId="3095"/>
    <cellStyle name="60% - 강조색2 10 2 2 2" xfId="3096"/>
    <cellStyle name="60% - 강조색2 10 2 2 2 2" xfId="3097"/>
    <cellStyle name="60% - 강조색2 10 2 2 3" xfId="3098"/>
    <cellStyle name="60% - 강조색2 10 2 2 4" xfId="3099"/>
    <cellStyle name="60% - 강조색2 10 2 2 5" xfId="3100"/>
    <cellStyle name="60% - 강조색2 10 2 3" xfId="3101"/>
    <cellStyle name="60% - 강조색2 10 2 3 2" xfId="3102"/>
    <cellStyle name="60% - 강조색2 10 2 4" xfId="3103"/>
    <cellStyle name="60% - 강조색2 10 2 5" xfId="3104"/>
    <cellStyle name="60% - 강조색2 10 2 6" xfId="3105"/>
    <cellStyle name="60% - 강조색2 10 3" xfId="3106"/>
    <cellStyle name="60% - 강조색2 10 3 2" xfId="3107"/>
    <cellStyle name="60% - 강조색2 10 3 2 2" xfId="3108"/>
    <cellStyle name="60% - 강조색2 10 3 3" xfId="3109"/>
    <cellStyle name="60% - 강조색2 10 3 4" xfId="3110"/>
    <cellStyle name="60% - 강조색2 10 3 5" xfId="3111"/>
    <cellStyle name="60% - 강조색2 11" xfId="3112"/>
    <cellStyle name="60% - 강조색2 11 2" xfId="3113"/>
    <cellStyle name="60% - 강조색2 11 2 2" xfId="3114"/>
    <cellStyle name="60% - 강조색2 11 2 2 2" xfId="3115"/>
    <cellStyle name="60% - 강조색2 11 2 2 2 2" xfId="3116"/>
    <cellStyle name="60% - 강조색2 11 2 2 3" xfId="3117"/>
    <cellStyle name="60% - 강조색2 11 2 2 4" xfId="3118"/>
    <cellStyle name="60% - 강조색2 11 2 2 5" xfId="3119"/>
    <cellStyle name="60% - 강조색2 11 2 3" xfId="3120"/>
    <cellStyle name="60% - 강조색2 11 2 3 2" xfId="3121"/>
    <cellStyle name="60% - 강조색2 11 2 4" xfId="3122"/>
    <cellStyle name="60% - 강조색2 11 2 5" xfId="3123"/>
    <cellStyle name="60% - 강조색2 11 2 6" xfId="3124"/>
    <cellStyle name="60% - 강조색2 11 3" xfId="3125"/>
    <cellStyle name="60% - 강조색2 11 3 2" xfId="3126"/>
    <cellStyle name="60% - 강조색2 11 3 2 2" xfId="3127"/>
    <cellStyle name="60% - 강조색2 11 3 3" xfId="3128"/>
    <cellStyle name="60% - 강조색2 11 3 4" xfId="3129"/>
    <cellStyle name="60% - 강조색2 11 3 5" xfId="3130"/>
    <cellStyle name="60% - 강조색2 12" xfId="3131"/>
    <cellStyle name="60% - 강조색2 12 2" xfId="3132"/>
    <cellStyle name="60% - 강조색2 12 2 2" xfId="3133"/>
    <cellStyle name="60% - 강조색2 12 2 2 2" xfId="3134"/>
    <cellStyle name="60% - 강조색2 12 2 3" xfId="3135"/>
    <cellStyle name="60% - 강조색2 12 2 4" xfId="3136"/>
    <cellStyle name="60% - 강조색2 12 2 5" xfId="3137"/>
    <cellStyle name="60% - 강조색2 13" xfId="3138"/>
    <cellStyle name="60% - 강조색2 13 2" xfId="3139"/>
    <cellStyle name="60% - 강조색2 13 2 2" xfId="3140"/>
    <cellStyle name="60% - 강조색2 13 3" xfId="3141"/>
    <cellStyle name="60% - 강조색2 13 4" xfId="3142"/>
    <cellStyle name="60% - 강조색2 13 5" xfId="3143"/>
    <cellStyle name="60% - 강조색2 14" xfId="3144"/>
    <cellStyle name="60% - 강조색2 2" xfId="3145"/>
    <cellStyle name="60% - 강조색2 2 2" xfId="3146"/>
    <cellStyle name="60% - 강조색2 2 2 2" xfId="3147"/>
    <cellStyle name="60% - 강조색2 2 2 2 2" xfId="3148"/>
    <cellStyle name="60% - 강조색2 2 2 2 2 2" xfId="3149"/>
    <cellStyle name="60% - 강조색2 2 2 2 3" xfId="3150"/>
    <cellStyle name="60% - 강조색2 2 2 2 4" xfId="3151"/>
    <cellStyle name="60% - 강조색2 2 2 2 5" xfId="3152"/>
    <cellStyle name="60% - 강조색2 2 2 3" xfId="3153"/>
    <cellStyle name="60% - 강조색2 2 2 3 2" xfId="3154"/>
    <cellStyle name="60% - 강조색2 2 2 4" xfId="3155"/>
    <cellStyle name="60% - 강조색2 2 2 5" xfId="3156"/>
    <cellStyle name="60% - 강조색2 2 2 6" xfId="3157"/>
    <cellStyle name="60% - 강조색2 2 2 7" xfId="3158"/>
    <cellStyle name="60% - 강조색2 2 3" xfId="3159"/>
    <cellStyle name="60% - 강조색2 2 3 2" xfId="3160"/>
    <cellStyle name="60% - 강조색2 2 3 2 2" xfId="3161"/>
    <cellStyle name="60% - 강조색2 2 3 3" xfId="3162"/>
    <cellStyle name="60% - 강조색2 2 3 4" xfId="3163"/>
    <cellStyle name="60% - 강조색2 2 3 5" xfId="3164"/>
    <cellStyle name="60% - 강조색2 3" xfId="3165"/>
    <cellStyle name="60% - 강조색2 3 2" xfId="3166"/>
    <cellStyle name="60% - 강조색2 3 2 2" xfId="3167"/>
    <cellStyle name="60% - 강조색2 3 2 2 2" xfId="3168"/>
    <cellStyle name="60% - 강조색2 3 2 2 2 2" xfId="3169"/>
    <cellStyle name="60% - 강조색2 3 2 2 3" xfId="3170"/>
    <cellStyle name="60% - 강조색2 3 2 2 4" xfId="3171"/>
    <cellStyle name="60% - 강조색2 3 2 2 5" xfId="3172"/>
    <cellStyle name="60% - 강조색2 3 2 3" xfId="3173"/>
    <cellStyle name="60% - 강조색2 3 2 3 2" xfId="3174"/>
    <cellStyle name="60% - 강조색2 3 2 4" xfId="3175"/>
    <cellStyle name="60% - 강조색2 3 2 5" xfId="3176"/>
    <cellStyle name="60% - 강조색2 3 2 6" xfId="3177"/>
    <cellStyle name="60% - 강조색2 3 2 7" xfId="3178"/>
    <cellStyle name="60% - 강조색2 3 3" xfId="3179"/>
    <cellStyle name="60% - 강조색2 3 3 2" xfId="3180"/>
    <cellStyle name="60% - 강조색2 3 3 2 2" xfId="3181"/>
    <cellStyle name="60% - 강조색2 3 3 3" xfId="3182"/>
    <cellStyle name="60% - 강조색2 3 3 4" xfId="3183"/>
    <cellStyle name="60% - 강조색2 3 3 5" xfId="3184"/>
    <cellStyle name="60% - 강조색2 3 4" xfId="3185"/>
    <cellStyle name="60% - 강조색2 4" xfId="3186"/>
    <cellStyle name="60% - 강조색2 4 2" xfId="3187"/>
    <cellStyle name="60% - 강조색2 4 2 2" xfId="3188"/>
    <cellStyle name="60% - 강조색2 4 2 2 2" xfId="3189"/>
    <cellStyle name="60% - 강조색2 4 2 2 2 2" xfId="3190"/>
    <cellStyle name="60% - 강조색2 4 2 2 3" xfId="3191"/>
    <cellStyle name="60% - 강조색2 4 2 2 4" xfId="3192"/>
    <cellStyle name="60% - 강조색2 4 2 2 5" xfId="3193"/>
    <cellStyle name="60% - 강조색2 4 2 3" xfId="3194"/>
    <cellStyle name="60% - 강조색2 4 2 3 2" xfId="3195"/>
    <cellStyle name="60% - 강조색2 4 2 4" xfId="3196"/>
    <cellStyle name="60% - 강조색2 4 2 5" xfId="3197"/>
    <cellStyle name="60% - 강조색2 4 2 6" xfId="3198"/>
    <cellStyle name="60% - 강조색2 4 3" xfId="3199"/>
    <cellStyle name="60% - 강조색2 4 3 2" xfId="3200"/>
    <cellStyle name="60% - 강조색2 4 3 2 2" xfId="3201"/>
    <cellStyle name="60% - 강조색2 4 3 3" xfId="3202"/>
    <cellStyle name="60% - 강조색2 4 3 4" xfId="3203"/>
    <cellStyle name="60% - 강조색2 4 3 5" xfId="3204"/>
    <cellStyle name="60% - 강조색2 5" xfId="3205"/>
    <cellStyle name="60% - 강조색2 5 2" xfId="3206"/>
    <cellStyle name="60% - 강조색2 5 2 2" xfId="3207"/>
    <cellStyle name="60% - 강조색2 5 2 2 2" xfId="3208"/>
    <cellStyle name="60% - 강조색2 5 2 2 2 2" xfId="3209"/>
    <cellStyle name="60% - 강조색2 5 2 2 3" xfId="3210"/>
    <cellStyle name="60% - 강조색2 5 2 2 4" xfId="3211"/>
    <cellStyle name="60% - 강조색2 5 2 2 5" xfId="3212"/>
    <cellStyle name="60% - 강조색2 5 2 3" xfId="3213"/>
    <cellStyle name="60% - 강조색2 5 2 3 2" xfId="3214"/>
    <cellStyle name="60% - 강조색2 5 2 4" xfId="3215"/>
    <cellStyle name="60% - 강조색2 5 2 5" xfId="3216"/>
    <cellStyle name="60% - 강조색2 5 2 6" xfId="3217"/>
    <cellStyle name="60% - 강조색2 5 3" xfId="3218"/>
    <cellStyle name="60% - 강조색2 5 3 2" xfId="3219"/>
    <cellStyle name="60% - 강조색2 5 3 2 2" xfId="3220"/>
    <cellStyle name="60% - 강조색2 5 3 3" xfId="3221"/>
    <cellStyle name="60% - 강조색2 5 3 4" xfId="3222"/>
    <cellStyle name="60% - 강조색2 5 3 5" xfId="3223"/>
    <cellStyle name="60% - 강조색2 6" xfId="3224"/>
    <cellStyle name="60% - 강조색2 6 2" xfId="3225"/>
    <cellStyle name="60% - 강조색2 6 2 2" xfId="3226"/>
    <cellStyle name="60% - 강조색2 6 2 2 2" xfId="3227"/>
    <cellStyle name="60% - 강조색2 6 2 2 2 2" xfId="3228"/>
    <cellStyle name="60% - 강조색2 6 2 2 3" xfId="3229"/>
    <cellStyle name="60% - 강조색2 6 2 2 4" xfId="3230"/>
    <cellStyle name="60% - 강조색2 6 2 2 5" xfId="3231"/>
    <cellStyle name="60% - 강조색2 6 2 3" xfId="3232"/>
    <cellStyle name="60% - 강조색2 6 2 3 2" xfId="3233"/>
    <cellStyle name="60% - 강조색2 6 2 4" xfId="3234"/>
    <cellStyle name="60% - 강조색2 6 2 5" xfId="3235"/>
    <cellStyle name="60% - 강조색2 6 2 6" xfId="3236"/>
    <cellStyle name="60% - 강조색2 6 3" xfId="3237"/>
    <cellStyle name="60% - 강조색2 6 3 2" xfId="3238"/>
    <cellStyle name="60% - 강조색2 6 3 2 2" xfId="3239"/>
    <cellStyle name="60% - 강조색2 6 3 3" xfId="3240"/>
    <cellStyle name="60% - 강조색2 6 3 4" xfId="3241"/>
    <cellStyle name="60% - 강조색2 6 3 5" xfId="3242"/>
    <cellStyle name="60% - 강조색2 7" xfId="3243"/>
    <cellStyle name="60% - 강조색2 7 2" xfId="3244"/>
    <cellStyle name="60% - 강조색2 7 2 2" xfId="3245"/>
    <cellStyle name="60% - 강조색2 7 2 2 2" xfId="3246"/>
    <cellStyle name="60% - 강조색2 7 2 2 2 2" xfId="3247"/>
    <cellStyle name="60% - 강조색2 7 2 2 3" xfId="3248"/>
    <cellStyle name="60% - 강조색2 7 2 2 4" xfId="3249"/>
    <cellStyle name="60% - 강조색2 7 2 2 5" xfId="3250"/>
    <cellStyle name="60% - 강조색2 7 2 3" xfId="3251"/>
    <cellStyle name="60% - 강조색2 7 2 3 2" xfId="3252"/>
    <cellStyle name="60% - 강조색2 7 2 4" xfId="3253"/>
    <cellStyle name="60% - 강조색2 7 2 5" xfId="3254"/>
    <cellStyle name="60% - 강조색2 7 2 6" xfId="3255"/>
    <cellStyle name="60% - 강조색2 7 3" xfId="3256"/>
    <cellStyle name="60% - 강조색2 7 3 2" xfId="3257"/>
    <cellStyle name="60% - 강조색2 7 3 2 2" xfId="3258"/>
    <cellStyle name="60% - 강조색2 7 3 3" xfId="3259"/>
    <cellStyle name="60% - 강조색2 7 3 4" xfId="3260"/>
    <cellStyle name="60% - 강조색2 7 3 5" xfId="3261"/>
    <cellStyle name="60% - 강조색2 8" xfId="3262"/>
    <cellStyle name="60% - 강조색2 8 2" xfId="3263"/>
    <cellStyle name="60% - 강조색2 8 2 2" xfId="3264"/>
    <cellStyle name="60% - 강조색2 8 2 2 2" xfId="3265"/>
    <cellStyle name="60% - 강조색2 8 2 2 2 2" xfId="3266"/>
    <cellStyle name="60% - 강조색2 8 2 2 3" xfId="3267"/>
    <cellStyle name="60% - 강조색2 8 2 2 4" xfId="3268"/>
    <cellStyle name="60% - 강조색2 8 2 2 5" xfId="3269"/>
    <cellStyle name="60% - 강조색2 8 2 3" xfId="3270"/>
    <cellStyle name="60% - 강조색2 8 2 3 2" xfId="3271"/>
    <cellStyle name="60% - 강조색2 8 2 4" xfId="3272"/>
    <cellStyle name="60% - 강조색2 8 2 5" xfId="3273"/>
    <cellStyle name="60% - 강조색2 8 2 6" xfId="3274"/>
    <cellStyle name="60% - 강조색2 8 3" xfId="3275"/>
    <cellStyle name="60% - 강조색2 8 3 2" xfId="3276"/>
    <cellStyle name="60% - 강조색2 8 3 2 2" xfId="3277"/>
    <cellStyle name="60% - 강조색2 8 3 3" xfId="3278"/>
    <cellStyle name="60% - 강조색2 8 3 4" xfId="3279"/>
    <cellStyle name="60% - 강조색2 8 3 5" xfId="3280"/>
    <cellStyle name="60% - 강조색2 9" xfId="3281"/>
    <cellStyle name="60% - 강조색2 9 2" xfId="3282"/>
    <cellStyle name="60% - 강조색2 9 2 2" xfId="3283"/>
    <cellStyle name="60% - 강조색2 9 2 2 2" xfId="3284"/>
    <cellStyle name="60% - 강조색2 9 2 2 2 2" xfId="3285"/>
    <cellStyle name="60% - 강조색2 9 2 2 3" xfId="3286"/>
    <cellStyle name="60% - 강조색2 9 2 2 4" xfId="3287"/>
    <cellStyle name="60% - 강조색2 9 2 2 5" xfId="3288"/>
    <cellStyle name="60% - 강조색2 9 2 3" xfId="3289"/>
    <cellStyle name="60% - 강조색2 9 2 3 2" xfId="3290"/>
    <cellStyle name="60% - 강조색2 9 2 4" xfId="3291"/>
    <cellStyle name="60% - 강조색2 9 2 5" xfId="3292"/>
    <cellStyle name="60% - 강조색2 9 2 6" xfId="3293"/>
    <cellStyle name="60% - 강조색2 9 3" xfId="3294"/>
    <cellStyle name="60% - 강조색2 9 3 2" xfId="3295"/>
    <cellStyle name="60% - 강조색2 9 3 2 2" xfId="3296"/>
    <cellStyle name="60% - 강조색2 9 3 3" xfId="3297"/>
    <cellStyle name="60% - 강조색2 9 3 4" xfId="3298"/>
    <cellStyle name="60% - 강조색2 9 3 5" xfId="3299"/>
    <cellStyle name="60% - 강조색3 10" xfId="3300"/>
    <cellStyle name="60% - 강조색3 10 2" xfId="3301"/>
    <cellStyle name="60% - 강조색3 10 2 2" xfId="3302"/>
    <cellStyle name="60% - 강조색3 10 2 2 2" xfId="3303"/>
    <cellStyle name="60% - 강조색3 10 2 2 2 2" xfId="3304"/>
    <cellStyle name="60% - 강조색3 10 2 2 3" xfId="3305"/>
    <cellStyle name="60% - 강조색3 10 2 2 4" xfId="3306"/>
    <cellStyle name="60% - 강조색3 10 2 2 5" xfId="3307"/>
    <cellStyle name="60% - 강조색3 10 2 3" xfId="3308"/>
    <cellStyle name="60% - 강조색3 10 2 3 2" xfId="3309"/>
    <cellStyle name="60% - 강조색3 10 2 4" xfId="3310"/>
    <cellStyle name="60% - 강조색3 10 2 5" xfId="3311"/>
    <cellStyle name="60% - 강조색3 10 2 6" xfId="3312"/>
    <cellStyle name="60% - 강조색3 10 3" xfId="3313"/>
    <cellStyle name="60% - 강조색3 10 3 2" xfId="3314"/>
    <cellStyle name="60% - 강조색3 10 3 2 2" xfId="3315"/>
    <cellStyle name="60% - 강조색3 10 3 3" xfId="3316"/>
    <cellStyle name="60% - 강조색3 10 3 4" xfId="3317"/>
    <cellStyle name="60% - 강조색3 10 3 5" xfId="3318"/>
    <cellStyle name="60% - 강조색3 11" xfId="3319"/>
    <cellStyle name="60% - 강조색3 11 2" xfId="3320"/>
    <cellStyle name="60% - 강조색3 11 2 2" xfId="3321"/>
    <cellStyle name="60% - 강조색3 11 2 2 2" xfId="3322"/>
    <cellStyle name="60% - 강조색3 11 2 2 2 2" xfId="3323"/>
    <cellStyle name="60% - 강조색3 11 2 2 3" xfId="3324"/>
    <cellStyle name="60% - 강조색3 11 2 2 4" xfId="3325"/>
    <cellStyle name="60% - 강조색3 11 2 2 5" xfId="3326"/>
    <cellStyle name="60% - 강조색3 11 2 3" xfId="3327"/>
    <cellStyle name="60% - 강조색3 11 2 3 2" xfId="3328"/>
    <cellStyle name="60% - 강조색3 11 2 4" xfId="3329"/>
    <cellStyle name="60% - 강조색3 11 2 5" xfId="3330"/>
    <cellStyle name="60% - 강조색3 11 2 6" xfId="3331"/>
    <cellStyle name="60% - 강조색3 11 3" xfId="3332"/>
    <cellStyle name="60% - 강조색3 11 3 2" xfId="3333"/>
    <cellStyle name="60% - 강조색3 11 3 2 2" xfId="3334"/>
    <cellStyle name="60% - 강조색3 11 3 3" xfId="3335"/>
    <cellStyle name="60% - 강조색3 11 3 4" xfId="3336"/>
    <cellStyle name="60% - 강조색3 11 3 5" xfId="3337"/>
    <cellStyle name="60% - 강조색3 12" xfId="3338"/>
    <cellStyle name="60% - 강조색3 12 2" xfId="3339"/>
    <cellStyle name="60% - 강조색3 12 2 2" xfId="3340"/>
    <cellStyle name="60% - 강조색3 12 2 2 2" xfId="3341"/>
    <cellStyle name="60% - 강조색3 12 2 3" xfId="3342"/>
    <cellStyle name="60% - 강조색3 12 2 4" xfId="3343"/>
    <cellStyle name="60% - 강조색3 12 2 5" xfId="3344"/>
    <cellStyle name="60% - 강조색3 13" xfId="3345"/>
    <cellStyle name="60% - 강조색3 13 2" xfId="3346"/>
    <cellStyle name="60% - 강조색3 13 2 2" xfId="3347"/>
    <cellStyle name="60% - 강조색3 13 3" xfId="3348"/>
    <cellStyle name="60% - 강조색3 13 4" xfId="3349"/>
    <cellStyle name="60% - 강조색3 13 5" xfId="3350"/>
    <cellStyle name="60% - 강조색3 14" xfId="3351"/>
    <cellStyle name="60% - 강조색3 2" xfId="3352"/>
    <cellStyle name="60% - 강조색3 2 2" xfId="3353"/>
    <cellStyle name="60% - 강조색3 2 2 2" xfId="3354"/>
    <cellStyle name="60% - 강조색3 2 2 2 2" xfId="3355"/>
    <cellStyle name="60% - 강조색3 2 2 2 2 2" xfId="3356"/>
    <cellStyle name="60% - 강조색3 2 2 2 3" xfId="3357"/>
    <cellStyle name="60% - 강조색3 2 2 2 4" xfId="3358"/>
    <cellStyle name="60% - 강조색3 2 2 2 5" xfId="3359"/>
    <cellStyle name="60% - 강조색3 2 2 3" xfId="3360"/>
    <cellStyle name="60% - 강조색3 2 2 3 2" xfId="3361"/>
    <cellStyle name="60% - 강조색3 2 2 4" xfId="3362"/>
    <cellStyle name="60% - 강조색3 2 2 5" xfId="3363"/>
    <cellStyle name="60% - 강조색3 2 2 6" xfId="3364"/>
    <cellStyle name="60% - 강조색3 2 2 7" xfId="3365"/>
    <cellStyle name="60% - 강조색3 2 3" xfId="3366"/>
    <cellStyle name="60% - 강조색3 2 3 2" xfId="3367"/>
    <cellStyle name="60% - 강조색3 2 3 2 2" xfId="3368"/>
    <cellStyle name="60% - 강조색3 2 3 3" xfId="3369"/>
    <cellStyle name="60% - 강조색3 2 3 4" xfId="3370"/>
    <cellStyle name="60% - 강조색3 2 3 5" xfId="3371"/>
    <cellStyle name="60% - 강조색3 3" xfId="3372"/>
    <cellStyle name="60% - 강조색3 3 2" xfId="3373"/>
    <cellStyle name="60% - 강조색3 3 2 2" xfId="3374"/>
    <cellStyle name="60% - 강조색3 3 2 2 2" xfId="3375"/>
    <cellStyle name="60% - 강조색3 3 2 2 2 2" xfId="3376"/>
    <cellStyle name="60% - 강조색3 3 2 2 3" xfId="3377"/>
    <cellStyle name="60% - 강조색3 3 2 2 4" xfId="3378"/>
    <cellStyle name="60% - 강조색3 3 2 2 5" xfId="3379"/>
    <cellStyle name="60% - 강조색3 3 2 3" xfId="3380"/>
    <cellStyle name="60% - 강조색3 3 2 3 2" xfId="3381"/>
    <cellStyle name="60% - 강조색3 3 2 4" xfId="3382"/>
    <cellStyle name="60% - 강조색3 3 2 5" xfId="3383"/>
    <cellStyle name="60% - 강조색3 3 2 6" xfId="3384"/>
    <cellStyle name="60% - 강조색3 3 2 7" xfId="3385"/>
    <cellStyle name="60% - 강조색3 3 3" xfId="3386"/>
    <cellStyle name="60% - 강조색3 3 3 2" xfId="3387"/>
    <cellStyle name="60% - 강조색3 3 3 2 2" xfId="3388"/>
    <cellStyle name="60% - 강조색3 3 3 3" xfId="3389"/>
    <cellStyle name="60% - 강조색3 3 3 4" xfId="3390"/>
    <cellStyle name="60% - 강조색3 3 3 5" xfId="3391"/>
    <cellStyle name="60% - 강조색3 3 4" xfId="3392"/>
    <cellStyle name="60% - 강조색3 4" xfId="3393"/>
    <cellStyle name="60% - 강조색3 4 2" xfId="3394"/>
    <cellStyle name="60% - 강조색3 4 2 2" xfId="3395"/>
    <cellStyle name="60% - 강조색3 4 2 2 2" xfId="3396"/>
    <cellStyle name="60% - 강조색3 4 2 2 2 2" xfId="3397"/>
    <cellStyle name="60% - 강조색3 4 2 2 3" xfId="3398"/>
    <cellStyle name="60% - 강조색3 4 2 2 4" xfId="3399"/>
    <cellStyle name="60% - 강조색3 4 2 2 5" xfId="3400"/>
    <cellStyle name="60% - 강조색3 4 2 3" xfId="3401"/>
    <cellStyle name="60% - 강조색3 4 2 3 2" xfId="3402"/>
    <cellStyle name="60% - 강조색3 4 2 4" xfId="3403"/>
    <cellStyle name="60% - 강조색3 4 2 5" xfId="3404"/>
    <cellStyle name="60% - 강조색3 4 2 6" xfId="3405"/>
    <cellStyle name="60% - 강조색3 4 3" xfId="3406"/>
    <cellStyle name="60% - 강조색3 4 3 2" xfId="3407"/>
    <cellStyle name="60% - 강조색3 4 3 2 2" xfId="3408"/>
    <cellStyle name="60% - 강조색3 4 3 3" xfId="3409"/>
    <cellStyle name="60% - 강조색3 4 3 4" xfId="3410"/>
    <cellStyle name="60% - 강조색3 4 3 5" xfId="3411"/>
    <cellStyle name="60% - 강조색3 5" xfId="3412"/>
    <cellStyle name="60% - 강조색3 5 2" xfId="3413"/>
    <cellStyle name="60% - 강조색3 5 2 2" xfId="3414"/>
    <cellStyle name="60% - 강조색3 5 2 2 2" xfId="3415"/>
    <cellStyle name="60% - 강조색3 5 2 2 2 2" xfId="3416"/>
    <cellStyle name="60% - 강조색3 5 2 2 3" xfId="3417"/>
    <cellStyle name="60% - 강조색3 5 2 2 4" xfId="3418"/>
    <cellStyle name="60% - 강조색3 5 2 2 5" xfId="3419"/>
    <cellStyle name="60% - 강조색3 5 2 3" xfId="3420"/>
    <cellStyle name="60% - 강조색3 5 2 3 2" xfId="3421"/>
    <cellStyle name="60% - 강조색3 5 2 4" xfId="3422"/>
    <cellStyle name="60% - 강조색3 5 2 5" xfId="3423"/>
    <cellStyle name="60% - 강조색3 5 2 6" xfId="3424"/>
    <cellStyle name="60% - 강조색3 5 3" xfId="3425"/>
    <cellStyle name="60% - 강조색3 5 3 2" xfId="3426"/>
    <cellStyle name="60% - 강조색3 5 3 2 2" xfId="3427"/>
    <cellStyle name="60% - 강조색3 5 3 3" xfId="3428"/>
    <cellStyle name="60% - 강조색3 5 3 4" xfId="3429"/>
    <cellStyle name="60% - 강조색3 5 3 5" xfId="3430"/>
    <cellStyle name="60% - 강조색3 6" xfId="3431"/>
    <cellStyle name="60% - 강조색3 6 2" xfId="3432"/>
    <cellStyle name="60% - 강조색3 6 2 2" xfId="3433"/>
    <cellStyle name="60% - 강조색3 6 2 2 2" xfId="3434"/>
    <cellStyle name="60% - 강조색3 6 2 2 2 2" xfId="3435"/>
    <cellStyle name="60% - 강조색3 6 2 2 3" xfId="3436"/>
    <cellStyle name="60% - 강조색3 6 2 2 4" xfId="3437"/>
    <cellStyle name="60% - 강조색3 6 2 2 5" xfId="3438"/>
    <cellStyle name="60% - 강조색3 6 2 3" xfId="3439"/>
    <cellStyle name="60% - 강조색3 6 2 3 2" xfId="3440"/>
    <cellStyle name="60% - 강조색3 6 2 4" xfId="3441"/>
    <cellStyle name="60% - 강조색3 6 2 5" xfId="3442"/>
    <cellStyle name="60% - 강조색3 6 2 6" xfId="3443"/>
    <cellStyle name="60% - 강조색3 6 3" xfId="3444"/>
    <cellStyle name="60% - 강조색3 6 3 2" xfId="3445"/>
    <cellStyle name="60% - 강조색3 6 3 2 2" xfId="3446"/>
    <cellStyle name="60% - 강조색3 6 3 3" xfId="3447"/>
    <cellStyle name="60% - 강조색3 6 3 4" xfId="3448"/>
    <cellStyle name="60% - 강조색3 6 3 5" xfId="3449"/>
    <cellStyle name="60% - 강조색3 7" xfId="3450"/>
    <cellStyle name="60% - 강조색3 7 2" xfId="3451"/>
    <cellStyle name="60% - 강조색3 7 2 2" xfId="3452"/>
    <cellStyle name="60% - 강조색3 7 2 2 2" xfId="3453"/>
    <cellStyle name="60% - 강조색3 7 2 2 2 2" xfId="3454"/>
    <cellStyle name="60% - 강조색3 7 2 2 3" xfId="3455"/>
    <cellStyle name="60% - 강조색3 7 2 2 4" xfId="3456"/>
    <cellStyle name="60% - 강조색3 7 2 2 5" xfId="3457"/>
    <cellStyle name="60% - 강조색3 7 2 3" xfId="3458"/>
    <cellStyle name="60% - 강조색3 7 2 3 2" xfId="3459"/>
    <cellStyle name="60% - 강조색3 7 2 4" xfId="3460"/>
    <cellStyle name="60% - 강조색3 7 2 5" xfId="3461"/>
    <cellStyle name="60% - 강조색3 7 2 6" xfId="3462"/>
    <cellStyle name="60% - 강조색3 7 3" xfId="3463"/>
    <cellStyle name="60% - 강조색3 7 3 2" xfId="3464"/>
    <cellStyle name="60% - 강조색3 7 3 2 2" xfId="3465"/>
    <cellStyle name="60% - 강조색3 7 3 3" xfId="3466"/>
    <cellStyle name="60% - 강조색3 7 3 4" xfId="3467"/>
    <cellStyle name="60% - 강조색3 7 3 5" xfId="3468"/>
    <cellStyle name="60% - 강조색3 8" xfId="3469"/>
    <cellStyle name="60% - 강조색3 8 2" xfId="3470"/>
    <cellStyle name="60% - 강조색3 8 2 2" xfId="3471"/>
    <cellStyle name="60% - 강조색3 8 2 2 2" xfId="3472"/>
    <cellStyle name="60% - 강조색3 8 2 2 2 2" xfId="3473"/>
    <cellStyle name="60% - 강조색3 8 2 2 3" xfId="3474"/>
    <cellStyle name="60% - 강조색3 8 2 2 4" xfId="3475"/>
    <cellStyle name="60% - 강조색3 8 2 2 5" xfId="3476"/>
    <cellStyle name="60% - 강조색3 8 2 3" xfId="3477"/>
    <cellStyle name="60% - 강조색3 8 2 3 2" xfId="3478"/>
    <cellStyle name="60% - 강조색3 8 2 4" xfId="3479"/>
    <cellStyle name="60% - 강조색3 8 2 5" xfId="3480"/>
    <cellStyle name="60% - 강조색3 8 2 6" xfId="3481"/>
    <cellStyle name="60% - 강조색3 8 3" xfId="3482"/>
    <cellStyle name="60% - 강조색3 8 3 2" xfId="3483"/>
    <cellStyle name="60% - 강조색3 8 3 2 2" xfId="3484"/>
    <cellStyle name="60% - 강조색3 8 3 3" xfId="3485"/>
    <cellStyle name="60% - 강조색3 8 3 4" xfId="3486"/>
    <cellStyle name="60% - 강조색3 8 3 5" xfId="3487"/>
    <cellStyle name="60% - 강조색3 9" xfId="3488"/>
    <cellStyle name="60% - 강조색3 9 2" xfId="3489"/>
    <cellStyle name="60% - 강조색3 9 2 2" xfId="3490"/>
    <cellStyle name="60% - 강조색3 9 2 2 2" xfId="3491"/>
    <cellStyle name="60% - 강조색3 9 2 2 2 2" xfId="3492"/>
    <cellStyle name="60% - 강조색3 9 2 2 3" xfId="3493"/>
    <cellStyle name="60% - 강조색3 9 2 2 4" xfId="3494"/>
    <cellStyle name="60% - 강조색3 9 2 2 5" xfId="3495"/>
    <cellStyle name="60% - 강조색3 9 2 3" xfId="3496"/>
    <cellStyle name="60% - 강조색3 9 2 3 2" xfId="3497"/>
    <cellStyle name="60% - 강조색3 9 2 4" xfId="3498"/>
    <cellStyle name="60% - 강조색3 9 2 5" xfId="3499"/>
    <cellStyle name="60% - 강조색3 9 2 6" xfId="3500"/>
    <cellStyle name="60% - 강조색3 9 3" xfId="3501"/>
    <cellStyle name="60% - 강조색3 9 3 2" xfId="3502"/>
    <cellStyle name="60% - 강조색3 9 3 2 2" xfId="3503"/>
    <cellStyle name="60% - 강조색3 9 3 3" xfId="3504"/>
    <cellStyle name="60% - 강조색3 9 3 4" xfId="3505"/>
    <cellStyle name="60% - 강조색3 9 3 5" xfId="3506"/>
    <cellStyle name="60% - 강조색4 10" xfId="3507"/>
    <cellStyle name="60% - 강조색4 10 2" xfId="3508"/>
    <cellStyle name="60% - 강조색4 10 2 2" xfId="3509"/>
    <cellStyle name="60% - 강조색4 10 2 2 2" xfId="3510"/>
    <cellStyle name="60% - 강조색4 10 2 2 2 2" xfId="3511"/>
    <cellStyle name="60% - 강조색4 10 2 2 3" xfId="3512"/>
    <cellStyle name="60% - 강조색4 10 2 2 4" xfId="3513"/>
    <cellStyle name="60% - 강조색4 10 2 2 5" xfId="3514"/>
    <cellStyle name="60% - 강조색4 10 2 3" xfId="3515"/>
    <cellStyle name="60% - 강조색4 10 2 3 2" xfId="3516"/>
    <cellStyle name="60% - 강조색4 10 2 4" xfId="3517"/>
    <cellStyle name="60% - 강조색4 10 2 5" xfId="3518"/>
    <cellStyle name="60% - 강조색4 10 2 6" xfId="3519"/>
    <cellStyle name="60% - 강조색4 10 3" xfId="3520"/>
    <cellStyle name="60% - 강조색4 10 3 2" xfId="3521"/>
    <cellStyle name="60% - 강조색4 10 3 2 2" xfId="3522"/>
    <cellStyle name="60% - 강조색4 10 3 3" xfId="3523"/>
    <cellStyle name="60% - 강조색4 10 3 4" xfId="3524"/>
    <cellStyle name="60% - 강조색4 10 3 5" xfId="3525"/>
    <cellStyle name="60% - 강조색4 11" xfId="3526"/>
    <cellStyle name="60% - 강조색4 11 2" xfId="3527"/>
    <cellStyle name="60% - 강조색4 11 2 2" xfId="3528"/>
    <cellStyle name="60% - 강조색4 11 2 2 2" xfId="3529"/>
    <cellStyle name="60% - 강조색4 11 2 2 2 2" xfId="3530"/>
    <cellStyle name="60% - 강조색4 11 2 2 3" xfId="3531"/>
    <cellStyle name="60% - 강조색4 11 2 2 4" xfId="3532"/>
    <cellStyle name="60% - 강조색4 11 2 2 5" xfId="3533"/>
    <cellStyle name="60% - 강조색4 11 2 3" xfId="3534"/>
    <cellStyle name="60% - 강조색4 11 2 3 2" xfId="3535"/>
    <cellStyle name="60% - 강조색4 11 2 4" xfId="3536"/>
    <cellStyle name="60% - 강조색4 11 2 5" xfId="3537"/>
    <cellStyle name="60% - 강조색4 11 2 6" xfId="3538"/>
    <cellStyle name="60% - 강조색4 11 3" xfId="3539"/>
    <cellStyle name="60% - 강조색4 11 3 2" xfId="3540"/>
    <cellStyle name="60% - 강조색4 11 3 2 2" xfId="3541"/>
    <cellStyle name="60% - 강조색4 11 3 3" xfId="3542"/>
    <cellStyle name="60% - 강조색4 11 3 4" xfId="3543"/>
    <cellStyle name="60% - 강조색4 11 3 5" xfId="3544"/>
    <cellStyle name="60% - 강조색4 12" xfId="3545"/>
    <cellStyle name="60% - 강조색4 12 2" xfId="3546"/>
    <cellStyle name="60% - 강조색4 12 2 2" xfId="3547"/>
    <cellStyle name="60% - 강조색4 12 2 2 2" xfId="3548"/>
    <cellStyle name="60% - 강조색4 12 2 3" xfId="3549"/>
    <cellStyle name="60% - 강조색4 12 2 4" xfId="3550"/>
    <cellStyle name="60% - 강조색4 12 2 5" xfId="3551"/>
    <cellStyle name="60% - 강조색4 13" xfId="3552"/>
    <cellStyle name="60% - 강조색4 13 2" xfId="3553"/>
    <cellStyle name="60% - 강조색4 13 2 2" xfId="3554"/>
    <cellStyle name="60% - 강조색4 13 3" xfId="3555"/>
    <cellStyle name="60% - 강조색4 13 4" xfId="3556"/>
    <cellStyle name="60% - 강조색4 13 5" xfId="3557"/>
    <cellStyle name="60% - 강조색4 14" xfId="3558"/>
    <cellStyle name="60% - 강조색4 2" xfId="3559"/>
    <cellStyle name="60% - 강조색4 2 2" xfId="3560"/>
    <cellStyle name="60% - 강조색4 2 2 2" xfId="3561"/>
    <cellStyle name="60% - 강조색4 2 2 2 2" xfId="3562"/>
    <cellStyle name="60% - 강조색4 2 2 2 2 2" xfId="3563"/>
    <cellStyle name="60% - 강조색4 2 2 2 3" xfId="3564"/>
    <cellStyle name="60% - 강조색4 2 2 2 4" xfId="3565"/>
    <cellStyle name="60% - 강조색4 2 2 2 5" xfId="3566"/>
    <cellStyle name="60% - 강조색4 2 2 3" xfId="3567"/>
    <cellStyle name="60% - 강조색4 2 2 3 2" xfId="3568"/>
    <cellStyle name="60% - 강조색4 2 2 4" xfId="3569"/>
    <cellStyle name="60% - 강조색4 2 2 5" xfId="3570"/>
    <cellStyle name="60% - 강조색4 2 2 6" xfId="3571"/>
    <cellStyle name="60% - 강조색4 2 2 7" xfId="3572"/>
    <cellStyle name="60% - 강조색4 2 3" xfId="3573"/>
    <cellStyle name="60% - 강조색4 2 3 2" xfId="3574"/>
    <cellStyle name="60% - 강조색4 2 3 2 2" xfId="3575"/>
    <cellStyle name="60% - 강조색4 2 3 3" xfId="3576"/>
    <cellStyle name="60% - 강조색4 2 3 4" xfId="3577"/>
    <cellStyle name="60% - 강조색4 2 3 5" xfId="3578"/>
    <cellStyle name="60% - 강조색4 3" xfId="3579"/>
    <cellStyle name="60% - 강조색4 3 2" xfId="3580"/>
    <cellStyle name="60% - 강조색4 3 2 2" xfId="3581"/>
    <cellStyle name="60% - 강조색4 3 2 2 2" xfId="3582"/>
    <cellStyle name="60% - 강조색4 3 2 2 2 2" xfId="3583"/>
    <cellStyle name="60% - 강조색4 3 2 2 3" xfId="3584"/>
    <cellStyle name="60% - 강조색4 3 2 2 4" xfId="3585"/>
    <cellStyle name="60% - 강조색4 3 2 2 5" xfId="3586"/>
    <cellStyle name="60% - 강조색4 3 2 3" xfId="3587"/>
    <cellStyle name="60% - 강조색4 3 2 3 2" xfId="3588"/>
    <cellStyle name="60% - 강조색4 3 2 4" xfId="3589"/>
    <cellStyle name="60% - 강조색4 3 2 5" xfId="3590"/>
    <cellStyle name="60% - 강조색4 3 2 6" xfId="3591"/>
    <cellStyle name="60% - 강조색4 3 2 7" xfId="3592"/>
    <cellStyle name="60% - 강조색4 3 3" xfId="3593"/>
    <cellStyle name="60% - 강조색4 3 3 2" xfId="3594"/>
    <cellStyle name="60% - 강조색4 3 3 2 2" xfId="3595"/>
    <cellStyle name="60% - 강조색4 3 3 3" xfId="3596"/>
    <cellStyle name="60% - 강조색4 3 3 4" xfId="3597"/>
    <cellStyle name="60% - 강조색4 3 3 5" xfId="3598"/>
    <cellStyle name="60% - 강조색4 3 4" xfId="3599"/>
    <cellStyle name="60% - 강조색4 4" xfId="3600"/>
    <cellStyle name="60% - 강조색4 4 2" xfId="3601"/>
    <cellStyle name="60% - 강조색4 4 2 2" xfId="3602"/>
    <cellStyle name="60% - 강조색4 4 2 2 2" xfId="3603"/>
    <cellStyle name="60% - 강조색4 4 2 2 2 2" xfId="3604"/>
    <cellStyle name="60% - 강조색4 4 2 2 3" xfId="3605"/>
    <cellStyle name="60% - 강조색4 4 2 2 4" xfId="3606"/>
    <cellStyle name="60% - 강조색4 4 2 2 5" xfId="3607"/>
    <cellStyle name="60% - 강조색4 4 2 3" xfId="3608"/>
    <cellStyle name="60% - 강조색4 4 2 3 2" xfId="3609"/>
    <cellStyle name="60% - 강조색4 4 2 4" xfId="3610"/>
    <cellStyle name="60% - 강조색4 4 2 5" xfId="3611"/>
    <cellStyle name="60% - 강조색4 4 2 6" xfId="3612"/>
    <cellStyle name="60% - 강조색4 4 3" xfId="3613"/>
    <cellStyle name="60% - 강조색4 4 3 2" xfId="3614"/>
    <cellStyle name="60% - 강조색4 4 3 2 2" xfId="3615"/>
    <cellStyle name="60% - 강조색4 4 3 3" xfId="3616"/>
    <cellStyle name="60% - 강조색4 4 3 4" xfId="3617"/>
    <cellStyle name="60% - 강조색4 4 3 5" xfId="3618"/>
    <cellStyle name="60% - 강조색4 5" xfId="3619"/>
    <cellStyle name="60% - 강조색4 5 2" xfId="3620"/>
    <cellStyle name="60% - 강조색4 5 2 2" xfId="3621"/>
    <cellStyle name="60% - 강조색4 5 2 2 2" xfId="3622"/>
    <cellStyle name="60% - 강조색4 5 2 2 2 2" xfId="3623"/>
    <cellStyle name="60% - 강조색4 5 2 2 3" xfId="3624"/>
    <cellStyle name="60% - 강조색4 5 2 2 4" xfId="3625"/>
    <cellStyle name="60% - 강조색4 5 2 2 5" xfId="3626"/>
    <cellStyle name="60% - 강조색4 5 2 3" xfId="3627"/>
    <cellStyle name="60% - 강조색4 5 2 3 2" xfId="3628"/>
    <cellStyle name="60% - 강조색4 5 2 4" xfId="3629"/>
    <cellStyle name="60% - 강조색4 5 2 5" xfId="3630"/>
    <cellStyle name="60% - 강조색4 5 2 6" xfId="3631"/>
    <cellStyle name="60% - 강조색4 5 3" xfId="3632"/>
    <cellStyle name="60% - 강조색4 5 3 2" xfId="3633"/>
    <cellStyle name="60% - 강조색4 5 3 2 2" xfId="3634"/>
    <cellStyle name="60% - 강조색4 5 3 3" xfId="3635"/>
    <cellStyle name="60% - 강조색4 5 3 4" xfId="3636"/>
    <cellStyle name="60% - 강조색4 5 3 5" xfId="3637"/>
    <cellStyle name="60% - 강조색4 6" xfId="3638"/>
    <cellStyle name="60% - 강조색4 6 2" xfId="3639"/>
    <cellStyle name="60% - 강조색4 6 2 2" xfId="3640"/>
    <cellStyle name="60% - 강조색4 6 2 2 2" xfId="3641"/>
    <cellStyle name="60% - 강조색4 6 2 2 2 2" xfId="3642"/>
    <cellStyle name="60% - 강조색4 6 2 2 3" xfId="3643"/>
    <cellStyle name="60% - 강조색4 6 2 2 4" xfId="3644"/>
    <cellStyle name="60% - 강조색4 6 2 2 5" xfId="3645"/>
    <cellStyle name="60% - 강조색4 6 2 3" xfId="3646"/>
    <cellStyle name="60% - 강조색4 6 2 3 2" xfId="3647"/>
    <cellStyle name="60% - 강조색4 6 2 4" xfId="3648"/>
    <cellStyle name="60% - 강조색4 6 2 5" xfId="3649"/>
    <cellStyle name="60% - 강조색4 6 2 6" xfId="3650"/>
    <cellStyle name="60% - 강조색4 6 3" xfId="3651"/>
    <cellStyle name="60% - 강조색4 6 3 2" xfId="3652"/>
    <cellStyle name="60% - 강조색4 6 3 2 2" xfId="3653"/>
    <cellStyle name="60% - 강조색4 6 3 3" xfId="3654"/>
    <cellStyle name="60% - 강조색4 6 3 4" xfId="3655"/>
    <cellStyle name="60% - 강조색4 6 3 5" xfId="3656"/>
    <cellStyle name="60% - 강조색4 7" xfId="3657"/>
    <cellStyle name="60% - 강조색4 7 2" xfId="3658"/>
    <cellStyle name="60% - 강조색4 7 2 2" xfId="3659"/>
    <cellStyle name="60% - 강조색4 7 2 2 2" xfId="3660"/>
    <cellStyle name="60% - 강조색4 7 2 2 2 2" xfId="3661"/>
    <cellStyle name="60% - 강조색4 7 2 2 3" xfId="3662"/>
    <cellStyle name="60% - 강조색4 7 2 2 4" xfId="3663"/>
    <cellStyle name="60% - 강조색4 7 2 2 5" xfId="3664"/>
    <cellStyle name="60% - 강조색4 7 2 3" xfId="3665"/>
    <cellStyle name="60% - 강조색4 7 2 3 2" xfId="3666"/>
    <cellStyle name="60% - 강조색4 7 2 4" xfId="3667"/>
    <cellStyle name="60% - 강조색4 7 2 5" xfId="3668"/>
    <cellStyle name="60% - 강조색4 7 2 6" xfId="3669"/>
    <cellStyle name="60% - 강조색4 7 3" xfId="3670"/>
    <cellStyle name="60% - 강조색4 7 3 2" xfId="3671"/>
    <cellStyle name="60% - 강조색4 7 3 2 2" xfId="3672"/>
    <cellStyle name="60% - 강조색4 7 3 3" xfId="3673"/>
    <cellStyle name="60% - 강조색4 7 3 4" xfId="3674"/>
    <cellStyle name="60% - 강조색4 7 3 5" xfId="3675"/>
    <cellStyle name="60% - 강조색4 8" xfId="3676"/>
    <cellStyle name="60% - 강조색4 8 2" xfId="3677"/>
    <cellStyle name="60% - 강조색4 8 2 2" xfId="3678"/>
    <cellStyle name="60% - 강조색4 8 2 2 2" xfId="3679"/>
    <cellStyle name="60% - 강조색4 8 2 2 2 2" xfId="3680"/>
    <cellStyle name="60% - 강조색4 8 2 2 3" xfId="3681"/>
    <cellStyle name="60% - 강조색4 8 2 2 4" xfId="3682"/>
    <cellStyle name="60% - 강조색4 8 2 2 5" xfId="3683"/>
    <cellStyle name="60% - 강조색4 8 2 3" xfId="3684"/>
    <cellStyle name="60% - 강조색4 8 2 3 2" xfId="3685"/>
    <cellStyle name="60% - 강조색4 8 2 4" xfId="3686"/>
    <cellStyle name="60% - 강조색4 8 2 5" xfId="3687"/>
    <cellStyle name="60% - 강조색4 8 2 6" xfId="3688"/>
    <cellStyle name="60% - 강조색4 8 3" xfId="3689"/>
    <cellStyle name="60% - 강조색4 8 3 2" xfId="3690"/>
    <cellStyle name="60% - 강조색4 8 3 2 2" xfId="3691"/>
    <cellStyle name="60% - 강조색4 8 3 3" xfId="3692"/>
    <cellStyle name="60% - 강조색4 8 3 4" xfId="3693"/>
    <cellStyle name="60% - 강조색4 8 3 5" xfId="3694"/>
    <cellStyle name="60% - 강조색4 9" xfId="3695"/>
    <cellStyle name="60% - 강조색4 9 2" xfId="3696"/>
    <cellStyle name="60% - 강조색4 9 2 2" xfId="3697"/>
    <cellStyle name="60% - 강조색4 9 2 2 2" xfId="3698"/>
    <cellStyle name="60% - 강조색4 9 2 2 2 2" xfId="3699"/>
    <cellStyle name="60% - 강조색4 9 2 2 3" xfId="3700"/>
    <cellStyle name="60% - 강조색4 9 2 2 4" xfId="3701"/>
    <cellStyle name="60% - 강조색4 9 2 2 5" xfId="3702"/>
    <cellStyle name="60% - 강조색4 9 2 3" xfId="3703"/>
    <cellStyle name="60% - 강조색4 9 2 3 2" xfId="3704"/>
    <cellStyle name="60% - 강조색4 9 2 4" xfId="3705"/>
    <cellStyle name="60% - 강조색4 9 2 5" xfId="3706"/>
    <cellStyle name="60% - 강조색4 9 2 6" xfId="3707"/>
    <cellStyle name="60% - 강조색4 9 3" xfId="3708"/>
    <cellStyle name="60% - 강조색4 9 3 2" xfId="3709"/>
    <cellStyle name="60% - 강조색4 9 3 2 2" xfId="3710"/>
    <cellStyle name="60% - 강조색4 9 3 3" xfId="3711"/>
    <cellStyle name="60% - 강조색4 9 3 4" xfId="3712"/>
    <cellStyle name="60% - 강조색4 9 3 5" xfId="3713"/>
    <cellStyle name="60% - 강조색5 10" xfId="3714"/>
    <cellStyle name="60% - 강조색5 10 2" xfId="3715"/>
    <cellStyle name="60% - 강조색5 10 2 2" xfId="3716"/>
    <cellStyle name="60% - 강조색5 10 2 2 2" xfId="3717"/>
    <cellStyle name="60% - 강조색5 10 2 2 2 2" xfId="3718"/>
    <cellStyle name="60% - 강조색5 10 2 2 3" xfId="3719"/>
    <cellStyle name="60% - 강조색5 10 2 2 4" xfId="3720"/>
    <cellStyle name="60% - 강조색5 10 2 2 5" xfId="3721"/>
    <cellStyle name="60% - 강조색5 10 2 3" xfId="3722"/>
    <cellStyle name="60% - 강조색5 10 2 3 2" xfId="3723"/>
    <cellStyle name="60% - 강조색5 10 2 4" xfId="3724"/>
    <cellStyle name="60% - 강조색5 10 2 5" xfId="3725"/>
    <cellStyle name="60% - 강조색5 10 2 6" xfId="3726"/>
    <cellStyle name="60% - 강조색5 10 3" xfId="3727"/>
    <cellStyle name="60% - 강조색5 10 3 2" xfId="3728"/>
    <cellStyle name="60% - 강조색5 10 3 2 2" xfId="3729"/>
    <cellStyle name="60% - 강조색5 10 3 3" xfId="3730"/>
    <cellStyle name="60% - 강조색5 10 3 4" xfId="3731"/>
    <cellStyle name="60% - 강조색5 10 3 5" xfId="3732"/>
    <cellStyle name="60% - 강조색5 11" xfId="3733"/>
    <cellStyle name="60% - 강조색5 11 2" xfId="3734"/>
    <cellStyle name="60% - 강조색5 11 2 2" xfId="3735"/>
    <cellStyle name="60% - 강조색5 11 2 2 2" xfId="3736"/>
    <cellStyle name="60% - 강조색5 11 2 2 2 2" xfId="3737"/>
    <cellStyle name="60% - 강조색5 11 2 2 3" xfId="3738"/>
    <cellStyle name="60% - 강조색5 11 2 2 4" xfId="3739"/>
    <cellStyle name="60% - 강조색5 11 2 2 5" xfId="3740"/>
    <cellStyle name="60% - 강조색5 11 2 3" xfId="3741"/>
    <cellStyle name="60% - 강조색5 11 2 3 2" xfId="3742"/>
    <cellStyle name="60% - 강조색5 11 2 4" xfId="3743"/>
    <cellStyle name="60% - 강조색5 11 2 5" xfId="3744"/>
    <cellStyle name="60% - 강조색5 11 2 6" xfId="3745"/>
    <cellStyle name="60% - 강조색5 11 3" xfId="3746"/>
    <cellStyle name="60% - 강조색5 11 3 2" xfId="3747"/>
    <cellStyle name="60% - 강조색5 11 3 2 2" xfId="3748"/>
    <cellStyle name="60% - 강조색5 11 3 3" xfId="3749"/>
    <cellStyle name="60% - 강조색5 11 3 4" xfId="3750"/>
    <cellStyle name="60% - 강조색5 11 3 5" xfId="3751"/>
    <cellStyle name="60% - 강조색5 12" xfId="3752"/>
    <cellStyle name="60% - 강조색5 12 2" xfId="3753"/>
    <cellStyle name="60% - 강조색5 12 2 2" xfId="3754"/>
    <cellStyle name="60% - 강조색5 12 2 2 2" xfId="3755"/>
    <cellStyle name="60% - 강조색5 12 2 3" xfId="3756"/>
    <cellStyle name="60% - 강조색5 12 2 4" xfId="3757"/>
    <cellStyle name="60% - 강조색5 12 2 5" xfId="3758"/>
    <cellStyle name="60% - 강조색5 13" xfId="3759"/>
    <cellStyle name="60% - 강조색5 13 2" xfId="3760"/>
    <cellStyle name="60% - 강조색5 13 2 2" xfId="3761"/>
    <cellStyle name="60% - 강조색5 13 3" xfId="3762"/>
    <cellStyle name="60% - 강조색5 13 4" xfId="3763"/>
    <cellStyle name="60% - 강조색5 13 5" xfId="3764"/>
    <cellStyle name="60% - 강조색5 14" xfId="3765"/>
    <cellStyle name="60% - 강조색5 2" xfId="3766"/>
    <cellStyle name="60% - 강조색5 2 2" xfId="3767"/>
    <cellStyle name="60% - 강조색5 2 2 2" xfId="3768"/>
    <cellStyle name="60% - 강조색5 2 2 2 2" xfId="3769"/>
    <cellStyle name="60% - 강조색5 2 2 2 2 2" xfId="3770"/>
    <cellStyle name="60% - 강조색5 2 2 2 3" xfId="3771"/>
    <cellStyle name="60% - 강조색5 2 2 2 4" xfId="3772"/>
    <cellStyle name="60% - 강조색5 2 2 2 5" xfId="3773"/>
    <cellStyle name="60% - 강조색5 2 2 3" xfId="3774"/>
    <cellStyle name="60% - 강조색5 2 2 3 2" xfId="3775"/>
    <cellStyle name="60% - 강조색5 2 2 4" xfId="3776"/>
    <cellStyle name="60% - 강조색5 2 2 5" xfId="3777"/>
    <cellStyle name="60% - 강조색5 2 2 6" xfId="3778"/>
    <cellStyle name="60% - 강조색5 2 2 7" xfId="3779"/>
    <cellStyle name="60% - 강조색5 2 3" xfId="3780"/>
    <cellStyle name="60% - 강조색5 2 3 2" xfId="3781"/>
    <cellStyle name="60% - 강조색5 2 3 2 2" xfId="3782"/>
    <cellStyle name="60% - 강조색5 2 3 3" xfId="3783"/>
    <cellStyle name="60% - 강조색5 2 3 4" xfId="3784"/>
    <cellStyle name="60% - 강조색5 2 3 5" xfId="3785"/>
    <cellStyle name="60% - 강조색5 3" xfId="3786"/>
    <cellStyle name="60% - 강조색5 3 2" xfId="3787"/>
    <cellStyle name="60% - 강조색5 3 2 2" xfId="3788"/>
    <cellStyle name="60% - 강조색5 3 2 2 2" xfId="3789"/>
    <cellStyle name="60% - 강조색5 3 2 2 2 2" xfId="3790"/>
    <cellStyle name="60% - 강조색5 3 2 2 3" xfId="3791"/>
    <cellStyle name="60% - 강조색5 3 2 2 4" xfId="3792"/>
    <cellStyle name="60% - 강조색5 3 2 2 5" xfId="3793"/>
    <cellStyle name="60% - 강조색5 3 2 3" xfId="3794"/>
    <cellStyle name="60% - 강조색5 3 2 3 2" xfId="3795"/>
    <cellStyle name="60% - 강조색5 3 2 4" xfId="3796"/>
    <cellStyle name="60% - 강조색5 3 2 5" xfId="3797"/>
    <cellStyle name="60% - 강조색5 3 2 6" xfId="3798"/>
    <cellStyle name="60% - 강조색5 3 2 7" xfId="3799"/>
    <cellStyle name="60% - 강조색5 3 3" xfId="3800"/>
    <cellStyle name="60% - 강조색5 3 3 2" xfId="3801"/>
    <cellStyle name="60% - 강조색5 3 3 2 2" xfId="3802"/>
    <cellStyle name="60% - 강조색5 3 3 3" xfId="3803"/>
    <cellStyle name="60% - 강조색5 3 3 4" xfId="3804"/>
    <cellStyle name="60% - 강조색5 3 3 5" xfId="3805"/>
    <cellStyle name="60% - 강조색5 3 4" xfId="3806"/>
    <cellStyle name="60% - 강조색5 4" xfId="3807"/>
    <cellStyle name="60% - 강조색5 4 2" xfId="3808"/>
    <cellStyle name="60% - 강조색5 4 2 2" xfId="3809"/>
    <cellStyle name="60% - 강조색5 4 2 2 2" xfId="3810"/>
    <cellStyle name="60% - 강조색5 4 2 2 2 2" xfId="3811"/>
    <cellStyle name="60% - 강조색5 4 2 2 3" xfId="3812"/>
    <cellStyle name="60% - 강조색5 4 2 2 4" xfId="3813"/>
    <cellStyle name="60% - 강조색5 4 2 2 5" xfId="3814"/>
    <cellStyle name="60% - 강조색5 4 2 3" xfId="3815"/>
    <cellStyle name="60% - 강조색5 4 2 3 2" xfId="3816"/>
    <cellStyle name="60% - 강조색5 4 2 4" xfId="3817"/>
    <cellStyle name="60% - 강조색5 4 2 5" xfId="3818"/>
    <cellStyle name="60% - 강조색5 4 2 6" xfId="3819"/>
    <cellStyle name="60% - 강조색5 4 3" xfId="3820"/>
    <cellStyle name="60% - 강조색5 4 3 2" xfId="3821"/>
    <cellStyle name="60% - 강조색5 4 3 2 2" xfId="3822"/>
    <cellStyle name="60% - 강조색5 4 3 3" xfId="3823"/>
    <cellStyle name="60% - 강조색5 4 3 4" xfId="3824"/>
    <cellStyle name="60% - 강조색5 4 3 5" xfId="3825"/>
    <cellStyle name="60% - 강조색5 5" xfId="3826"/>
    <cellStyle name="60% - 강조색5 5 2" xfId="3827"/>
    <cellStyle name="60% - 강조색5 5 2 2" xfId="3828"/>
    <cellStyle name="60% - 강조색5 5 2 2 2" xfId="3829"/>
    <cellStyle name="60% - 강조색5 5 2 2 2 2" xfId="3830"/>
    <cellStyle name="60% - 강조색5 5 2 2 3" xfId="3831"/>
    <cellStyle name="60% - 강조색5 5 2 2 4" xfId="3832"/>
    <cellStyle name="60% - 강조색5 5 2 2 5" xfId="3833"/>
    <cellStyle name="60% - 강조색5 5 2 3" xfId="3834"/>
    <cellStyle name="60% - 강조색5 5 2 3 2" xfId="3835"/>
    <cellStyle name="60% - 강조색5 5 2 4" xfId="3836"/>
    <cellStyle name="60% - 강조색5 5 2 5" xfId="3837"/>
    <cellStyle name="60% - 강조색5 5 2 6" xfId="3838"/>
    <cellStyle name="60% - 강조색5 5 3" xfId="3839"/>
    <cellStyle name="60% - 강조색5 5 3 2" xfId="3840"/>
    <cellStyle name="60% - 강조색5 5 3 2 2" xfId="3841"/>
    <cellStyle name="60% - 강조색5 5 3 3" xfId="3842"/>
    <cellStyle name="60% - 강조색5 5 3 4" xfId="3843"/>
    <cellStyle name="60% - 강조색5 5 3 5" xfId="3844"/>
    <cellStyle name="60% - 강조색5 6" xfId="3845"/>
    <cellStyle name="60% - 강조색5 6 2" xfId="3846"/>
    <cellStyle name="60% - 강조색5 6 2 2" xfId="3847"/>
    <cellStyle name="60% - 강조색5 6 2 2 2" xfId="3848"/>
    <cellStyle name="60% - 강조색5 6 2 2 2 2" xfId="3849"/>
    <cellStyle name="60% - 강조색5 6 2 2 3" xfId="3850"/>
    <cellStyle name="60% - 강조색5 6 2 2 4" xfId="3851"/>
    <cellStyle name="60% - 강조색5 6 2 2 5" xfId="3852"/>
    <cellStyle name="60% - 강조색5 6 2 3" xfId="3853"/>
    <cellStyle name="60% - 강조색5 6 2 3 2" xfId="3854"/>
    <cellStyle name="60% - 강조색5 6 2 4" xfId="3855"/>
    <cellStyle name="60% - 강조색5 6 2 5" xfId="3856"/>
    <cellStyle name="60% - 강조색5 6 2 6" xfId="3857"/>
    <cellStyle name="60% - 강조색5 6 3" xfId="3858"/>
    <cellStyle name="60% - 강조색5 6 3 2" xfId="3859"/>
    <cellStyle name="60% - 강조색5 6 3 2 2" xfId="3860"/>
    <cellStyle name="60% - 강조색5 6 3 3" xfId="3861"/>
    <cellStyle name="60% - 강조색5 6 3 4" xfId="3862"/>
    <cellStyle name="60% - 강조색5 6 3 5" xfId="3863"/>
    <cellStyle name="60% - 강조색5 7" xfId="3864"/>
    <cellStyle name="60% - 강조색5 7 2" xfId="3865"/>
    <cellStyle name="60% - 강조색5 7 2 2" xfId="3866"/>
    <cellStyle name="60% - 강조색5 7 2 2 2" xfId="3867"/>
    <cellStyle name="60% - 강조색5 7 2 2 2 2" xfId="3868"/>
    <cellStyle name="60% - 강조색5 7 2 2 3" xfId="3869"/>
    <cellStyle name="60% - 강조색5 7 2 2 4" xfId="3870"/>
    <cellStyle name="60% - 강조색5 7 2 2 5" xfId="3871"/>
    <cellStyle name="60% - 강조색5 7 2 3" xfId="3872"/>
    <cellStyle name="60% - 강조색5 7 2 3 2" xfId="3873"/>
    <cellStyle name="60% - 강조색5 7 2 4" xfId="3874"/>
    <cellStyle name="60% - 강조색5 7 2 5" xfId="3875"/>
    <cellStyle name="60% - 강조색5 7 2 6" xfId="3876"/>
    <cellStyle name="60% - 강조색5 7 3" xfId="3877"/>
    <cellStyle name="60% - 강조색5 7 3 2" xfId="3878"/>
    <cellStyle name="60% - 강조색5 7 3 2 2" xfId="3879"/>
    <cellStyle name="60% - 강조색5 7 3 3" xfId="3880"/>
    <cellStyle name="60% - 강조색5 7 3 4" xfId="3881"/>
    <cellStyle name="60% - 강조색5 7 3 5" xfId="3882"/>
    <cellStyle name="60% - 강조색5 8" xfId="3883"/>
    <cellStyle name="60% - 강조색5 8 2" xfId="3884"/>
    <cellStyle name="60% - 강조색5 8 2 2" xfId="3885"/>
    <cellStyle name="60% - 강조색5 8 2 2 2" xfId="3886"/>
    <cellStyle name="60% - 강조색5 8 2 2 2 2" xfId="3887"/>
    <cellStyle name="60% - 강조색5 8 2 2 3" xfId="3888"/>
    <cellStyle name="60% - 강조색5 8 2 2 4" xfId="3889"/>
    <cellStyle name="60% - 강조색5 8 2 2 5" xfId="3890"/>
    <cellStyle name="60% - 강조색5 8 2 3" xfId="3891"/>
    <cellStyle name="60% - 강조색5 8 2 3 2" xfId="3892"/>
    <cellStyle name="60% - 강조색5 8 2 4" xfId="3893"/>
    <cellStyle name="60% - 강조색5 8 2 5" xfId="3894"/>
    <cellStyle name="60% - 강조색5 8 2 6" xfId="3895"/>
    <cellStyle name="60% - 강조색5 8 3" xfId="3896"/>
    <cellStyle name="60% - 강조색5 8 3 2" xfId="3897"/>
    <cellStyle name="60% - 강조색5 8 3 2 2" xfId="3898"/>
    <cellStyle name="60% - 강조색5 8 3 3" xfId="3899"/>
    <cellStyle name="60% - 강조색5 8 3 4" xfId="3900"/>
    <cellStyle name="60% - 강조색5 8 3 5" xfId="3901"/>
    <cellStyle name="60% - 강조색5 9" xfId="3902"/>
    <cellStyle name="60% - 강조색5 9 2" xfId="3903"/>
    <cellStyle name="60% - 강조색5 9 2 2" xfId="3904"/>
    <cellStyle name="60% - 강조색5 9 2 2 2" xfId="3905"/>
    <cellStyle name="60% - 강조색5 9 2 2 2 2" xfId="3906"/>
    <cellStyle name="60% - 강조색5 9 2 2 3" xfId="3907"/>
    <cellStyle name="60% - 강조색5 9 2 2 4" xfId="3908"/>
    <cellStyle name="60% - 강조색5 9 2 2 5" xfId="3909"/>
    <cellStyle name="60% - 강조색5 9 2 3" xfId="3910"/>
    <cellStyle name="60% - 강조색5 9 2 3 2" xfId="3911"/>
    <cellStyle name="60% - 강조색5 9 2 4" xfId="3912"/>
    <cellStyle name="60% - 강조색5 9 2 5" xfId="3913"/>
    <cellStyle name="60% - 강조색5 9 2 6" xfId="3914"/>
    <cellStyle name="60% - 강조색5 9 3" xfId="3915"/>
    <cellStyle name="60% - 강조색5 9 3 2" xfId="3916"/>
    <cellStyle name="60% - 강조색5 9 3 2 2" xfId="3917"/>
    <cellStyle name="60% - 강조색5 9 3 3" xfId="3918"/>
    <cellStyle name="60% - 강조색5 9 3 4" xfId="3919"/>
    <cellStyle name="60% - 강조색5 9 3 5" xfId="3920"/>
    <cellStyle name="60% - 강조색6 10" xfId="3921"/>
    <cellStyle name="60% - 강조색6 10 2" xfId="3922"/>
    <cellStyle name="60% - 강조색6 10 2 2" xfId="3923"/>
    <cellStyle name="60% - 강조색6 10 2 2 2" xfId="3924"/>
    <cellStyle name="60% - 강조색6 10 2 2 2 2" xfId="3925"/>
    <cellStyle name="60% - 강조색6 10 2 2 3" xfId="3926"/>
    <cellStyle name="60% - 강조색6 10 2 2 4" xfId="3927"/>
    <cellStyle name="60% - 강조색6 10 2 2 5" xfId="3928"/>
    <cellStyle name="60% - 강조색6 10 2 3" xfId="3929"/>
    <cellStyle name="60% - 강조색6 10 2 3 2" xfId="3930"/>
    <cellStyle name="60% - 강조색6 10 2 4" xfId="3931"/>
    <cellStyle name="60% - 강조색6 10 2 5" xfId="3932"/>
    <cellStyle name="60% - 강조색6 10 2 6" xfId="3933"/>
    <cellStyle name="60% - 강조색6 10 3" xfId="3934"/>
    <cellStyle name="60% - 강조색6 10 3 2" xfId="3935"/>
    <cellStyle name="60% - 강조색6 10 3 2 2" xfId="3936"/>
    <cellStyle name="60% - 강조색6 10 3 3" xfId="3937"/>
    <cellStyle name="60% - 강조색6 10 3 4" xfId="3938"/>
    <cellStyle name="60% - 강조색6 10 3 5" xfId="3939"/>
    <cellStyle name="60% - 강조색6 11" xfId="3940"/>
    <cellStyle name="60% - 강조색6 11 2" xfId="3941"/>
    <cellStyle name="60% - 강조색6 11 2 2" xfId="3942"/>
    <cellStyle name="60% - 강조색6 11 2 2 2" xfId="3943"/>
    <cellStyle name="60% - 강조색6 11 2 2 2 2" xfId="3944"/>
    <cellStyle name="60% - 강조색6 11 2 2 3" xfId="3945"/>
    <cellStyle name="60% - 강조색6 11 2 2 4" xfId="3946"/>
    <cellStyle name="60% - 강조색6 11 2 2 5" xfId="3947"/>
    <cellStyle name="60% - 강조색6 11 2 3" xfId="3948"/>
    <cellStyle name="60% - 강조색6 11 2 3 2" xfId="3949"/>
    <cellStyle name="60% - 강조색6 11 2 4" xfId="3950"/>
    <cellStyle name="60% - 강조색6 11 2 5" xfId="3951"/>
    <cellStyle name="60% - 강조색6 11 2 6" xfId="3952"/>
    <cellStyle name="60% - 강조색6 11 3" xfId="3953"/>
    <cellStyle name="60% - 강조색6 11 3 2" xfId="3954"/>
    <cellStyle name="60% - 강조색6 11 3 2 2" xfId="3955"/>
    <cellStyle name="60% - 강조색6 11 3 3" xfId="3956"/>
    <cellStyle name="60% - 강조색6 11 3 4" xfId="3957"/>
    <cellStyle name="60% - 강조색6 11 3 5" xfId="3958"/>
    <cellStyle name="60% - 강조색6 12" xfId="3959"/>
    <cellStyle name="60% - 강조색6 12 2" xfId="3960"/>
    <cellStyle name="60% - 강조색6 12 2 2" xfId="3961"/>
    <cellStyle name="60% - 강조색6 12 2 2 2" xfId="3962"/>
    <cellStyle name="60% - 강조색6 12 2 3" xfId="3963"/>
    <cellStyle name="60% - 강조색6 12 2 4" xfId="3964"/>
    <cellStyle name="60% - 강조색6 12 2 5" xfId="3965"/>
    <cellStyle name="60% - 강조색6 13" xfId="3966"/>
    <cellStyle name="60% - 강조색6 13 2" xfId="3967"/>
    <cellStyle name="60% - 강조색6 13 2 2" xfId="3968"/>
    <cellStyle name="60% - 강조색6 13 3" xfId="3969"/>
    <cellStyle name="60% - 강조색6 13 4" xfId="3970"/>
    <cellStyle name="60% - 강조색6 13 5" xfId="3971"/>
    <cellStyle name="60% - 강조색6 14" xfId="3972"/>
    <cellStyle name="60% - 강조색6 2" xfId="3973"/>
    <cellStyle name="60% - 강조색6 2 2" xfId="3974"/>
    <cellStyle name="60% - 강조색6 2 2 2" xfId="3975"/>
    <cellStyle name="60% - 강조색6 2 2 2 2" xfId="3976"/>
    <cellStyle name="60% - 강조색6 2 2 2 2 2" xfId="3977"/>
    <cellStyle name="60% - 강조색6 2 2 2 3" xfId="3978"/>
    <cellStyle name="60% - 강조색6 2 2 2 4" xfId="3979"/>
    <cellStyle name="60% - 강조색6 2 2 2 5" xfId="3980"/>
    <cellStyle name="60% - 강조색6 2 2 3" xfId="3981"/>
    <cellStyle name="60% - 강조색6 2 2 3 2" xfId="3982"/>
    <cellStyle name="60% - 강조색6 2 2 4" xfId="3983"/>
    <cellStyle name="60% - 강조색6 2 2 5" xfId="3984"/>
    <cellStyle name="60% - 강조색6 2 2 6" xfId="3985"/>
    <cellStyle name="60% - 강조색6 2 2 7" xfId="3986"/>
    <cellStyle name="60% - 강조색6 2 3" xfId="3987"/>
    <cellStyle name="60% - 강조색6 2 3 2" xfId="3988"/>
    <cellStyle name="60% - 강조색6 2 3 2 2" xfId="3989"/>
    <cellStyle name="60% - 강조색6 2 3 3" xfId="3990"/>
    <cellStyle name="60% - 강조색6 2 3 4" xfId="3991"/>
    <cellStyle name="60% - 강조색6 2 3 5" xfId="3992"/>
    <cellStyle name="60% - 강조색6 3" xfId="3993"/>
    <cellStyle name="60% - 강조색6 3 2" xfId="3994"/>
    <cellStyle name="60% - 강조색6 3 2 2" xfId="3995"/>
    <cellStyle name="60% - 강조색6 3 2 2 2" xfId="3996"/>
    <cellStyle name="60% - 강조색6 3 2 2 2 2" xfId="3997"/>
    <cellStyle name="60% - 강조색6 3 2 2 3" xfId="3998"/>
    <cellStyle name="60% - 강조색6 3 2 2 4" xfId="3999"/>
    <cellStyle name="60% - 강조색6 3 2 2 5" xfId="4000"/>
    <cellStyle name="60% - 강조색6 3 2 3" xfId="4001"/>
    <cellStyle name="60% - 강조색6 3 2 3 2" xfId="4002"/>
    <cellStyle name="60% - 강조색6 3 2 4" xfId="4003"/>
    <cellStyle name="60% - 강조색6 3 2 5" xfId="4004"/>
    <cellStyle name="60% - 강조색6 3 2 6" xfId="4005"/>
    <cellStyle name="60% - 강조색6 3 2 7" xfId="4006"/>
    <cellStyle name="60% - 강조색6 3 3" xfId="4007"/>
    <cellStyle name="60% - 강조색6 3 3 2" xfId="4008"/>
    <cellStyle name="60% - 강조색6 3 3 2 2" xfId="4009"/>
    <cellStyle name="60% - 강조색6 3 3 3" xfId="4010"/>
    <cellStyle name="60% - 강조색6 3 3 4" xfId="4011"/>
    <cellStyle name="60% - 강조색6 3 3 5" xfId="4012"/>
    <cellStyle name="60% - 강조색6 3 4" xfId="4013"/>
    <cellStyle name="60% - 강조색6 4" xfId="4014"/>
    <cellStyle name="60% - 강조색6 4 2" xfId="4015"/>
    <cellStyle name="60% - 강조색6 4 2 2" xfId="4016"/>
    <cellStyle name="60% - 강조색6 4 2 2 2" xfId="4017"/>
    <cellStyle name="60% - 강조색6 4 2 2 2 2" xfId="4018"/>
    <cellStyle name="60% - 강조색6 4 2 2 3" xfId="4019"/>
    <cellStyle name="60% - 강조색6 4 2 2 4" xfId="4020"/>
    <cellStyle name="60% - 강조색6 4 2 2 5" xfId="4021"/>
    <cellStyle name="60% - 강조색6 4 2 3" xfId="4022"/>
    <cellStyle name="60% - 강조색6 4 2 3 2" xfId="4023"/>
    <cellStyle name="60% - 강조색6 4 2 4" xfId="4024"/>
    <cellStyle name="60% - 강조색6 4 2 5" xfId="4025"/>
    <cellStyle name="60% - 강조색6 4 2 6" xfId="4026"/>
    <cellStyle name="60% - 강조색6 4 3" xfId="4027"/>
    <cellStyle name="60% - 강조색6 4 3 2" xfId="4028"/>
    <cellStyle name="60% - 강조색6 4 3 2 2" xfId="4029"/>
    <cellStyle name="60% - 강조색6 4 3 3" xfId="4030"/>
    <cellStyle name="60% - 강조색6 4 3 4" xfId="4031"/>
    <cellStyle name="60% - 강조색6 4 3 5" xfId="4032"/>
    <cellStyle name="60% - 강조색6 5" xfId="4033"/>
    <cellStyle name="60% - 강조색6 5 2" xfId="4034"/>
    <cellStyle name="60% - 강조색6 5 2 2" xfId="4035"/>
    <cellStyle name="60% - 강조색6 5 2 2 2" xfId="4036"/>
    <cellStyle name="60% - 강조색6 5 2 2 2 2" xfId="4037"/>
    <cellStyle name="60% - 강조색6 5 2 2 3" xfId="4038"/>
    <cellStyle name="60% - 강조색6 5 2 2 4" xfId="4039"/>
    <cellStyle name="60% - 강조색6 5 2 2 5" xfId="4040"/>
    <cellStyle name="60% - 강조색6 5 2 3" xfId="4041"/>
    <cellStyle name="60% - 강조색6 5 2 3 2" xfId="4042"/>
    <cellStyle name="60% - 강조색6 5 2 4" xfId="4043"/>
    <cellStyle name="60% - 강조색6 5 2 5" xfId="4044"/>
    <cellStyle name="60% - 강조색6 5 2 6" xfId="4045"/>
    <cellStyle name="60% - 강조색6 5 3" xfId="4046"/>
    <cellStyle name="60% - 강조색6 5 3 2" xfId="4047"/>
    <cellStyle name="60% - 강조색6 5 3 2 2" xfId="4048"/>
    <cellStyle name="60% - 강조색6 5 3 3" xfId="4049"/>
    <cellStyle name="60% - 강조색6 5 3 4" xfId="4050"/>
    <cellStyle name="60% - 강조색6 5 3 5" xfId="4051"/>
    <cellStyle name="60% - 강조색6 6" xfId="4052"/>
    <cellStyle name="60% - 강조색6 6 2" xfId="4053"/>
    <cellStyle name="60% - 강조색6 6 2 2" xfId="4054"/>
    <cellStyle name="60% - 강조색6 6 2 2 2" xfId="4055"/>
    <cellStyle name="60% - 강조색6 6 2 2 2 2" xfId="4056"/>
    <cellStyle name="60% - 강조색6 6 2 2 3" xfId="4057"/>
    <cellStyle name="60% - 강조색6 6 2 2 4" xfId="4058"/>
    <cellStyle name="60% - 강조색6 6 2 2 5" xfId="4059"/>
    <cellStyle name="60% - 강조색6 6 2 3" xfId="4060"/>
    <cellStyle name="60% - 강조색6 6 2 3 2" xfId="4061"/>
    <cellStyle name="60% - 강조색6 6 2 4" xfId="4062"/>
    <cellStyle name="60% - 강조색6 6 2 5" xfId="4063"/>
    <cellStyle name="60% - 강조색6 6 2 6" xfId="4064"/>
    <cellStyle name="60% - 강조색6 6 3" xfId="4065"/>
    <cellStyle name="60% - 강조색6 6 3 2" xfId="4066"/>
    <cellStyle name="60% - 강조색6 6 3 2 2" xfId="4067"/>
    <cellStyle name="60% - 강조색6 6 3 3" xfId="4068"/>
    <cellStyle name="60% - 강조색6 6 3 4" xfId="4069"/>
    <cellStyle name="60% - 강조색6 6 3 5" xfId="4070"/>
    <cellStyle name="60% - 강조색6 7" xfId="4071"/>
    <cellStyle name="60% - 강조색6 7 2" xfId="4072"/>
    <cellStyle name="60% - 강조색6 7 2 2" xfId="4073"/>
    <cellStyle name="60% - 강조색6 7 2 2 2" xfId="4074"/>
    <cellStyle name="60% - 강조색6 7 2 2 2 2" xfId="4075"/>
    <cellStyle name="60% - 강조색6 7 2 2 3" xfId="4076"/>
    <cellStyle name="60% - 강조색6 7 2 2 4" xfId="4077"/>
    <cellStyle name="60% - 강조색6 7 2 2 5" xfId="4078"/>
    <cellStyle name="60% - 강조색6 7 2 3" xfId="4079"/>
    <cellStyle name="60% - 강조색6 7 2 3 2" xfId="4080"/>
    <cellStyle name="60% - 강조색6 7 2 4" xfId="4081"/>
    <cellStyle name="60% - 강조색6 7 2 5" xfId="4082"/>
    <cellStyle name="60% - 강조색6 7 2 6" xfId="4083"/>
    <cellStyle name="60% - 강조색6 7 3" xfId="4084"/>
    <cellStyle name="60% - 강조색6 7 3 2" xfId="4085"/>
    <cellStyle name="60% - 강조색6 7 3 2 2" xfId="4086"/>
    <cellStyle name="60% - 강조색6 7 3 3" xfId="4087"/>
    <cellStyle name="60% - 강조색6 7 3 4" xfId="4088"/>
    <cellStyle name="60% - 강조색6 7 3 5" xfId="4089"/>
    <cellStyle name="60% - 강조색6 8" xfId="4090"/>
    <cellStyle name="60% - 강조색6 8 2" xfId="4091"/>
    <cellStyle name="60% - 강조색6 8 2 2" xfId="4092"/>
    <cellStyle name="60% - 강조색6 8 2 2 2" xfId="4093"/>
    <cellStyle name="60% - 강조색6 8 2 2 2 2" xfId="4094"/>
    <cellStyle name="60% - 강조색6 8 2 2 3" xfId="4095"/>
    <cellStyle name="60% - 강조색6 8 2 2 4" xfId="4096"/>
    <cellStyle name="60% - 강조색6 8 2 2 5" xfId="4097"/>
    <cellStyle name="60% - 강조색6 8 2 3" xfId="4098"/>
    <cellStyle name="60% - 강조색6 8 2 3 2" xfId="4099"/>
    <cellStyle name="60% - 강조색6 8 2 4" xfId="4100"/>
    <cellStyle name="60% - 강조색6 8 2 5" xfId="4101"/>
    <cellStyle name="60% - 강조색6 8 2 6" xfId="4102"/>
    <cellStyle name="60% - 강조색6 8 3" xfId="4103"/>
    <cellStyle name="60% - 강조색6 8 3 2" xfId="4104"/>
    <cellStyle name="60% - 강조색6 8 3 2 2" xfId="4105"/>
    <cellStyle name="60% - 강조색6 8 3 3" xfId="4106"/>
    <cellStyle name="60% - 강조색6 8 3 4" xfId="4107"/>
    <cellStyle name="60% - 강조색6 8 3 5" xfId="4108"/>
    <cellStyle name="60% - 강조색6 9" xfId="4109"/>
    <cellStyle name="60% - 강조색6 9 2" xfId="4110"/>
    <cellStyle name="60% - 강조색6 9 2 2" xfId="4111"/>
    <cellStyle name="60% - 강조색6 9 2 2 2" xfId="4112"/>
    <cellStyle name="60% - 강조색6 9 2 2 2 2" xfId="4113"/>
    <cellStyle name="60% - 강조색6 9 2 2 3" xfId="4114"/>
    <cellStyle name="60% - 강조색6 9 2 2 4" xfId="4115"/>
    <cellStyle name="60% - 강조색6 9 2 2 5" xfId="4116"/>
    <cellStyle name="60% - 강조색6 9 2 3" xfId="4117"/>
    <cellStyle name="60% - 강조색6 9 2 3 2" xfId="4118"/>
    <cellStyle name="60% - 강조색6 9 2 4" xfId="4119"/>
    <cellStyle name="60% - 강조색6 9 2 5" xfId="4120"/>
    <cellStyle name="60% - 강조색6 9 2 6" xfId="4121"/>
    <cellStyle name="60% - 강조색6 9 3" xfId="4122"/>
    <cellStyle name="60% - 강조색6 9 3 2" xfId="4123"/>
    <cellStyle name="60% - 강조색6 9 3 2 2" xfId="4124"/>
    <cellStyle name="60% - 강조색6 9 3 3" xfId="4125"/>
    <cellStyle name="60% - 강조색6 9 3 4" xfId="4126"/>
    <cellStyle name="60% - 강조색6 9 3 5" xfId="4127"/>
    <cellStyle name="7_매출" xfId="4128"/>
    <cellStyle name="9.5" xfId="4129"/>
    <cellStyle name="፺bʼōᎊb˜ō᎚b쌼ōᎪb쎄ōᎺb쎨ōᏊb쏄ōᏚb쏜ō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" xfId="4130"/>
    <cellStyle name="A¡ERER￠RER¡ER¡E?¡ERER¡ER￠R¡¿I¡ERERE¡ERER￠R¡×I¡ER¡§I¡EREREO [0]_¡ERER￠RER¡ER¡E?uoA￠RER¡ER￠R￠?Io￠RERER￠RER¡ER￠R￠?¡EREReE￠RER¡ER￠R￠?Io " xfId="4131"/>
    <cellStyle name="A¡ERER￠RER¡ER¡E?¡ERER¡ER￠R¡¿I¡ERERE¡ERER￠R¡×I¡ER¡§I¡EREREO_¡ERER￠RER¡ER¡E?uoA￠RER¡ER￠R￠?Io￠RERER￠RER¡ER￠R￠?¡EREReE￠RER¡ER￠R￠?Io " xfId="4132"/>
    <cellStyle name="A¨­￠￢￠O [0]_¨uoAa¨oCAu " xfId="4133"/>
    <cellStyle name="A¨­￠￢￠O_¨uoAa¨oCAu " xfId="4134"/>
    <cellStyle name="a1" xfId="4135"/>
    <cellStyle name="Accent1" xfId="4136"/>
    <cellStyle name="Accent1 2" xfId="4137"/>
    <cellStyle name="Accent1 2 2" xfId="4138"/>
    <cellStyle name="Accent1 3" xfId="4139"/>
    <cellStyle name="Accent1 4" xfId="4140"/>
    <cellStyle name="Accent1 5" xfId="4141"/>
    <cellStyle name="Accent1 6" xfId="4142"/>
    <cellStyle name="Accent2" xfId="4143"/>
    <cellStyle name="Accent2 2" xfId="4144"/>
    <cellStyle name="Accent2 2 2" xfId="4145"/>
    <cellStyle name="Accent2 3" xfId="4146"/>
    <cellStyle name="Accent2 4" xfId="4147"/>
    <cellStyle name="Accent2 5" xfId="4148"/>
    <cellStyle name="Accent2 6" xfId="4149"/>
    <cellStyle name="Accent3" xfId="4150"/>
    <cellStyle name="Accent3 2" xfId="4151"/>
    <cellStyle name="Accent3 2 2" xfId="4152"/>
    <cellStyle name="Accent3 3" xfId="4153"/>
    <cellStyle name="Accent3 4" xfId="4154"/>
    <cellStyle name="Accent3 5" xfId="4155"/>
    <cellStyle name="Accent3 6" xfId="4156"/>
    <cellStyle name="Accent4" xfId="4157"/>
    <cellStyle name="Accent4 2" xfId="4158"/>
    <cellStyle name="Accent4 2 2" xfId="4159"/>
    <cellStyle name="Accent4 3" xfId="4160"/>
    <cellStyle name="Accent4 4" xfId="4161"/>
    <cellStyle name="Accent4 5" xfId="4162"/>
    <cellStyle name="Accent4 6" xfId="4163"/>
    <cellStyle name="Accent5" xfId="4164"/>
    <cellStyle name="Accent5 2" xfId="4165"/>
    <cellStyle name="Accent5 2 2" xfId="4166"/>
    <cellStyle name="Accent5 3" xfId="4167"/>
    <cellStyle name="Accent5 4" xfId="4168"/>
    <cellStyle name="Accent5 5" xfId="4169"/>
    <cellStyle name="Accent5 6" xfId="4170"/>
    <cellStyle name="Accent6" xfId="4171"/>
    <cellStyle name="Accent6 2" xfId="4172"/>
    <cellStyle name="Accent6 2 2" xfId="4173"/>
    <cellStyle name="Accent6 3" xfId="4174"/>
    <cellStyle name="Accent6 4" xfId="4175"/>
    <cellStyle name="Accent6 5" xfId="4176"/>
    <cellStyle name="Accent6 6" xfId="4177"/>
    <cellStyle name="AeE­ [0]_ ºn¸nº° ¿uº°±a¼u " xfId="4178"/>
    <cellStyle name="ÅëÈ­ [0]_ ºñ¸ñº° ¿ùº°±â¼ú " xfId="4179"/>
    <cellStyle name="AeE­ [0]_ ºn¸nº° ¿uº°±a¼u  10" xfId="4180"/>
    <cellStyle name="ÅëÈ­ [0]_ ºñ¸ñº° ¿ùº°±â¼ú  10" xfId="4181"/>
    <cellStyle name="AeE­ [0]_ ºn¸nº° ¿uº°±a¼u  10 10" xfId="4182"/>
    <cellStyle name="ÅëÈ­ [0]_ ºñ¸ñº° ¿ùº°±â¼ú  10 10" xfId="4183"/>
    <cellStyle name="AeE­ [0]_ ºn¸nº° ¿uº°±a¼u  10 11" xfId="4184"/>
    <cellStyle name="ÅëÈ­ [0]_ ºñ¸ñº° ¿ùº°±â¼ú  10 11" xfId="4185"/>
    <cellStyle name="AeE­ [0]_ ºn¸nº° ¿uº°±a¼u  10 12" xfId="4186"/>
    <cellStyle name="ÅëÈ­ [0]_ ºñ¸ñº° ¿ùº°±â¼ú  10 12" xfId="4187"/>
    <cellStyle name="AeE­ [0]_ ºn¸nº° ¿uº°±a¼u  10 13" xfId="4188"/>
    <cellStyle name="ÅëÈ­ [0]_ ºñ¸ñº° ¿ùº°±â¼ú  10 13" xfId="4189"/>
    <cellStyle name="AeE­ [0]_ ºn¸nº° ¿uº°±a¼u  10 14" xfId="4190"/>
    <cellStyle name="ÅëÈ­ [0]_ ºñ¸ñº° ¿ùº°±â¼ú  10 14" xfId="4191"/>
    <cellStyle name="AeE­ [0]_ ºn¸nº° ¿uº°±a¼u  10 15" xfId="4192"/>
    <cellStyle name="ÅëÈ­ [0]_ ºñ¸ñº° ¿ùº°±â¼ú  10 15" xfId="4193"/>
    <cellStyle name="AeE­ [0]_ ºn¸nº° ¿uº°±a¼u  10 16" xfId="4194"/>
    <cellStyle name="ÅëÈ­ [0]_ ºñ¸ñº° ¿ùº°±â¼ú  10 16" xfId="4195"/>
    <cellStyle name="AeE­ [0]_ ºn¸nº° ¿uº°±a¼u  10 17" xfId="4196"/>
    <cellStyle name="ÅëÈ­ [0]_ ºñ¸ñº° ¿ùº°±â¼ú  10 17" xfId="4197"/>
    <cellStyle name="AeE­ [0]_ ºn¸nº° ¿uº°±a¼u  10 18" xfId="4198"/>
    <cellStyle name="ÅëÈ­ [0]_ ºñ¸ñº° ¿ùº°±â¼ú  10 18" xfId="4199"/>
    <cellStyle name="AeE­ [0]_ ºn¸nº° ¿uº°±a¼u  10 19" xfId="4200"/>
    <cellStyle name="ÅëÈ­ [0]_ ºñ¸ñº° ¿ùº°±â¼ú  10 19" xfId="4201"/>
    <cellStyle name="AeE­ [0]_ ºn¸nº° ¿uº°±a¼u  10 2" xfId="4202"/>
    <cellStyle name="ÅëÈ­ [0]_ ºñ¸ñº° ¿ùº°±â¼ú  10 2" xfId="4203"/>
    <cellStyle name="AeE­ [0]_ ºn¸nº° ¿uº°±a¼u  10 20" xfId="4204"/>
    <cellStyle name="ÅëÈ­ [0]_ ºñ¸ñº° ¿ùº°±â¼ú  10 20" xfId="4205"/>
    <cellStyle name="AeE­ [0]_ ºn¸nº° ¿uº°±a¼u  10 21" xfId="4206"/>
    <cellStyle name="ÅëÈ­ [0]_ ºñ¸ñº° ¿ùº°±â¼ú  10 21" xfId="4207"/>
    <cellStyle name="AeE­ [0]_ ºn¸nº° ¿uº°±a¼u  10 22" xfId="4208"/>
    <cellStyle name="ÅëÈ­ [0]_ ºñ¸ñº° ¿ùº°±â¼ú  10 22" xfId="4209"/>
    <cellStyle name="AeE­ [0]_ ºn¸nº° ¿uº°±a¼u  10 23" xfId="4210"/>
    <cellStyle name="ÅëÈ­ [0]_ ºñ¸ñº° ¿ùº°±â¼ú  10 23" xfId="4211"/>
    <cellStyle name="AeE­ [0]_ ºn¸nº° ¿uº°±a¼u  10 24" xfId="4212"/>
    <cellStyle name="ÅëÈ­ [0]_ ºñ¸ñº° ¿ùº°±â¼ú  10 24" xfId="4213"/>
    <cellStyle name="AeE­ [0]_ ºn¸nº° ¿uº°±a¼u  10 25" xfId="4214"/>
    <cellStyle name="ÅëÈ­ [0]_ ºñ¸ñº° ¿ùº°±â¼ú  10 25" xfId="4215"/>
    <cellStyle name="AeE­ [0]_ ºn¸nº° ¿uº°±a¼u  10 26" xfId="4216"/>
    <cellStyle name="ÅëÈ­ [0]_ ºñ¸ñº° ¿ùº°±â¼ú  10 26" xfId="4217"/>
    <cellStyle name="AeE­ [0]_ ºn¸nº° ¿uº°±a¼u  10 27" xfId="4218"/>
    <cellStyle name="ÅëÈ­ [0]_ ºñ¸ñº° ¿ùº°±â¼ú  10 27" xfId="4219"/>
    <cellStyle name="AeE­ [0]_ ºn¸nº° ¿uº°±a¼u  10 28" xfId="4220"/>
    <cellStyle name="ÅëÈ­ [0]_ ºñ¸ñº° ¿ùº°±â¼ú  10 28" xfId="4221"/>
    <cellStyle name="AeE­ [0]_ ºn¸nº° ¿uº°±a¼u  10 29" xfId="4222"/>
    <cellStyle name="ÅëÈ­ [0]_ ºñ¸ñº° ¿ùº°±â¼ú  10 29" xfId="4223"/>
    <cellStyle name="AeE­ [0]_ ºn¸nº° ¿uº°±a¼u  10 3" xfId="4224"/>
    <cellStyle name="ÅëÈ­ [0]_ ºñ¸ñº° ¿ùº°±â¼ú  10 3" xfId="4225"/>
    <cellStyle name="AeE­ [0]_ ºn¸nº° ¿uº°±a¼u  10 30" xfId="4226"/>
    <cellStyle name="ÅëÈ­ [0]_ ºñ¸ñº° ¿ùº°±â¼ú  10 30" xfId="4227"/>
    <cellStyle name="AeE­ [0]_ ºn¸nº° ¿uº°±a¼u  10 31" xfId="4228"/>
    <cellStyle name="ÅëÈ­ [0]_ ºñ¸ñº° ¿ùº°±â¼ú  10 31" xfId="4229"/>
    <cellStyle name="AeE­ [0]_ ºn¸nº° ¿uº°±a¼u  10 32" xfId="4230"/>
    <cellStyle name="ÅëÈ­ [0]_ ºñ¸ñº° ¿ùº°±â¼ú  10 32" xfId="4231"/>
    <cellStyle name="AeE­ [0]_ ºn¸nº° ¿uº°±a¼u  10 33" xfId="4232"/>
    <cellStyle name="ÅëÈ­ [0]_ ºñ¸ñº° ¿ùº°±â¼ú  10 33" xfId="4233"/>
    <cellStyle name="AeE­ [0]_ ºn¸nº° ¿uº°±a¼u  10 34" xfId="4234"/>
    <cellStyle name="ÅëÈ­ [0]_ ºñ¸ñº° ¿ùº°±â¼ú  10 34" xfId="4235"/>
    <cellStyle name="AeE­ [0]_ ºn¸nº° ¿uº°±a¼u  10 4" xfId="4236"/>
    <cellStyle name="ÅëÈ­ [0]_ ºñ¸ñº° ¿ùº°±â¼ú  10 4" xfId="4237"/>
    <cellStyle name="AeE­ [0]_ ºn¸nº° ¿uº°±a¼u  10 5" xfId="4238"/>
    <cellStyle name="ÅëÈ­ [0]_ ºñ¸ñº° ¿ùº°±â¼ú  10 5" xfId="4239"/>
    <cellStyle name="AeE­ [0]_ ºn¸nº° ¿uº°±a¼u  10 6" xfId="4240"/>
    <cellStyle name="ÅëÈ­ [0]_ ºñ¸ñº° ¿ùº°±â¼ú  10 6" xfId="4241"/>
    <cellStyle name="AeE­ [0]_ ºn¸nº° ¿uº°±a¼u  10 7" xfId="4242"/>
    <cellStyle name="ÅëÈ­ [0]_ ºñ¸ñº° ¿ùº°±â¼ú  10 7" xfId="4243"/>
    <cellStyle name="AeE­ [0]_ ºn¸nº° ¿uº°±a¼u  10 8" xfId="4244"/>
    <cellStyle name="ÅëÈ­ [0]_ ºñ¸ñº° ¿ùº°±â¼ú  10 8" xfId="4245"/>
    <cellStyle name="AeE­ [0]_ ºn¸nº° ¿uº°±a¼u  10 9" xfId="4246"/>
    <cellStyle name="ÅëÈ­ [0]_ ºñ¸ñº° ¿ùº°±â¼ú  10 9" xfId="4247"/>
    <cellStyle name="AeE­ [0]_ ºn¸nº° ¿uº°±a¼u  11" xfId="4248"/>
    <cellStyle name="ÅëÈ­ [0]_ ºñ¸ñº° ¿ùº°±â¼ú  11" xfId="4249"/>
    <cellStyle name="AeE­ [0]_ ºn¸nº° ¿uº°±a¼u  11 10" xfId="4250"/>
    <cellStyle name="ÅëÈ­ [0]_ ºñ¸ñº° ¿ùº°±â¼ú  11 10" xfId="4251"/>
    <cellStyle name="AeE­ [0]_ ºn¸nº° ¿uº°±a¼u  11 11" xfId="4252"/>
    <cellStyle name="ÅëÈ­ [0]_ ºñ¸ñº° ¿ùº°±â¼ú  11 11" xfId="4253"/>
    <cellStyle name="AeE­ [0]_ ºn¸nº° ¿uº°±a¼u  11 12" xfId="4254"/>
    <cellStyle name="ÅëÈ­ [0]_ ºñ¸ñº° ¿ùº°±â¼ú  11 12" xfId="4255"/>
    <cellStyle name="AeE­ [0]_ ºn¸nº° ¿uº°±a¼u  11 13" xfId="4256"/>
    <cellStyle name="ÅëÈ­ [0]_ ºñ¸ñº° ¿ùº°±â¼ú  11 13" xfId="4257"/>
    <cellStyle name="AeE­ [0]_ ºn¸nº° ¿uº°±a¼u  11 14" xfId="4258"/>
    <cellStyle name="ÅëÈ­ [0]_ ºñ¸ñº° ¿ùº°±â¼ú  11 14" xfId="4259"/>
    <cellStyle name="AeE­ [0]_ ºn¸nº° ¿uº°±a¼u  11 15" xfId="4260"/>
    <cellStyle name="ÅëÈ­ [0]_ ºñ¸ñº° ¿ùº°±â¼ú  11 15" xfId="4261"/>
    <cellStyle name="AeE­ [0]_ ºn¸nº° ¿uº°±a¼u  11 16" xfId="4262"/>
    <cellStyle name="ÅëÈ­ [0]_ ºñ¸ñº° ¿ùº°±â¼ú  11 16" xfId="4263"/>
    <cellStyle name="AeE­ [0]_ ºn¸nº° ¿uº°±a¼u  11 17" xfId="4264"/>
    <cellStyle name="ÅëÈ­ [0]_ ºñ¸ñº° ¿ùº°±â¼ú  11 17" xfId="4265"/>
    <cellStyle name="AeE­ [0]_ ºn¸nº° ¿uº°±a¼u  11 18" xfId="4266"/>
    <cellStyle name="ÅëÈ­ [0]_ ºñ¸ñº° ¿ùº°±â¼ú  11 18" xfId="4267"/>
    <cellStyle name="AeE­ [0]_ ºn¸nº° ¿uº°±a¼u  11 19" xfId="4268"/>
    <cellStyle name="ÅëÈ­ [0]_ ºñ¸ñº° ¿ùº°±â¼ú  11 19" xfId="4269"/>
    <cellStyle name="AeE­ [0]_ ºn¸nº° ¿uº°±a¼u  11 2" xfId="4270"/>
    <cellStyle name="ÅëÈ­ [0]_ ºñ¸ñº° ¿ùº°±â¼ú  11 2" xfId="4271"/>
    <cellStyle name="AeE­ [0]_ ºn¸nº° ¿uº°±a¼u  11 20" xfId="4272"/>
    <cellStyle name="ÅëÈ­ [0]_ ºñ¸ñº° ¿ùº°±â¼ú  11 20" xfId="4273"/>
    <cellStyle name="AeE­ [0]_ ºn¸nº° ¿uº°±a¼u  11 21" xfId="4274"/>
    <cellStyle name="ÅëÈ­ [0]_ ºñ¸ñº° ¿ùº°±â¼ú  11 21" xfId="4275"/>
    <cellStyle name="AeE­ [0]_ ºn¸nº° ¿uº°±a¼u  11 22" xfId="4276"/>
    <cellStyle name="ÅëÈ­ [0]_ ºñ¸ñº° ¿ùº°±â¼ú  11 22" xfId="4277"/>
    <cellStyle name="AeE­ [0]_ ºn¸nº° ¿uº°±a¼u  11 23" xfId="4278"/>
    <cellStyle name="ÅëÈ­ [0]_ ºñ¸ñº° ¿ùº°±â¼ú  11 23" xfId="4279"/>
    <cellStyle name="AeE­ [0]_ ºn¸nº° ¿uº°±a¼u  11 24" xfId="4280"/>
    <cellStyle name="ÅëÈ­ [0]_ ºñ¸ñº° ¿ùº°±â¼ú  11 24" xfId="4281"/>
    <cellStyle name="AeE­ [0]_ ºn¸nº° ¿uº°±a¼u  11 25" xfId="4282"/>
    <cellStyle name="ÅëÈ­ [0]_ ºñ¸ñº° ¿ùº°±â¼ú  11 25" xfId="4283"/>
    <cellStyle name="AeE­ [0]_ ºn¸nº° ¿uº°±a¼u  11 26" xfId="4284"/>
    <cellStyle name="ÅëÈ­ [0]_ ºñ¸ñº° ¿ùº°±â¼ú  11 26" xfId="4285"/>
    <cellStyle name="AeE­ [0]_ ºn¸nº° ¿uº°±a¼u  11 27" xfId="4286"/>
    <cellStyle name="ÅëÈ­ [0]_ ºñ¸ñº° ¿ùº°±â¼ú  11 27" xfId="4287"/>
    <cellStyle name="AeE­ [0]_ ºn¸nº° ¿uº°±a¼u  11 28" xfId="4288"/>
    <cellStyle name="ÅëÈ­ [0]_ ºñ¸ñº° ¿ùº°±â¼ú  11 28" xfId="4289"/>
    <cellStyle name="AeE­ [0]_ ºn¸nº° ¿uº°±a¼u  11 29" xfId="4290"/>
    <cellStyle name="ÅëÈ­ [0]_ ºñ¸ñº° ¿ùº°±â¼ú  11 29" xfId="4291"/>
    <cellStyle name="AeE­ [0]_ ºn¸nº° ¿uº°±a¼u  11 3" xfId="4292"/>
    <cellStyle name="ÅëÈ­ [0]_ ºñ¸ñº° ¿ùº°±â¼ú  11 3" xfId="4293"/>
    <cellStyle name="AeE­ [0]_ ºn¸nº° ¿uº°±a¼u  11 30" xfId="4294"/>
    <cellStyle name="ÅëÈ­ [0]_ ºñ¸ñº° ¿ùº°±â¼ú  11 30" xfId="4295"/>
    <cellStyle name="AeE­ [0]_ ºn¸nº° ¿uº°±a¼u  11 31" xfId="4296"/>
    <cellStyle name="ÅëÈ­ [0]_ ºñ¸ñº° ¿ùº°±â¼ú  11 31" xfId="4297"/>
    <cellStyle name="AeE­ [0]_ ºn¸nº° ¿uº°±a¼u  11 32" xfId="4298"/>
    <cellStyle name="ÅëÈ­ [0]_ ºñ¸ñº° ¿ùº°±â¼ú  11 32" xfId="4299"/>
    <cellStyle name="AeE­ [0]_ ºn¸nº° ¿uº°±a¼u  11 33" xfId="4300"/>
    <cellStyle name="ÅëÈ­ [0]_ ºñ¸ñº° ¿ùº°±â¼ú  11 33" xfId="4301"/>
    <cellStyle name="AeE­ [0]_ ºn¸nº° ¿uº°±a¼u  11 34" xfId="4302"/>
    <cellStyle name="ÅëÈ­ [0]_ ºñ¸ñº° ¿ùº°±â¼ú  11 34" xfId="4303"/>
    <cellStyle name="AeE­ [0]_ ºn¸nº° ¿uº°±a¼u  11 4" xfId="4304"/>
    <cellStyle name="ÅëÈ­ [0]_ ºñ¸ñº° ¿ùº°±â¼ú  11 4" xfId="4305"/>
    <cellStyle name="AeE­ [0]_ ºn¸nº° ¿uº°±a¼u  11 5" xfId="4306"/>
    <cellStyle name="ÅëÈ­ [0]_ ºñ¸ñº° ¿ùº°±â¼ú  11 5" xfId="4307"/>
    <cellStyle name="AeE­ [0]_ ºn¸nº° ¿uº°±a¼u  11 6" xfId="4308"/>
    <cellStyle name="ÅëÈ­ [0]_ ºñ¸ñº° ¿ùº°±â¼ú  11 6" xfId="4309"/>
    <cellStyle name="AeE­ [0]_ ºn¸nº° ¿uº°±a¼u  11 7" xfId="4310"/>
    <cellStyle name="ÅëÈ­ [0]_ ºñ¸ñº° ¿ùº°±â¼ú  11 7" xfId="4311"/>
    <cellStyle name="AeE­ [0]_ ºn¸nº° ¿uº°±a¼u  11 8" xfId="4312"/>
    <cellStyle name="ÅëÈ­ [0]_ ºñ¸ñº° ¿ùº°±â¼ú  11 8" xfId="4313"/>
    <cellStyle name="AeE­ [0]_ ºn¸nº° ¿uº°±a¼u  11 9" xfId="4314"/>
    <cellStyle name="ÅëÈ­ [0]_ ºñ¸ñº° ¿ùº°±â¼ú  11 9" xfId="4315"/>
    <cellStyle name="AeE­ [0]_ ºn¸nº° ¿uº°±a¼u  12" xfId="4316"/>
    <cellStyle name="ÅëÈ­ [0]_ ºñ¸ñº° ¿ùº°±â¼ú  12" xfId="4317"/>
    <cellStyle name="AeE­ [0]_ ºn¸nº° ¿uº°±a¼u  12 10" xfId="4318"/>
    <cellStyle name="ÅëÈ­ [0]_ ºñ¸ñº° ¿ùº°±â¼ú  12 10" xfId="4319"/>
    <cellStyle name="AeE­ [0]_ ºn¸nº° ¿uº°±a¼u  12 11" xfId="4320"/>
    <cellStyle name="ÅëÈ­ [0]_ ºñ¸ñº° ¿ùº°±â¼ú  12 11" xfId="4321"/>
    <cellStyle name="AeE­ [0]_ ºn¸nº° ¿uº°±a¼u  12 12" xfId="4322"/>
    <cellStyle name="ÅëÈ­ [0]_ ºñ¸ñº° ¿ùº°±â¼ú  12 12" xfId="4323"/>
    <cellStyle name="AeE­ [0]_ ºn¸nº° ¿uº°±a¼u  12 13" xfId="4324"/>
    <cellStyle name="ÅëÈ­ [0]_ ºñ¸ñº° ¿ùº°±â¼ú  12 13" xfId="4325"/>
    <cellStyle name="AeE­ [0]_ ºn¸nº° ¿uº°±a¼u  12 14" xfId="4326"/>
    <cellStyle name="ÅëÈ­ [0]_ ºñ¸ñº° ¿ùº°±â¼ú  12 14" xfId="4327"/>
    <cellStyle name="AeE­ [0]_ ºn¸nº° ¿uº°±a¼u  12 15" xfId="4328"/>
    <cellStyle name="ÅëÈ­ [0]_ ºñ¸ñº° ¿ùº°±â¼ú  12 15" xfId="4329"/>
    <cellStyle name="AeE­ [0]_ ºn¸nº° ¿uº°±a¼u  12 16" xfId="4330"/>
    <cellStyle name="ÅëÈ­ [0]_ ºñ¸ñº° ¿ùº°±â¼ú  12 16" xfId="4331"/>
    <cellStyle name="AeE­ [0]_ ºn¸nº° ¿uº°±a¼u  12 17" xfId="4332"/>
    <cellStyle name="ÅëÈ­ [0]_ ºñ¸ñº° ¿ùº°±â¼ú  12 17" xfId="4333"/>
    <cellStyle name="AeE­ [0]_ ºn¸nº° ¿uº°±a¼u  12 18" xfId="4334"/>
    <cellStyle name="ÅëÈ­ [0]_ ºñ¸ñº° ¿ùº°±â¼ú  12 18" xfId="4335"/>
    <cellStyle name="AeE­ [0]_ ºn¸nº° ¿uº°±a¼u  12 19" xfId="4336"/>
    <cellStyle name="ÅëÈ­ [0]_ ºñ¸ñº° ¿ùº°±â¼ú  12 19" xfId="4337"/>
    <cellStyle name="AeE­ [0]_ ºn¸nº° ¿uº°±a¼u  12 2" xfId="4338"/>
    <cellStyle name="ÅëÈ­ [0]_ ºñ¸ñº° ¿ùº°±â¼ú  12 2" xfId="4339"/>
    <cellStyle name="AeE­ [0]_ ºn¸nº° ¿uº°±a¼u  12 20" xfId="4340"/>
    <cellStyle name="ÅëÈ­ [0]_ ºñ¸ñº° ¿ùº°±â¼ú  12 20" xfId="4341"/>
    <cellStyle name="AeE­ [0]_ ºn¸nº° ¿uº°±a¼u  12 21" xfId="4342"/>
    <cellStyle name="ÅëÈ­ [0]_ ºñ¸ñº° ¿ùº°±â¼ú  12 21" xfId="4343"/>
    <cellStyle name="AeE­ [0]_ ºn¸nº° ¿uº°±a¼u  12 22" xfId="4344"/>
    <cellStyle name="ÅëÈ­ [0]_ ºñ¸ñº° ¿ùº°±â¼ú  12 22" xfId="4345"/>
    <cellStyle name="AeE­ [0]_ ºn¸nº° ¿uº°±a¼u  12 23" xfId="4346"/>
    <cellStyle name="ÅëÈ­ [0]_ ºñ¸ñº° ¿ùº°±â¼ú  12 23" xfId="4347"/>
    <cellStyle name="AeE­ [0]_ ºn¸nº° ¿uº°±a¼u  12 24" xfId="4348"/>
    <cellStyle name="ÅëÈ­ [0]_ ºñ¸ñº° ¿ùº°±â¼ú  12 24" xfId="4349"/>
    <cellStyle name="AeE­ [0]_ ºn¸nº° ¿uº°±a¼u  12 25" xfId="4350"/>
    <cellStyle name="ÅëÈ­ [0]_ ºñ¸ñº° ¿ùº°±â¼ú  12 25" xfId="4351"/>
    <cellStyle name="AeE­ [0]_ ºn¸nº° ¿uº°±a¼u  12 26" xfId="4352"/>
    <cellStyle name="ÅëÈ­ [0]_ ºñ¸ñº° ¿ùº°±â¼ú  12 26" xfId="4353"/>
    <cellStyle name="AeE­ [0]_ ºn¸nº° ¿uº°±a¼u  12 27" xfId="4354"/>
    <cellStyle name="ÅëÈ­ [0]_ ºñ¸ñº° ¿ùº°±â¼ú  12 27" xfId="4355"/>
    <cellStyle name="AeE­ [0]_ ºn¸nº° ¿uº°±a¼u  12 28" xfId="4356"/>
    <cellStyle name="ÅëÈ­ [0]_ ºñ¸ñº° ¿ùº°±â¼ú  12 28" xfId="4357"/>
    <cellStyle name="AeE­ [0]_ ºn¸nº° ¿uº°±a¼u  12 29" xfId="4358"/>
    <cellStyle name="ÅëÈ­ [0]_ ºñ¸ñº° ¿ùº°±â¼ú  12 29" xfId="4359"/>
    <cellStyle name="AeE­ [0]_ ºn¸nº° ¿uº°±a¼u  12 3" xfId="4360"/>
    <cellStyle name="ÅëÈ­ [0]_ ºñ¸ñº° ¿ùº°±â¼ú  12 3" xfId="4361"/>
    <cellStyle name="AeE­ [0]_ ºn¸nº° ¿uº°±a¼u  12 30" xfId="4362"/>
    <cellStyle name="ÅëÈ­ [0]_ ºñ¸ñº° ¿ùº°±â¼ú  12 30" xfId="4363"/>
    <cellStyle name="AeE­ [0]_ ºn¸nº° ¿uº°±a¼u  12 31" xfId="4364"/>
    <cellStyle name="ÅëÈ­ [0]_ ºñ¸ñº° ¿ùº°±â¼ú  12 31" xfId="4365"/>
    <cellStyle name="AeE­ [0]_ ºn¸nº° ¿uº°±a¼u  12 32" xfId="4366"/>
    <cellStyle name="ÅëÈ­ [0]_ ºñ¸ñº° ¿ùº°±â¼ú  12 32" xfId="4367"/>
    <cellStyle name="AeE­ [0]_ ºn¸nº° ¿uº°±a¼u  12 33" xfId="4368"/>
    <cellStyle name="ÅëÈ­ [0]_ ºñ¸ñº° ¿ùº°±â¼ú  12 33" xfId="4369"/>
    <cellStyle name="AeE­ [0]_ ºn¸nº° ¿uº°±a¼u  12 34" xfId="4370"/>
    <cellStyle name="ÅëÈ­ [0]_ ºñ¸ñº° ¿ùº°±â¼ú  12 34" xfId="4371"/>
    <cellStyle name="AeE­ [0]_ ºn¸nº° ¿uº°±a¼u  12 4" xfId="4372"/>
    <cellStyle name="ÅëÈ­ [0]_ ºñ¸ñº° ¿ùº°±â¼ú  12 4" xfId="4373"/>
    <cellStyle name="AeE­ [0]_ ºn¸nº° ¿uº°±a¼u  12 5" xfId="4374"/>
    <cellStyle name="ÅëÈ­ [0]_ ºñ¸ñº° ¿ùº°±â¼ú  12 5" xfId="4375"/>
    <cellStyle name="AeE­ [0]_ ºn¸nº° ¿uº°±a¼u  12 6" xfId="4376"/>
    <cellStyle name="ÅëÈ­ [0]_ ºñ¸ñº° ¿ùº°±â¼ú  12 6" xfId="4377"/>
    <cellStyle name="AeE­ [0]_ ºn¸nº° ¿uº°±a¼u  12 7" xfId="4378"/>
    <cellStyle name="ÅëÈ­ [0]_ ºñ¸ñº° ¿ùº°±â¼ú  12 7" xfId="4379"/>
    <cellStyle name="AeE­ [0]_ ºn¸nº° ¿uº°±a¼u  12 8" xfId="4380"/>
    <cellStyle name="ÅëÈ­ [0]_ ºñ¸ñº° ¿ùº°±â¼ú  12 8" xfId="4381"/>
    <cellStyle name="AeE­ [0]_ ºn¸nº° ¿uº°±a¼u  12 9" xfId="4382"/>
    <cellStyle name="ÅëÈ­ [0]_ ºñ¸ñº° ¿ùº°±â¼ú  12 9" xfId="4383"/>
    <cellStyle name="AeE­ [0]_ ºn¸nº° ¿uº°±a¼u  13" xfId="4384"/>
    <cellStyle name="ÅëÈ­ [0]_ ºñ¸ñº° ¿ùº°±â¼ú  13" xfId="4385"/>
    <cellStyle name="AeE­ [0]_ ºn¸nº° ¿uº°±a¼u  13 10" xfId="4386"/>
    <cellStyle name="ÅëÈ­ [0]_ ºñ¸ñº° ¿ùº°±â¼ú  13 10" xfId="4387"/>
    <cellStyle name="AeE­ [0]_ ºn¸nº° ¿uº°±a¼u  13 11" xfId="4388"/>
    <cellStyle name="ÅëÈ­ [0]_ ºñ¸ñº° ¿ùº°±â¼ú  13 11" xfId="4389"/>
    <cellStyle name="AeE­ [0]_ ºn¸nº° ¿uº°±a¼u  13 12" xfId="4390"/>
    <cellStyle name="ÅëÈ­ [0]_ ºñ¸ñº° ¿ùº°±â¼ú  13 12" xfId="4391"/>
    <cellStyle name="AeE­ [0]_ ºn¸nº° ¿uº°±a¼u  13 13" xfId="4392"/>
    <cellStyle name="ÅëÈ­ [0]_ ºñ¸ñº° ¿ùº°±â¼ú  13 13" xfId="4393"/>
    <cellStyle name="AeE­ [0]_ ºn¸nº° ¿uº°±a¼u  13 14" xfId="4394"/>
    <cellStyle name="ÅëÈ­ [0]_ ºñ¸ñº° ¿ùº°±â¼ú  13 14" xfId="4395"/>
    <cellStyle name="AeE­ [0]_ ºn¸nº° ¿uº°±a¼u  13 15" xfId="4396"/>
    <cellStyle name="ÅëÈ­ [0]_ ºñ¸ñº° ¿ùº°±â¼ú  13 15" xfId="4397"/>
    <cellStyle name="AeE­ [0]_ ºn¸nº° ¿uº°±a¼u  13 16" xfId="4398"/>
    <cellStyle name="ÅëÈ­ [0]_ ºñ¸ñº° ¿ùº°±â¼ú  13 16" xfId="4399"/>
    <cellStyle name="AeE­ [0]_ ºn¸nº° ¿uº°±a¼u  13 17" xfId="4400"/>
    <cellStyle name="ÅëÈ­ [0]_ ºñ¸ñº° ¿ùº°±â¼ú  13 17" xfId="4401"/>
    <cellStyle name="AeE­ [0]_ ºn¸nº° ¿uº°±a¼u  13 18" xfId="4402"/>
    <cellStyle name="ÅëÈ­ [0]_ ºñ¸ñº° ¿ùº°±â¼ú  13 18" xfId="4403"/>
    <cellStyle name="AeE­ [0]_ ºn¸nº° ¿uº°±a¼u  13 19" xfId="4404"/>
    <cellStyle name="ÅëÈ­ [0]_ ºñ¸ñº° ¿ùº°±â¼ú  13 19" xfId="4405"/>
    <cellStyle name="AeE­ [0]_ ºn¸nº° ¿uº°±a¼u  13 2" xfId="4406"/>
    <cellStyle name="ÅëÈ­ [0]_ ºñ¸ñº° ¿ùº°±â¼ú  13 2" xfId="4407"/>
    <cellStyle name="AeE­ [0]_ ºn¸nº° ¿uº°±a¼u  13 20" xfId="4408"/>
    <cellStyle name="ÅëÈ­ [0]_ ºñ¸ñº° ¿ùº°±â¼ú  13 20" xfId="4409"/>
    <cellStyle name="AeE­ [0]_ ºn¸nº° ¿uº°±a¼u  13 21" xfId="4410"/>
    <cellStyle name="ÅëÈ­ [0]_ ºñ¸ñº° ¿ùº°±â¼ú  13 21" xfId="4411"/>
    <cellStyle name="AeE­ [0]_ ºn¸nº° ¿uº°±a¼u  13 22" xfId="4412"/>
    <cellStyle name="ÅëÈ­ [0]_ ºñ¸ñº° ¿ùº°±â¼ú  13 22" xfId="4413"/>
    <cellStyle name="AeE­ [0]_ ºn¸nº° ¿uº°±a¼u  13 23" xfId="4414"/>
    <cellStyle name="ÅëÈ­ [0]_ ºñ¸ñº° ¿ùº°±â¼ú  13 23" xfId="4415"/>
    <cellStyle name="AeE­ [0]_ ºn¸nº° ¿uº°±a¼u  13 24" xfId="4416"/>
    <cellStyle name="ÅëÈ­ [0]_ ºñ¸ñº° ¿ùº°±â¼ú  13 24" xfId="4417"/>
    <cellStyle name="AeE­ [0]_ ºn¸nº° ¿uº°±a¼u  13 25" xfId="4418"/>
    <cellStyle name="ÅëÈ­ [0]_ ºñ¸ñº° ¿ùº°±â¼ú  13 25" xfId="4419"/>
    <cellStyle name="AeE­ [0]_ ºn¸nº° ¿uº°±a¼u  13 26" xfId="4420"/>
    <cellStyle name="ÅëÈ­ [0]_ ºñ¸ñº° ¿ùº°±â¼ú  13 26" xfId="4421"/>
    <cellStyle name="AeE­ [0]_ ºn¸nº° ¿uº°±a¼u  13 27" xfId="4422"/>
    <cellStyle name="ÅëÈ­ [0]_ ºñ¸ñº° ¿ùº°±â¼ú  13 27" xfId="4423"/>
    <cellStyle name="AeE­ [0]_ ºn¸nº° ¿uº°±a¼u  13 28" xfId="4424"/>
    <cellStyle name="ÅëÈ­ [0]_ ºñ¸ñº° ¿ùº°±â¼ú  13 28" xfId="4425"/>
    <cellStyle name="AeE­ [0]_ ºn¸nº° ¿uº°±a¼u  13 29" xfId="4426"/>
    <cellStyle name="ÅëÈ­ [0]_ ºñ¸ñº° ¿ùº°±â¼ú  13 29" xfId="4427"/>
    <cellStyle name="AeE­ [0]_ ºn¸nº° ¿uº°±a¼u  13 3" xfId="4428"/>
    <cellStyle name="ÅëÈ­ [0]_ ºñ¸ñº° ¿ùº°±â¼ú  13 3" xfId="4429"/>
    <cellStyle name="AeE­ [0]_ ºn¸nº° ¿uº°±a¼u  13 30" xfId="4430"/>
    <cellStyle name="ÅëÈ­ [0]_ ºñ¸ñº° ¿ùº°±â¼ú  13 30" xfId="4431"/>
    <cellStyle name="AeE­ [0]_ ºn¸nº° ¿uº°±a¼u  13 31" xfId="4432"/>
    <cellStyle name="ÅëÈ­ [0]_ ºñ¸ñº° ¿ùº°±â¼ú  13 31" xfId="4433"/>
    <cellStyle name="AeE­ [0]_ ºn¸nº° ¿uº°±a¼u  13 32" xfId="4434"/>
    <cellStyle name="ÅëÈ­ [0]_ ºñ¸ñº° ¿ùº°±â¼ú  13 32" xfId="4435"/>
    <cellStyle name="AeE­ [0]_ ºn¸nº° ¿uº°±a¼u  13 33" xfId="4436"/>
    <cellStyle name="ÅëÈ­ [0]_ ºñ¸ñº° ¿ùº°±â¼ú  13 33" xfId="4437"/>
    <cellStyle name="AeE­ [0]_ ºn¸nº° ¿uº°±a¼u  13 34" xfId="4438"/>
    <cellStyle name="ÅëÈ­ [0]_ ºñ¸ñº° ¿ùº°±â¼ú  13 34" xfId="4439"/>
    <cellStyle name="AeE­ [0]_ ºn¸nº° ¿uº°±a¼u  13 4" xfId="4440"/>
    <cellStyle name="ÅëÈ­ [0]_ ºñ¸ñº° ¿ùº°±â¼ú  13 4" xfId="4441"/>
    <cellStyle name="AeE­ [0]_ ºn¸nº° ¿uº°±a¼u  13 5" xfId="4442"/>
    <cellStyle name="ÅëÈ­ [0]_ ºñ¸ñº° ¿ùº°±â¼ú  13 5" xfId="4443"/>
    <cellStyle name="AeE­ [0]_ ºn¸nº° ¿uº°±a¼u  13 6" xfId="4444"/>
    <cellStyle name="ÅëÈ­ [0]_ ºñ¸ñº° ¿ùº°±â¼ú  13 6" xfId="4445"/>
    <cellStyle name="AeE­ [0]_ ºn¸nº° ¿uº°±a¼u  13 7" xfId="4446"/>
    <cellStyle name="ÅëÈ­ [0]_ ºñ¸ñº° ¿ùº°±â¼ú  13 7" xfId="4447"/>
    <cellStyle name="AeE­ [0]_ ºn¸nº° ¿uº°±a¼u  13 8" xfId="4448"/>
    <cellStyle name="ÅëÈ­ [0]_ ºñ¸ñº° ¿ùº°±â¼ú  13 8" xfId="4449"/>
    <cellStyle name="AeE­ [0]_ ºn¸nº° ¿uº°±a¼u  13 9" xfId="4450"/>
    <cellStyle name="ÅëÈ­ [0]_ ºñ¸ñº° ¿ùº°±â¼ú  13 9" xfId="4451"/>
    <cellStyle name="AeE­ [0]_ ºn¸nº° ¿uº°±a¼u  14" xfId="4452"/>
    <cellStyle name="ÅëÈ­ [0]_ ºñ¸ñº° ¿ùº°±â¼ú  14" xfId="4453"/>
    <cellStyle name="AeE­ [0]_ ºn¸nº° ¿uº°±a¼u  14 10" xfId="4454"/>
    <cellStyle name="ÅëÈ­ [0]_ ºñ¸ñº° ¿ùº°±â¼ú  14 10" xfId="4455"/>
    <cellStyle name="AeE­ [0]_ ºn¸nº° ¿uº°±a¼u  14 11" xfId="4456"/>
    <cellStyle name="ÅëÈ­ [0]_ ºñ¸ñº° ¿ùº°±â¼ú  14 11" xfId="4457"/>
    <cellStyle name="AeE­ [0]_ ºn¸nº° ¿uº°±a¼u  14 12" xfId="4458"/>
    <cellStyle name="ÅëÈ­ [0]_ ºñ¸ñº° ¿ùº°±â¼ú  14 12" xfId="4459"/>
    <cellStyle name="AeE­ [0]_ ºn¸nº° ¿uº°±a¼u  14 13" xfId="4460"/>
    <cellStyle name="ÅëÈ­ [0]_ ºñ¸ñº° ¿ùº°±â¼ú  14 13" xfId="4461"/>
    <cellStyle name="AeE­ [0]_ ºn¸nº° ¿uº°±a¼u  14 14" xfId="4462"/>
    <cellStyle name="ÅëÈ­ [0]_ ºñ¸ñº° ¿ùº°±â¼ú  14 14" xfId="4463"/>
    <cellStyle name="AeE­ [0]_ ºn¸nº° ¿uº°±a¼u  14 15" xfId="4464"/>
    <cellStyle name="ÅëÈ­ [0]_ ºñ¸ñº° ¿ùº°±â¼ú  14 15" xfId="4465"/>
    <cellStyle name="AeE­ [0]_ ºn¸nº° ¿uº°±a¼u  14 16" xfId="4466"/>
    <cellStyle name="ÅëÈ­ [0]_ ºñ¸ñº° ¿ùº°±â¼ú  14 16" xfId="4467"/>
    <cellStyle name="AeE­ [0]_ ºn¸nº° ¿uº°±a¼u  14 17" xfId="4468"/>
    <cellStyle name="ÅëÈ­ [0]_ ºñ¸ñº° ¿ùº°±â¼ú  14 17" xfId="4469"/>
    <cellStyle name="AeE­ [0]_ ºn¸nº° ¿uº°±a¼u  14 18" xfId="4470"/>
    <cellStyle name="ÅëÈ­ [0]_ ºñ¸ñº° ¿ùº°±â¼ú  14 18" xfId="4471"/>
    <cellStyle name="AeE­ [0]_ ºn¸nº° ¿uº°±a¼u  14 19" xfId="4472"/>
    <cellStyle name="ÅëÈ­ [0]_ ºñ¸ñº° ¿ùº°±â¼ú  14 19" xfId="4473"/>
    <cellStyle name="AeE­ [0]_ ºn¸nº° ¿uº°±a¼u  14 2" xfId="4474"/>
    <cellStyle name="ÅëÈ­ [0]_ ºñ¸ñº° ¿ùº°±â¼ú  14 2" xfId="4475"/>
    <cellStyle name="AeE­ [0]_ ºn¸nº° ¿uº°±a¼u  14 20" xfId="4476"/>
    <cellStyle name="ÅëÈ­ [0]_ ºñ¸ñº° ¿ùº°±â¼ú  14 20" xfId="4477"/>
    <cellStyle name="AeE­ [0]_ ºn¸nº° ¿uº°±a¼u  14 21" xfId="4478"/>
    <cellStyle name="ÅëÈ­ [0]_ ºñ¸ñº° ¿ùº°±â¼ú  14 21" xfId="4479"/>
    <cellStyle name="AeE­ [0]_ ºn¸nº° ¿uº°±a¼u  14 22" xfId="4480"/>
    <cellStyle name="ÅëÈ­ [0]_ ºñ¸ñº° ¿ùº°±â¼ú  14 22" xfId="4481"/>
    <cellStyle name="AeE­ [0]_ ºn¸nº° ¿uº°±a¼u  14 23" xfId="4482"/>
    <cellStyle name="ÅëÈ­ [0]_ ºñ¸ñº° ¿ùº°±â¼ú  14 23" xfId="4483"/>
    <cellStyle name="AeE­ [0]_ ºn¸nº° ¿uº°±a¼u  14 24" xfId="4484"/>
    <cellStyle name="ÅëÈ­ [0]_ ºñ¸ñº° ¿ùº°±â¼ú  14 24" xfId="4485"/>
    <cellStyle name="AeE­ [0]_ ºn¸nº° ¿uº°±a¼u  14 25" xfId="4486"/>
    <cellStyle name="ÅëÈ­ [0]_ ºñ¸ñº° ¿ùº°±â¼ú  14 25" xfId="4487"/>
    <cellStyle name="AeE­ [0]_ ºn¸nº° ¿uº°±a¼u  14 26" xfId="4488"/>
    <cellStyle name="ÅëÈ­ [0]_ ºñ¸ñº° ¿ùº°±â¼ú  14 26" xfId="4489"/>
    <cellStyle name="AeE­ [0]_ ºn¸nº° ¿uº°±a¼u  14 27" xfId="4490"/>
    <cellStyle name="ÅëÈ­ [0]_ ºñ¸ñº° ¿ùº°±â¼ú  14 27" xfId="4491"/>
    <cellStyle name="AeE­ [0]_ ºn¸nº° ¿uº°±a¼u  14 28" xfId="4492"/>
    <cellStyle name="ÅëÈ­ [0]_ ºñ¸ñº° ¿ùº°±â¼ú  14 28" xfId="4493"/>
    <cellStyle name="AeE­ [0]_ ºn¸nº° ¿uº°±a¼u  14 29" xfId="4494"/>
    <cellStyle name="ÅëÈ­ [0]_ ºñ¸ñº° ¿ùº°±â¼ú  14 29" xfId="4495"/>
    <cellStyle name="AeE­ [0]_ ºn¸nº° ¿uº°±a¼u  14 3" xfId="4496"/>
    <cellStyle name="ÅëÈ­ [0]_ ºñ¸ñº° ¿ùº°±â¼ú  14 3" xfId="4497"/>
    <cellStyle name="AeE­ [0]_ ºn¸nº° ¿uº°±a¼u  14 30" xfId="4498"/>
    <cellStyle name="ÅëÈ­ [0]_ ºñ¸ñº° ¿ùº°±â¼ú  14 30" xfId="4499"/>
    <cellStyle name="AeE­ [0]_ ºn¸nº° ¿uº°±a¼u  14 31" xfId="4500"/>
    <cellStyle name="ÅëÈ­ [0]_ ºñ¸ñº° ¿ùº°±â¼ú  14 31" xfId="4501"/>
    <cellStyle name="AeE­ [0]_ ºn¸nº° ¿uº°±a¼u  14 32" xfId="4502"/>
    <cellStyle name="ÅëÈ­ [0]_ ºñ¸ñº° ¿ùº°±â¼ú  14 32" xfId="4503"/>
    <cellStyle name="AeE­ [0]_ ºn¸nº° ¿uº°±a¼u  14 33" xfId="4504"/>
    <cellStyle name="ÅëÈ­ [0]_ ºñ¸ñº° ¿ùº°±â¼ú  14 33" xfId="4505"/>
    <cellStyle name="AeE­ [0]_ ºn¸nº° ¿uº°±a¼u  14 34" xfId="4506"/>
    <cellStyle name="ÅëÈ­ [0]_ ºñ¸ñº° ¿ùº°±â¼ú  14 34" xfId="4507"/>
    <cellStyle name="AeE­ [0]_ ºn¸nº° ¿uº°±a¼u  14 4" xfId="4508"/>
    <cellStyle name="ÅëÈ­ [0]_ ºñ¸ñº° ¿ùº°±â¼ú  14 4" xfId="4509"/>
    <cellStyle name="AeE­ [0]_ ºn¸nº° ¿uº°±a¼u  14 5" xfId="4510"/>
    <cellStyle name="ÅëÈ­ [0]_ ºñ¸ñº° ¿ùº°±â¼ú  14 5" xfId="4511"/>
    <cellStyle name="AeE­ [0]_ ºn¸nº° ¿uº°±a¼u  14 6" xfId="4512"/>
    <cellStyle name="ÅëÈ­ [0]_ ºñ¸ñº° ¿ùº°±â¼ú  14 6" xfId="4513"/>
    <cellStyle name="AeE­ [0]_ ºn¸nº° ¿uº°±a¼u  14 7" xfId="4514"/>
    <cellStyle name="ÅëÈ­ [0]_ ºñ¸ñº° ¿ùº°±â¼ú  14 7" xfId="4515"/>
    <cellStyle name="AeE­ [0]_ ºn¸nº° ¿uº°±a¼u  14 8" xfId="4516"/>
    <cellStyle name="ÅëÈ­ [0]_ ºñ¸ñº° ¿ùº°±â¼ú  14 8" xfId="4517"/>
    <cellStyle name="AeE­ [0]_ ºn¸nº° ¿uº°±a¼u  14 9" xfId="4518"/>
    <cellStyle name="ÅëÈ­ [0]_ ºñ¸ñº° ¿ùº°±â¼ú  14 9" xfId="4519"/>
    <cellStyle name="AeE­ [0]_ ºn¸nº° ¿uº°±a¼u  15" xfId="4520"/>
    <cellStyle name="ÅëÈ­ [0]_ ºñ¸ñº° ¿ùº°±â¼ú  15" xfId="4521"/>
    <cellStyle name="AeE­ [0]_ ºn¸nº° ¿uº°±a¼u  15 10" xfId="4522"/>
    <cellStyle name="ÅëÈ­ [0]_ ºñ¸ñº° ¿ùº°±â¼ú  15 10" xfId="4523"/>
    <cellStyle name="AeE­ [0]_ ºn¸nº° ¿uº°±a¼u  15 11" xfId="4524"/>
    <cellStyle name="ÅëÈ­ [0]_ ºñ¸ñº° ¿ùº°±â¼ú  15 11" xfId="4525"/>
    <cellStyle name="AeE­ [0]_ ºn¸nº° ¿uº°±a¼u  15 12" xfId="4526"/>
    <cellStyle name="ÅëÈ­ [0]_ ºñ¸ñº° ¿ùº°±â¼ú  15 12" xfId="4527"/>
    <cellStyle name="AeE­ [0]_ ºn¸nº° ¿uº°±a¼u  15 13" xfId="4528"/>
    <cellStyle name="ÅëÈ­ [0]_ ºñ¸ñº° ¿ùº°±â¼ú  15 13" xfId="4529"/>
    <cellStyle name="AeE­ [0]_ ºn¸nº° ¿uº°±a¼u  15 14" xfId="4530"/>
    <cellStyle name="ÅëÈ­ [0]_ ºñ¸ñº° ¿ùº°±â¼ú  15 14" xfId="4531"/>
    <cellStyle name="AeE­ [0]_ ºn¸nº° ¿uº°±a¼u  15 15" xfId="4532"/>
    <cellStyle name="ÅëÈ­ [0]_ ºñ¸ñº° ¿ùº°±â¼ú  15 15" xfId="4533"/>
    <cellStyle name="AeE­ [0]_ ºn¸nº° ¿uº°±a¼u  15 16" xfId="4534"/>
    <cellStyle name="ÅëÈ­ [0]_ ºñ¸ñº° ¿ùº°±â¼ú  15 16" xfId="4535"/>
    <cellStyle name="AeE­ [0]_ ºn¸nº° ¿uº°±a¼u  15 17" xfId="4536"/>
    <cellStyle name="ÅëÈ­ [0]_ ºñ¸ñº° ¿ùº°±â¼ú  15 17" xfId="4537"/>
    <cellStyle name="AeE­ [0]_ ºn¸nº° ¿uº°±a¼u  15 18" xfId="4538"/>
    <cellStyle name="ÅëÈ­ [0]_ ºñ¸ñº° ¿ùº°±â¼ú  15 18" xfId="4539"/>
    <cellStyle name="AeE­ [0]_ ºn¸nº° ¿uº°±a¼u  15 19" xfId="4540"/>
    <cellStyle name="ÅëÈ­ [0]_ ºñ¸ñº° ¿ùº°±â¼ú  15 19" xfId="4541"/>
    <cellStyle name="AeE­ [0]_ ºn¸nº° ¿uº°±a¼u  15 2" xfId="4542"/>
    <cellStyle name="ÅëÈ­ [0]_ ºñ¸ñº° ¿ùº°±â¼ú  15 2" xfId="4543"/>
    <cellStyle name="AeE­ [0]_ ºn¸nº° ¿uº°±a¼u  15 20" xfId="4544"/>
    <cellStyle name="ÅëÈ­ [0]_ ºñ¸ñº° ¿ùº°±â¼ú  15 20" xfId="4545"/>
    <cellStyle name="AeE­ [0]_ ºn¸nº° ¿uº°±a¼u  15 21" xfId="4546"/>
    <cellStyle name="ÅëÈ­ [0]_ ºñ¸ñº° ¿ùº°±â¼ú  15 21" xfId="4547"/>
    <cellStyle name="AeE­ [0]_ ºn¸nº° ¿uº°±a¼u  15 22" xfId="4548"/>
    <cellStyle name="ÅëÈ­ [0]_ ºñ¸ñº° ¿ùº°±â¼ú  15 22" xfId="4549"/>
    <cellStyle name="AeE­ [0]_ ºn¸nº° ¿uº°±a¼u  15 23" xfId="4550"/>
    <cellStyle name="ÅëÈ­ [0]_ ºñ¸ñº° ¿ùº°±â¼ú  15 23" xfId="4551"/>
    <cellStyle name="AeE­ [0]_ ºn¸nº° ¿uº°±a¼u  15 24" xfId="4552"/>
    <cellStyle name="ÅëÈ­ [0]_ ºñ¸ñº° ¿ùº°±â¼ú  15 24" xfId="4553"/>
    <cellStyle name="AeE­ [0]_ ºn¸nº° ¿uº°±a¼u  15 25" xfId="4554"/>
    <cellStyle name="ÅëÈ­ [0]_ ºñ¸ñº° ¿ùº°±â¼ú  15 25" xfId="4555"/>
    <cellStyle name="AeE­ [0]_ ºn¸nº° ¿uº°±a¼u  15 26" xfId="4556"/>
    <cellStyle name="ÅëÈ­ [0]_ ºñ¸ñº° ¿ùº°±â¼ú  15 26" xfId="4557"/>
    <cellStyle name="AeE­ [0]_ ºn¸nº° ¿uº°±a¼u  15 27" xfId="4558"/>
    <cellStyle name="ÅëÈ­ [0]_ ºñ¸ñº° ¿ùº°±â¼ú  15 27" xfId="4559"/>
    <cellStyle name="AeE­ [0]_ ºn¸nº° ¿uº°±a¼u  15 28" xfId="4560"/>
    <cellStyle name="ÅëÈ­ [0]_ ºñ¸ñº° ¿ùº°±â¼ú  15 28" xfId="4561"/>
    <cellStyle name="AeE­ [0]_ ºn¸nº° ¿uº°±a¼u  15 29" xfId="4562"/>
    <cellStyle name="ÅëÈ­ [0]_ ºñ¸ñº° ¿ùº°±â¼ú  15 29" xfId="4563"/>
    <cellStyle name="AeE­ [0]_ ºn¸nº° ¿uº°±a¼u  15 3" xfId="4564"/>
    <cellStyle name="ÅëÈ­ [0]_ ºñ¸ñº° ¿ùº°±â¼ú  15 3" xfId="4565"/>
    <cellStyle name="AeE­ [0]_ ºn¸nº° ¿uº°±a¼u  15 30" xfId="4566"/>
    <cellStyle name="ÅëÈ­ [0]_ ºñ¸ñº° ¿ùº°±â¼ú  15 30" xfId="4567"/>
    <cellStyle name="AeE­ [0]_ ºn¸nº° ¿uº°±a¼u  15 31" xfId="4568"/>
    <cellStyle name="ÅëÈ­ [0]_ ºñ¸ñº° ¿ùº°±â¼ú  15 31" xfId="4569"/>
    <cellStyle name="AeE­ [0]_ ºn¸nº° ¿uº°±a¼u  15 32" xfId="4570"/>
    <cellStyle name="ÅëÈ­ [0]_ ºñ¸ñº° ¿ùº°±â¼ú  15 32" xfId="4571"/>
    <cellStyle name="AeE­ [0]_ ºn¸nº° ¿uº°±a¼u  15 33" xfId="4572"/>
    <cellStyle name="ÅëÈ­ [0]_ ºñ¸ñº° ¿ùº°±â¼ú  15 33" xfId="4573"/>
    <cellStyle name="AeE­ [0]_ ºn¸nº° ¿uº°±a¼u  15 34" xfId="4574"/>
    <cellStyle name="ÅëÈ­ [0]_ ºñ¸ñº° ¿ùº°±â¼ú  15 34" xfId="4575"/>
    <cellStyle name="AeE­ [0]_ ºn¸nº° ¿uº°±a¼u  15 4" xfId="4576"/>
    <cellStyle name="ÅëÈ­ [0]_ ºñ¸ñº° ¿ùº°±â¼ú  15 4" xfId="4577"/>
    <cellStyle name="AeE­ [0]_ ºn¸nº° ¿uº°±a¼u  15 5" xfId="4578"/>
    <cellStyle name="ÅëÈ­ [0]_ ºñ¸ñº° ¿ùº°±â¼ú  15 5" xfId="4579"/>
    <cellStyle name="AeE­ [0]_ ºn¸nº° ¿uº°±a¼u  15 6" xfId="4580"/>
    <cellStyle name="ÅëÈ­ [0]_ ºñ¸ñº° ¿ùº°±â¼ú  15 6" xfId="4581"/>
    <cellStyle name="AeE­ [0]_ ºn¸nº° ¿uº°±a¼u  15 7" xfId="4582"/>
    <cellStyle name="ÅëÈ­ [0]_ ºñ¸ñº° ¿ùº°±â¼ú  15 7" xfId="4583"/>
    <cellStyle name="AeE­ [0]_ ºn¸nº° ¿uº°±a¼u  15 8" xfId="4584"/>
    <cellStyle name="ÅëÈ­ [0]_ ºñ¸ñº° ¿ùº°±â¼ú  15 8" xfId="4585"/>
    <cellStyle name="AeE­ [0]_ ºn¸nº° ¿uº°±a¼u  15 9" xfId="4586"/>
    <cellStyle name="ÅëÈ­ [0]_ ºñ¸ñº° ¿ùº°±â¼ú  15 9" xfId="4587"/>
    <cellStyle name="AeE­ [0]_ ºn¸nº° ¿uº°±a¼u  16" xfId="4588"/>
    <cellStyle name="ÅëÈ­ [0]_ ºñ¸ñº° ¿ùº°±â¼ú  16" xfId="4589"/>
    <cellStyle name="AeE­ [0]_ ºn¸nº° ¿uº°±a¼u  16 10" xfId="4590"/>
    <cellStyle name="ÅëÈ­ [0]_ ºñ¸ñº° ¿ùº°±â¼ú  16 10" xfId="4591"/>
    <cellStyle name="AeE­ [0]_ ºn¸nº° ¿uº°±a¼u  16 11" xfId="4592"/>
    <cellStyle name="ÅëÈ­ [0]_ ºñ¸ñº° ¿ùº°±â¼ú  16 11" xfId="4593"/>
    <cellStyle name="AeE­ [0]_ ºn¸nº° ¿uº°±a¼u  16 12" xfId="4594"/>
    <cellStyle name="ÅëÈ­ [0]_ ºñ¸ñº° ¿ùº°±â¼ú  16 12" xfId="4595"/>
    <cellStyle name="AeE­ [0]_ ºn¸nº° ¿uº°±a¼u  16 13" xfId="4596"/>
    <cellStyle name="ÅëÈ­ [0]_ ºñ¸ñº° ¿ùº°±â¼ú  16 13" xfId="4597"/>
    <cellStyle name="AeE­ [0]_ ºn¸nº° ¿uº°±a¼u  16 14" xfId="4598"/>
    <cellStyle name="ÅëÈ­ [0]_ ºñ¸ñº° ¿ùº°±â¼ú  16 14" xfId="4599"/>
    <cellStyle name="AeE­ [0]_ ºn¸nº° ¿uº°±a¼u  16 15" xfId="4600"/>
    <cellStyle name="ÅëÈ­ [0]_ ºñ¸ñº° ¿ùº°±â¼ú  16 15" xfId="4601"/>
    <cellStyle name="AeE­ [0]_ ºn¸nº° ¿uº°±a¼u  16 16" xfId="4602"/>
    <cellStyle name="ÅëÈ­ [0]_ ºñ¸ñº° ¿ùº°±â¼ú  16 16" xfId="4603"/>
    <cellStyle name="AeE­ [0]_ ºn¸nº° ¿uº°±a¼u  16 17" xfId="4604"/>
    <cellStyle name="ÅëÈ­ [0]_ ºñ¸ñº° ¿ùº°±â¼ú  16 17" xfId="4605"/>
    <cellStyle name="AeE­ [0]_ ºn¸nº° ¿uº°±a¼u  16 18" xfId="4606"/>
    <cellStyle name="ÅëÈ­ [0]_ ºñ¸ñº° ¿ùº°±â¼ú  16 18" xfId="4607"/>
    <cellStyle name="AeE­ [0]_ ºn¸nº° ¿uº°±a¼u  16 19" xfId="4608"/>
    <cellStyle name="ÅëÈ­ [0]_ ºñ¸ñº° ¿ùº°±â¼ú  16 19" xfId="4609"/>
    <cellStyle name="AeE­ [0]_ ºn¸nº° ¿uº°±a¼u  16 2" xfId="4610"/>
    <cellStyle name="ÅëÈ­ [0]_ ºñ¸ñº° ¿ùº°±â¼ú  16 2" xfId="4611"/>
    <cellStyle name="AeE­ [0]_ ºn¸nº° ¿uº°±a¼u  16 20" xfId="4612"/>
    <cellStyle name="ÅëÈ­ [0]_ ºñ¸ñº° ¿ùº°±â¼ú  16 20" xfId="4613"/>
    <cellStyle name="AeE­ [0]_ ºn¸nº° ¿uº°±a¼u  16 21" xfId="4614"/>
    <cellStyle name="ÅëÈ­ [0]_ ºñ¸ñº° ¿ùº°±â¼ú  16 21" xfId="4615"/>
    <cellStyle name="AeE­ [0]_ ºn¸nº° ¿uº°±a¼u  16 22" xfId="4616"/>
    <cellStyle name="ÅëÈ­ [0]_ ºñ¸ñº° ¿ùº°±â¼ú  16 22" xfId="4617"/>
    <cellStyle name="AeE­ [0]_ ºn¸nº° ¿uº°±a¼u  16 23" xfId="4618"/>
    <cellStyle name="ÅëÈ­ [0]_ ºñ¸ñº° ¿ùº°±â¼ú  16 23" xfId="4619"/>
    <cellStyle name="AeE­ [0]_ ºn¸nº° ¿uº°±a¼u  16 24" xfId="4620"/>
    <cellStyle name="ÅëÈ­ [0]_ ºñ¸ñº° ¿ùº°±â¼ú  16 24" xfId="4621"/>
    <cellStyle name="AeE­ [0]_ ºn¸nº° ¿uº°±a¼u  16 25" xfId="4622"/>
    <cellStyle name="ÅëÈ­ [0]_ ºñ¸ñº° ¿ùº°±â¼ú  16 25" xfId="4623"/>
    <cellStyle name="AeE­ [0]_ ºn¸nº° ¿uº°±a¼u  16 26" xfId="4624"/>
    <cellStyle name="ÅëÈ­ [0]_ ºñ¸ñº° ¿ùº°±â¼ú  16 26" xfId="4625"/>
    <cellStyle name="AeE­ [0]_ ºn¸nº° ¿uº°±a¼u  16 27" xfId="4626"/>
    <cellStyle name="ÅëÈ­ [0]_ ºñ¸ñº° ¿ùº°±â¼ú  16 27" xfId="4627"/>
    <cellStyle name="AeE­ [0]_ ºn¸nº° ¿uº°±a¼u  16 28" xfId="4628"/>
    <cellStyle name="ÅëÈ­ [0]_ ºñ¸ñº° ¿ùº°±â¼ú  16 28" xfId="4629"/>
    <cellStyle name="AeE­ [0]_ ºn¸nº° ¿uº°±a¼u  16 29" xfId="4630"/>
    <cellStyle name="ÅëÈ­ [0]_ ºñ¸ñº° ¿ùº°±â¼ú  16 29" xfId="4631"/>
    <cellStyle name="AeE­ [0]_ ºn¸nº° ¿uº°±a¼u  16 3" xfId="4632"/>
    <cellStyle name="ÅëÈ­ [0]_ ºñ¸ñº° ¿ùº°±â¼ú  16 3" xfId="4633"/>
    <cellStyle name="AeE­ [0]_ ºn¸nº° ¿uº°±a¼u  16 30" xfId="4634"/>
    <cellStyle name="ÅëÈ­ [0]_ ºñ¸ñº° ¿ùº°±â¼ú  16 30" xfId="4635"/>
    <cellStyle name="AeE­ [0]_ ºn¸nº° ¿uº°±a¼u  16 31" xfId="4636"/>
    <cellStyle name="ÅëÈ­ [0]_ ºñ¸ñº° ¿ùº°±â¼ú  16 31" xfId="4637"/>
    <cellStyle name="AeE­ [0]_ ºn¸nº° ¿uº°±a¼u  16 32" xfId="4638"/>
    <cellStyle name="ÅëÈ­ [0]_ ºñ¸ñº° ¿ùº°±â¼ú  16 32" xfId="4639"/>
    <cellStyle name="AeE­ [0]_ ºn¸nº° ¿uº°±a¼u  16 33" xfId="4640"/>
    <cellStyle name="ÅëÈ­ [0]_ ºñ¸ñº° ¿ùº°±â¼ú  16 33" xfId="4641"/>
    <cellStyle name="AeE­ [0]_ ºn¸nº° ¿uº°±a¼u  16 34" xfId="4642"/>
    <cellStyle name="ÅëÈ­ [0]_ ºñ¸ñº° ¿ùº°±â¼ú  16 34" xfId="4643"/>
    <cellStyle name="AeE­ [0]_ ºn¸nº° ¿uº°±a¼u  16 4" xfId="4644"/>
    <cellStyle name="ÅëÈ­ [0]_ ºñ¸ñº° ¿ùº°±â¼ú  16 4" xfId="4645"/>
    <cellStyle name="AeE­ [0]_ ºn¸nº° ¿uº°±a¼u  16 5" xfId="4646"/>
    <cellStyle name="ÅëÈ­ [0]_ ºñ¸ñº° ¿ùº°±â¼ú  16 5" xfId="4647"/>
    <cellStyle name="AeE­ [0]_ ºn¸nº° ¿uº°±a¼u  16 6" xfId="4648"/>
    <cellStyle name="ÅëÈ­ [0]_ ºñ¸ñº° ¿ùº°±â¼ú  16 6" xfId="4649"/>
    <cellStyle name="AeE­ [0]_ ºn¸nº° ¿uº°±a¼u  16 7" xfId="4650"/>
    <cellStyle name="ÅëÈ­ [0]_ ºñ¸ñº° ¿ùº°±â¼ú  16 7" xfId="4651"/>
    <cellStyle name="AeE­ [0]_ ºn¸nº° ¿uº°±a¼u  16 8" xfId="4652"/>
    <cellStyle name="ÅëÈ­ [0]_ ºñ¸ñº° ¿ùº°±â¼ú  16 8" xfId="4653"/>
    <cellStyle name="AeE­ [0]_ ºn¸nº° ¿uº°±a¼u  16 9" xfId="4654"/>
    <cellStyle name="ÅëÈ­ [0]_ ºñ¸ñº° ¿ùº°±â¼ú  16 9" xfId="4655"/>
    <cellStyle name="AeE­ [0]_ ºn¸nº° ¿uº°±a¼u  17" xfId="4656"/>
    <cellStyle name="ÅëÈ­ [0]_ ºñ¸ñº° ¿ùº°±â¼ú  17" xfId="4657"/>
    <cellStyle name="AeE­ [0]_ ºn¸nº° ¿uº°±a¼u  17 10" xfId="4658"/>
    <cellStyle name="ÅëÈ­ [0]_ ºñ¸ñº° ¿ùº°±â¼ú  17 10" xfId="4659"/>
    <cellStyle name="AeE­ [0]_ ºn¸nº° ¿uº°±a¼u  17 11" xfId="4660"/>
    <cellStyle name="ÅëÈ­ [0]_ ºñ¸ñº° ¿ùº°±â¼ú  17 11" xfId="4661"/>
    <cellStyle name="AeE­ [0]_ ºn¸nº° ¿uº°±a¼u  17 12" xfId="4662"/>
    <cellStyle name="ÅëÈ­ [0]_ ºñ¸ñº° ¿ùº°±â¼ú  17 12" xfId="4663"/>
    <cellStyle name="AeE­ [0]_ ºn¸nº° ¿uº°±a¼u  17 13" xfId="4664"/>
    <cellStyle name="ÅëÈ­ [0]_ ºñ¸ñº° ¿ùº°±â¼ú  17 13" xfId="4665"/>
    <cellStyle name="AeE­ [0]_ ºn¸nº° ¿uº°±a¼u  17 14" xfId="4666"/>
    <cellStyle name="ÅëÈ­ [0]_ ºñ¸ñº° ¿ùº°±â¼ú  17 14" xfId="4667"/>
    <cellStyle name="AeE­ [0]_ ºn¸nº° ¿uº°±a¼u  17 15" xfId="4668"/>
    <cellStyle name="ÅëÈ­ [0]_ ºñ¸ñº° ¿ùº°±â¼ú  17 15" xfId="4669"/>
    <cellStyle name="AeE­ [0]_ ºn¸nº° ¿uº°±a¼u  17 16" xfId="4670"/>
    <cellStyle name="ÅëÈ­ [0]_ ºñ¸ñº° ¿ùº°±â¼ú  17 16" xfId="4671"/>
    <cellStyle name="AeE­ [0]_ ºn¸nº° ¿uº°±a¼u  17 17" xfId="4672"/>
    <cellStyle name="ÅëÈ­ [0]_ ºñ¸ñº° ¿ùº°±â¼ú  17 17" xfId="4673"/>
    <cellStyle name="AeE­ [0]_ ºn¸nº° ¿uº°±a¼u  17 18" xfId="4674"/>
    <cellStyle name="ÅëÈ­ [0]_ ºñ¸ñº° ¿ùº°±â¼ú  17 18" xfId="4675"/>
    <cellStyle name="AeE­ [0]_ ºn¸nº° ¿uº°±a¼u  17 19" xfId="4676"/>
    <cellStyle name="ÅëÈ­ [0]_ ºñ¸ñº° ¿ùº°±â¼ú  17 19" xfId="4677"/>
    <cellStyle name="AeE­ [0]_ ºn¸nº° ¿uº°±a¼u  17 2" xfId="4678"/>
    <cellStyle name="ÅëÈ­ [0]_ ºñ¸ñº° ¿ùº°±â¼ú  17 2" xfId="4679"/>
    <cellStyle name="AeE­ [0]_ ºn¸nº° ¿uº°±a¼u  17 20" xfId="4680"/>
    <cellStyle name="ÅëÈ­ [0]_ ºñ¸ñº° ¿ùº°±â¼ú  17 20" xfId="4681"/>
    <cellStyle name="AeE­ [0]_ ºn¸nº° ¿uº°±a¼u  17 21" xfId="4682"/>
    <cellStyle name="ÅëÈ­ [0]_ ºñ¸ñº° ¿ùº°±â¼ú  17 21" xfId="4683"/>
    <cellStyle name="AeE­ [0]_ ºn¸nº° ¿uº°±a¼u  17 22" xfId="4684"/>
    <cellStyle name="ÅëÈ­ [0]_ ºñ¸ñº° ¿ùº°±â¼ú  17 22" xfId="4685"/>
    <cellStyle name="AeE­ [0]_ ºn¸nº° ¿uº°±a¼u  17 23" xfId="4686"/>
    <cellStyle name="ÅëÈ­ [0]_ ºñ¸ñº° ¿ùº°±â¼ú  17 23" xfId="4687"/>
    <cellStyle name="AeE­ [0]_ ºn¸nº° ¿uº°±a¼u  17 24" xfId="4688"/>
    <cellStyle name="ÅëÈ­ [0]_ ºñ¸ñº° ¿ùº°±â¼ú  17 24" xfId="4689"/>
    <cellStyle name="AeE­ [0]_ ºn¸nº° ¿uº°±a¼u  17 25" xfId="4690"/>
    <cellStyle name="ÅëÈ­ [0]_ ºñ¸ñº° ¿ùº°±â¼ú  17 25" xfId="4691"/>
    <cellStyle name="AeE­ [0]_ ºn¸nº° ¿uº°±a¼u  17 26" xfId="4692"/>
    <cellStyle name="ÅëÈ­ [0]_ ºñ¸ñº° ¿ùº°±â¼ú  17 26" xfId="4693"/>
    <cellStyle name="AeE­ [0]_ ºn¸nº° ¿uº°±a¼u  17 27" xfId="4694"/>
    <cellStyle name="ÅëÈ­ [0]_ ºñ¸ñº° ¿ùº°±â¼ú  17 27" xfId="4695"/>
    <cellStyle name="AeE­ [0]_ ºn¸nº° ¿uº°±a¼u  17 28" xfId="4696"/>
    <cellStyle name="ÅëÈ­ [0]_ ºñ¸ñº° ¿ùº°±â¼ú  17 28" xfId="4697"/>
    <cellStyle name="AeE­ [0]_ ºn¸nº° ¿uº°±a¼u  17 29" xfId="4698"/>
    <cellStyle name="ÅëÈ­ [0]_ ºñ¸ñº° ¿ùº°±â¼ú  17 29" xfId="4699"/>
    <cellStyle name="AeE­ [0]_ ºn¸nº° ¿uº°±a¼u  17 3" xfId="4700"/>
    <cellStyle name="ÅëÈ­ [0]_ ºñ¸ñº° ¿ùº°±â¼ú  17 3" xfId="4701"/>
    <cellStyle name="AeE­ [0]_ ºn¸nº° ¿uº°±a¼u  17 30" xfId="4702"/>
    <cellStyle name="ÅëÈ­ [0]_ ºñ¸ñº° ¿ùº°±â¼ú  17 30" xfId="4703"/>
    <cellStyle name="AeE­ [0]_ ºn¸nº° ¿uº°±a¼u  17 31" xfId="4704"/>
    <cellStyle name="ÅëÈ­ [0]_ ºñ¸ñº° ¿ùº°±â¼ú  17 31" xfId="4705"/>
    <cellStyle name="AeE­ [0]_ ºn¸nº° ¿uº°±a¼u  17 32" xfId="4706"/>
    <cellStyle name="ÅëÈ­ [0]_ ºñ¸ñº° ¿ùº°±â¼ú  17 32" xfId="4707"/>
    <cellStyle name="AeE­ [0]_ ºn¸nº° ¿uº°±a¼u  17 33" xfId="4708"/>
    <cellStyle name="ÅëÈ­ [0]_ ºñ¸ñº° ¿ùº°±â¼ú  17 33" xfId="4709"/>
    <cellStyle name="AeE­ [0]_ ºn¸nº° ¿uº°±a¼u  17 34" xfId="4710"/>
    <cellStyle name="ÅëÈ­ [0]_ ºñ¸ñº° ¿ùº°±â¼ú  17 34" xfId="4711"/>
    <cellStyle name="AeE­ [0]_ ºn¸nº° ¿uº°±a¼u  17 4" xfId="4712"/>
    <cellStyle name="ÅëÈ­ [0]_ ºñ¸ñº° ¿ùº°±â¼ú  17 4" xfId="4713"/>
    <cellStyle name="AeE­ [0]_ ºn¸nº° ¿uº°±a¼u  17 5" xfId="4714"/>
    <cellStyle name="ÅëÈ­ [0]_ ºñ¸ñº° ¿ùº°±â¼ú  17 5" xfId="4715"/>
    <cellStyle name="AeE­ [0]_ ºn¸nº° ¿uº°±a¼u  17 6" xfId="4716"/>
    <cellStyle name="ÅëÈ­ [0]_ ºñ¸ñº° ¿ùº°±â¼ú  17 6" xfId="4717"/>
    <cellStyle name="AeE­ [0]_ ºn¸nº° ¿uº°±a¼u  17 7" xfId="4718"/>
    <cellStyle name="ÅëÈ­ [0]_ ºñ¸ñº° ¿ùº°±â¼ú  17 7" xfId="4719"/>
    <cellStyle name="AeE­ [0]_ ºn¸nº° ¿uº°±a¼u  17 8" xfId="4720"/>
    <cellStyle name="ÅëÈ­ [0]_ ºñ¸ñº° ¿ùº°±â¼ú  17 8" xfId="4721"/>
    <cellStyle name="AeE­ [0]_ ºn¸nº° ¿uº°±a¼u  17 9" xfId="4722"/>
    <cellStyle name="ÅëÈ­ [0]_ ºñ¸ñº° ¿ùº°±â¼ú  17 9" xfId="4723"/>
    <cellStyle name="AeE­ [0]_ ºn¸nº° ¿uº°±a¼u  18" xfId="4724"/>
    <cellStyle name="ÅëÈ­ [0]_ ºñ¸ñº° ¿ùº°±â¼ú  18" xfId="4725"/>
    <cellStyle name="AeE­ [0]_ ºn¸nº° ¿uº°±a¼u  18 10" xfId="4726"/>
    <cellStyle name="ÅëÈ­ [0]_ ºñ¸ñº° ¿ùº°±â¼ú  18 10" xfId="4727"/>
    <cellStyle name="AeE­ [0]_ ºn¸nº° ¿uº°±a¼u  18 11" xfId="4728"/>
    <cellStyle name="ÅëÈ­ [0]_ ºñ¸ñº° ¿ùº°±â¼ú  18 11" xfId="4729"/>
    <cellStyle name="AeE­ [0]_ ºn¸nº° ¿uº°±a¼u  18 12" xfId="4730"/>
    <cellStyle name="ÅëÈ­ [0]_ ºñ¸ñº° ¿ùº°±â¼ú  18 12" xfId="4731"/>
    <cellStyle name="AeE­ [0]_ ºn¸nº° ¿uº°±a¼u  18 13" xfId="4732"/>
    <cellStyle name="ÅëÈ­ [0]_ ºñ¸ñº° ¿ùº°±â¼ú  18 13" xfId="4733"/>
    <cellStyle name="AeE­ [0]_ ºn¸nº° ¿uº°±a¼u  18 14" xfId="4734"/>
    <cellStyle name="ÅëÈ­ [0]_ ºñ¸ñº° ¿ùº°±â¼ú  18 14" xfId="4735"/>
    <cellStyle name="AeE­ [0]_ ºn¸nº° ¿uº°±a¼u  18 15" xfId="4736"/>
    <cellStyle name="ÅëÈ­ [0]_ ºñ¸ñº° ¿ùº°±â¼ú  18 15" xfId="4737"/>
    <cellStyle name="AeE­ [0]_ ºn¸nº° ¿uº°±a¼u  18 16" xfId="4738"/>
    <cellStyle name="ÅëÈ­ [0]_ ºñ¸ñº° ¿ùº°±â¼ú  18 16" xfId="4739"/>
    <cellStyle name="AeE­ [0]_ ºn¸nº° ¿uº°±a¼u  18 17" xfId="4740"/>
    <cellStyle name="ÅëÈ­ [0]_ ºñ¸ñº° ¿ùº°±â¼ú  18 17" xfId="4741"/>
    <cellStyle name="AeE­ [0]_ ºn¸nº° ¿uº°±a¼u  18 18" xfId="4742"/>
    <cellStyle name="ÅëÈ­ [0]_ ºñ¸ñº° ¿ùº°±â¼ú  18 18" xfId="4743"/>
    <cellStyle name="AeE­ [0]_ ºn¸nº° ¿uº°±a¼u  18 19" xfId="4744"/>
    <cellStyle name="ÅëÈ­ [0]_ ºñ¸ñº° ¿ùº°±â¼ú  18 19" xfId="4745"/>
    <cellStyle name="AeE­ [0]_ ºn¸nº° ¿uº°±a¼u  18 2" xfId="4746"/>
    <cellStyle name="ÅëÈ­ [0]_ ºñ¸ñº° ¿ùº°±â¼ú  18 2" xfId="4747"/>
    <cellStyle name="AeE­ [0]_ ºn¸nº° ¿uº°±a¼u  18 20" xfId="4748"/>
    <cellStyle name="ÅëÈ­ [0]_ ºñ¸ñº° ¿ùº°±â¼ú  18 20" xfId="4749"/>
    <cellStyle name="AeE­ [0]_ ºn¸nº° ¿uº°±a¼u  18 21" xfId="4750"/>
    <cellStyle name="ÅëÈ­ [0]_ ºñ¸ñº° ¿ùº°±â¼ú  18 21" xfId="4751"/>
    <cellStyle name="AeE­ [0]_ ºn¸nº° ¿uº°±a¼u  18 22" xfId="4752"/>
    <cellStyle name="ÅëÈ­ [0]_ ºñ¸ñº° ¿ùº°±â¼ú  18 22" xfId="4753"/>
    <cellStyle name="AeE­ [0]_ ºn¸nº° ¿uº°±a¼u  18 23" xfId="4754"/>
    <cellStyle name="ÅëÈ­ [0]_ ºñ¸ñº° ¿ùº°±â¼ú  18 23" xfId="4755"/>
    <cellStyle name="AeE­ [0]_ ºn¸nº° ¿uº°±a¼u  18 24" xfId="4756"/>
    <cellStyle name="ÅëÈ­ [0]_ ºñ¸ñº° ¿ùº°±â¼ú  18 24" xfId="4757"/>
    <cellStyle name="AeE­ [0]_ ºn¸nº° ¿uº°±a¼u  18 25" xfId="4758"/>
    <cellStyle name="ÅëÈ­ [0]_ ºñ¸ñº° ¿ùº°±â¼ú  18 25" xfId="4759"/>
    <cellStyle name="AeE­ [0]_ ºn¸nº° ¿uº°±a¼u  18 26" xfId="4760"/>
    <cellStyle name="ÅëÈ­ [0]_ ºñ¸ñº° ¿ùº°±â¼ú  18 26" xfId="4761"/>
    <cellStyle name="AeE­ [0]_ ºn¸nº° ¿uº°±a¼u  18 27" xfId="4762"/>
    <cellStyle name="ÅëÈ­ [0]_ ºñ¸ñº° ¿ùº°±â¼ú  18 27" xfId="4763"/>
    <cellStyle name="AeE­ [0]_ ºn¸nº° ¿uº°±a¼u  18 28" xfId="4764"/>
    <cellStyle name="ÅëÈ­ [0]_ ºñ¸ñº° ¿ùº°±â¼ú  18 28" xfId="4765"/>
    <cellStyle name="AeE­ [0]_ ºn¸nº° ¿uº°±a¼u  18 29" xfId="4766"/>
    <cellStyle name="ÅëÈ­ [0]_ ºñ¸ñº° ¿ùº°±â¼ú  18 29" xfId="4767"/>
    <cellStyle name="AeE­ [0]_ ºn¸nº° ¿uº°±a¼u  18 3" xfId="4768"/>
    <cellStyle name="ÅëÈ­ [0]_ ºñ¸ñº° ¿ùº°±â¼ú  18 3" xfId="4769"/>
    <cellStyle name="AeE­ [0]_ ºn¸nº° ¿uº°±a¼u  18 30" xfId="4770"/>
    <cellStyle name="ÅëÈ­ [0]_ ºñ¸ñº° ¿ùº°±â¼ú  18 30" xfId="4771"/>
    <cellStyle name="AeE­ [0]_ ºn¸nº° ¿uº°±a¼u  18 31" xfId="4772"/>
    <cellStyle name="ÅëÈ­ [0]_ ºñ¸ñº° ¿ùº°±â¼ú  18 31" xfId="4773"/>
    <cellStyle name="AeE­ [0]_ ºn¸nº° ¿uº°±a¼u  18 32" xfId="4774"/>
    <cellStyle name="ÅëÈ­ [0]_ ºñ¸ñº° ¿ùº°±â¼ú  18 32" xfId="4775"/>
    <cellStyle name="AeE­ [0]_ ºn¸nº° ¿uº°±a¼u  18 33" xfId="4776"/>
    <cellStyle name="ÅëÈ­ [0]_ ºñ¸ñº° ¿ùº°±â¼ú  18 33" xfId="4777"/>
    <cellStyle name="AeE­ [0]_ ºn¸nº° ¿uº°±a¼u  18 34" xfId="4778"/>
    <cellStyle name="ÅëÈ­ [0]_ ºñ¸ñº° ¿ùº°±â¼ú  18 34" xfId="4779"/>
    <cellStyle name="AeE­ [0]_ ºn¸nº° ¿uº°±a¼u  18 4" xfId="4780"/>
    <cellStyle name="ÅëÈ­ [0]_ ºñ¸ñº° ¿ùº°±â¼ú  18 4" xfId="4781"/>
    <cellStyle name="AeE­ [0]_ ºn¸nº° ¿uº°±a¼u  18 5" xfId="4782"/>
    <cellStyle name="ÅëÈ­ [0]_ ºñ¸ñº° ¿ùº°±â¼ú  18 5" xfId="4783"/>
    <cellStyle name="AeE­ [0]_ ºn¸nº° ¿uº°±a¼u  18 6" xfId="4784"/>
    <cellStyle name="ÅëÈ­ [0]_ ºñ¸ñº° ¿ùº°±â¼ú  18 6" xfId="4785"/>
    <cellStyle name="AeE­ [0]_ ºn¸nº° ¿uº°±a¼u  18 7" xfId="4786"/>
    <cellStyle name="ÅëÈ­ [0]_ ºñ¸ñº° ¿ùº°±â¼ú  18 7" xfId="4787"/>
    <cellStyle name="AeE­ [0]_ ºn¸nº° ¿uº°±a¼u  18 8" xfId="4788"/>
    <cellStyle name="ÅëÈ­ [0]_ ºñ¸ñº° ¿ùº°±â¼ú  18 8" xfId="4789"/>
    <cellStyle name="AeE­ [0]_ ºn¸nº° ¿uº°±a¼u  18 9" xfId="4790"/>
    <cellStyle name="ÅëÈ­ [0]_ ºñ¸ñº° ¿ùº°±â¼ú  18 9" xfId="4791"/>
    <cellStyle name="AeE­ [0]_ ºn¸nº° ¿uº°±a¼u  19" xfId="4792"/>
    <cellStyle name="ÅëÈ­ [0]_ ºñ¸ñº° ¿ùº°±â¼ú  19" xfId="4793"/>
    <cellStyle name="AeE­ [0]_ ºn¸nº° ¿uº°±a¼u  19 10" xfId="4794"/>
    <cellStyle name="ÅëÈ­ [0]_ ºñ¸ñº° ¿ùº°±â¼ú  19 10" xfId="4795"/>
    <cellStyle name="AeE­ [0]_ ºn¸nº° ¿uº°±a¼u  19 11" xfId="4796"/>
    <cellStyle name="ÅëÈ­ [0]_ ºñ¸ñº° ¿ùº°±â¼ú  19 11" xfId="4797"/>
    <cellStyle name="AeE­ [0]_ ºn¸nº° ¿uº°±a¼u  19 12" xfId="4798"/>
    <cellStyle name="ÅëÈ­ [0]_ ºñ¸ñº° ¿ùº°±â¼ú  19 12" xfId="4799"/>
    <cellStyle name="AeE­ [0]_ ºn¸nº° ¿uº°±a¼u  19 13" xfId="4800"/>
    <cellStyle name="ÅëÈ­ [0]_ ºñ¸ñº° ¿ùº°±â¼ú  19 13" xfId="4801"/>
    <cellStyle name="AeE­ [0]_ ºn¸nº° ¿uº°±a¼u  19 14" xfId="4802"/>
    <cellStyle name="ÅëÈ­ [0]_ ºñ¸ñº° ¿ùº°±â¼ú  19 14" xfId="4803"/>
    <cellStyle name="AeE­ [0]_ ºn¸nº° ¿uº°±a¼u  19 15" xfId="4804"/>
    <cellStyle name="ÅëÈ­ [0]_ ºñ¸ñº° ¿ùº°±â¼ú  19 15" xfId="4805"/>
    <cellStyle name="AeE­ [0]_ ºn¸nº° ¿uº°±a¼u  19 16" xfId="4806"/>
    <cellStyle name="ÅëÈ­ [0]_ ºñ¸ñº° ¿ùº°±â¼ú  19 16" xfId="4807"/>
    <cellStyle name="AeE­ [0]_ ºn¸nº° ¿uº°±a¼u  19 17" xfId="4808"/>
    <cellStyle name="ÅëÈ­ [0]_ ºñ¸ñº° ¿ùº°±â¼ú  19 17" xfId="4809"/>
    <cellStyle name="AeE­ [0]_ ºn¸nº° ¿uº°±a¼u  19 18" xfId="4810"/>
    <cellStyle name="ÅëÈ­ [0]_ ºñ¸ñº° ¿ùº°±â¼ú  19 18" xfId="4811"/>
    <cellStyle name="AeE­ [0]_ ºn¸nº° ¿uº°±a¼u  19 19" xfId="4812"/>
    <cellStyle name="ÅëÈ­ [0]_ ºñ¸ñº° ¿ùº°±â¼ú  19 19" xfId="4813"/>
    <cellStyle name="AeE­ [0]_ ºn¸nº° ¿uº°±a¼u  19 2" xfId="4814"/>
    <cellStyle name="ÅëÈ­ [0]_ ºñ¸ñº° ¿ùº°±â¼ú  19 2" xfId="4815"/>
    <cellStyle name="AeE­ [0]_ ºn¸nº° ¿uº°±a¼u  19 20" xfId="4816"/>
    <cellStyle name="ÅëÈ­ [0]_ ºñ¸ñº° ¿ùº°±â¼ú  19 20" xfId="4817"/>
    <cellStyle name="AeE­ [0]_ ºn¸nº° ¿uº°±a¼u  19 21" xfId="4818"/>
    <cellStyle name="ÅëÈ­ [0]_ ºñ¸ñº° ¿ùº°±â¼ú  19 21" xfId="4819"/>
    <cellStyle name="AeE­ [0]_ ºn¸nº° ¿uº°±a¼u  19 22" xfId="4820"/>
    <cellStyle name="ÅëÈ­ [0]_ ºñ¸ñº° ¿ùº°±â¼ú  19 22" xfId="4821"/>
    <cellStyle name="AeE­ [0]_ ºn¸nº° ¿uº°±a¼u  19 23" xfId="4822"/>
    <cellStyle name="ÅëÈ­ [0]_ ºñ¸ñº° ¿ùº°±â¼ú  19 23" xfId="4823"/>
    <cellStyle name="AeE­ [0]_ ºn¸nº° ¿uº°±a¼u  19 24" xfId="4824"/>
    <cellStyle name="ÅëÈ­ [0]_ ºñ¸ñº° ¿ùº°±â¼ú  19 24" xfId="4825"/>
    <cellStyle name="AeE­ [0]_ ºn¸nº° ¿uº°±a¼u  19 25" xfId="4826"/>
    <cellStyle name="ÅëÈ­ [0]_ ºñ¸ñº° ¿ùº°±â¼ú  19 25" xfId="4827"/>
    <cellStyle name="AeE­ [0]_ ºn¸nº° ¿uº°±a¼u  19 26" xfId="4828"/>
    <cellStyle name="ÅëÈ­ [0]_ ºñ¸ñº° ¿ùº°±â¼ú  19 26" xfId="4829"/>
    <cellStyle name="AeE­ [0]_ ºn¸nº° ¿uº°±a¼u  19 27" xfId="4830"/>
    <cellStyle name="ÅëÈ­ [0]_ ºñ¸ñº° ¿ùº°±â¼ú  19 27" xfId="4831"/>
    <cellStyle name="AeE­ [0]_ ºn¸nº° ¿uº°±a¼u  19 28" xfId="4832"/>
    <cellStyle name="ÅëÈ­ [0]_ ºñ¸ñº° ¿ùº°±â¼ú  19 28" xfId="4833"/>
    <cellStyle name="AeE­ [0]_ ºn¸nº° ¿uº°±a¼u  19 29" xfId="4834"/>
    <cellStyle name="ÅëÈ­ [0]_ ºñ¸ñº° ¿ùº°±â¼ú  19 29" xfId="4835"/>
    <cellStyle name="AeE­ [0]_ ºn¸nº° ¿uº°±a¼u  19 3" xfId="4836"/>
    <cellStyle name="ÅëÈ­ [0]_ ºñ¸ñº° ¿ùº°±â¼ú  19 3" xfId="4837"/>
    <cellStyle name="AeE­ [0]_ ºn¸nº° ¿uº°±a¼u  19 30" xfId="4838"/>
    <cellStyle name="ÅëÈ­ [0]_ ºñ¸ñº° ¿ùº°±â¼ú  19 30" xfId="4839"/>
    <cellStyle name="AeE­ [0]_ ºn¸nº° ¿uº°±a¼u  19 31" xfId="4840"/>
    <cellStyle name="ÅëÈ­ [0]_ ºñ¸ñº° ¿ùº°±â¼ú  19 31" xfId="4841"/>
    <cellStyle name="AeE­ [0]_ ºn¸nº° ¿uº°±a¼u  19 32" xfId="4842"/>
    <cellStyle name="ÅëÈ­ [0]_ ºñ¸ñº° ¿ùº°±â¼ú  19 32" xfId="4843"/>
    <cellStyle name="AeE­ [0]_ ºn¸nº° ¿uº°±a¼u  19 33" xfId="4844"/>
    <cellStyle name="ÅëÈ­ [0]_ ºñ¸ñº° ¿ùº°±â¼ú  19 33" xfId="4845"/>
    <cellStyle name="AeE­ [0]_ ºn¸nº° ¿uº°±a¼u  19 34" xfId="4846"/>
    <cellStyle name="ÅëÈ­ [0]_ ºñ¸ñº° ¿ùº°±â¼ú  19 34" xfId="4847"/>
    <cellStyle name="AeE­ [0]_ ºn¸nº° ¿uº°±a¼u  19 4" xfId="4848"/>
    <cellStyle name="ÅëÈ­ [0]_ ºñ¸ñº° ¿ùº°±â¼ú  19 4" xfId="4849"/>
    <cellStyle name="AeE­ [0]_ ºn¸nº° ¿uº°±a¼u  19 5" xfId="4850"/>
    <cellStyle name="ÅëÈ­ [0]_ ºñ¸ñº° ¿ùº°±â¼ú  19 5" xfId="4851"/>
    <cellStyle name="AeE­ [0]_ ºn¸nº° ¿uº°±a¼u  19 6" xfId="4852"/>
    <cellStyle name="ÅëÈ­ [0]_ ºñ¸ñº° ¿ùº°±â¼ú  19 6" xfId="4853"/>
    <cellStyle name="AeE­ [0]_ ºn¸nº° ¿uº°±a¼u  19 7" xfId="4854"/>
    <cellStyle name="ÅëÈ­ [0]_ ºñ¸ñº° ¿ùº°±â¼ú  19 7" xfId="4855"/>
    <cellStyle name="AeE­ [0]_ ºn¸nº° ¿uº°±a¼u  19 8" xfId="4856"/>
    <cellStyle name="ÅëÈ­ [0]_ ºñ¸ñº° ¿ùº°±â¼ú  19 8" xfId="4857"/>
    <cellStyle name="AeE­ [0]_ ºn¸nº° ¿uº°±a¼u  19 9" xfId="4858"/>
    <cellStyle name="ÅëÈ­ [0]_ ºñ¸ñº° ¿ùº°±â¼ú  19 9" xfId="4859"/>
    <cellStyle name="AeE­ [0]_ ºn¸nº° ¿uº°±a¼u  2" xfId="4860"/>
    <cellStyle name="ÅëÈ­ [0]_ ºñ¸ñº° ¿ùº°±â¼ú  2" xfId="4861"/>
    <cellStyle name="AeE­ [0]_ ºn¸nº° ¿uº°±a¼u  2 10" xfId="4862"/>
    <cellStyle name="ÅëÈ­ [0]_ ºñ¸ñº° ¿ùº°±â¼ú  2 10" xfId="4863"/>
    <cellStyle name="AeE­ [0]_ ºn¸nº° ¿uº°±a¼u  2 11" xfId="4864"/>
    <cellStyle name="ÅëÈ­ [0]_ ºñ¸ñº° ¿ùº°±â¼ú  2 11" xfId="4865"/>
    <cellStyle name="AeE­ [0]_ ºn¸nº° ¿uº°±a¼u  2 12" xfId="4866"/>
    <cellStyle name="ÅëÈ­ [0]_ ºñ¸ñº° ¿ùº°±â¼ú  2 12" xfId="4867"/>
    <cellStyle name="AeE­ [0]_ ºn¸nº° ¿uº°±a¼u  2 13" xfId="4868"/>
    <cellStyle name="ÅëÈ­ [0]_ ºñ¸ñº° ¿ùº°±â¼ú  2 13" xfId="4869"/>
    <cellStyle name="AeE­ [0]_ ºn¸nº° ¿uº°±a¼u  2 14" xfId="4870"/>
    <cellStyle name="ÅëÈ­ [0]_ ºñ¸ñº° ¿ùº°±â¼ú  2 14" xfId="4871"/>
    <cellStyle name="AeE­ [0]_ ºn¸nº° ¿uº°±a¼u  2 15" xfId="4872"/>
    <cellStyle name="ÅëÈ­ [0]_ ºñ¸ñº° ¿ùº°±â¼ú  2 15" xfId="4873"/>
    <cellStyle name="AeE­ [0]_ ºn¸nº° ¿uº°±a¼u  2 16" xfId="4874"/>
    <cellStyle name="ÅëÈ­ [0]_ ºñ¸ñº° ¿ùº°±â¼ú  2 16" xfId="4875"/>
    <cellStyle name="AeE­ [0]_ ºn¸nº° ¿uº°±a¼u  2 17" xfId="4876"/>
    <cellStyle name="ÅëÈ­ [0]_ ºñ¸ñº° ¿ùº°±â¼ú  2 17" xfId="4877"/>
    <cellStyle name="AeE­ [0]_ ºn¸nº° ¿uº°±a¼u  2 18" xfId="4878"/>
    <cellStyle name="ÅëÈ­ [0]_ ºñ¸ñº° ¿ùº°±â¼ú  2 18" xfId="4879"/>
    <cellStyle name="AeE­ [0]_ ºn¸nº° ¿uº°±a¼u  2 19" xfId="4880"/>
    <cellStyle name="ÅëÈ­ [0]_ ºñ¸ñº° ¿ùº°±â¼ú  2 19" xfId="4881"/>
    <cellStyle name="AeE­ [0]_ ºn¸nº° ¿uº°±a¼u  2 2" xfId="4882"/>
    <cellStyle name="ÅëÈ­ [0]_ ºñ¸ñº° ¿ùº°±â¼ú  2 2" xfId="4883"/>
    <cellStyle name="AeE­ [0]_ ºn¸nº° ¿uº°±a¼u  2 20" xfId="4884"/>
    <cellStyle name="ÅëÈ­ [0]_ ºñ¸ñº° ¿ùº°±â¼ú  2 20" xfId="4885"/>
    <cellStyle name="AeE­ [0]_ ºn¸nº° ¿uº°±a¼u  2 21" xfId="4886"/>
    <cellStyle name="ÅëÈ­ [0]_ ºñ¸ñº° ¿ùº°±â¼ú  2 21" xfId="4887"/>
    <cellStyle name="AeE­ [0]_ ºn¸nº° ¿uº°±a¼u  2 22" xfId="4888"/>
    <cellStyle name="ÅëÈ­ [0]_ ºñ¸ñº° ¿ùº°±â¼ú  2 22" xfId="4889"/>
    <cellStyle name="AeE­ [0]_ ºn¸nº° ¿uº°±a¼u  2 23" xfId="4890"/>
    <cellStyle name="ÅëÈ­ [0]_ ºñ¸ñº° ¿ùº°±â¼ú  2 23" xfId="4891"/>
    <cellStyle name="AeE­ [0]_ ºn¸nº° ¿uº°±a¼u  2 24" xfId="4892"/>
    <cellStyle name="ÅëÈ­ [0]_ ºñ¸ñº° ¿ùº°±â¼ú  2 24" xfId="4893"/>
    <cellStyle name="AeE­ [0]_ ºn¸nº° ¿uº°±a¼u  2 25" xfId="4894"/>
    <cellStyle name="ÅëÈ­ [0]_ ºñ¸ñº° ¿ùº°±â¼ú  2 25" xfId="4895"/>
    <cellStyle name="AeE­ [0]_ ºn¸nº° ¿uº°±a¼u  2 26" xfId="4896"/>
    <cellStyle name="ÅëÈ­ [0]_ ºñ¸ñº° ¿ùº°±â¼ú  2 26" xfId="4897"/>
    <cellStyle name="AeE­ [0]_ ºn¸nº° ¿uº°±a¼u  2 27" xfId="4898"/>
    <cellStyle name="ÅëÈ­ [0]_ ºñ¸ñº° ¿ùº°±â¼ú  2 27" xfId="4899"/>
    <cellStyle name="AeE­ [0]_ ºn¸nº° ¿uº°±a¼u  2 28" xfId="4900"/>
    <cellStyle name="ÅëÈ­ [0]_ ºñ¸ñº° ¿ùº°±â¼ú  2 28" xfId="4901"/>
    <cellStyle name="AeE­ [0]_ ºn¸nº° ¿uº°±a¼u  2 29" xfId="4902"/>
    <cellStyle name="ÅëÈ­ [0]_ ºñ¸ñº° ¿ùº°±â¼ú  2 29" xfId="4903"/>
    <cellStyle name="AeE­ [0]_ ºn¸nº° ¿uº°±a¼u  2 3" xfId="4904"/>
    <cellStyle name="ÅëÈ­ [0]_ ºñ¸ñº° ¿ùº°±â¼ú  2 3" xfId="4905"/>
    <cellStyle name="AeE­ [0]_ ºn¸nº° ¿uº°±a¼u  2 30" xfId="4906"/>
    <cellStyle name="ÅëÈ­ [0]_ ºñ¸ñº° ¿ùº°±â¼ú  2 30" xfId="4907"/>
    <cellStyle name="AeE­ [0]_ ºn¸nº° ¿uº°±a¼u  2 31" xfId="4908"/>
    <cellStyle name="ÅëÈ­ [0]_ ºñ¸ñº° ¿ùº°±â¼ú  2 31" xfId="4909"/>
    <cellStyle name="AeE­ [0]_ ºn¸nº° ¿uº°±a¼u  2 32" xfId="4910"/>
    <cellStyle name="ÅëÈ­ [0]_ ºñ¸ñº° ¿ùº°±â¼ú  2 32" xfId="4911"/>
    <cellStyle name="AeE­ [0]_ ºn¸nº° ¿uº°±a¼u  2 33" xfId="4912"/>
    <cellStyle name="ÅëÈ­ [0]_ ºñ¸ñº° ¿ùº°±â¼ú  2 33" xfId="4913"/>
    <cellStyle name="AeE­ [0]_ ºn¸nº° ¿uº°±a¼u  2 34" xfId="4914"/>
    <cellStyle name="ÅëÈ­ [0]_ ºñ¸ñº° ¿ùº°±â¼ú  2 34" xfId="4915"/>
    <cellStyle name="AeE­ [0]_ ºn¸nº° ¿uº°±a¼u  2 4" xfId="4916"/>
    <cellStyle name="ÅëÈ­ [0]_ ºñ¸ñº° ¿ùº°±â¼ú  2 4" xfId="4917"/>
    <cellStyle name="AeE­ [0]_ ºn¸nº° ¿uº°±a¼u  2 5" xfId="4918"/>
    <cellStyle name="ÅëÈ­ [0]_ ºñ¸ñº° ¿ùº°±â¼ú  2 5" xfId="4919"/>
    <cellStyle name="AeE­ [0]_ ºn¸nº° ¿uº°±a¼u  2 6" xfId="4920"/>
    <cellStyle name="ÅëÈ­ [0]_ ºñ¸ñº° ¿ùº°±â¼ú  2 6" xfId="4921"/>
    <cellStyle name="AeE­ [0]_ ºn¸nº° ¿uº°±a¼u  2 7" xfId="4922"/>
    <cellStyle name="ÅëÈ­ [0]_ ºñ¸ñº° ¿ùº°±â¼ú  2 7" xfId="4923"/>
    <cellStyle name="AeE­ [0]_ ºn¸nº° ¿uº°±a¼u  2 8" xfId="4924"/>
    <cellStyle name="ÅëÈ­ [0]_ ºñ¸ñº° ¿ùº°±â¼ú  2 8" xfId="4925"/>
    <cellStyle name="AeE­ [0]_ ºn¸nº° ¿uº°±a¼u  2 9" xfId="4926"/>
    <cellStyle name="ÅëÈ­ [0]_ ºñ¸ñº° ¿ùº°±â¼ú  2 9" xfId="4927"/>
    <cellStyle name="AeE­ [0]_ ºn¸nº° ¿uº°±a¼u  20" xfId="4928"/>
    <cellStyle name="ÅëÈ­ [0]_ ºñ¸ñº° ¿ùº°±â¼ú  20" xfId="4929"/>
    <cellStyle name="AeE­ [0]_ ºn¸nº° ¿uº°±a¼u  20 10" xfId="4930"/>
    <cellStyle name="ÅëÈ­ [0]_ ºñ¸ñº° ¿ùº°±â¼ú  20 10" xfId="4931"/>
    <cellStyle name="AeE­ [0]_ ºn¸nº° ¿uº°±a¼u  20 11" xfId="4932"/>
    <cellStyle name="ÅëÈ­ [0]_ ºñ¸ñº° ¿ùº°±â¼ú  20 11" xfId="4933"/>
    <cellStyle name="AeE­ [0]_ ºn¸nº° ¿uº°±a¼u  20 12" xfId="4934"/>
    <cellStyle name="ÅëÈ­ [0]_ ºñ¸ñº° ¿ùº°±â¼ú  20 12" xfId="4935"/>
    <cellStyle name="AeE­ [0]_ ºn¸nº° ¿uº°±a¼u  20 13" xfId="4936"/>
    <cellStyle name="ÅëÈ­ [0]_ ºñ¸ñº° ¿ùº°±â¼ú  20 13" xfId="4937"/>
    <cellStyle name="AeE­ [0]_ ºn¸nº° ¿uº°±a¼u  20 14" xfId="4938"/>
    <cellStyle name="ÅëÈ­ [0]_ ºñ¸ñº° ¿ùº°±â¼ú  20 14" xfId="4939"/>
    <cellStyle name="AeE­ [0]_ ºn¸nº° ¿uº°±a¼u  20 15" xfId="4940"/>
    <cellStyle name="ÅëÈ­ [0]_ ºñ¸ñº° ¿ùº°±â¼ú  20 15" xfId="4941"/>
    <cellStyle name="AeE­ [0]_ ºn¸nº° ¿uº°±a¼u  20 16" xfId="4942"/>
    <cellStyle name="ÅëÈ­ [0]_ ºñ¸ñº° ¿ùº°±â¼ú  20 16" xfId="4943"/>
    <cellStyle name="AeE­ [0]_ ºn¸nº° ¿uº°±a¼u  20 17" xfId="4944"/>
    <cellStyle name="ÅëÈ­ [0]_ ºñ¸ñº° ¿ùº°±â¼ú  20 17" xfId="4945"/>
    <cellStyle name="AeE­ [0]_ ºn¸nº° ¿uº°±a¼u  20 18" xfId="4946"/>
    <cellStyle name="ÅëÈ­ [0]_ ºñ¸ñº° ¿ùº°±â¼ú  20 18" xfId="4947"/>
    <cellStyle name="AeE­ [0]_ ºn¸nº° ¿uº°±a¼u  20 19" xfId="4948"/>
    <cellStyle name="ÅëÈ­ [0]_ ºñ¸ñº° ¿ùº°±â¼ú  20 19" xfId="4949"/>
    <cellStyle name="AeE­ [0]_ ºn¸nº° ¿uº°±a¼u  20 2" xfId="4950"/>
    <cellStyle name="ÅëÈ­ [0]_ ºñ¸ñº° ¿ùº°±â¼ú  20 2" xfId="4951"/>
    <cellStyle name="AeE­ [0]_ ºn¸nº° ¿uº°±a¼u  20 20" xfId="4952"/>
    <cellStyle name="ÅëÈ­ [0]_ ºñ¸ñº° ¿ùº°±â¼ú  20 20" xfId="4953"/>
    <cellStyle name="AeE­ [0]_ ºn¸nº° ¿uº°±a¼u  20 21" xfId="4954"/>
    <cellStyle name="ÅëÈ­ [0]_ ºñ¸ñº° ¿ùº°±â¼ú  20 21" xfId="4955"/>
    <cellStyle name="AeE­ [0]_ ºn¸nº° ¿uº°±a¼u  20 22" xfId="4956"/>
    <cellStyle name="ÅëÈ­ [0]_ ºñ¸ñº° ¿ùº°±â¼ú  20 22" xfId="4957"/>
    <cellStyle name="AeE­ [0]_ ºn¸nº° ¿uº°±a¼u  20 23" xfId="4958"/>
    <cellStyle name="ÅëÈ­ [0]_ ºñ¸ñº° ¿ùº°±â¼ú  20 23" xfId="4959"/>
    <cellStyle name="AeE­ [0]_ ºn¸nº° ¿uº°±a¼u  20 24" xfId="4960"/>
    <cellStyle name="ÅëÈ­ [0]_ ºñ¸ñº° ¿ùº°±â¼ú  20 24" xfId="4961"/>
    <cellStyle name="AeE­ [0]_ ºn¸nº° ¿uº°±a¼u  20 25" xfId="4962"/>
    <cellStyle name="ÅëÈ­ [0]_ ºñ¸ñº° ¿ùº°±â¼ú  20 25" xfId="4963"/>
    <cellStyle name="AeE­ [0]_ ºn¸nº° ¿uº°±a¼u  20 26" xfId="4964"/>
    <cellStyle name="ÅëÈ­ [0]_ ºñ¸ñº° ¿ùº°±â¼ú  20 26" xfId="4965"/>
    <cellStyle name="AeE­ [0]_ ºn¸nº° ¿uº°±a¼u  20 27" xfId="4966"/>
    <cellStyle name="ÅëÈ­ [0]_ ºñ¸ñº° ¿ùº°±â¼ú  20 27" xfId="4967"/>
    <cellStyle name="AeE­ [0]_ ºn¸nº° ¿uº°±a¼u  20 28" xfId="4968"/>
    <cellStyle name="ÅëÈ­ [0]_ ºñ¸ñº° ¿ùº°±â¼ú  20 28" xfId="4969"/>
    <cellStyle name="AeE­ [0]_ ºn¸nº° ¿uº°±a¼u  20 29" xfId="4970"/>
    <cellStyle name="ÅëÈ­ [0]_ ºñ¸ñº° ¿ùº°±â¼ú  20 29" xfId="4971"/>
    <cellStyle name="AeE­ [0]_ ºn¸nº° ¿uº°±a¼u  20 3" xfId="4972"/>
    <cellStyle name="ÅëÈ­ [0]_ ºñ¸ñº° ¿ùº°±â¼ú  20 3" xfId="4973"/>
    <cellStyle name="AeE­ [0]_ ºn¸nº° ¿uº°±a¼u  20 30" xfId="4974"/>
    <cellStyle name="ÅëÈ­ [0]_ ºñ¸ñº° ¿ùº°±â¼ú  20 30" xfId="4975"/>
    <cellStyle name="AeE­ [0]_ ºn¸nº° ¿uº°±a¼u  20 31" xfId="4976"/>
    <cellStyle name="ÅëÈ­ [0]_ ºñ¸ñº° ¿ùº°±â¼ú  20 31" xfId="4977"/>
    <cellStyle name="AeE­ [0]_ ºn¸nº° ¿uº°±a¼u  20 32" xfId="4978"/>
    <cellStyle name="ÅëÈ­ [0]_ ºñ¸ñº° ¿ùº°±â¼ú  20 32" xfId="4979"/>
    <cellStyle name="AeE­ [0]_ ºn¸nº° ¿uº°±a¼u  20 33" xfId="4980"/>
    <cellStyle name="ÅëÈ­ [0]_ ºñ¸ñº° ¿ùº°±â¼ú  20 33" xfId="4981"/>
    <cellStyle name="AeE­ [0]_ ºn¸nº° ¿uº°±a¼u  20 34" xfId="4982"/>
    <cellStyle name="ÅëÈ­ [0]_ ºñ¸ñº° ¿ùº°±â¼ú  20 34" xfId="4983"/>
    <cellStyle name="AeE­ [0]_ ºn¸nº° ¿uº°±a¼u  20 4" xfId="4984"/>
    <cellStyle name="ÅëÈ­ [0]_ ºñ¸ñº° ¿ùº°±â¼ú  20 4" xfId="4985"/>
    <cellStyle name="AeE­ [0]_ ºn¸nº° ¿uº°±a¼u  20 5" xfId="4986"/>
    <cellStyle name="ÅëÈ­ [0]_ ºñ¸ñº° ¿ùº°±â¼ú  20 5" xfId="4987"/>
    <cellStyle name="AeE­ [0]_ ºn¸nº° ¿uº°±a¼u  20 6" xfId="4988"/>
    <cellStyle name="ÅëÈ­ [0]_ ºñ¸ñº° ¿ùº°±â¼ú  20 6" xfId="4989"/>
    <cellStyle name="AeE­ [0]_ ºn¸nº° ¿uº°±a¼u  20 7" xfId="4990"/>
    <cellStyle name="ÅëÈ­ [0]_ ºñ¸ñº° ¿ùº°±â¼ú  20 7" xfId="4991"/>
    <cellStyle name="AeE­ [0]_ ºn¸nº° ¿uº°±a¼u  20 8" xfId="4992"/>
    <cellStyle name="ÅëÈ­ [0]_ ºñ¸ñº° ¿ùº°±â¼ú  20 8" xfId="4993"/>
    <cellStyle name="AeE­ [0]_ ºn¸nº° ¿uº°±a¼u  20 9" xfId="4994"/>
    <cellStyle name="ÅëÈ­ [0]_ ºñ¸ñº° ¿ùº°±â¼ú  20 9" xfId="4995"/>
    <cellStyle name="AeE­ [0]_ ºn¸nº° ¿uº°±a¼u  21" xfId="4996"/>
    <cellStyle name="ÅëÈ­ [0]_ ºñ¸ñº° ¿ùº°±â¼ú  21" xfId="4997"/>
    <cellStyle name="AeE­ [0]_ ºn¸nº° ¿uº°±a¼u  21 10" xfId="4998"/>
    <cellStyle name="ÅëÈ­ [0]_ ºñ¸ñº° ¿ùº°±â¼ú  21 10" xfId="4999"/>
    <cellStyle name="AeE­ [0]_ ºn¸nº° ¿uº°±a¼u  21 11" xfId="5000"/>
    <cellStyle name="ÅëÈ­ [0]_ ºñ¸ñº° ¿ùº°±â¼ú  21 11" xfId="5001"/>
    <cellStyle name="AeE­ [0]_ ºn¸nº° ¿uº°±a¼u  21 12" xfId="5002"/>
    <cellStyle name="ÅëÈ­ [0]_ ºñ¸ñº° ¿ùº°±â¼ú  21 12" xfId="5003"/>
    <cellStyle name="AeE­ [0]_ ºn¸nº° ¿uº°±a¼u  21 13" xfId="5004"/>
    <cellStyle name="ÅëÈ­ [0]_ ºñ¸ñº° ¿ùº°±â¼ú  21 13" xfId="5005"/>
    <cellStyle name="AeE­ [0]_ ºn¸nº° ¿uº°±a¼u  21 14" xfId="5006"/>
    <cellStyle name="ÅëÈ­ [0]_ ºñ¸ñº° ¿ùº°±â¼ú  21 14" xfId="5007"/>
    <cellStyle name="AeE­ [0]_ ºn¸nº° ¿uº°±a¼u  21 15" xfId="5008"/>
    <cellStyle name="ÅëÈ­ [0]_ ºñ¸ñº° ¿ùº°±â¼ú  21 15" xfId="5009"/>
    <cellStyle name="AeE­ [0]_ ºn¸nº° ¿uº°±a¼u  21 16" xfId="5010"/>
    <cellStyle name="ÅëÈ­ [0]_ ºñ¸ñº° ¿ùº°±â¼ú  21 16" xfId="5011"/>
    <cellStyle name="AeE­ [0]_ ºn¸nº° ¿uº°±a¼u  21 17" xfId="5012"/>
    <cellStyle name="ÅëÈ­ [0]_ ºñ¸ñº° ¿ùº°±â¼ú  21 17" xfId="5013"/>
    <cellStyle name="AeE­ [0]_ ºn¸nº° ¿uº°±a¼u  21 18" xfId="5014"/>
    <cellStyle name="ÅëÈ­ [0]_ ºñ¸ñº° ¿ùº°±â¼ú  21 18" xfId="5015"/>
    <cellStyle name="AeE­ [0]_ ºn¸nº° ¿uº°±a¼u  21 19" xfId="5016"/>
    <cellStyle name="ÅëÈ­ [0]_ ºñ¸ñº° ¿ùº°±â¼ú  21 19" xfId="5017"/>
    <cellStyle name="AeE­ [0]_ ºn¸nº° ¿uº°±a¼u  21 2" xfId="5018"/>
    <cellStyle name="ÅëÈ­ [0]_ ºñ¸ñº° ¿ùº°±â¼ú  21 2" xfId="5019"/>
    <cellStyle name="AeE­ [0]_ ºn¸nº° ¿uº°±a¼u  21 20" xfId="5020"/>
    <cellStyle name="ÅëÈ­ [0]_ ºñ¸ñº° ¿ùº°±â¼ú  21 20" xfId="5021"/>
    <cellStyle name="AeE­ [0]_ ºn¸nº° ¿uº°±a¼u  21 21" xfId="5022"/>
    <cellStyle name="ÅëÈ­ [0]_ ºñ¸ñº° ¿ùº°±â¼ú  21 21" xfId="5023"/>
    <cellStyle name="AeE­ [0]_ ºn¸nº° ¿uº°±a¼u  21 22" xfId="5024"/>
    <cellStyle name="ÅëÈ­ [0]_ ºñ¸ñº° ¿ùº°±â¼ú  21 22" xfId="5025"/>
    <cellStyle name="AeE­ [0]_ ºn¸nº° ¿uº°±a¼u  21 23" xfId="5026"/>
    <cellStyle name="ÅëÈ­ [0]_ ºñ¸ñº° ¿ùº°±â¼ú  21 23" xfId="5027"/>
    <cellStyle name="AeE­ [0]_ ºn¸nº° ¿uº°±a¼u  21 24" xfId="5028"/>
    <cellStyle name="ÅëÈ­ [0]_ ºñ¸ñº° ¿ùº°±â¼ú  21 24" xfId="5029"/>
    <cellStyle name="AeE­ [0]_ ºn¸nº° ¿uº°±a¼u  21 25" xfId="5030"/>
    <cellStyle name="ÅëÈ­ [0]_ ºñ¸ñº° ¿ùº°±â¼ú  21 25" xfId="5031"/>
    <cellStyle name="AeE­ [0]_ ºn¸nº° ¿uº°±a¼u  21 26" xfId="5032"/>
    <cellStyle name="ÅëÈ­ [0]_ ºñ¸ñº° ¿ùº°±â¼ú  21 26" xfId="5033"/>
    <cellStyle name="AeE­ [0]_ ºn¸nº° ¿uº°±a¼u  21 27" xfId="5034"/>
    <cellStyle name="ÅëÈ­ [0]_ ºñ¸ñº° ¿ùº°±â¼ú  21 27" xfId="5035"/>
    <cellStyle name="AeE­ [0]_ ºn¸nº° ¿uº°±a¼u  21 28" xfId="5036"/>
    <cellStyle name="ÅëÈ­ [0]_ ºñ¸ñº° ¿ùº°±â¼ú  21 28" xfId="5037"/>
    <cellStyle name="AeE­ [0]_ ºn¸nº° ¿uº°±a¼u  21 29" xfId="5038"/>
    <cellStyle name="ÅëÈ­ [0]_ ºñ¸ñº° ¿ùº°±â¼ú  21 29" xfId="5039"/>
    <cellStyle name="AeE­ [0]_ ºn¸nº° ¿uº°±a¼u  21 3" xfId="5040"/>
    <cellStyle name="ÅëÈ­ [0]_ ºñ¸ñº° ¿ùº°±â¼ú  21 3" xfId="5041"/>
    <cellStyle name="AeE­ [0]_ ºn¸nº° ¿uº°±a¼u  21 30" xfId="5042"/>
    <cellStyle name="ÅëÈ­ [0]_ ºñ¸ñº° ¿ùº°±â¼ú  21 30" xfId="5043"/>
    <cellStyle name="AeE­ [0]_ ºn¸nº° ¿uº°±a¼u  21 31" xfId="5044"/>
    <cellStyle name="ÅëÈ­ [0]_ ºñ¸ñº° ¿ùº°±â¼ú  21 31" xfId="5045"/>
    <cellStyle name="AeE­ [0]_ ºn¸nº° ¿uº°±a¼u  21 32" xfId="5046"/>
    <cellStyle name="ÅëÈ­ [0]_ ºñ¸ñº° ¿ùº°±â¼ú  21 32" xfId="5047"/>
    <cellStyle name="AeE­ [0]_ ºn¸nº° ¿uº°±a¼u  21 33" xfId="5048"/>
    <cellStyle name="ÅëÈ­ [0]_ ºñ¸ñº° ¿ùº°±â¼ú  21 33" xfId="5049"/>
    <cellStyle name="AeE­ [0]_ ºn¸nº° ¿uº°±a¼u  21 34" xfId="5050"/>
    <cellStyle name="ÅëÈ­ [0]_ ºñ¸ñº° ¿ùº°±â¼ú  21 34" xfId="5051"/>
    <cellStyle name="AeE­ [0]_ ºn¸nº° ¿uº°±a¼u  21 4" xfId="5052"/>
    <cellStyle name="ÅëÈ­ [0]_ ºñ¸ñº° ¿ùº°±â¼ú  21 4" xfId="5053"/>
    <cellStyle name="AeE­ [0]_ ºn¸nº° ¿uº°±a¼u  21 5" xfId="5054"/>
    <cellStyle name="ÅëÈ­ [0]_ ºñ¸ñº° ¿ùº°±â¼ú  21 5" xfId="5055"/>
    <cellStyle name="AeE­ [0]_ ºn¸nº° ¿uº°±a¼u  21 6" xfId="5056"/>
    <cellStyle name="ÅëÈ­ [0]_ ºñ¸ñº° ¿ùº°±â¼ú  21 6" xfId="5057"/>
    <cellStyle name="AeE­ [0]_ ºn¸nº° ¿uº°±a¼u  21 7" xfId="5058"/>
    <cellStyle name="ÅëÈ­ [0]_ ºñ¸ñº° ¿ùº°±â¼ú  21 7" xfId="5059"/>
    <cellStyle name="AeE­ [0]_ ºn¸nº° ¿uº°±a¼u  21 8" xfId="5060"/>
    <cellStyle name="ÅëÈ­ [0]_ ºñ¸ñº° ¿ùº°±â¼ú  21 8" xfId="5061"/>
    <cellStyle name="AeE­ [0]_ ºn¸nº° ¿uº°±a¼u  21 9" xfId="5062"/>
    <cellStyle name="ÅëÈ­ [0]_ ºñ¸ñº° ¿ùº°±â¼ú  21 9" xfId="5063"/>
    <cellStyle name="AeE­ [0]_ ºn¸nº° ¿uº°±a¼u  22" xfId="5064"/>
    <cellStyle name="ÅëÈ­ [0]_ ºñ¸ñº° ¿ùº°±â¼ú  22" xfId="5065"/>
    <cellStyle name="AeE­ [0]_ ºn¸nº° ¿uº°±a¼u  22 10" xfId="5066"/>
    <cellStyle name="ÅëÈ­ [0]_ ºñ¸ñº° ¿ùº°±â¼ú  22 10" xfId="5067"/>
    <cellStyle name="AeE­ [0]_ ºn¸nº° ¿uº°±a¼u  22 11" xfId="5068"/>
    <cellStyle name="ÅëÈ­ [0]_ ºñ¸ñº° ¿ùº°±â¼ú  22 11" xfId="5069"/>
    <cellStyle name="AeE­ [0]_ ºn¸nº° ¿uº°±a¼u  22 12" xfId="5070"/>
    <cellStyle name="ÅëÈ­ [0]_ ºñ¸ñº° ¿ùº°±â¼ú  22 12" xfId="5071"/>
    <cellStyle name="AeE­ [0]_ ºn¸nº° ¿uº°±a¼u  22 13" xfId="5072"/>
    <cellStyle name="ÅëÈ­ [0]_ ºñ¸ñº° ¿ùº°±â¼ú  22 13" xfId="5073"/>
    <cellStyle name="AeE­ [0]_ ºn¸nº° ¿uº°±a¼u  22 14" xfId="5074"/>
    <cellStyle name="ÅëÈ­ [0]_ ºñ¸ñº° ¿ùº°±â¼ú  22 14" xfId="5075"/>
    <cellStyle name="AeE­ [0]_ ºn¸nº° ¿uº°±a¼u  22 15" xfId="5076"/>
    <cellStyle name="ÅëÈ­ [0]_ ºñ¸ñº° ¿ùº°±â¼ú  22 15" xfId="5077"/>
    <cellStyle name="AeE­ [0]_ ºn¸nº° ¿uº°±a¼u  22 16" xfId="5078"/>
    <cellStyle name="ÅëÈ­ [0]_ ºñ¸ñº° ¿ùº°±â¼ú  22 16" xfId="5079"/>
    <cellStyle name="AeE­ [0]_ ºn¸nº° ¿uº°±a¼u  22 17" xfId="5080"/>
    <cellStyle name="ÅëÈ­ [0]_ ºñ¸ñº° ¿ùº°±â¼ú  22 17" xfId="5081"/>
    <cellStyle name="AeE­ [0]_ ºn¸nº° ¿uº°±a¼u  22 18" xfId="5082"/>
    <cellStyle name="ÅëÈ­ [0]_ ºñ¸ñº° ¿ùº°±â¼ú  22 18" xfId="5083"/>
    <cellStyle name="AeE­ [0]_ ºn¸nº° ¿uº°±a¼u  22 19" xfId="5084"/>
    <cellStyle name="ÅëÈ­ [0]_ ºñ¸ñº° ¿ùº°±â¼ú  22 19" xfId="5085"/>
    <cellStyle name="AeE­ [0]_ ºn¸nº° ¿uº°±a¼u  22 2" xfId="5086"/>
    <cellStyle name="ÅëÈ­ [0]_ ºñ¸ñº° ¿ùº°±â¼ú  22 2" xfId="5087"/>
    <cellStyle name="AeE­ [0]_ ºn¸nº° ¿uº°±a¼u  22 20" xfId="5088"/>
    <cellStyle name="ÅëÈ­ [0]_ ºñ¸ñº° ¿ùº°±â¼ú  22 20" xfId="5089"/>
    <cellStyle name="AeE­ [0]_ ºn¸nº° ¿uº°±a¼u  22 21" xfId="5090"/>
    <cellStyle name="ÅëÈ­ [0]_ ºñ¸ñº° ¿ùº°±â¼ú  22 21" xfId="5091"/>
    <cellStyle name="AeE­ [0]_ ºn¸nº° ¿uº°±a¼u  22 22" xfId="5092"/>
    <cellStyle name="ÅëÈ­ [0]_ ºñ¸ñº° ¿ùº°±â¼ú  22 22" xfId="5093"/>
    <cellStyle name="AeE­ [0]_ ºn¸nº° ¿uº°±a¼u  22 23" xfId="5094"/>
    <cellStyle name="ÅëÈ­ [0]_ ºñ¸ñº° ¿ùº°±â¼ú  22 23" xfId="5095"/>
    <cellStyle name="AeE­ [0]_ ºn¸nº° ¿uº°±a¼u  22 24" xfId="5096"/>
    <cellStyle name="ÅëÈ­ [0]_ ºñ¸ñº° ¿ùº°±â¼ú  22 24" xfId="5097"/>
    <cellStyle name="AeE­ [0]_ ºn¸nº° ¿uº°±a¼u  22 25" xfId="5098"/>
    <cellStyle name="ÅëÈ­ [0]_ ºñ¸ñº° ¿ùº°±â¼ú  22 25" xfId="5099"/>
    <cellStyle name="AeE­ [0]_ ºn¸nº° ¿uº°±a¼u  22 26" xfId="5100"/>
    <cellStyle name="ÅëÈ­ [0]_ ºñ¸ñº° ¿ùº°±â¼ú  22 26" xfId="5101"/>
    <cellStyle name="AeE­ [0]_ ºn¸nº° ¿uº°±a¼u  22 27" xfId="5102"/>
    <cellStyle name="ÅëÈ­ [0]_ ºñ¸ñº° ¿ùº°±â¼ú  22 27" xfId="5103"/>
    <cellStyle name="AeE­ [0]_ ºn¸nº° ¿uº°±a¼u  22 28" xfId="5104"/>
    <cellStyle name="ÅëÈ­ [0]_ ºñ¸ñº° ¿ùº°±â¼ú  22 28" xfId="5105"/>
    <cellStyle name="AeE­ [0]_ ºn¸nº° ¿uº°±a¼u  22 29" xfId="5106"/>
    <cellStyle name="ÅëÈ­ [0]_ ºñ¸ñº° ¿ùº°±â¼ú  22 29" xfId="5107"/>
    <cellStyle name="AeE­ [0]_ ºn¸nº° ¿uº°±a¼u  22 3" xfId="5108"/>
    <cellStyle name="ÅëÈ­ [0]_ ºñ¸ñº° ¿ùº°±â¼ú  22 3" xfId="5109"/>
    <cellStyle name="AeE­ [0]_ ºn¸nº° ¿uº°±a¼u  22 30" xfId="5110"/>
    <cellStyle name="ÅëÈ­ [0]_ ºñ¸ñº° ¿ùº°±â¼ú  22 30" xfId="5111"/>
    <cellStyle name="AeE­ [0]_ ºn¸nº° ¿uº°±a¼u  22 31" xfId="5112"/>
    <cellStyle name="ÅëÈ­ [0]_ ºñ¸ñº° ¿ùº°±â¼ú  22 31" xfId="5113"/>
    <cellStyle name="AeE­ [0]_ ºn¸nº° ¿uº°±a¼u  22 32" xfId="5114"/>
    <cellStyle name="ÅëÈ­ [0]_ ºñ¸ñº° ¿ùº°±â¼ú  22 32" xfId="5115"/>
    <cellStyle name="AeE­ [0]_ ºn¸nº° ¿uº°±a¼u  22 33" xfId="5116"/>
    <cellStyle name="ÅëÈ­ [0]_ ºñ¸ñº° ¿ùº°±â¼ú  22 33" xfId="5117"/>
    <cellStyle name="AeE­ [0]_ ºn¸nº° ¿uº°±a¼u  22 34" xfId="5118"/>
    <cellStyle name="ÅëÈ­ [0]_ ºñ¸ñº° ¿ùº°±â¼ú  22 34" xfId="5119"/>
    <cellStyle name="AeE­ [0]_ ºn¸nº° ¿uº°±a¼u  22 4" xfId="5120"/>
    <cellStyle name="ÅëÈ­ [0]_ ºñ¸ñº° ¿ùº°±â¼ú  22 4" xfId="5121"/>
    <cellStyle name="AeE­ [0]_ ºn¸nº° ¿uº°±a¼u  22 5" xfId="5122"/>
    <cellStyle name="ÅëÈ­ [0]_ ºñ¸ñº° ¿ùº°±â¼ú  22 5" xfId="5123"/>
    <cellStyle name="AeE­ [0]_ ºn¸nº° ¿uº°±a¼u  22 6" xfId="5124"/>
    <cellStyle name="ÅëÈ­ [0]_ ºñ¸ñº° ¿ùº°±â¼ú  22 6" xfId="5125"/>
    <cellStyle name="AeE­ [0]_ ºn¸nº° ¿uº°±a¼u  22 7" xfId="5126"/>
    <cellStyle name="ÅëÈ­ [0]_ ºñ¸ñº° ¿ùº°±â¼ú  22 7" xfId="5127"/>
    <cellStyle name="AeE­ [0]_ ºn¸nº° ¿uº°±a¼u  22 8" xfId="5128"/>
    <cellStyle name="ÅëÈ­ [0]_ ºñ¸ñº° ¿ùº°±â¼ú  22 8" xfId="5129"/>
    <cellStyle name="AeE­ [0]_ ºn¸nº° ¿uº°±a¼u  22 9" xfId="5130"/>
    <cellStyle name="ÅëÈ­ [0]_ ºñ¸ñº° ¿ùº°±â¼ú  22 9" xfId="5131"/>
    <cellStyle name="AeE­ [0]_ ºn¸nº° ¿uº°±a¼u  23" xfId="5132"/>
    <cellStyle name="ÅëÈ­ [0]_ ºñ¸ñº° ¿ùº°±â¼ú  23" xfId="5133"/>
    <cellStyle name="AeE­ [0]_ ºn¸nº° ¿uº°±a¼u  23 10" xfId="5134"/>
    <cellStyle name="ÅëÈ­ [0]_ ºñ¸ñº° ¿ùº°±â¼ú  23 10" xfId="5135"/>
    <cellStyle name="AeE­ [0]_ ºn¸nº° ¿uº°±a¼u  23 11" xfId="5136"/>
    <cellStyle name="ÅëÈ­ [0]_ ºñ¸ñº° ¿ùº°±â¼ú  23 11" xfId="5137"/>
    <cellStyle name="AeE­ [0]_ ºn¸nº° ¿uº°±a¼u  23 12" xfId="5138"/>
    <cellStyle name="ÅëÈ­ [0]_ ºñ¸ñº° ¿ùº°±â¼ú  23 12" xfId="5139"/>
    <cellStyle name="AeE­ [0]_ ºn¸nº° ¿uº°±a¼u  23 13" xfId="5140"/>
    <cellStyle name="ÅëÈ­ [0]_ ºñ¸ñº° ¿ùº°±â¼ú  23 13" xfId="5141"/>
    <cellStyle name="AeE­ [0]_ ºn¸nº° ¿uº°±a¼u  23 14" xfId="5142"/>
    <cellStyle name="ÅëÈ­ [0]_ ºñ¸ñº° ¿ùº°±â¼ú  23 14" xfId="5143"/>
    <cellStyle name="AeE­ [0]_ ºn¸nº° ¿uº°±a¼u  23 15" xfId="5144"/>
    <cellStyle name="ÅëÈ­ [0]_ ºñ¸ñº° ¿ùº°±â¼ú  23 15" xfId="5145"/>
    <cellStyle name="AeE­ [0]_ ºn¸nº° ¿uº°±a¼u  23 16" xfId="5146"/>
    <cellStyle name="ÅëÈ­ [0]_ ºñ¸ñº° ¿ùº°±â¼ú  23 16" xfId="5147"/>
    <cellStyle name="AeE­ [0]_ ºn¸nº° ¿uº°±a¼u  23 17" xfId="5148"/>
    <cellStyle name="ÅëÈ­ [0]_ ºñ¸ñº° ¿ùº°±â¼ú  23 17" xfId="5149"/>
    <cellStyle name="AeE­ [0]_ ºn¸nº° ¿uº°±a¼u  23 18" xfId="5150"/>
    <cellStyle name="ÅëÈ­ [0]_ ºñ¸ñº° ¿ùº°±â¼ú  23 18" xfId="5151"/>
    <cellStyle name="AeE­ [0]_ ºn¸nº° ¿uº°±a¼u  23 19" xfId="5152"/>
    <cellStyle name="ÅëÈ­ [0]_ ºñ¸ñº° ¿ùº°±â¼ú  23 19" xfId="5153"/>
    <cellStyle name="AeE­ [0]_ ºn¸nº° ¿uº°±a¼u  23 2" xfId="5154"/>
    <cellStyle name="ÅëÈ­ [0]_ ºñ¸ñº° ¿ùº°±â¼ú  23 2" xfId="5155"/>
    <cellStyle name="AeE­ [0]_ ºn¸nº° ¿uº°±a¼u  23 20" xfId="5156"/>
    <cellStyle name="ÅëÈ­ [0]_ ºñ¸ñº° ¿ùº°±â¼ú  23 20" xfId="5157"/>
    <cellStyle name="AeE­ [0]_ ºn¸nº° ¿uº°±a¼u  23 21" xfId="5158"/>
    <cellStyle name="ÅëÈ­ [0]_ ºñ¸ñº° ¿ùº°±â¼ú  23 21" xfId="5159"/>
    <cellStyle name="AeE­ [0]_ ºn¸nº° ¿uº°±a¼u  23 22" xfId="5160"/>
    <cellStyle name="ÅëÈ­ [0]_ ºñ¸ñº° ¿ùº°±â¼ú  23 22" xfId="5161"/>
    <cellStyle name="AeE­ [0]_ ºn¸nº° ¿uº°±a¼u  23 23" xfId="5162"/>
    <cellStyle name="ÅëÈ­ [0]_ ºñ¸ñº° ¿ùº°±â¼ú  23 23" xfId="5163"/>
    <cellStyle name="AeE­ [0]_ ºn¸nº° ¿uº°±a¼u  23 24" xfId="5164"/>
    <cellStyle name="ÅëÈ­ [0]_ ºñ¸ñº° ¿ùº°±â¼ú  23 24" xfId="5165"/>
    <cellStyle name="AeE­ [0]_ ºn¸nº° ¿uº°±a¼u  23 25" xfId="5166"/>
    <cellStyle name="ÅëÈ­ [0]_ ºñ¸ñº° ¿ùº°±â¼ú  23 25" xfId="5167"/>
    <cellStyle name="AeE­ [0]_ ºn¸nº° ¿uº°±a¼u  23 26" xfId="5168"/>
    <cellStyle name="ÅëÈ­ [0]_ ºñ¸ñº° ¿ùº°±â¼ú  23 26" xfId="5169"/>
    <cellStyle name="AeE­ [0]_ ºn¸nº° ¿uº°±a¼u  23 27" xfId="5170"/>
    <cellStyle name="ÅëÈ­ [0]_ ºñ¸ñº° ¿ùº°±â¼ú  23 27" xfId="5171"/>
    <cellStyle name="AeE­ [0]_ ºn¸nº° ¿uº°±a¼u  23 28" xfId="5172"/>
    <cellStyle name="ÅëÈ­ [0]_ ºñ¸ñº° ¿ùº°±â¼ú  23 28" xfId="5173"/>
    <cellStyle name="AeE­ [0]_ ºn¸nº° ¿uº°±a¼u  23 29" xfId="5174"/>
    <cellStyle name="ÅëÈ­ [0]_ ºñ¸ñº° ¿ùº°±â¼ú  23 29" xfId="5175"/>
    <cellStyle name="AeE­ [0]_ ºn¸nº° ¿uº°±a¼u  23 3" xfId="5176"/>
    <cellStyle name="ÅëÈ­ [0]_ ºñ¸ñº° ¿ùº°±â¼ú  23 3" xfId="5177"/>
    <cellStyle name="AeE­ [0]_ ºn¸nº° ¿uº°±a¼u  23 30" xfId="5178"/>
    <cellStyle name="ÅëÈ­ [0]_ ºñ¸ñº° ¿ùº°±â¼ú  23 30" xfId="5179"/>
    <cellStyle name="AeE­ [0]_ ºn¸nº° ¿uº°±a¼u  23 31" xfId="5180"/>
    <cellStyle name="ÅëÈ­ [0]_ ºñ¸ñº° ¿ùº°±â¼ú  23 31" xfId="5181"/>
    <cellStyle name="AeE­ [0]_ ºn¸nº° ¿uº°±a¼u  23 32" xfId="5182"/>
    <cellStyle name="ÅëÈ­ [0]_ ºñ¸ñº° ¿ùº°±â¼ú  23 32" xfId="5183"/>
    <cellStyle name="AeE­ [0]_ ºn¸nº° ¿uº°±a¼u  23 33" xfId="5184"/>
    <cellStyle name="ÅëÈ­ [0]_ ºñ¸ñº° ¿ùº°±â¼ú  23 33" xfId="5185"/>
    <cellStyle name="AeE­ [0]_ ºn¸nº° ¿uº°±a¼u  23 34" xfId="5186"/>
    <cellStyle name="ÅëÈ­ [0]_ ºñ¸ñº° ¿ùº°±â¼ú  23 34" xfId="5187"/>
    <cellStyle name="AeE­ [0]_ ºn¸nº° ¿uº°±a¼u  23 4" xfId="5188"/>
    <cellStyle name="ÅëÈ­ [0]_ ºñ¸ñº° ¿ùº°±â¼ú  23 4" xfId="5189"/>
    <cellStyle name="AeE­ [0]_ ºn¸nº° ¿uº°±a¼u  23 5" xfId="5190"/>
    <cellStyle name="ÅëÈ­ [0]_ ºñ¸ñº° ¿ùº°±â¼ú  23 5" xfId="5191"/>
    <cellStyle name="AeE­ [0]_ ºn¸nº° ¿uº°±a¼u  23 6" xfId="5192"/>
    <cellStyle name="ÅëÈ­ [0]_ ºñ¸ñº° ¿ùº°±â¼ú  23 6" xfId="5193"/>
    <cellStyle name="AeE­ [0]_ ºn¸nº° ¿uº°±a¼u  23 7" xfId="5194"/>
    <cellStyle name="ÅëÈ­ [0]_ ºñ¸ñº° ¿ùº°±â¼ú  23 7" xfId="5195"/>
    <cellStyle name="AeE­ [0]_ ºn¸nº° ¿uº°±a¼u  23 8" xfId="5196"/>
    <cellStyle name="ÅëÈ­ [0]_ ºñ¸ñº° ¿ùº°±â¼ú  23 8" xfId="5197"/>
    <cellStyle name="AeE­ [0]_ ºn¸nº° ¿uº°±a¼u  23 9" xfId="5198"/>
    <cellStyle name="ÅëÈ­ [0]_ ºñ¸ñº° ¿ùº°±â¼ú  23 9" xfId="5199"/>
    <cellStyle name="AeE­ [0]_ ºn¸nº° ¿uº°±a¼u  24" xfId="5200"/>
    <cellStyle name="ÅëÈ­ [0]_ ºñ¸ñº° ¿ùº°±â¼ú  24" xfId="5201"/>
    <cellStyle name="AeE­ [0]_ ºn¸nº° ¿uº°±a¼u  24 10" xfId="5202"/>
    <cellStyle name="ÅëÈ­ [0]_ ºñ¸ñº° ¿ùº°±â¼ú  24 10" xfId="5203"/>
    <cellStyle name="AeE­ [0]_ ºn¸nº° ¿uº°±a¼u  24 11" xfId="5204"/>
    <cellStyle name="ÅëÈ­ [0]_ ºñ¸ñº° ¿ùº°±â¼ú  24 11" xfId="5205"/>
    <cellStyle name="AeE­ [0]_ ºn¸nº° ¿uº°±a¼u  24 12" xfId="5206"/>
    <cellStyle name="ÅëÈ­ [0]_ ºñ¸ñº° ¿ùº°±â¼ú  24 12" xfId="5207"/>
    <cellStyle name="AeE­ [0]_ ºn¸nº° ¿uº°±a¼u  24 13" xfId="5208"/>
    <cellStyle name="ÅëÈ­ [0]_ ºñ¸ñº° ¿ùº°±â¼ú  24 13" xfId="5209"/>
    <cellStyle name="AeE­ [0]_ ºn¸nº° ¿uº°±a¼u  24 14" xfId="5210"/>
    <cellStyle name="ÅëÈ­ [0]_ ºñ¸ñº° ¿ùº°±â¼ú  24 14" xfId="5211"/>
    <cellStyle name="AeE­ [0]_ ºn¸nº° ¿uº°±a¼u  24 15" xfId="5212"/>
    <cellStyle name="ÅëÈ­ [0]_ ºñ¸ñº° ¿ùº°±â¼ú  24 15" xfId="5213"/>
    <cellStyle name="AeE­ [0]_ ºn¸nº° ¿uº°±a¼u  24 16" xfId="5214"/>
    <cellStyle name="ÅëÈ­ [0]_ ºñ¸ñº° ¿ùº°±â¼ú  24 16" xfId="5215"/>
    <cellStyle name="AeE­ [0]_ ºn¸nº° ¿uº°±a¼u  24 17" xfId="5216"/>
    <cellStyle name="ÅëÈ­ [0]_ ºñ¸ñº° ¿ùº°±â¼ú  24 17" xfId="5217"/>
    <cellStyle name="AeE­ [0]_ ºn¸nº° ¿uº°±a¼u  24 18" xfId="5218"/>
    <cellStyle name="ÅëÈ­ [0]_ ºñ¸ñº° ¿ùº°±â¼ú  24 18" xfId="5219"/>
    <cellStyle name="AeE­ [0]_ ºn¸nº° ¿uº°±a¼u  24 19" xfId="5220"/>
    <cellStyle name="ÅëÈ­ [0]_ ºñ¸ñº° ¿ùº°±â¼ú  24 19" xfId="5221"/>
    <cellStyle name="AeE­ [0]_ ºn¸nº° ¿uº°±a¼u  24 2" xfId="5222"/>
    <cellStyle name="ÅëÈ­ [0]_ ºñ¸ñº° ¿ùº°±â¼ú  24 2" xfId="5223"/>
    <cellStyle name="AeE­ [0]_ ºn¸nº° ¿uº°±a¼u  24 20" xfId="5224"/>
    <cellStyle name="ÅëÈ­ [0]_ ºñ¸ñº° ¿ùº°±â¼ú  24 20" xfId="5225"/>
    <cellStyle name="AeE­ [0]_ ºn¸nº° ¿uº°±a¼u  24 21" xfId="5226"/>
    <cellStyle name="ÅëÈ­ [0]_ ºñ¸ñº° ¿ùº°±â¼ú  24 21" xfId="5227"/>
    <cellStyle name="AeE­ [0]_ ºn¸nº° ¿uº°±a¼u  24 22" xfId="5228"/>
    <cellStyle name="ÅëÈ­ [0]_ ºñ¸ñº° ¿ùº°±â¼ú  24 22" xfId="5229"/>
    <cellStyle name="AeE­ [0]_ ºn¸nº° ¿uº°±a¼u  24 23" xfId="5230"/>
    <cellStyle name="ÅëÈ­ [0]_ ºñ¸ñº° ¿ùº°±â¼ú  24 23" xfId="5231"/>
    <cellStyle name="AeE­ [0]_ ºn¸nº° ¿uº°±a¼u  24 24" xfId="5232"/>
    <cellStyle name="ÅëÈ­ [0]_ ºñ¸ñº° ¿ùº°±â¼ú  24 24" xfId="5233"/>
    <cellStyle name="AeE­ [0]_ ºn¸nº° ¿uº°±a¼u  24 25" xfId="5234"/>
    <cellStyle name="ÅëÈ­ [0]_ ºñ¸ñº° ¿ùº°±â¼ú  24 25" xfId="5235"/>
    <cellStyle name="AeE­ [0]_ ºn¸nº° ¿uº°±a¼u  24 26" xfId="5236"/>
    <cellStyle name="ÅëÈ­ [0]_ ºñ¸ñº° ¿ùº°±â¼ú  24 26" xfId="5237"/>
    <cellStyle name="AeE­ [0]_ ºn¸nº° ¿uº°±a¼u  24 27" xfId="5238"/>
    <cellStyle name="ÅëÈ­ [0]_ ºñ¸ñº° ¿ùº°±â¼ú  24 27" xfId="5239"/>
    <cellStyle name="AeE­ [0]_ ºn¸nº° ¿uº°±a¼u  24 28" xfId="5240"/>
    <cellStyle name="ÅëÈ­ [0]_ ºñ¸ñº° ¿ùº°±â¼ú  24 28" xfId="5241"/>
    <cellStyle name="AeE­ [0]_ ºn¸nº° ¿uº°±a¼u  24 29" xfId="5242"/>
    <cellStyle name="ÅëÈ­ [0]_ ºñ¸ñº° ¿ùº°±â¼ú  24 29" xfId="5243"/>
    <cellStyle name="AeE­ [0]_ ºn¸nº° ¿uº°±a¼u  24 3" xfId="5244"/>
    <cellStyle name="ÅëÈ­ [0]_ ºñ¸ñº° ¿ùº°±â¼ú  24 3" xfId="5245"/>
    <cellStyle name="AeE­ [0]_ ºn¸nº° ¿uº°±a¼u  24 30" xfId="5246"/>
    <cellStyle name="ÅëÈ­ [0]_ ºñ¸ñº° ¿ùº°±â¼ú  24 30" xfId="5247"/>
    <cellStyle name="AeE­ [0]_ ºn¸nº° ¿uº°±a¼u  24 31" xfId="5248"/>
    <cellStyle name="ÅëÈ­ [0]_ ºñ¸ñº° ¿ùº°±â¼ú  24 31" xfId="5249"/>
    <cellStyle name="AeE­ [0]_ ºn¸nº° ¿uº°±a¼u  24 32" xfId="5250"/>
    <cellStyle name="ÅëÈ­ [0]_ ºñ¸ñº° ¿ùº°±â¼ú  24 32" xfId="5251"/>
    <cellStyle name="AeE­ [0]_ ºn¸nº° ¿uº°±a¼u  24 33" xfId="5252"/>
    <cellStyle name="ÅëÈ­ [0]_ ºñ¸ñº° ¿ùº°±â¼ú  24 33" xfId="5253"/>
    <cellStyle name="AeE­ [0]_ ºn¸nº° ¿uº°±a¼u  24 34" xfId="5254"/>
    <cellStyle name="ÅëÈ­ [0]_ ºñ¸ñº° ¿ùº°±â¼ú  24 34" xfId="5255"/>
    <cellStyle name="AeE­ [0]_ ºn¸nº° ¿uº°±a¼u  24 4" xfId="5256"/>
    <cellStyle name="ÅëÈ­ [0]_ ºñ¸ñº° ¿ùº°±â¼ú  24 4" xfId="5257"/>
    <cellStyle name="AeE­ [0]_ ºn¸nº° ¿uº°±a¼u  24 5" xfId="5258"/>
    <cellStyle name="ÅëÈ­ [0]_ ºñ¸ñº° ¿ùº°±â¼ú  24 5" xfId="5259"/>
    <cellStyle name="AeE­ [0]_ ºn¸nº° ¿uº°±a¼u  24 6" xfId="5260"/>
    <cellStyle name="ÅëÈ­ [0]_ ºñ¸ñº° ¿ùº°±â¼ú  24 6" xfId="5261"/>
    <cellStyle name="AeE­ [0]_ ºn¸nº° ¿uº°±a¼u  24 7" xfId="5262"/>
    <cellStyle name="ÅëÈ­ [0]_ ºñ¸ñº° ¿ùº°±â¼ú  24 7" xfId="5263"/>
    <cellStyle name="AeE­ [0]_ ºn¸nº° ¿uº°±a¼u  24 8" xfId="5264"/>
    <cellStyle name="ÅëÈ­ [0]_ ºñ¸ñº° ¿ùº°±â¼ú  24 8" xfId="5265"/>
    <cellStyle name="AeE­ [0]_ ºn¸nº° ¿uº°±a¼u  24 9" xfId="5266"/>
    <cellStyle name="ÅëÈ­ [0]_ ºñ¸ñº° ¿ùº°±â¼ú  24 9" xfId="5267"/>
    <cellStyle name="AeE­ [0]_ ºn¸nº° ¿uº°±a¼u  25" xfId="5268"/>
    <cellStyle name="ÅëÈ­ [0]_ ºñ¸ñº° ¿ùº°±â¼ú  25" xfId="5269"/>
    <cellStyle name="AeE­ [0]_ ºn¸nº° ¿uº°±a¼u  25 10" xfId="5270"/>
    <cellStyle name="ÅëÈ­ [0]_ ºñ¸ñº° ¿ùº°±â¼ú  25 10" xfId="5271"/>
    <cellStyle name="AeE­ [0]_ ºn¸nº° ¿uº°±a¼u  25 11" xfId="5272"/>
    <cellStyle name="ÅëÈ­ [0]_ ºñ¸ñº° ¿ùº°±â¼ú  25 11" xfId="5273"/>
    <cellStyle name="AeE­ [0]_ ºn¸nº° ¿uº°±a¼u  25 12" xfId="5274"/>
    <cellStyle name="ÅëÈ­ [0]_ ºñ¸ñº° ¿ùº°±â¼ú  25 12" xfId="5275"/>
    <cellStyle name="AeE­ [0]_ ºn¸nº° ¿uº°±a¼u  25 13" xfId="5276"/>
    <cellStyle name="ÅëÈ­ [0]_ ºñ¸ñº° ¿ùº°±â¼ú  25 13" xfId="5277"/>
    <cellStyle name="AeE­ [0]_ ºn¸nº° ¿uº°±a¼u  25 14" xfId="5278"/>
    <cellStyle name="ÅëÈ­ [0]_ ºñ¸ñº° ¿ùº°±â¼ú  25 14" xfId="5279"/>
    <cellStyle name="AeE­ [0]_ ºn¸nº° ¿uº°±a¼u  25 15" xfId="5280"/>
    <cellStyle name="ÅëÈ­ [0]_ ºñ¸ñº° ¿ùº°±â¼ú  25 15" xfId="5281"/>
    <cellStyle name="AeE­ [0]_ ºn¸nº° ¿uº°±a¼u  25 16" xfId="5282"/>
    <cellStyle name="ÅëÈ­ [0]_ ºñ¸ñº° ¿ùº°±â¼ú  25 16" xfId="5283"/>
    <cellStyle name="AeE­ [0]_ ºn¸nº° ¿uº°±a¼u  25 17" xfId="5284"/>
    <cellStyle name="ÅëÈ­ [0]_ ºñ¸ñº° ¿ùº°±â¼ú  25 17" xfId="5285"/>
    <cellStyle name="AeE­ [0]_ ºn¸nº° ¿uº°±a¼u  25 18" xfId="5286"/>
    <cellStyle name="ÅëÈ­ [0]_ ºñ¸ñº° ¿ùº°±â¼ú  25 18" xfId="5287"/>
    <cellStyle name="AeE­ [0]_ ºn¸nº° ¿uº°±a¼u  25 19" xfId="5288"/>
    <cellStyle name="ÅëÈ­ [0]_ ºñ¸ñº° ¿ùº°±â¼ú  25 19" xfId="5289"/>
    <cellStyle name="AeE­ [0]_ ºn¸nº° ¿uº°±a¼u  25 2" xfId="5290"/>
    <cellStyle name="ÅëÈ­ [0]_ ºñ¸ñº° ¿ùº°±â¼ú  25 2" xfId="5291"/>
    <cellStyle name="AeE­ [0]_ ºn¸nº° ¿uº°±a¼u  25 20" xfId="5292"/>
    <cellStyle name="ÅëÈ­ [0]_ ºñ¸ñº° ¿ùº°±â¼ú  25 20" xfId="5293"/>
    <cellStyle name="AeE­ [0]_ ºn¸nº° ¿uº°±a¼u  25 21" xfId="5294"/>
    <cellStyle name="ÅëÈ­ [0]_ ºñ¸ñº° ¿ùº°±â¼ú  25 21" xfId="5295"/>
    <cellStyle name="AeE­ [0]_ ºn¸nº° ¿uº°±a¼u  25 22" xfId="5296"/>
    <cellStyle name="ÅëÈ­ [0]_ ºñ¸ñº° ¿ùº°±â¼ú  25 22" xfId="5297"/>
    <cellStyle name="AeE­ [0]_ ºn¸nº° ¿uº°±a¼u  25 23" xfId="5298"/>
    <cellStyle name="ÅëÈ­ [0]_ ºñ¸ñº° ¿ùº°±â¼ú  25 23" xfId="5299"/>
    <cellStyle name="AeE­ [0]_ ºn¸nº° ¿uº°±a¼u  25 24" xfId="5300"/>
    <cellStyle name="ÅëÈ­ [0]_ ºñ¸ñº° ¿ùº°±â¼ú  25 24" xfId="5301"/>
    <cellStyle name="AeE­ [0]_ ºn¸nº° ¿uº°±a¼u  25 25" xfId="5302"/>
    <cellStyle name="ÅëÈ­ [0]_ ºñ¸ñº° ¿ùº°±â¼ú  25 25" xfId="5303"/>
    <cellStyle name="AeE­ [0]_ ºn¸nº° ¿uº°±a¼u  25 26" xfId="5304"/>
    <cellStyle name="ÅëÈ­ [0]_ ºñ¸ñº° ¿ùº°±â¼ú  25 26" xfId="5305"/>
    <cellStyle name="AeE­ [0]_ ºn¸nº° ¿uº°±a¼u  25 27" xfId="5306"/>
    <cellStyle name="ÅëÈ­ [0]_ ºñ¸ñº° ¿ùº°±â¼ú  25 27" xfId="5307"/>
    <cellStyle name="AeE­ [0]_ ºn¸nº° ¿uº°±a¼u  25 28" xfId="5308"/>
    <cellStyle name="ÅëÈ­ [0]_ ºñ¸ñº° ¿ùº°±â¼ú  25 28" xfId="5309"/>
    <cellStyle name="AeE­ [0]_ ºn¸nº° ¿uº°±a¼u  25 29" xfId="5310"/>
    <cellStyle name="ÅëÈ­ [0]_ ºñ¸ñº° ¿ùº°±â¼ú  25 29" xfId="5311"/>
    <cellStyle name="AeE­ [0]_ ºn¸nº° ¿uº°±a¼u  25 3" xfId="5312"/>
    <cellStyle name="ÅëÈ­ [0]_ ºñ¸ñº° ¿ùº°±â¼ú  25 3" xfId="5313"/>
    <cellStyle name="AeE­ [0]_ ºn¸nº° ¿uº°±a¼u  25 30" xfId="5314"/>
    <cellStyle name="ÅëÈ­ [0]_ ºñ¸ñº° ¿ùº°±â¼ú  25 30" xfId="5315"/>
    <cellStyle name="AeE­ [0]_ ºn¸nº° ¿uº°±a¼u  25 31" xfId="5316"/>
    <cellStyle name="ÅëÈ­ [0]_ ºñ¸ñº° ¿ùº°±â¼ú  25 31" xfId="5317"/>
    <cellStyle name="AeE­ [0]_ ºn¸nº° ¿uº°±a¼u  25 32" xfId="5318"/>
    <cellStyle name="ÅëÈ­ [0]_ ºñ¸ñº° ¿ùº°±â¼ú  25 32" xfId="5319"/>
    <cellStyle name="AeE­ [0]_ ºn¸nº° ¿uº°±a¼u  25 33" xfId="5320"/>
    <cellStyle name="ÅëÈ­ [0]_ ºñ¸ñº° ¿ùº°±â¼ú  25 33" xfId="5321"/>
    <cellStyle name="AeE­ [0]_ ºn¸nº° ¿uº°±a¼u  25 34" xfId="5322"/>
    <cellStyle name="ÅëÈ­ [0]_ ºñ¸ñº° ¿ùº°±â¼ú  25 34" xfId="5323"/>
    <cellStyle name="AeE­ [0]_ ºn¸nº° ¿uº°±a¼u  25 4" xfId="5324"/>
    <cellStyle name="ÅëÈ­ [0]_ ºñ¸ñº° ¿ùº°±â¼ú  25 4" xfId="5325"/>
    <cellStyle name="AeE­ [0]_ ºn¸nº° ¿uº°±a¼u  25 5" xfId="5326"/>
    <cellStyle name="ÅëÈ­ [0]_ ºñ¸ñº° ¿ùº°±â¼ú  25 5" xfId="5327"/>
    <cellStyle name="AeE­ [0]_ ºn¸nº° ¿uº°±a¼u  25 6" xfId="5328"/>
    <cellStyle name="ÅëÈ­ [0]_ ºñ¸ñº° ¿ùº°±â¼ú  25 6" xfId="5329"/>
    <cellStyle name="AeE­ [0]_ ºn¸nº° ¿uº°±a¼u  25 7" xfId="5330"/>
    <cellStyle name="ÅëÈ­ [0]_ ºñ¸ñº° ¿ùº°±â¼ú  25 7" xfId="5331"/>
    <cellStyle name="AeE­ [0]_ ºn¸nº° ¿uº°±a¼u  25 8" xfId="5332"/>
    <cellStyle name="ÅëÈ­ [0]_ ºñ¸ñº° ¿ùº°±â¼ú  25 8" xfId="5333"/>
    <cellStyle name="AeE­ [0]_ ºn¸nº° ¿uº°±a¼u  25 9" xfId="5334"/>
    <cellStyle name="ÅëÈ­ [0]_ ºñ¸ñº° ¿ùº°±â¼ú  25 9" xfId="5335"/>
    <cellStyle name="AeE­ [0]_ ºn¸nº° ¿uº°±a¼u  26" xfId="5336"/>
    <cellStyle name="ÅëÈ­ [0]_ ºñ¸ñº° ¿ùº°±â¼ú  26" xfId="5337"/>
    <cellStyle name="AeE­ [0]_ ºn¸nº° ¿uº°±a¼u  26 10" xfId="5338"/>
    <cellStyle name="ÅëÈ­ [0]_ ºñ¸ñº° ¿ùº°±â¼ú  26 10" xfId="5339"/>
    <cellStyle name="AeE­ [0]_ ºn¸nº° ¿uº°±a¼u  26 11" xfId="5340"/>
    <cellStyle name="ÅëÈ­ [0]_ ºñ¸ñº° ¿ùº°±â¼ú  26 11" xfId="5341"/>
    <cellStyle name="AeE­ [0]_ ºn¸nº° ¿uº°±a¼u  26 12" xfId="5342"/>
    <cellStyle name="ÅëÈ­ [0]_ ºñ¸ñº° ¿ùº°±â¼ú  26 12" xfId="5343"/>
    <cellStyle name="AeE­ [0]_ ºn¸nº° ¿uº°±a¼u  26 13" xfId="5344"/>
    <cellStyle name="ÅëÈ­ [0]_ ºñ¸ñº° ¿ùº°±â¼ú  26 13" xfId="5345"/>
    <cellStyle name="AeE­ [0]_ ºn¸nº° ¿uº°±a¼u  26 14" xfId="5346"/>
    <cellStyle name="ÅëÈ­ [0]_ ºñ¸ñº° ¿ùº°±â¼ú  26 14" xfId="5347"/>
    <cellStyle name="AeE­ [0]_ ºn¸nº° ¿uº°±a¼u  26 15" xfId="5348"/>
    <cellStyle name="ÅëÈ­ [0]_ ºñ¸ñº° ¿ùº°±â¼ú  26 15" xfId="5349"/>
    <cellStyle name="AeE­ [0]_ ºn¸nº° ¿uº°±a¼u  26 16" xfId="5350"/>
    <cellStyle name="ÅëÈ­ [0]_ ºñ¸ñº° ¿ùº°±â¼ú  26 16" xfId="5351"/>
    <cellStyle name="AeE­ [0]_ ºn¸nº° ¿uº°±a¼u  26 17" xfId="5352"/>
    <cellStyle name="ÅëÈ­ [0]_ ºñ¸ñº° ¿ùº°±â¼ú  26 17" xfId="5353"/>
    <cellStyle name="AeE­ [0]_ ºn¸nº° ¿uº°±a¼u  26 18" xfId="5354"/>
    <cellStyle name="ÅëÈ­ [0]_ ºñ¸ñº° ¿ùº°±â¼ú  26 18" xfId="5355"/>
    <cellStyle name="AeE­ [0]_ ºn¸nº° ¿uº°±a¼u  26 19" xfId="5356"/>
    <cellStyle name="ÅëÈ­ [0]_ ºñ¸ñº° ¿ùº°±â¼ú  26 19" xfId="5357"/>
    <cellStyle name="AeE­ [0]_ ºn¸nº° ¿uº°±a¼u  26 2" xfId="5358"/>
    <cellStyle name="ÅëÈ­ [0]_ ºñ¸ñº° ¿ùº°±â¼ú  26 2" xfId="5359"/>
    <cellStyle name="AeE­ [0]_ ºn¸nº° ¿uº°±a¼u  26 20" xfId="5360"/>
    <cellStyle name="ÅëÈ­ [0]_ ºñ¸ñº° ¿ùº°±â¼ú  26 20" xfId="5361"/>
    <cellStyle name="AeE­ [0]_ ºn¸nº° ¿uº°±a¼u  26 21" xfId="5362"/>
    <cellStyle name="ÅëÈ­ [0]_ ºñ¸ñº° ¿ùº°±â¼ú  26 21" xfId="5363"/>
    <cellStyle name="AeE­ [0]_ ºn¸nº° ¿uº°±a¼u  26 22" xfId="5364"/>
    <cellStyle name="ÅëÈ­ [0]_ ºñ¸ñº° ¿ùº°±â¼ú  26 22" xfId="5365"/>
    <cellStyle name="AeE­ [0]_ ºn¸nº° ¿uº°±a¼u  26 23" xfId="5366"/>
    <cellStyle name="ÅëÈ­ [0]_ ºñ¸ñº° ¿ùº°±â¼ú  26 23" xfId="5367"/>
    <cellStyle name="AeE­ [0]_ ºn¸nº° ¿uº°±a¼u  26 24" xfId="5368"/>
    <cellStyle name="ÅëÈ­ [0]_ ºñ¸ñº° ¿ùº°±â¼ú  26 24" xfId="5369"/>
    <cellStyle name="AeE­ [0]_ ºn¸nº° ¿uº°±a¼u  26 25" xfId="5370"/>
    <cellStyle name="ÅëÈ­ [0]_ ºñ¸ñº° ¿ùº°±â¼ú  26 25" xfId="5371"/>
    <cellStyle name="AeE­ [0]_ ºn¸nº° ¿uº°±a¼u  26 26" xfId="5372"/>
    <cellStyle name="ÅëÈ­ [0]_ ºñ¸ñº° ¿ùº°±â¼ú  26 26" xfId="5373"/>
    <cellStyle name="AeE­ [0]_ ºn¸nº° ¿uº°±a¼u  26 27" xfId="5374"/>
    <cellStyle name="ÅëÈ­ [0]_ ºñ¸ñº° ¿ùº°±â¼ú  26 27" xfId="5375"/>
    <cellStyle name="AeE­ [0]_ ºn¸nº° ¿uº°±a¼u  26 28" xfId="5376"/>
    <cellStyle name="ÅëÈ­ [0]_ ºñ¸ñº° ¿ùº°±â¼ú  26 28" xfId="5377"/>
    <cellStyle name="AeE­ [0]_ ºn¸nº° ¿uº°±a¼u  26 29" xfId="5378"/>
    <cellStyle name="ÅëÈ­ [0]_ ºñ¸ñº° ¿ùº°±â¼ú  26 29" xfId="5379"/>
    <cellStyle name="AeE­ [0]_ ºn¸nº° ¿uº°±a¼u  26 3" xfId="5380"/>
    <cellStyle name="ÅëÈ­ [0]_ ºñ¸ñº° ¿ùº°±â¼ú  26 3" xfId="5381"/>
    <cellStyle name="AeE­ [0]_ ºn¸nº° ¿uº°±a¼u  26 30" xfId="5382"/>
    <cellStyle name="ÅëÈ­ [0]_ ºñ¸ñº° ¿ùº°±â¼ú  26 30" xfId="5383"/>
    <cellStyle name="AeE­ [0]_ ºn¸nº° ¿uº°±a¼u  26 31" xfId="5384"/>
    <cellStyle name="ÅëÈ­ [0]_ ºñ¸ñº° ¿ùº°±â¼ú  26 31" xfId="5385"/>
    <cellStyle name="AeE­ [0]_ ºn¸nº° ¿uº°±a¼u  26 32" xfId="5386"/>
    <cellStyle name="ÅëÈ­ [0]_ ºñ¸ñº° ¿ùº°±â¼ú  26 32" xfId="5387"/>
    <cellStyle name="AeE­ [0]_ ºn¸nº° ¿uº°±a¼u  26 33" xfId="5388"/>
    <cellStyle name="ÅëÈ­ [0]_ ºñ¸ñº° ¿ùº°±â¼ú  26 33" xfId="5389"/>
    <cellStyle name="AeE­ [0]_ ºn¸nº° ¿uº°±a¼u  26 34" xfId="5390"/>
    <cellStyle name="ÅëÈ­ [0]_ ºñ¸ñº° ¿ùº°±â¼ú  26 34" xfId="5391"/>
    <cellStyle name="AeE­ [0]_ ºn¸nº° ¿uº°±a¼u  26 4" xfId="5392"/>
    <cellStyle name="ÅëÈ­ [0]_ ºñ¸ñº° ¿ùº°±â¼ú  26 4" xfId="5393"/>
    <cellStyle name="AeE­ [0]_ ºn¸nº° ¿uº°±a¼u  26 5" xfId="5394"/>
    <cellStyle name="ÅëÈ­ [0]_ ºñ¸ñº° ¿ùº°±â¼ú  26 5" xfId="5395"/>
    <cellStyle name="AeE­ [0]_ ºn¸nº° ¿uº°±a¼u  26 6" xfId="5396"/>
    <cellStyle name="ÅëÈ­ [0]_ ºñ¸ñº° ¿ùº°±â¼ú  26 6" xfId="5397"/>
    <cellStyle name="AeE­ [0]_ ºn¸nº° ¿uº°±a¼u  26 7" xfId="5398"/>
    <cellStyle name="ÅëÈ­ [0]_ ºñ¸ñº° ¿ùº°±â¼ú  26 7" xfId="5399"/>
    <cellStyle name="AeE­ [0]_ ºn¸nº° ¿uº°±a¼u  26 8" xfId="5400"/>
    <cellStyle name="ÅëÈ­ [0]_ ºñ¸ñº° ¿ùº°±â¼ú  26 8" xfId="5401"/>
    <cellStyle name="AeE­ [0]_ ºn¸nº° ¿uº°±a¼u  26 9" xfId="5402"/>
    <cellStyle name="ÅëÈ­ [0]_ ºñ¸ñº° ¿ùº°±â¼ú  26 9" xfId="5403"/>
    <cellStyle name="AeE­ [0]_ ºn¸nº° ¿uº°±a¼u  27" xfId="5404"/>
    <cellStyle name="ÅëÈ­ [0]_ ºñ¸ñº° ¿ùº°±â¼ú  27" xfId="5405"/>
    <cellStyle name="AeE­ [0]_ ºn¸nº° ¿uº°±a¼u  27 10" xfId="5406"/>
    <cellStyle name="ÅëÈ­ [0]_ ºñ¸ñº° ¿ùº°±â¼ú  27 10" xfId="5407"/>
    <cellStyle name="AeE­ [0]_ ºn¸nº° ¿uº°±a¼u  27 11" xfId="5408"/>
    <cellStyle name="ÅëÈ­ [0]_ ºñ¸ñº° ¿ùº°±â¼ú  27 11" xfId="5409"/>
    <cellStyle name="AeE­ [0]_ ºn¸nº° ¿uº°±a¼u  27 12" xfId="5410"/>
    <cellStyle name="ÅëÈ­ [0]_ ºñ¸ñº° ¿ùº°±â¼ú  27 12" xfId="5411"/>
    <cellStyle name="AeE­ [0]_ ºn¸nº° ¿uº°±a¼u  27 13" xfId="5412"/>
    <cellStyle name="ÅëÈ­ [0]_ ºñ¸ñº° ¿ùº°±â¼ú  27 13" xfId="5413"/>
    <cellStyle name="AeE­ [0]_ ºn¸nº° ¿uº°±a¼u  27 14" xfId="5414"/>
    <cellStyle name="ÅëÈ­ [0]_ ºñ¸ñº° ¿ùº°±â¼ú  27 14" xfId="5415"/>
    <cellStyle name="AeE­ [0]_ ºn¸nº° ¿uº°±a¼u  27 15" xfId="5416"/>
    <cellStyle name="ÅëÈ­ [0]_ ºñ¸ñº° ¿ùº°±â¼ú  27 15" xfId="5417"/>
    <cellStyle name="AeE­ [0]_ ºn¸nº° ¿uº°±a¼u  27 16" xfId="5418"/>
    <cellStyle name="ÅëÈ­ [0]_ ºñ¸ñº° ¿ùº°±â¼ú  27 16" xfId="5419"/>
    <cellStyle name="AeE­ [0]_ ºn¸nº° ¿uº°±a¼u  27 17" xfId="5420"/>
    <cellStyle name="ÅëÈ­ [0]_ ºñ¸ñº° ¿ùº°±â¼ú  27 17" xfId="5421"/>
    <cellStyle name="AeE­ [0]_ ºn¸nº° ¿uº°±a¼u  27 18" xfId="5422"/>
    <cellStyle name="ÅëÈ­ [0]_ ºñ¸ñº° ¿ùº°±â¼ú  27 18" xfId="5423"/>
    <cellStyle name="AeE­ [0]_ ºn¸nº° ¿uº°±a¼u  27 19" xfId="5424"/>
    <cellStyle name="ÅëÈ­ [0]_ ºñ¸ñº° ¿ùº°±â¼ú  27 19" xfId="5425"/>
    <cellStyle name="AeE­ [0]_ ºn¸nº° ¿uº°±a¼u  27 2" xfId="5426"/>
    <cellStyle name="ÅëÈ­ [0]_ ºñ¸ñº° ¿ùº°±â¼ú  27 2" xfId="5427"/>
    <cellStyle name="AeE­ [0]_ ºn¸nº° ¿uº°±a¼u  27 20" xfId="5428"/>
    <cellStyle name="ÅëÈ­ [0]_ ºñ¸ñº° ¿ùº°±â¼ú  27 20" xfId="5429"/>
    <cellStyle name="AeE­ [0]_ ºn¸nº° ¿uº°±a¼u  27 21" xfId="5430"/>
    <cellStyle name="ÅëÈ­ [0]_ ºñ¸ñº° ¿ùº°±â¼ú  27 21" xfId="5431"/>
    <cellStyle name="AeE­ [0]_ ºn¸nº° ¿uº°±a¼u  27 22" xfId="5432"/>
    <cellStyle name="ÅëÈ­ [0]_ ºñ¸ñº° ¿ùº°±â¼ú  27 22" xfId="5433"/>
    <cellStyle name="AeE­ [0]_ ºn¸nº° ¿uº°±a¼u  27 23" xfId="5434"/>
    <cellStyle name="ÅëÈ­ [0]_ ºñ¸ñº° ¿ùº°±â¼ú  27 23" xfId="5435"/>
    <cellStyle name="AeE­ [0]_ ºn¸nº° ¿uº°±a¼u  27 24" xfId="5436"/>
    <cellStyle name="ÅëÈ­ [0]_ ºñ¸ñº° ¿ùº°±â¼ú  27 24" xfId="5437"/>
    <cellStyle name="AeE­ [0]_ ºn¸nº° ¿uº°±a¼u  27 25" xfId="5438"/>
    <cellStyle name="ÅëÈ­ [0]_ ºñ¸ñº° ¿ùº°±â¼ú  27 25" xfId="5439"/>
    <cellStyle name="AeE­ [0]_ ºn¸nº° ¿uº°±a¼u  27 26" xfId="5440"/>
    <cellStyle name="ÅëÈ­ [0]_ ºñ¸ñº° ¿ùº°±â¼ú  27 26" xfId="5441"/>
    <cellStyle name="AeE­ [0]_ ºn¸nº° ¿uº°±a¼u  27 27" xfId="5442"/>
    <cellStyle name="ÅëÈ­ [0]_ ºñ¸ñº° ¿ùº°±â¼ú  27 27" xfId="5443"/>
    <cellStyle name="AeE­ [0]_ ºn¸nº° ¿uº°±a¼u  27 28" xfId="5444"/>
    <cellStyle name="ÅëÈ­ [0]_ ºñ¸ñº° ¿ùº°±â¼ú  27 28" xfId="5445"/>
    <cellStyle name="AeE­ [0]_ ºn¸nº° ¿uº°±a¼u  27 29" xfId="5446"/>
    <cellStyle name="ÅëÈ­ [0]_ ºñ¸ñº° ¿ùº°±â¼ú  27 29" xfId="5447"/>
    <cellStyle name="AeE­ [0]_ ºn¸nº° ¿uº°±a¼u  27 3" xfId="5448"/>
    <cellStyle name="ÅëÈ­ [0]_ ºñ¸ñº° ¿ùº°±â¼ú  27 3" xfId="5449"/>
    <cellStyle name="AeE­ [0]_ ºn¸nº° ¿uº°±a¼u  27 30" xfId="5450"/>
    <cellStyle name="ÅëÈ­ [0]_ ºñ¸ñº° ¿ùº°±â¼ú  27 30" xfId="5451"/>
    <cellStyle name="AeE­ [0]_ ºn¸nº° ¿uº°±a¼u  27 31" xfId="5452"/>
    <cellStyle name="ÅëÈ­ [0]_ ºñ¸ñº° ¿ùº°±â¼ú  27 31" xfId="5453"/>
    <cellStyle name="AeE­ [0]_ ºn¸nº° ¿uº°±a¼u  27 32" xfId="5454"/>
    <cellStyle name="ÅëÈ­ [0]_ ºñ¸ñº° ¿ùº°±â¼ú  27 32" xfId="5455"/>
    <cellStyle name="AeE­ [0]_ ºn¸nº° ¿uº°±a¼u  27 33" xfId="5456"/>
    <cellStyle name="ÅëÈ­ [0]_ ºñ¸ñº° ¿ùº°±â¼ú  27 33" xfId="5457"/>
    <cellStyle name="AeE­ [0]_ ºn¸nº° ¿uº°±a¼u  27 34" xfId="5458"/>
    <cellStyle name="ÅëÈ­ [0]_ ºñ¸ñº° ¿ùº°±â¼ú  27 34" xfId="5459"/>
    <cellStyle name="AeE­ [0]_ ºn¸nº° ¿uº°±a¼u  27 4" xfId="5460"/>
    <cellStyle name="ÅëÈ­ [0]_ ºñ¸ñº° ¿ùº°±â¼ú  27 4" xfId="5461"/>
    <cellStyle name="AeE­ [0]_ ºn¸nº° ¿uº°±a¼u  27 5" xfId="5462"/>
    <cellStyle name="ÅëÈ­ [0]_ ºñ¸ñº° ¿ùº°±â¼ú  27 5" xfId="5463"/>
    <cellStyle name="AeE­ [0]_ ºn¸nº° ¿uº°±a¼u  27 6" xfId="5464"/>
    <cellStyle name="ÅëÈ­ [0]_ ºñ¸ñº° ¿ùº°±â¼ú  27 6" xfId="5465"/>
    <cellStyle name="AeE­ [0]_ ºn¸nº° ¿uº°±a¼u  27 7" xfId="5466"/>
    <cellStyle name="ÅëÈ­ [0]_ ºñ¸ñº° ¿ùº°±â¼ú  27 7" xfId="5467"/>
    <cellStyle name="AeE­ [0]_ ºn¸nº° ¿uº°±a¼u  27 8" xfId="5468"/>
    <cellStyle name="ÅëÈ­ [0]_ ºñ¸ñº° ¿ùº°±â¼ú  27 8" xfId="5469"/>
    <cellStyle name="AeE­ [0]_ ºn¸nº° ¿uº°±a¼u  27 9" xfId="5470"/>
    <cellStyle name="ÅëÈ­ [0]_ ºñ¸ñº° ¿ùº°±â¼ú  27 9" xfId="5471"/>
    <cellStyle name="AeE­ [0]_ ºn¸nº° ¿uº°±a¼u  28" xfId="5472"/>
    <cellStyle name="ÅëÈ­ [0]_ ºñ¸ñº° ¿ùº°±â¼ú  28" xfId="5473"/>
    <cellStyle name="AeE­ [0]_ ºn¸nº° ¿uº°±a¼u  28 10" xfId="5474"/>
    <cellStyle name="ÅëÈ­ [0]_ ºñ¸ñº° ¿ùº°±â¼ú  28 10" xfId="5475"/>
    <cellStyle name="AeE­ [0]_ ºn¸nº° ¿uº°±a¼u  28 11" xfId="5476"/>
    <cellStyle name="ÅëÈ­ [0]_ ºñ¸ñº° ¿ùº°±â¼ú  28 11" xfId="5477"/>
    <cellStyle name="AeE­ [0]_ ºn¸nº° ¿uº°±a¼u  28 12" xfId="5478"/>
    <cellStyle name="ÅëÈ­ [0]_ ºñ¸ñº° ¿ùº°±â¼ú  28 12" xfId="5479"/>
    <cellStyle name="AeE­ [0]_ ºn¸nº° ¿uº°±a¼u  28 13" xfId="5480"/>
    <cellStyle name="ÅëÈ­ [0]_ ºñ¸ñº° ¿ùº°±â¼ú  28 13" xfId="5481"/>
    <cellStyle name="AeE­ [0]_ ºn¸nº° ¿uº°±a¼u  28 14" xfId="5482"/>
    <cellStyle name="ÅëÈ­ [0]_ ºñ¸ñº° ¿ùº°±â¼ú  28 14" xfId="5483"/>
    <cellStyle name="AeE­ [0]_ ºn¸nº° ¿uº°±a¼u  28 15" xfId="5484"/>
    <cellStyle name="ÅëÈ­ [0]_ ºñ¸ñº° ¿ùº°±â¼ú  28 15" xfId="5485"/>
    <cellStyle name="AeE­ [0]_ ºn¸nº° ¿uº°±a¼u  28 16" xfId="5486"/>
    <cellStyle name="ÅëÈ­ [0]_ ºñ¸ñº° ¿ùº°±â¼ú  28 16" xfId="5487"/>
    <cellStyle name="AeE­ [0]_ ºn¸nº° ¿uº°±a¼u  28 17" xfId="5488"/>
    <cellStyle name="ÅëÈ­ [0]_ ºñ¸ñº° ¿ùº°±â¼ú  28 17" xfId="5489"/>
    <cellStyle name="AeE­ [0]_ ºn¸nº° ¿uº°±a¼u  28 18" xfId="5490"/>
    <cellStyle name="ÅëÈ­ [0]_ ºñ¸ñº° ¿ùº°±â¼ú  28 18" xfId="5491"/>
    <cellStyle name="AeE­ [0]_ ºn¸nº° ¿uº°±a¼u  28 19" xfId="5492"/>
    <cellStyle name="ÅëÈ­ [0]_ ºñ¸ñº° ¿ùº°±â¼ú  28 19" xfId="5493"/>
    <cellStyle name="AeE­ [0]_ ºn¸nº° ¿uº°±a¼u  28 2" xfId="5494"/>
    <cellStyle name="ÅëÈ­ [0]_ ºñ¸ñº° ¿ùº°±â¼ú  28 2" xfId="5495"/>
    <cellStyle name="AeE­ [0]_ ºn¸nº° ¿uº°±a¼u  28 20" xfId="5496"/>
    <cellStyle name="ÅëÈ­ [0]_ ºñ¸ñº° ¿ùº°±â¼ú  28 20" xfId="5497"/>
    <cellStyle name="AeE­ [0]_ ºn¸nº° ¿uº°±a¼u  28 21" xfId="5498"/>
    <cellStyle name="ÅëÈ­ [0]_ ºñ¸ñº° ¿ùº°±â¼ú  28 21" xfId="5499"/>
    <cellStyle name="AeE­ [0]_ ºn¸nº° ¿uº°±a¼u  28 22" xfId="5500"/>
    <cellStyle name="ÅëÈ­ [0]_ ºñ¸ñº° ¿ùº°±â¼ú  28 22" xfId="5501"/>
    <cellStyle name="AeE­ [0]_ ºn¸nº° ¿uº°±a¼u  28 23" xfId="5502"/>
    <cellStyle name="ÅëÈ­ [0]_ ºñ¸ñº° ¿ùº°±â¼ú  28 23" xfId="5503"/>
    <cellStyle name="AeE­ [0]_ ºn¸nº° ¿uº°±a¼u  28 24" xfId="5504"/>
    <cellStyle name="ÅëÈ­ [0]_ ºñ¸ñº° ¿ùº°±â¼ú  28 24" xfId="5505"/>
    <cellStyle name="AeE­ [0]_ ºn¸nº° ¿uº°±a¼u  28 25" xfId="5506"/>
    <cellStyle name="ÅëÈ­ [0]_ ºñ¸ñº° ¿ùº°±â¼ú  28 25" xfId="5507"/>
    <cellStyle name="AeE­ [0]_ ºn¸nº° ¿uº°±a¼u  28 26" xfId="5508"/>
    <cellStyle name="ÅëÈ­ [0]_ ºñ¸ñº° ¿ùº°±â¼ú  28 26" xfId="5509"/>
    <cellStyle name="AeE­ [0]_ ºn¸nº° ¿uº°±a¼u  28 27" xfId="5510"/>
    <cellStyle name="ÅëÈ­ [0]_ ºñ¸ñº° ¿ùº°±â¼ú  28 27" xfId="5511"/>
    <cellStyle name="AeE­ [0]_ ºn¸nº° ¿uº°±a¼u  28 28" xfId="5512"/>
    <cellStyle name="ÅëÈ­ [0]_ ºñ¸ñº° ¿ùº°±â¼ú  28 28" xfId="5513"/>
    <cellStyle name="AeE­ [0]_ ºn¸nº° ¿uº°±a¼u  28 29" xfId="5514"/>
    <cellStyle name="ÅëÈ­ [0]_ ºñ¸ñº° ¿ùº°±â¼ú  28 29" xfId="5515"/>
    <cellStyle name="AeE­ [0]_ ºn¸nº° ¿uº°±a¼u  28 3" xfId="5516"/>
    <cellStyle name="ÅëÈ­ [0]_ ºñ¸ñº° ¿ùº°±â¼ú  28 3" xfId="5517"/>
    <cellStyle name="AeE­ [0]_ ºn¸nº° ¿uº°±a¼u  28 30" xfId="5518"/>
    <cellStyle name="ÅëÈ­ [0]_ ºñ¸ñº° ¿ùº°±â¼ú  28 30" xfId="5519"/>
    <cellStyle name="AeE­ [0]_ ºn¸nº° ¿uº°±a¼u  28 31" xfId="5520"/>
    <cellStyle name="ÅëÈ­ [0]_ ºñ¸ñº° ¿ùº°±â¼ú  28 31" xfId="5521"/>
    <cellStyle name="AeE­ [0]_ ºn¸nº° ¿uº°±a¼u  28 32" xfId="5522"/>
    <cellStyle name="ÅëÈ­ [0]_ ºñ¸ñº° ¿ùº°±â¼ú  28 32" xfId="5523"/>
    <cellStyle name="AeE­ [0]_ ºn¸nº° ¿uº°±a¼u  28 33" xfId="5524"/>
    <cellStyle name="ÅëÈ­ [0]_ ºñ¸ñº° ¿ùº°±â¼ú  28 33" xfId="5525"/>
    <cellStyle name="AeE­ [0]_ ºn¸nº° ¿uº°±a¼u  28 34" xfId="5526"/>
    <cellStyle name="ÅëÈ­ [0]_ ºñ¸ñº° ¿ùº°±â¼ú  28 34" xfId="5527"/>
    <cellStyle name="AeE­ [0]_ ºn¸nº° ¿uº°±a¼u  28 4" xfId="5528"/>
    <cellStyle name="ÅëÈ­ [0]_ ºñ¸ñº° ¿ùº°±â¼ú  28 4" xfId="5529"/>
    <cellStyle name="AeE­ [0]_ ºn¸nº° ¿uº°±a¼u  28 5" xfId="5530"/>
    <cellStyle name="ÅëÈ­ [0]_ ºñ¸ñº° ¿ùº°±â¼ú  28 5" xfId="5531"/>
    <cellStyle name="AeE­ [0]_ ºn¸nº° ¿uº°±a¼u  28 6" xfId="5532"/>
    <cellStyle name="ÅëÈ­ [0]_ ºñ¸ñº° ¿ùº°±â¼ú  28 6" xfId="5533"/>
    <cellStyle name="AeE­ [0]_ ºn¸nº° ¿uº°±a¼u  28 7" xfId="5534"/>
    <cellStyle name="ÅëÈ­ [0]_ ºñ¸ñº° ¿ùº°±â¼ú  28 7" xfId="5535"/>
    <cellStyle name="AeE­ [0]_ ºn¸nº° ¿uº°±a¼u  28 8" xfId="5536"/>
    <cellStyle name="ÅëÈ­ [0]_ ºñ¸ñº° ¿ùº°±â¼ú  28 8" xfId="5537"/>
    <cellStyle name="AeE­ [0]_ ºn¸nº° ¿uº°±a¼u  28 9" xfId="5538"/>
    <cellStyle name="ÅëÈ­ [0]_ ºñ¸ñº° ¿ùº°±â¼ú  28 9" xfId="5539"/>
    <cellStyle name="AeE­ [0]_ ºn¸nº° ¿uº°±a¼u  29" xfId="5540"/>
    <cellStyle name="ÅëÈ­ [0]_ ºñ¸ñº° ¿ùº°±â¼ú  29" xfId="5541"/>
    <cellStyle name="AeE­ [0]_ ºn¸nº° ¿uº°±a¼u  29 10" xfId="5542"/>
    <cellStyle name="ÅëÈ­ [0]_ ºñ¸ñº° ¿ùº°±â¼ú  29 10" xfId="5543"/>
    <cellStyle name="AeE­ [0]_ ºn¸nº° ¿uº°±a¼u  29 11" xfId="5544"/>
    <cellStyle name="ÅëÈ­ [0]_ ºñ¸ñº° ¿ùº°±â¼ú  29 11" xfId="5545"/>
    <cellStyle name="AeE­ [0]_ ºn¸nº° ¿uº°±a¼u  29 12" xfId="5546"/>
    <cellStyle name="ÅëÈ­ [0]_ ºñ¸ñº° ¿ùº°±â¼ú  29 12" xfId="5547"/>
    <cellStyle name="AeE­ [0]_ ºn¸nº° ¿uº°±a¼u  29 13" xfId="5548"/>
    <cellStyle name="ÅëÈ­ [0]_ ºñ¸ñº° ¿ùº°±â¼ú  29 13" xfId="5549"/>
    <cellStyle name="AeE­ [0]_ ºn¸nº° ¿uº°±a¼u  29 14" xfId="5550"/>
    <cellStyle name="ÅëÈ­ [0]_ ºñ¸ñº° ¿ùº°±â¼ú  29 14" xfId="5551"/>
    <cellStyle name="AeE­ [0]_ ºn¸nº° ¿uº°±a¼u  29 15" xfId="5552"/>
    <cellStyle name="ÅëÈ­ [0]_ ºñ¸ñº° ¿ùº°±â¼ú  29 15" xfId="5553"/>
    <cellStyle name="AeE­ [0]_ ºn¸nº° ¿uº°±a¼u  29 16" xfId="5554"/>
    <cellStyle name="ÅëÈ­ [0]_ ºñ¸ñº° ¿ùº°±â¼ú  29 16" xfId="5555"/>
    <cellStyle name="AeE­ [0]_ ºn¸nº° ¿uº°±a¼u  29 17" xfId="5556"/>
    <cellStyle name="ÅëÈ­ [0]_ ºñ¸ñº° ¿ùº°±â¼ú  29 17" xfId="5557"/>
    <cellStyle name="AeE­ [0]_ ºn¸nº° ¿uº°±a¼u  29 18" xfId="5558"/>
    <cellStyle name="ÅëÈ­ [0]_ ºñ¸ñº° ¿ùº°±â¼ú  29 18" xfId="5559"/>
    <cellStyle name="AeE­ [0]_ ºn¸nº° ¿uº°±a¼u  29 19" xfId="5560"/>
    <cellStyle name="ÅëÈ­ [0]_ ºñ¸ñº° ¿ùº°±â¼ú  29 19" xfId="5561"/>
    <cellStyle name="AeE­ [0]_ ºn¸nº° ¿uº°±a¼u  29 2" xfId="5562"/>
    <cellStyle name="ÅëÈ­ [0]_ ºñ¸ñº° ¿ùº°±â¼ú  29 2" xfId="5563"/>
    <cellStyle name="AeE­ [0]_ ºn¸nº° ¿uº°±a¼u  29 20" xfId="5564"/>
    <cellStyle name="ÅëÈ­ [0]_ ºñ¸ñº° ¿ùº°±â¼ú  29 20" xfId="5565"/>
    <cellStyle name="AeE­ [0]_ ºn¸nº° ¿uº°±a¼u  29 21" xfId="5566"/>
    <cellStyle name="ÅëÈ­ [0]_ ºñ¸ñº° ¿ùº°±â¼ú  29 21" xfId="5567"/>
    <cellStyle name="AeE­ [0]_ ºn¸nº° ¿uº°±a¼u  29 22" xfId="5568"/>
    <cellStyle name="ÅëÈ­ [0]_ ºñ¸ñº° ¿ùº°±â¼ú  29 22" xfId="5569"/>
    <cellStyle name="AeE­ [0]_ ºn¸nº° ¿uº°±a¼u  29 23" xfId="5570"/>
    <cellStyle name="ÅëÈ­ [0]_ ºñ¸ñº° ¿ùº°±â¼ú  29 23" xfId="5571"/>
    <cellStyle name="AeE­ [0]_ ºn¸nº° ¿uº°±a¼u  29 24" xfId="5572"/>
    <cellStyle name="ÅëÈ­ [0]_ ºñ¸ñº° ¿ùº°±â¼ú  29 24" xfId="5573"/>
    <cellStyle name="AeE­ [0]_ ºn¸nº° ¿uº°±a¼u  29 25" xfId="5574"/>
    <cellStyle name="ÅëÈ­ [0]_ ºñ¸ñº° ¿ùº°±â¼ú  29 25" xfId="5575"/>
    <cellStyle name="AeE­ [0]_ ºn¸nº° ¿uº°±a¼u  29 26" xfId="5576"/>
    <cellStyle name="ÅëÈ­ [0]_ ºñ¸ñº° ¿ùº°±â¼ú  29 26" xfId="5577"/>
    <cellStyle name="AeE­ [0]_ ºn¸nº° ¿uº°±a¼u  29 27" xfId="5578"/>
    <cellStyle name="ÅëÈ­ [0]_ ºñ¸ñº° ¿ùº°±â¼ú  29 27" xfId="5579"/>
    <cellStyle name="AeE­ [0]_ ºn¸nº° ¿uº°±a¼u  29 28" xfId="5580"/>
    <cellStyle name="ÅëÈ­ [0]_ ºñ¸ñº° ¿ùº°±â¼ú  29 28" xfId="5581"/>
    <cellStyle name="AeE­ [0]_ ºn¸nº° ¿uº°±a¼u  29 29" xfId="5582"/>
    <cellStyle name="ÅëÈ­ [0]_ ºñ¸ñº° ¿ùº°±â¼ú  29 29" xfId="5583"/>
    <cellStyle name="AeE­ [0]_ ºn¸nº° ¿uº°±a¼u  29 3" xfId="5584"/>
    <cellStyle name="ÅëÈ­ [0]_ ºñ¸ñº° ¿ùº°±â¼ú  29 3" xfId="5585"/>
    <cellStyle name="AeE­ [0]_ ºn¸nº° ¿uº°±a¼u  29 30" xfId="5586"/>
    <cellStyle name="ÅëÈ­ [0]_ ºñ¸ñº° ¿ùº°±â¼ú  29 30" xfId="5587"/>
    <cellStyle name="AeE­ [0]_ ºn¸nº° ¿uº°±a¼u  29 31" xfId="5588"/>
    <cellStyle name="ÅëÈ­ [0]_ ºñ¸ñº° ¿ùº°±â¼ú  29 31" xfId="5589"/>
    <cellStyle name="AeE­ [0]_ ºn¸nº° ¿uº°±a¼u  29 32" xfId="5590"/>
    <cellStyle name="ÅëÈ­ [0]_ ºñ¸ñº° ¿ùº°±â¼ú  29 32" xfId="5591"/>
    <cellStyle name="AeE­ [0]_ ºn¸nº° ¿uº°±a¼u  29 33" xfId="5592"/>
    <cellStyle name="ÅëÈ­ [0]_ ºñ¸ñº° ¿ùº°±â¼ú  29 33" xfId="5593"/>
    <cellStyle name="AeE­ [0]_ ºn¸nº° ¿uº°±a¼u  29 34" xfId="5594"/>
    <cellStyle name="ÅëÈ­ [0]_ ºñ¸ñº° ¿ùº°±â¼ú  29 34" xfId="5595"/>
    <cellStyle name="AeE­ [0]_ ºn¸nº° ¿uº°±a¼u  29 4" xfId="5596"/>
    <cellStyle name="ÅëÈ­ [0]_ ºñ¸ñº° ¿ùº°±â¼ú  29 4" xfId="5597"/>
    <cellStyle name="AeE­ [0]_ ºn¸nº° ¿uº°±a¼u  29 5" xfId="5598"/>
    <cellStyle name="ÅëÈ­ [0]_ ºñ¸ñº° ¿ùº°±â¼ú  29 5" xfId="5599"/>
    <cellStyle name="AeE­ [0]_ ºn¸nº° ¿uº°±a¼u  29 6" xfId="5600"/>
    <cellStyle name="ÅëÈ­ [0]_ ºñ¸ñº° ¿ùº°±â¼ú  29 6" xfId="5601"/>
    <cellStyle name="AeE­ [0]_ ºn¸nº° ¿uº°±a¼u  29 7" xfId="5602"/>
    <cellStyle name="ÅëÈ­ [0]_ ºñ¸ñº° ¿ùº°±â¼ú  29 7" xfId="5603"/>
    <cellStyle name="AeE­ [0]_ ºn¸nº° ¿uº°±a¼u  29 8" xfId="5604"/>
    <cellStyle name="ÅëÈ­ [0]_ ºñ¸ñº° ¿ùº°±â¼ú  29 8" xfId="5605"/>
    <cellStyle name="AeE­ [0]_ ºn¸nº° ¿uº°±a¼u  29 9" xfId="5606"/>
    <cellStyle name="ÅëÈ­ [0]_ ºñ¸ñº° ¿ùº°±â¼ú  29 9" xfId="5607"/>
    <cellStyle name="AeE­ [0]_ ºn¸nº° ¿uº°±a¼u  3" xfId="5608"/>
    <cellStyle name="ÅëÈ­ [0]_ ºñ¸ñº° ¿ùº°±â¼ú  3" xfId="5609"/>
    <cellStyle name="AeE­ [0]_ ºn¸nº° ¿uº°±a¼u  3 10" xfId="5610"/>
    <cellStyle name="ÅëÈ­ [0]_ ºñ¸ñº° ¿ùº°±â¼ú  3 10" xfId="5611"/>
    <cellStyle name="AeE­ [0]_ ºn¸nº° ¿uº°±a¼u  3 11" xfId="5612"/>
    <cellStyle name="ÅëÈ­ [0]_ ºñ¸ñº° ¿ùº°±â¼ú  3 11" xfId="5613"/>
    <cellStyle name="AeE­ [0]_ ºn¸nº° ¿uº°±a¼u  3 12" xfId="5614"/>
    <cellStyle name="ÅëÈ­ [0]_ ºñ¸ñº° ¿ùº°±â¼ú  3 12" xfId="5615"/>
    <cellStyle name="AeE­ [0]_ ºn¸nº° ¿uº°±a¼u  3 13" xfId="5616"/>
    <cellStyle name="ÅëÈ­ [0]_ ºñ¸ñº° ¿ùº°±â¼ú  3 13" xfId="5617"/>
    <cellStyle name="AeE­ [0]_ ºn¸nº° ¿uº°±a¼u  3 14" xfId="5618"/>
    <cellStyle name="ÅëÈ­ [0]_ ºñ¸ñº° ¿ùº°±â¼ú  3 14" xfId="5619"/>
    <cellStyle name="AeE­ [0]_ ºn¸nº° ¿uº°±a¼u  3 15" xfId="5620"/>
    <cellStyle name="ÅëÈ­ [0]_ ºñ¸ñº° ¿ùº°±â¼ú  3 15" xfId="5621"/>
    <cellStyle name="AeE­ [0]_ ºn¸nº° ¿uº°±a¼u  3 16" xfId="5622"/>
    <cellStyle name="ÅëÈ­ [0]_ ºñ¸ñº° ¿ùº°±â¼ú  3 16" xfId="5623"/>
    <cellStyle name="AeE­ [0]_ ºn¸nº° ¿uº°±a¼u  3 17" xfId="5624"/>
    <cellStyle name="ÅëÈ­ [0]_ ºñ¸ñº° ¿ùº°±â¼ú  3 17" xfId="5625"/>
    <cellStyle name="AeE­ [0]_ ºn¸nº° ¿uº°±a¼u  3 18" xfId="5626"/>
    <cellStyle name="ÅëÈ­ [0]_ ºñ¸ñº° ¿ùº°±â¼ú  3 18" xfId="5627"/>
    <cellStyle name="AeE­ [0]_ ºn¸nº° ¿uº°±a¼u  3 19" xfId="5628"/>
    <cellStyle name="ÅëÈ­ [0]_ ºñ¸ñº° ¿ùº°±â¼ú  3 19" xfId="5629"/>
    <cellStyle name="AeE­ [0]_ ºn¸nº° ¿uº°±a¼u  3 2" xfId="5630"/>
    <cellStyle name="ÅëÈ­ [0]_ ºñ¸ñº° ¿ùº°±â¼ú  3 2" xfId="5631"/>
    <cellStyle name="AeE­ [0]_ ºn¸nº° ¿uº°±a¼u  3 20" xfId="5632"/>
    <cellStyle name="ÅëÈ­ [0]_ ºñ¸ñº° ¿ùº°±â¼ú  3 20" xfId="5633"/>
    <cellStyle name="AeE­ [0]_ ºn¸nº° ¿uº°±a¼u  3 21" xfId="5634"/>
    <cellStyle name="ÅëÈ­ [0]_ ºñ¸ñº° ¿ùº°±â¼ú  3 21" xfId="5635"/>
    <cellStyle name="AeE­ [0]_ ºn¸nº° ¿uº°±a¼u  3 22" xfId="5636"/>
    <cellStyle name="ÅëÈ­ [0]_ ºñ¸ñº° ¿ùº°±â¼ú  3 22" xfId="5637"/>
    <cellStyle name="AeE­ [0]_ ºn¸nº° ¿uº°±a¼u  3 23" xfId="5638"/>
    <cellStyle name="ÅëÈ­ [0]_ ºñ¸ñº° ¿ùº°±â¼ú  3 23" xfId="5639"/>
    <cellStyle name="AeE­ [0]_ ºn¸nº° ¿uº°±a¼u  3 24" xfId="5640"/>
    <cellStyle name="ÅëÈ­ [0]_ ºñ¸ñº° ¿ùº°±â¼ú  3 24" xfId="5641"/>
    <cellStyle name="AeE­ [0]_ ºn¸nº° ¿uº°±a¼u  3 25" xfId="5642"/>
    <cellStyle name="ÅëÈ­ [0]_ ºñ¸ñº° ¿ùº°±â¼ú  3 25" xfId="5643"/>
    <cellStyle name="AeE­ [0]_ ºn¸nº° ¿uº°±a¼u  3 26" xfId="5644"/>
    <cellStyle name="ÅëÈ­ [0]_ ºñ¸ñº° ¿ùº°±â¼ú  3 26" xfId="5645"/>
    <cellStyle name="AeE­ [0]_ ºn¸nº° ¿uº°±a¼u  3 27" xfId="5646"/>
    <cellStyle name="ÅëÈ­ [0]_ ºñ¸ñº° ¿ùº°±â¼ú  3 27" xfId="5647"/>
    <cellStyle name="AeE­ [0]_ ºn¸nº° ¿uº°±a¼u  3 28" xfId="5648"/>
    <cellStyle name="ÅëÈ­ [0]_ ºñ¸ñº° ¿ùº°±â¼ú  3 28" xfId="5649"/>
    <cellStyle name="AeE­ [0]_ ºn¸nº° ¿uº°±a¼u  3 29" xfId="5650"/>
    <cellStyle name="ÅëÈ­ [0]_ ºñ¸ñº° ¿ùº°±â¼ú  3 29" xfId="5651"/>
    <cellStyle name="AeE­ [0]_ ºn¸nº° ¿uº°±a¼u  3 3" xfId="5652"/>
    <cellStyle name="ÅëÈ­ [0]_ ºñ¸ñº° ¿ùº°±â¼ú  3 3" xfId="5653"/>
    <cellStyle name="AeE­ [0]_ ºn¸nº° ¿uº°±a¼u  3 30" xfId="5654"/>
    <cellStyle name="ÅëÈ­ [0]_ ºñ¸ñº° ¿ùº°±â¼ú  3 30" xfId="5655"/>
    <cellStyle name="AeE­ [0]_ ºn¸nº° ¿uº°±a¼u  3 31" xfId="5656"/>
    <cellStyle name="ÅëÈ­ [0]_ ºñ¸ñº° ¿ùº°±â¼ú  3 31" xfId="5657"/>
    <cellStyle name="AeE­ [0]_ ºn¸nº° ¿uº°±a¼u  3 32" xfId="5658"/>
    <cellStyle name="ÅëÈ­ [0]_ ºñ¸ñº° ¿ùº°±â¼ú  3 32" xfId="5659"/>
    <cellStyle name="AeE­ [0]_ ºn¸nº° ¿uº°±a¼u  3 33" xfId="5660"/>
    <cellStyle name="ÅëÈ­ [0]_ ºñ¸ñº° ¿ùº°±â¼ú  3 33" xfId="5661"/>
    <cellStyle name="AeE­ [0]_ ºn¸nº° ¿uº°±a¼u  3 34" xfId="5662"/>
    <cellStyle name="ÅëÈ­ [0]_ ºñ¸ñº° ¿ùº°±â¼ú  3 34" xfId="5663"/>
    <cellStyle name="AeE­ [0]_ ºn¸nº° ¿uº°±a¼u  3 4" xfId="5664"/>
    <cellStyle name="ÅëÈ­ [0]_ ºñ¸ñº° ¿ùº°±â¼ú  3 4" xfId="5665"/>
    <cellStyle name="AeE­ [0]_ ºn¸nº° ¿uº°±a¼u  3 5" xfId="5666"/>
    <cellStyle name="ÅëÈ­ [0]_ ºñ¸ñº° ¿ùº°±â¼ú  3 5" xfId="5667"/>
    <cellStyle name="AeE­ [0]_ ºn¸nº° ¿uº°±a¼u  3 6" xfId="5668"/>
    <cellStyle name="ÅëÈ­ [0]_ ºñ¸ñº° ¿ùº°±â¼ú  3 6" xfId="5669"/>
    <cellStyle name="AeE­ [0]_ ºn¸nº° ¿uº°±a¼u  3 7" xfId="5670"/>
    <cellStyle name="ÅëÈ­ [0]_ ºñ¸ñº° ¿ùº°±â¼ú  3 7" xfId="5671"/>
    <cellStyle name="AeE­ [0]_ ºn¸nº° ¿uº°±a¼u  3 8" xfId="5672"/>
    <cellStyle name="ÅëÈ­ [0]_ ºñ¸ñº° ¿ùº°±â¼ú  3 8" xfId="5673"/>
    <cellStyle name="AeE­ [0]_ ºn¸nº° ¿uº°±a¼u  3 9" xfId="5674"/>
    <cellStyle name="ÅëÈ­ [0]_ ºñ¸ñº° ¿ùº°±â¼ú  3 9" xfId="5675"/>
    <cellStyle name="AeE­ [0]_ ºn¸nº° ¿uº°±a¼u  30" xfId="5676"/>
    <cellStyle name="ÅëÈ­ [0]_ ºñ¸ñº° ¿ùº°±â¼ú  30" xfId="5677"/>
    <cellStyle name="AeE­ [0]_ ºn¸nº° ¿uº°±a¼u  30 10" xfId="5678"/>
    <cellStyle name="ÅëÈ­ [0]_ ºñ¸ñº° ¿ùº°±â¼ú  30 10" xfId="5679"/>
    <cellStyle name="AeE­ [0]_ ºn¸nº° ¿uº°±a¼u  30 11" xfId="5680"/>
    <cellStyle name="ÅëÈ­ [0]_ ºñ¸ñº° ¿ùº°±â¼ú  30 11" xfId="5681"/>
    <cellStyle name="AeE­ [0]_ ºn¸nº° ¿uº°±a¼u  30 12" xfId="5682"/>
    <cellStyle name="ÅëÈ­ [0]_ ºñ¸ñº° ¿ùº°±â¼ú  30 12" xfId="5683"/>
    <cellStyle name="AeE­ [0]_ ºn¸nº° ¿uº°±a¼u  30 13" xfId="5684"/>
    <cellStyle name="ÅëÈ­ [0]_ ºñ¸ñº° ¿ùº°±â¼ú  30 13" xfId="5685"/>
    <cellStyle name="AeE­ [0]_ ºn¸nº° ¿uº°±a¼u  30 14" xfId="5686"/>
    <cellStyle name="ÅëÈ­ [0]_ ºñ¸ñº° ¿ùº°±â¼ú  30 14" xfId="5687"/>
    <cellStyle name="AeE­ [0]_ ºn¸nº° ¿uº°±a¼u  30 15" xfId="5688"/>
    <cellStyle name="ÅëÈ­ [0]_ ºñ¸ñº° ¿ùº°±â¼ú  30 15" xfId="5689"/>
    <cellStyle name="AeE­ [0]_ ºn¸nº° ¿uº°±a¼u  30 16" xfId="5690"/>
    <cellStyle name="ÅëÈ­ [0]_ ºñ¸ñº° ¿ùº°±â¼ú  30 16" xfId="5691"/>
    <cellStyle name="AeE­ [0]_ ºn¸nº° ¿uº°±a¼u  30 17" xfId="5692"/>
    <cellStyle name="ÅëÈ­ [0]_ ºñ¸ñº° ¿ùº°±â¼ú  30 17" xfId="5693"/>
    <cellStyle name="AeE­ [0]_ ºn¸nº° ¿uº°±a¼u  30 18" xfId="5694"/>
    <cellStyle name="ÅëÈ­ [0]_ ºñ¸ñº° ¿ùº°±â¼ú  30 18" xfId="5695"/>
    <cellStyle name="AeE­ [0]_ ºn¸nº° ¿uº°±a¼u  30 19" xfId="5696"/>
    <cellStyle name="ÅëÈ­ [0]_ ºñ¸ñº° ¿ùº°±â¼ú  30 19" xfId="5697"/>
    <cellStyle name="AeE­ [0]_ ºn¸nº° ¿uº°±a¼u  30 2" xfId="5698"/>
    <cellStyle name="ÅëÈ­ [0]_ ºñ¸ñº° ¿ùº°±â¼ú  30 2" xfId="5699"/>
    <cellStyle name="AeE­ [0]_ ºn¸nº° ¿uº°±a¼u  30 20" xfId="5700"/>
    <cellStyle name="ÅëÈ­ [0]_ ºñ¸ñº° ¿ùº°±â¼ú  30 20" xfId="5701"/>
    <cellStyle name="AeE­ [0]_ ºn¸nº° ¿uº°±a¼u  30 21" xfId="5702"/>
    <cellStyle name="ÅëÈ­ [0]_ ºñ¸ñº° ¿ùº°±â¼ú  30 21" xfId="5703"/>
    <cellStyle name="AeE­ [0]_ ºn¸nº° ¿uº°±a¼u  30 22" xfId="5704"/>
    <cellStyle name="ÅëÈ­ [0]_ ºñ¸ñº° ¿ùº°±â¼ú  30 22" xfId="5705"/>
    <cellStyle name="AeE­ [0]_ ºn¸nº° ¿uº°±a¼u  30 23" xfId="5706"/>
    <cellStyle name="ÅëÈ­ [0]_ ºñ¸ñº° ¿ùº°±â¼ú  30 23" xfId="5707"/>
    <cellStyle name="AeE­ [0]_ ºn¸nº° ¿uº°±a¼u  30 24" xfId="5708"/>
    <cellStyle name="ÅëÈ­ [0]_ ºñ¸ñº° ¿ùº°±â¼ú  30 24" xfId="5709"/>
    <cellStyle name="AeE­ [0]_ ºn¸nº° ¿uº°±a¼u  30 25" xfId="5710"/>
    <cellStyle name="ÅëÈ­ [0]_ ºñ¸ñº° ¿ùº°±â¼ú  30 25" xfId="5711"/>
    <cellStyle name="AeE­ [0]_ ºn¸nº° ¿uº°±a¼u  30 26" xfId="5712"/>
    <cellStyle name="ÅëÈ­ [0]_ ºñ¸ñº° ¿ùº°±â¼ú  30 26" xfId="5713"/>
    <cellStyle name="AeE­ [0]_ ºn¸nº° ¿uº°±a¼u  30 27" xfId="5714"/>
    <cellStyle name="ÅëÈ­ [0]_ ºñ¸ñº° ¿ùº°±â¼ú  30 27" xfId="5715"/>
    <cellStyle name="AeE­ [0]_ ºn¸nº° ¿uº°±a¼u  30 28" xfId="5716"/>
    <cellStyle name="ÅëÈ­ [0]_ ºñ¸ñº° ¿ùº°±â¼ú  30 28" xfId="5717"/>
    <cellStyle name="AeE­ [0]_ ºn¸nº° ¿uº°±a¼u  30 29" xfId="5718"/>
    <cellStyle name="ÅëÈ­ [0]_ ºñ¸ñº° ¿ùº°±â¼ú  30 29" xfId="5719"/>
    <cellStyle name="AeE­ [0]_ ºn¸nº° ¿uº°±a¼u  30 3" xfId="5720"/>
    <cellStyle name="ÅëÈ­ [0]_ ºñ¸ñº° ¿ùº°±â¼ú  30 3" xfId="5721"/>
    <cellStyle name="AeE­ [0]_ ºn¸nº° ¿uº°±a¼u  30 30" xfId="5722"/>
    <cellStyle name="ÅëÈ­ [0]_ ºñ¸ñº° ¿ùº°±â¼ú  30 30" xfId="5723"/>
    <cellStyle name="AeE­ [0]_ ºn¸nº° ¿uº°±a¼u  30 31" xfId="5724"/>
    <cellStyle name="ÅëÈ­ [0]_ ºñ¸ñº° ¿ùº°±â¼ú  30 31" xfId="5725"/>
    <cellStyle name="AeE­ [0]_ ºn¸nº° ¿uº°±a¼u  30 32" xfId="5726"/>
    <cellStyle name="ÅëÈ­ [0]_ ºñ¸ñº° ¿ùº°±â¼ú  30 32" xfId="5727"/>
    <cellStyle name="AeE­ [0]_ ºn¸nº° ¿uº°±a¼u  30 33" xfId="5728"/>
    <cellStyle name="ÅëÈ­ [0]_ ºñ¸ñº° ¿ùº°±â¼ú  30 33" xfId="5729"/>
    <cellStyle name="AeE­ [0]_ ºn¸nº° ¿uº°±a¼u  30 34" xfId="5730"/>
    <cellStyle name="ÅëÈ­ [0]_ ºñ¸ñº° ¿ùº°±â¼ú  30 34" xfId="5731"/>
    <cellStyle name="AeE­ [0]_ ºn¸nº° ¿uº°±a¼u  30 4" xfId="5732"/>
    <cellStyle name="ÅëÈ­ [0]_ ºñ¸ñº° ¿ùº°±â¼ú  30 4" xfId="5733"/>
    <cellStyle name="AeE­ [0]_ ºn¸nº° ¿uº°±a¼u  30 5" xfId="5734"/>
    <cellStyle name="ÅëÈ­ [0]_ ºñ¸ñº° ¿ùº°±â¼ú  30 5" xfId="5735"/>
    <cellStyle name="AeE­ [0]_ ºn¸nº° ¿uº°±a¼u  30 6" xfId="5736"/>
    <cellStyle name="ÅëÈ­ [0]_ ºñ¸ñº° ¿ùº°±â¼ú  30 6" xfId="5737"/>
    <cellStyle name="AeE­ [0]_ ºn¸nº° ¿uº°±a¼u  30 7" xfId="5738"/>
    <cellStyle name="ÅëÈ­ [0]_ ºñ¸ñº° ¿ùº°±â¼ú  30 7" xfId="5739"/>
    <cellStyle name="AeE­ [0]_ ºn¸nº° ¿uº°±a¼u  30 8" xfId="5740"/>
    <cellStyle name="ÅëÈ­ [0]_ ºñ¸ñº° ¿ùº°±â¼ú  30 8" xfId="5741"/>
    <cellStyle name="AeE­ [0]_ ºn¸nº° ¿uº°±a¼u  30 9" xfId="5742"/>
    <cellStyle name="ÅëÈ­ [0]_ ºñ¸ñº° ¿ùº°±â¼ú  30 9" xfId="5743"/>
    <cellStyle name="AeE­ [0]_ ºn¸nº° ¿uº°±a¼u  31" xfId="5744"/>
    <cellStyle name="ÅëÈ­ [0]_ ºñ¸ñº° ¿ùº°±â¼ú  31" xfId="5745"/>
    <cellStyle name="AeE­ [0]_ ºn¸nº° ¿uº°±a¼u  31 10" xfId="5746"/>
    <cellStyle name="ÅëÈ­ [0]_ ºñ¸ñº° ¿ùº°±â¼ú  31 10" xfId="5747"/>
    <cellStyle name="AeE­ [0]_ ºn¸nº° ¿uº°±a¼u  31 11" xfId="5748"/>
    <cellStyle name="ÅëÈ­ [0]_ ºñ¸ñº° ¿ùº°±â¼ú  31 11" xfId="5749"/>
    <cellStyle name="AeE­ [0]_ ºn¸nº° ¿uº°±a¼u  31 12" xfId="5750"/>
    <cellStyle name="ÅëÈ­ [0]_ ºñ¸ñº° ¿ùº°±â¼ú  31 12" xfId="5751"/>
    <cellStyle name="AeE­ [0]_ ºn¸nº° ¿uº°±a¼u  31 13" xfId="5752"/>
    <cellStyle name="ÅëÈ­ [0]_ ºñ¸ñº° ¿ùº°±â¼ú  31 13" xfId="5753"/>
    <cellStyle name="AeE­ [0]_ ºn¸nº° ¿uº°±a¼u  31 14" xfId="5754"/>
    <cellStyle name="ÅëÈ­ [0]_ ºñ¸ñº° ¿ùº°±â¼ú  31 14" xfId="5755"/>
    <cellStyle name="AeE­ [0]_ ºn¸nº° ¿uº°±a¼u  31 15" xfId="5756"/>
    <cellStyle name="ÅëÈ­ [0]_ ºñ¸ñº° ¿ùº°±â¼ú  31 15" xfId="5757"/>
    <cellStyle name="AeE­ [0]_ ºn¸nº° ¿uº°±a¼u  31 16" xfId="5758"/>
    <cellStyle name="ÅëÈ­ [0]_ ºñ¸ñº° ¿ùº°±â¼ú  31 16" xfId="5759"/>
    <cellStyle name="AeE­ [0]_ ºn¸nº° ¿uº°±a¼u  31 17" xfId="5760"/>
    <cellStyle name="ÅëÈ­ [0]_ ºñ¸ñº° ¿ùº°±â¼ú  31 17" xfId="5761"/>
    <cellStyle name="AeE­ [0]_ ºn¸nº° ¿uº°±a¼u  31 18" xfId="5762"/>
    <cellStyle name="ÅëÈ­ [0]_ ºñ¸ñº° ¿ùº°±â¼ú  31 18" xfId="5763"/>
    <cellStyle name="AeE­ [0]_ ºn¸nº° ¿uº°±a¼u  31 19" xfId="5764"/>
    <cellStyle name="ÅëÈ­ [0]_ ºñ¸ñº° ¿ùº°±â¼ú  31 19" xfId="5765"/>
    <cellStyle name="AeE­ [0]_ ºn¸nº° ¿uº°±a¼u  31 2" xfId="5766"/>
    <cellStyle name="ÅëÈ­ [0]_ ºñ¸ñº° ¿ùº°±â¼ú  31 2" xfId="5767"/>
    <cellStyle name="AeE­ [0]_ ºn¸nº° ¿uº°±a¼u  31 20" xfId="5768"/>
    <cellStyle name="ÅëÈ­ [0]_ ºñ¸ñº° ¿ùº°±â¼ú  31 20" xfId="5769"/>
    <cellStyle name="AeE­ [0]_ ºn¸nº° ¿uº°±a¼u  31 21" xfId="5770"/>
    <cellStyle name="ÅëÈ­ [0]_ ºñ¸ñº° ¿ùº°±â¼ú  31 21" xfId="5771"/>
    <cellStyle name="AeE­ [0]_ ºn¸nº° ¿uº°±a¼u  31 22" xfId="5772"/>
    <cellStyle name="ÅëÈ­ [0]_ ºñ¸ñº° ¿ùº°±â¼ú  31 22" xfId="5773"/>
    <cellStyle name="AeE­ [0]_ ºn¸nº° ¿uº°±a¼u  31 23" xfId="5774"/>
    <cellStyle name="ÅëÈ­ [0]_ ºñ¸ñº° ¿ùº°±â¼ú  31 23" xfId="5775"/>
    <cellStyle name="AeE­ [0]_ ºn¸nº° ¿uº°±a¼u  31 24" xfId="5776"/>
    <cellStyle name="ÅëÈ­ [0]_ ºñ¸ñº° ¿ùº°±â¼ú  31 24" xfId="5777"/>
    <cellStyle name="AeE­ [0]_ ºn¸nº° ¿uº°±a¼u  31 25" xfId="5778"/>
    <cellStyle name="ÅëÈ­ [0]_ ºñ¸ñº° ¿ùº°±â¼ú  31 25" xfId="5779"/>
    <cellStyle name="AeE­ [0]_ ºn¸nº° ¿uº°±a¼u  31 26" xfId="5780"/>
    <cellStyle name="ÅëÈ­ [0]_ ºñ¸ñº° ¿ùº°±â¼ú  31 26" xfId="5781"/>
    <cellStyle name="AeE­ [0]_ ºn¸nº° ¿uº°±a¼u  31 27" xfId="5782"/>
    <cellStyle name="ÅëÈ­ [0]_ ºñ¸ñº° ¿ùº°±â¼ú  31 27" xfId="5783"/>
    <cellStyle name="AeE­ [0]_ ºn¸nº° ¿uº°±a¼u  31 28" xfId="5784"/>
    <cellStyle name="ÅëÈ­ [0]_ ºñ¸ñº° ¿ùº°±â¼ú  31 28" xfId="5785"/>
    <cellStyle name="AeE­ [0]_ ºn¸nº° ¿uº°±a¼u  31 29" xfId="5786"/>
    <cellStyle name="ÅëÈ­ [0]_ ºñ¸ñº° ¿ùº°±â¼ú  31 29" xfId="5787"/>
    <cellStyle name="AeE­ [0]_ ºn¸nº° ¿uº°±a¼u  31 3" xfId="5788"/>
    <cellStyle name="ÅëÈ­ [0]_ ºñ¸ñº° ¿ùº°±â¼ú  31 3" xfId="5789"/>
    <cellStyle name="AeE­ [0]_ ºn¸nº° ¿uº°±a¼u  31 30" xfId="5790"/>
    <cellStyle name="ÅëÈ­ [0]_ ºñ¸ñº° ¿ùº°±â¼ú  31 30" xfId="5791"/>
    <cellStyle name="AeE­ [0]_ ºn¸nº° ¿uº°±a¼u  31 31" xfId="5792"/>
    <cellStyle name="ÅëÈ­ [0]_ ºñ¸ñº° ¿ùº°±â¼ú  31 31" xfId="5793"/>
    <cellStyle name="AeE­ [0]_ ºn¸nº° ¿uº°±a¼u  31 32" xfId="5794"/>
    <cellStyle name="ÅëÈ­ [0]_ ºñ¸ñº° ¿ùº°±â¼ú  31 32" xfId="5795"/>
    <cellStyle name="AeE­ [0]_ ºn¸nº° ¿uº°±a¼u  31 33" xfId="5796"/>
    <cellStyle name="ÅëÈ­ [0]_ ºñ¸ñº° ¿ùº°±â¼ú  31 33" xfId="5797"/>
    <cellStyle name="AeE­ [0]_ ºn¸nº° ¿uº°±a¼u  31 34" xfId="5798"/>
    <cellStyle name="ÅëÈ­ [0]_ ºñ¸ñº° ¿ùº°±â¼ú  31 34" xfId="5799"/>
    <cellStyle name="AeE­ [0]_ ºn¸nº° ¿uº°±a¼u  31 4" xfId="5800"/>
    <cellStyle name="ÅëÈ­ [0]_ ºñ¸ñº° ¿ùº°±â¼ú  31 4" xfId="5801"/>
    <cellStyle name="AeE­ [0]_ ºn¸nº° ¿uº°±a¼u  31 5" xfId="5802"/>
    <cellStyle name="ÅëÈ­ [0]_ ºñ¸ñº° ¿ùº°±â¼ú  31 5" xfId="5803"/>
    <cellStyle name="AeE­ [0]_ ºn¸nº° ¿uº°±a¼u  31 6" xfId="5804"/>
    <cellStyle name="ÅëÈ­ [0]_ ºñ¸ñº° ¿ùº°±â¼ú  31 6" xfId="5805"/>
    <cellStyle name="AeE­ [0]_ ºn¸nº° ¿uº°±a¼u  31 7" xfId="5806"/>
    <cellStyle name="ÅëÈ­ [0]_ ºñ¸ñº° ¿ùº°±â¼ú  31 7" xfId="5807"/>
    <cellStyle name="AeE­ [0]_ ºn¸nº° ¿uº°±a¼u  31 8" xfId="5808"/>
    <cellStyle name="ÅëÈ­ [0]_ ºñ¸ñº° ¿ùº°±â¼ú  31 8" xfId="5809"/>
    <cellStyle name="AeE­ [0]_ ºn¸nº° ¿uº°±a¼u  31 9" xfId="5810"/>
    <cellStyle name="ÅëÈ­ [0]_ ºñ¸ñº° ¿ùº°±â¼ú  31 9" xfId="5811"/>
    <cellStyle name="AeE­ [0]_ ºn¸nº° ¿uº°±a¼u  32" xfId="5812"/>
    <cellStyle name="ÅëÈ­ [0]_ ºñ¸ñº° ¿ùº°±â¼ú  32" xfId="5813"/>
    <cellStyle name="AeE­ [0]_ ºn¸nº° ¿uº°±a¼u  32 10" xfId="5814"/>
    <cellStyle name="ÅëÈ­ [0]_ ºñ¸ñº° ¿ùº°±â¼ú  32 10" xfId="5815"/>
    <cellStyle name="AeE­ [0]_ ºn¸nº° ¿uº°±a¼u  32 11" xfId="5816"/>
    <cellStyle name="ÅëÈ­ [0]_ ºñ¸ñº° ¿ùº°±â¼ú  32 11" xfId="5817"/>
    <cellStyle name="AeE­ [0]_ ºn¸nº° ¿uº°±a¼u  32 12" xfId="5818"/>
    <cellStyle name="ÅëÈ­ [0]_ ºñ¸ñº° ¿ùº°±â¼ú  32 12" xfId="5819"/>
    <cellStyle name="AeE­ [0]_ ºn¸nº° ¿uº°±a¼u  32 13" xfId="5820"/>
    <cellStyle name="ÅëÈ­ [0]_ ºñ¸ñº° ¿ùº°±â¼ú  32 13" xfId="5821"/>
    <cellStyle name="AeE­ [0]_ ºn¸nº° ¿uº°±a¼u  32 14" xfId="5822"/>
    <cellStyle name="ÅëÈ­ [0]_ ºñ¸ñº° ¿ùº°±â¼ú  32 14" xfId="5823"/>
    <cellStyle name="AeE­ [0]_ ºn¸nº° ¿uº°±a¼u  32 15" xfId="5824"/>
    <cellStyle name="ÅëÈ­ [0]_ ºñ¸ñº° ¿ùº°±â¼ú  32 15" xfId="5825"/>
    <cellStyle name="AeE­ [0]_ ºn¸nº° ¿uº°±a¼u  32 16" xfId="5826"/>
    <cellStyle name="ÅëÈ­ [0]_ ºñ¸ñº° ¿ùº°±â¼ú  32 16" xfId="5827"/>
    <cellStyle name="AeE­ [0]_ ºn¸nº° ¿uº°±a¼u  32 17" xfId="5828"/>
    <cellStyle name="ÅëÈ­ [0]_ ºñ¸ñº° ¿ùº°±â¼ú  32 17" xfId="5829"/>
    <cellStyle name="AeE­ [0]_ ºn¸nº° ¿uº°±a¼u  32 18" xfId="5830"/>
    <cellStyle name="ÅëÈ­ [0]_ ºñ¸ñº° ¿ùº°±â¼ú  32 18" xfId="5831"/>
    <cellStyle name="AeE­ [0]_ ºn¸nº° ¿uº°±a¼u  32 19" xfId="5832"/>
    <cellStyle name="ÅëÈ­ [0]_ ºñ¸ñº° ¿ùº°±â¼ú  32 19" xfId="5833"/>
    <cellStyle name="AeE­ [0]_ ºn¸nº° ¿uº°±a¼u  32 2" xfId="5834"/>
    <cellStyle name="ÅëÈ­ [0]_ ºñ¸ñº° ¿ùº°±â¼ú  32 2" xfId="5835"/>
    <cellStyle name="AeE­ [0]_ ºn¸nº° ¿uº°±a¼u  32 20" xfId="5836"/>
    <cellStyle name="ÅëÈ­ [0]_ ºñ¸ñº° ¿ùº°±â¼ú  32 20" xfId="5837"/>
    <cellStyle name="AeE­ [0]_ ºn¸nº° ¿uº°±a¼u  32 21" xfId="5838"/>
    <cellStyle name="ÅëÈ­ [0]_ ºñ¸ñº° ¿ùº°±â¼ú  32 21" xfId="5839"/>
    <cellStyle name="AeE­ [0]_ ºn¸nº° ¿uº°±a¼u  32 22" xfId="5840"/>
    <cellStyle name="ÅëÈ­ [0]_ ºñ¸ñº° ¿ùº°±â¼ú  32 22" xfId="5841"/>
    <cellStyle name="AeE­ [0]_ ºn¸nº° ¿uº°±a¼u  32 23" xfId="5842"/>
    <cellStyle name="ÅëÈ­ [0]_ ºñ¸ñº° ¿ùº°±â¼ú  32 23" xfId="5843"/>
    <cellStyle name="AeE­ [0]_ ºn¸nº° ¿uº°±a¼u  32 24" xfId="5844"/>
    <cellStyle name="ÅëÈ­ [0]_ ºñ¸ñº° ¿ùº°±â¼ú  32 24" xfId="5845"/>
    <cellStyle name="AeE­ [0]_ ºn¸nº° ¿uº°±a¼u  32 25" xfId="5846"/>
    <cellStyle name="ÅëÈ­ [0]_ ºñ¸ñº° ¿ùº°±â¼ú  32 25" xfId="5847"/>
    <cellStyle name="AeE­ [0]_ ºn¸nº° ¿uº°±a¼u  32 26" xfId="5848"/>
    <cellStyle name="ÅëÈ­ [0]_ ºñ¸ñº° ¿ùº°±â¼ú  32 26" xfId="5849"/>
    <cellStyle name="AeE­ [0]_ ºn¸nº° ¿uº°±a¼u  32 27" xfId="5850"/>
    <cellStyle name="ÅëÈ­ [0]_ ºñ¸ñº° ¿ùº°±â¼ú  32 27" xfId="5851"/>
    <cellStyle name="AeE­ [0]_ ºn¸nº° ¿uº°±a¼u  32 28" xfId="5852"/>
    <cellStyle name="ÅëÈ­ [0]_ ºñ¸ñº° ¿ùº°±â¼ú  32 28" xfId="5853"/>
    <cellStyle name="AeE­ [0]_ ºn¸nº° ¿uº°±a¼u  32 29" xfId="5854"/>
    <cellStyle name="ÅëÈ­ [0]_ ºñ¸ñº° ¿ùº°±â¼ú  32 29" xfId="5855"/>
    <cellStyle name="AeE­ [0]_ ºn¸nº° ¿uº°±a¼u  32 3" xfId="5856"/>
    <cellStyle name="ÅëÈ­ [0]_ ºñ¸ñº° ¿ùº°±â¼ú  32 3" xfId="5857"/>
    <cellStyle name="AeE­ [0]_ ºn¸nº° ¿uº°±a¼u  32 30" xfId="5858"/>
    <cellStyle name="ÅëÈ­ [0]_ ºñ¸ñº° ¿ùº°±â¼ú  32 30" xfId="5859"/>
    <cellStyle name="AeE­ [0]_ ºn¸nº° ¿uº°±a¼u  32 31" xfId="5860"/>
    <cellStyle name="ÅëÈ­ [0]_ ºñ¸ñº° ¿ùº°±â¼ú  32 31" xfId="5861"/>
    <cellStyle name="AeE­ [0]_ ºn¸nº° ¿uº°±a¼u  32 32" xfId="5862"/>
    <cellStyle name="ÅëÈ­ [0]_ ºñ¸ñº° ¿ùº°±â¼ú  32 32" xfId="5863"/>
    <cellStyle name="AeE­ [0]_ ºn¸nº° ¿uº°±a¼u  32 33" xfId="5864"/>
    <cellStyle name="ÅëÈ­ [0]_ ºñ¸ñº° ¿ùº°±â¼ú  32 33" xfId="5865"/>
    <cellStyle name="AeE­ [0]_ ºn¸nº° ¿uº°±a¼u  32 34" xfId="5866"/>
    <cellStyle name="ÅëÈ­ [0]_ ºñ¸ñº° ¿ùº°±â¼ú  32 34" xfId="5867"/>
    <cellStyle name="AeE­ [0]_ ºn¸nº° ¿uº°±a¼u  32 4" xfId="5868"/>
    <cellStyle name="ÅëÈ­ [0]_ ºñ¸ñº° ¿ùº°±â¼ú  32 4" xfId="5869"/>
    <cellStyle name="AeE­ [0]_ ºn¸nº° ¿uº°±a¼u  32 5" xfId="5870"/>
    <cellStyle name="ÅëÈ­ [0]_ ºñ¸ñº° ¿ùº°±â¼ú  32 5" xfId="5871"/>
    <cellStyle name="AeE­ [0]_ ºn¸nº° ¿uº°±a¼u  32 6" xfId="5872"/>
    <cellStyle name="ÅëÈ­ [0]_ ºñ¸ñº° ¿ùº°±â¼ú  32 6" xfId="5873"/>
    <cellStyle name="AeE­ [0]_ ºn¸nº° ¿uº°±a¼u  32 7" xfId="5874"/>
    <cellStyle name="ÅëÈ­ [0]_ ºñ¸ñº° ¿ùº°±â¼ú  32 7" xfId="5875"/>
    <cellStyle name="AeE­ [0]_ ºn¸nº° ¿uº°±a¼u  32 8" xfId="5876"/>
    <cellStyle name="ÅëÈ­ [0]_ ºñ¸ñº° ¿ùº°±â¼ú  32 8" xfId="5877"/>
    <cellStyle name="AeE­ [0]_ ºn¸nº° ¿uº°±a¼u  32 9" xfId="5878"/>
    <cellStyle name="ÅëÈ­ [0]_ ºñ¸ñº° ¿ùº°±â¼ú  32 9" xfId="5879"/>
    <cellStyle name="AeE­ [0]_ ºn¸nº° ¿uº°±a¼u  33" xfId="5880"/>
    <cellStyle name="ÅëÈ­ [0]_ ºñ¸ñº° ¿ùº°±â¼ú  33" xfId="5881"/>
    <cellStyle name="AeE­ [0]_ ºn¸nº° ¿uº°±a¼u  33 10" xfId="5882"/>
    <cellStyle name="ÅëÈ­ [0]_ ºñ¸ñº° ¿ùº°±â¼ú  33 10" xfId="5883"/>
    <cellStyle name="AeE­ [0]_ ºn¸nº° ¿uº°±a¼u  33 11" xfId="5884"/>
    <cellStyle name="ÅëÈ­ [0]_ ºñ¸ñº° ¿ùº°±â¼ú  33 11" xfId="5885"/>
    <cellStyle name="AeE­ [0]_ ºn¸nº° ¿uº°±a¼u  33 12" xfId="5886"/>
    <cellStyle name="ÅëÈ­ [0]_ ºñ¸ñº° ¿ùº°±â¼ú  33 12" xfId="5887"/>
    <cellStyle name="AeE­ [0]_ ºn¸nº° ¿uº°±a¼u  33 13" xfId="5888"/>
    <cellStyle name="ÅëÈ­ [0]_ ºñ¸ñº° ¿ùº°±â¼ú  33 13" xfId="5889"/>
    <cellStyle name="AeE­ [0]_ ºn¸nº° ¿uº°±a¼u  33 14" xfId="5890"/>
    <cellStyle name="ÅëÈ­ [0]_ ºñ¸ñº° ¿ùº°±â¼ú  33 14" xfId="5891"/>
    <cellStyle name="AeE­ [0]_ ºn¸nº° ¿uº°±a¼u  33 15" xfId="5892"/>
    <cellStyle name="ÅëÈ­ [0]_ ºñ¸ñº° ¿ùº°±â¼ú  33 15" xfId="5893"/>
    <cellStyle name="AeE­ [0]_ ºn¸nº° ¿uº°±a¼u  33 16" xfId="5894"/>
    <cellStyle name="ÅëÈ­ [0]_ ºñ¸ñº° ¿ùº°±â¼ú  33 16" xfId="5895"/>
    <cellStyle name="AeE­ [0]_ ºn¸nº° ¿uº°±a¼u  33 17" xfId="5896"/>
    <cellStyle name="ÅëÈ­ [0]_ ºñ¸ñº° ¿ùº°±â¼ú  33 17" xfId="5897"/>
    <cellStyle name="AeE­ [0]_ ºn¸nº° ¿uº°±a¼u  33 18" xfId="5898"/>
    <cellStyle name="ÅëÈ­ [0]_ ºñ¸ñº° ¿ùº°±â¼ú  33 18" xfId="5899"/>
    <cellStyle name="AeE­ [0]_ ºn¸nº° ¿uº°±a¼u  33 19" xfId="5900"/>
    <cellStyle name="ÅëÈ­ [0]_ ºñ¸ñº° ¿ùº°±â¼ú  33 19" xfId="5901"/>
    <cellStyle name="AeE­ [0]_ ºn¸nº° ¿uº°±a¼u  33 2" xfId="5902"/>
    <cellStyle name="ÅëÈ­ [0]_ ºñ¸ñº° ¿ùº°±â¼ú  33 2" xfId="5903"/>
    <cellStyle name="AeE­ [0]_ ºn¸nº° ¿uº°±a¼u  33 20" xfId="5904"/>
    <cellStyle name="ÅëÈ­ [0]_ ºñ¸ñº° ¿ùº°±â¼ú  33 20" xfId="5905"/>
    <cellStyle name="AeE­ [0]_ ºn¸nº° ¿uº°±a¼u  33 21" xfId="5906"/>
    <cellStyle name="ÅëÈ­ [0]_ ºñ¸ñº° ¿ùº°±â¼ú  33 21" xfId="5907"/>
    <cellStyle name="AeE­ [0]_ ºn¸nº° ¿uº°±a¼u  33 22" xfId="5908"/>
    <cellStyle name="ÅëÈ­ [0]_ ºñ¸ñº° ¿ùº°±â¼ú  33 22" xfId="5909"/>
    <cellStyle name="AeE­ [0]_ ºn¸nº° ¿uº°±a¼u  33 23" xfId="5910"/>
    <cellStyle name="ÅëÈ­ [0]_ ºñ¸ñº° ¿ùº°±â¼ú  33 23" xfId="5911"/>
    <cellStyle name="AeE­ [0]_ ºn¸nº° ¿uº°±a¼u  33 24" xfId="5912"/>
    <cellStyle name="ÅëÈ­ [0]_ ºñ¸ñº° ¿ùº°±â¼ú  33 24" xfId="5913"/>
    <cellStyle name="AeE­ [0]_ ºn¸nº° ¿uº°±a¼u  33 25" xfId="5914"/>
    <cellStyle name="ÅëÈ­ [0]_ ºñ¸ñº° ¿ùº°±â¼ú  33 25" xfId="5915"/>
    <cellStyle name="AeE­ [0]_ ºn¸nº° ¿uº°±a¼u  33 26" xfId="5916"/>
    <cellStyle name="ÅëÈ­ [0]_ ºñ¸ñº° ¿ùº°±â¼ú  33 26" xfId="5917"/>
    <cellStyle name="AeE­ [0]_ ºn¸nº° ¿uº°±a¼u  33 27" xfId="5918"/>
    <cellStyle name="ÅëÈ­ [0]_ ºñ¸ñº° ¿ùº°±â¼ú  33 27" xfId="5919"/>
    <cellStyle name="AeE­ [0]_ ºn¸nº° ¿uº°±a¼u  33 28" xfId="5920"/>
    <cellStyle name="ÅëÈ­ [0]_ ºñ¸ñº° ¿ùº°±â¼ú  33 28" xfId="5921"/>
    <cellStyle name="AeE­ [0]_ ºn¸nº° ¿uº°±a¼u  33 29" xfId="5922"/>
    <cellStyle name="ÅëÈ­ [0]_ ºñ¸ñº° ¿ùº°±â¼ú  33 29" xfId="5923"/>
    <cellStyle name="AeE­ [0]_ ºn¸nº° ¿uº°±a¼u  33 3" xfId="5924"/>
    <cellStyle name="ÅëÈ­ [0]_ ºñ¸ñº° ¿ùº°±â¼ú  33 3" xfId="5925"/>
    <cellStyle name="AeE­ [0]_ ºn¸nº° ¿uº°±a¼u  33 30" xfId="5926"/>
    <cellStyle name="ÅëÈ­ [0]_ ºñ¸ñº° ¿ùº°±â¼ú  33 30" xfId="5927"/>
    <cellStyle name="AeE­ [0]_ ºn¸nº° ¿uº°±a¼u  33 31" xfId="5928"/>
    <cellStyle name="ÅëÈ­ [0]_ ºñ¸ñº° ¿ùº°±â¼ú  33 31" xfId="5929"/>
    <cellStyle name="AeE­ [0]_ ºn¸nº° ¿uº°±a¼u  33 32" xfId="5930"/>
    <cellStyle name="ÅëÈ­ [0]_ ºñ¸ñº° ¿ùº°±â¼ú  33 32" xfId="5931"/>
    <cellStyle name="AeE­ [0]_ ºn¸nº° ¿uº°±a¼u  33 33" xfId="5932"/>
    <cellStyle name="ÅëÈ­ [0]_ ºñ¸ñº° ¿ùº°±â¼ú  33 33" xfId="5933"/>
    <cellStyle name="AeE­ [0]_ ºn¸nº° ¿uº°±a¼u  33 34" xfId="5934"/>
    <cellStyle name="ÅëÈ­ [0]_ ºñ¸ñº° ¿ùº°±â¼ú  33 34" xfId="5935"/>
    <cellStyle name="AeE­ [0]_ ºn¸nº° ¿uº°±a¼u  33 4" xfId="5936"/>
    <cellStyle name="ÅëÈ­ [0]_ ºñ¸ñº° ¿ùº°±â¼ú  33 4" xfId="5937"/>
    <cellStyle name="AeE­ [0]_ ºn¸nº° ¿uº°±a¼u  33 5" xfId="5938"/>
    <cellStyle name="ÅëÈ­ [0]_ ºñ¸ñº° ¿ùº°±â¼ú  33 5" xfId="5939"/>
    <cellStyle name="AeE­ [0]_ ºn¸nº° ¿uº°±a¼u  33 6" xfId="5940"/>
    <cellStyle name="ÅëÈ­ [0]_ ºñ¸ñº° ¿ùº°±â¼ú  33 6" xfId="5941"/>
    <cellStyle name="AeE­ [0]_ ºn¸nº° ¿uº°±a¼u  33 7" xfId="5942"/>
    <cellStyle name="ÅëÈ­ [0]_ ºñ¸ñº° ¿ùº°±â¼ú  33 7" xfId="5943"/>
    <cellStyle name="AeE­ [0]_ ºn¸nº° ¿uº°±a¼u  33 8" xfId="5944"/>
    <cellStyle name="ÅëÈ­ [0]_ ºñ¸ñº° ¿ùº°±â¼ú  33 8" xfId="5945"/>
    <cellStyle name="AeE­ [0]_ ºn¸nº° ¿uº°±a¼u  33 9" xfId="5946"/>
    <cellStyle name="ÅëÈ­ [0]_ ºñ¸ñº° ¿ùº°±â¼ú  33 9" xfId="5947"/>
    <cellStyle name="AeE­ [0]_ ºn¸nº° ¿uº°±a¼u  34" xfId="5948"/>
    <cellStyle name="ÅëÈ­ [0]_ ºñ¸ñº° ¿ùº°±â¼ú  34" xfId="5949"/>
    <cellStyle name="AeE­ [0]_ ºn¸nº° ¿uº°±a¼u  34 10" xfId="5950"/>
    <cellStyle name="ÅëÈ­ [0]_ ºñ¸ñº° ¿ùº°±â¼ú  34 10" xfId="5951"/>
    <cellStyle name="AeE­ [0]_ ºn¸nº° ¿uº°±a¼u  34 11" xfId="5952"/>
    <cellStyle name="ÅëÈ­ [0]_ ºñ¸ñº° ¿ùº°±â¼ú  34 11" xfId="5953"/>
    <cellStyle name="AeE­ [0]_ ºn¸nº° ¿uº°±a¼u  34 12" xfId="5954"/>
    <cellStyle name="ÅëÈ­ [0]_ ºñ¸ñº° ¿ùº°±â¼ú  34 12" xfId="5955"/>
    <cellStyle name="AeE­ [0]_ ºn¸nº° ¿uº°±a¼u  34 13" xfId="5956"/>
    <cellStyle name="ÅëÈ­ [0]_ ºñ¸ñº° ¿ùº°±â¼ú  34 13" xfId="5957"/>
    <cellStyle name="AeE­ [0]_ ºn¸nº° ¿uº°±a¼u  34 14" xfId="5958"/>
    <cellStyle name="ÅëÈ­ [0]_ ºñ¸ñº° ¿ùº°±â¼ú  34 14" xfId="5959"/>
    <cellStyle name="AeE­ [0]_ ºn¸nº° ¿uº°±a¼u  34 15" xfId="5960"/>
    <cellStyle name="ÅëÈ­ [0]_ ºñ¸ñº° ¿ùº°±â¼ú  34 15" xfId="5961"/>
    <cellStyle name="AeE­ [0]_ ºn¸nº° ¿uº°±a¼u  34 16" xfId="5962"/>
    <cellStyle name="ÅëÈ­ [0]_ ºñ¸ñº° ¿ùº°±â¼ú  34 16" xfId="5963"/>
    <cellStyle name="AeE­ [0]_ ºn¸nº° ¿uº°±a¼u  34 17" xfId="5964"/>
    <cellStyle name="ÅëÈ­ [0]_ ºñ¸ñº° ¿ùº°±â¼ú  34 17" xfId="5965"/>
    <cellStyle name="AeE­ [0]_ ºn¸nº° ¿uº°±a¼u  34 18" xfId="5966"/>
    <cellStyle name="ÅëÈ­ [0]_ ºñ¸ñº° ¿ùº°±â¼ú  34 18" xfId="5967"/>
    <cellStyle name="AeE­ [0]_ ºn¸nº° ¿uº°±a¼u  34 19" xfId="5968"/>
    <cellStyle name="ÅëÈ­ [0]_ ºñ¸ñº° ¿ùº°±â¼ú  34 19" xfId="5969"/>
    <cellStyle name="AeE­ [0]_ ºn¸nº° ¿uº°±a¼u  34 2" xfId="5970"/>
    <cellStyle name="ÅëÈ­ [0]_ ºñ¸ñº° ¿ùº°±â¼ú  34 2" xfId="5971"/>
    <cellStyle name="AeE­ [0]_ ºn¸nº° ¿uº°±a¼u  34 20" xfId="5972"/>
    <cellStyle name="ÅëÈ­ [0]_ ºñ¸ñº° ¿ùº°±â¼ú  34 20" xfId="5973"/>
    <cellStyle name="AeE­ [0]_ ºn¸nº° ¿uº°±a¼u  34 21" xfId="5974"/>
    <cellStyle name="ÅëÈ­ [0]_ ºñ¸ñº° ¿ùº°±â¼ú  34 21" xfId="5975"/>
    <cellStyle name="AeE­ [0]_ ºn¸nº° ¿uº°±a¼u  34 22" xfId="5976"/>
    <cellStyle name="ÅëÈ­ [0]_ ºñ¸ñº° ¿ùº°±â¼ú  34 22" xfId="5977"/>
    <cellStyle name="AeE­ [0]_ ºn¸nº° ¿uº°±a¼u  34 23" xfId="5978"/>
    <cellStyle name="ÅëÈ­ [0]_ ºñ¸ñº° ¿ùº°±â¼ú  34 23" xfId="5979"/>
    <cellStyle name="AeE­ [0]_ ºn¸nº° ¿uº°±a¼u  34 24" xfId="5980"/>
    <cellStyle name="ÅëÈ­ [0]_ ºñ¸ñº° ¿ùº°±â¼ú  34 24" xfId="5981"/>
    <cellStyle name="AeE­ [0]_ ºn¸nº° ¿uº°±a¼u  34 25" xfId="5982"/>
    <cellStyle name="ÅëÈ­ [0]_ ºñ¸ñº° ¿ùº°±â¼ú  34 25" xfId="5983"/>
    <cellStyle name="AeE­ [0]_ ºn¸nº° ¿uº°±a¼u  34 26" xfId="5984"/>
    <cellStyle name="ÅëÈ­ [0]_ ºñ¸ñº° ¿ùº°±â¼ú  34 26" xfId="5985"/>
    <cellStyle name="AeE­ [0]_ ºn¸nº° ¿uº°±a¼u  34 27" xfId="5986"/>
    <cellStyle name="ÅëÈ­ [0]_ ºñ¸ñº° ¿ùº°±â¼ú  34 27" xfId="5987"/>
    <cellStyle name="AeE­ [0]_ ºn¸nº° ¿uº°±a¼u  34 28" xfId="5988"/>
    <cellStyle name="ÅëÈ­ [0]_ ºñ¸ñº° ¿ùº°±â¼ú  34 28" xfId="5989"/>
    <cellStyle name="AeE­ [0]_ ºn¸nº° ¿uº°±a¼u  34 29" xfId="5990"/>
    <cellStyle name="ÅëÈ­ [0]_ ºñ¸ñº° ¿ùº°±â¼ú  34 29" xfId="5991"/>
    <cellStyle name="AeE­ [0]_ ºn¸nº° ¿uº°±a¼u  34 3" xfId="5992"/>
    <cellStyle name="ÅëÈ­ [0]_ ºñ¸ñº° ¿ùº°±â¼ú  34 3" xfId="5993"/>
    <cellStyle name="AeE­ [0]_ ºn¸nº° ¿uº°±a¼u  34 30" xfId="5994"/>
    <cellStyle name="ÅëÈ­ [0]_ ºñ¸ñº° ¿ùº°±â¼ú  34 30" xfId="5995"/>
    <cellStyle name="AeE­ [0]_ ºn¸nº° ¿uº°±a¼u  34 31" xfId="5996"/>
    <cellStyle name="ÅëÈ­ [0]_ ºñ¸ñº° ¿ùº°±â¼ú  34 31" xfId="5997"/>
    <cellStyle name="AeE­ [0]_ ºn¸nº° ¿uº°±a¼u  34 32" xfId="5998"/>
    <cellStyle name="ÅëÈ­ [0]_ ºñ¸ñº° ¿ùº°±â¼ú  34 32" xfId="5999"/>
    <cellStyle name="AeE­ [0]_ ºn¸nº° ¿uº°±a¼u  34 33" xfId="6000"/>
    <cellStyle name="ÅëÈ­ [0]_ ºñ¸ñº° ¿ùº°±â¼ú  34 33" xfId="6001"/>
    <cellStyle name="AeE­ [0]_ ºn¸nº° ¿uº°±a¼u  34 34" xfId="6002"/>
    <cellStyle name="ÅëÈ­ [0]_ ºñ¸ñº° ¿ùº°±â¼ú  34 34" xfId="6003"/>
    <cellStyle name="AeE­ [0]_ ºn¸nº° ¿uº°±a¼u  34 4" xfId="6004"/>
    <cellStyle name="ÅëÈ­ [0]_ ºñ¸ñº° ¿ùº°±â¼ú  34 4" xfId="6005"/>
    <cellStyle name="AeE­ [0]_ ºn¸nº° ¿uº°±a¼u  34 5" xfId="6006"/>
    <cellStyle name="ÅëÈ­ [0]_ ºñ¸ñº° ¿ùº°±â¼ú  34 5" xfId="6007"/>
    <cellStyle name="AeE­ [0]_ ºn¸nº° ¿uº°±a¼u  34 6" xfId="6008"/>
    <cellStyle name="ÅëÈ­ [0]_ ºñ¸ñº° ¿ùº°±â¼ú  34 6" xfId="6009"/>
    <cellStyle name="AeE­ [0]_ ºn¸nº° ¿uº°±a¼u  34 7" xfId="6010"/>
    <cellStyle name="ÅëÈ­ [0]_ ºñ¸ñº° ¿ùº°±â¼ú  34 7" xfId="6011"/>
    <cellStyle name="AeE­ [0]_ ºn¸nº° ¿uº°±a¼u  34 8" xfId="6012"/>
    <cellStyle name="ÅëÈ­ [0]_ ºñ¸ñº° ¿ùº°±â¼ú  34 8" xfId="6013"/>
    <cellStyle name="AeE­ [0]_ ºn¸nº° ¿uº°±a¼u  34 9" xfId="6014"/>
    <cellStyle name="ÅëÈ­ [0]_ ºñ¸ñº° ¿ùº°±â¼ú  34 9" xfId="6015"/>
    <cellStyle name="AeE­ [0]_ ºn¸nº° ¿uº°±a¼u  35" xfId="6016"/>
    <cellStyle name="ÅëÈ­ [0]_ ºñ¸ñº° ¿ùº°±â¼ú  35" xfId="6017"/>
    <cellStyle name="AeE­ [0]_ ºn¸nº° ¿uº°±a¼u  35 10" xfId="6018"/>
    <cellStyle name="ÅëÈ­ [0]_ ºñ¸ñº° ¿ùº°±â¼ú  35 10" xfId="6019"/>
    <cellStyle name="AeE­ [0]_ ºn¸nº° ¿uº°±a¼u  35 11" xfId="6020"/>
    <cellStyle name="ÅëÈ­ [0]_ ºñ¸ñº° ¿ùº°±â¼ú  35 11" xfId="6021"/>
    <cellStyle name="AeE­ [0]_ ºn¸nº° ¿uº°±a¼u  35 12" xfId="6022"/>
    <cellStyle name="ÅëÈ­ [0]_ ºñ¸ñº° ¿ùº°±â¼ú  35 12" xfId="6023"/>
    <cellStyle name="AeE­ [0]_ ºn¸nº° ¿uº°±a¼u  35 13" xfId="6024"/>
    <cellStyle name="ÅëÈ­ [0]_ ºñ¸ñº° ¿ùº°±â¼ú  35 13" xfId="6025"/>
    <cellStyle name="AeE­ [0]_ ºn¸nº° ¿uº°±a¼u  35 14" xfId="6026"/>
    <cellStyle name="ÅëÈ­ [0]_ ºñ¸ñº° ¿ùº°±â¼ú  35 14" xfId="6027"/>
    <cellStyle name="AeE­ [0]_ ºn¸nº° ¿uº°±a¼u  35 15" xfId="6028"/>
    <cellStyle name="ÅëÈ­ [0]_ ºñ¸ñº° ¿ùº°±â¼ú  35 15" xfId="6029"/>
    <cellStyle name="AeE­ [0]_ ºn¸nº° ¿uº°±a¼u  35 16" xfId="6030"/>
    <cellStyle name="ÅëÈ­ [0]_ ºñ¸ñº° ¿ùº°±â¼ú  35 16" xfId="6031"/>
    <cellStyle name="AeE­ [0]_ ºn¸nº° ¿uº°±a¼u  35 17" xfId="6032"/>
    <cellStyle name="ÅëÈ­ [0]_ ºñ¸ñº° ¿ùº°±â¼ú  35 17" xfId="6033"/>
    <cellStyle name="AeE­ [0]_ ºn¸nº° ¿uº°±a¼u  35 18" xfId="6034"/>
    <cellStyle name="ÅëÈ­ [0]_ ºñ¸ñº° ¿ùº°±â¼ú  35 18" xfId="6035"/>
    <cellStyle name="AeE­ [0]_ ºn¸nº° ¿uº°±a¼u  35 19" xfId="6036"/>
    <cellStyle name="ÅëÈ­ [0]_ ºñ¸ñº° ¿ùº°±â¼ú  35 19" xfId="6037"/>
    <cellStyle name="AeE­ [0]_ ºn¸nº° ¿uº°±a¼u  35 2" xfId="6038"/>
    <cellStyle name="ÅëÈ­ [0]_ ºñ¸ñº° ¿ùº°±â¼ú  35 2" xfId="6039"/>
    <cellStyle name="AeE­ [0]_ ºn¸nº° ¿uº°±a¼u  35 20" xfId="6040"/>
    <cellStyle name="ÅëÈ­ [0]_ ºñ¸ñº° ¿ùº°±â¼ú  35 20" xfId="6041"/>
    <cellStyle name="AeE­ [0]_ ºn¸nº° ¿uº°±a¼u  35 21" xfId="6042"/>
    <cellStyle name="ÅëÈ­ [0]_ ºñ¸ñº° ¿ùº°±â¼ú  35 21" xfId="6043"/>
    <cellStyle name="AeE­ [0]_ ºn¸nº° ¿uº°±a¼u  35 22" xfId="6044"/>
    <cellStyle name="ÅëÈ­ [0]_ ºñ¸ñº° ¿ùº°±â¼ú  35 22" xfId="6045"/>
    <cellStyle name="AeE­ [0]_ ºn¸nº° ¿uº°±a¼u  35 23" xfId="6046"/>
    <cellStyle name="ÅëÈ­ [0]_ ºñ¸ñº° ¿ùº°±â¼ú  35 23" xfId="6047"/>
    <cellStyle name="AeE­ [0]_ ºn¸nº° ¿uº°±a¼u  35 24" xfId="6048"/>
    <cellStyle name="ÅëÈ­ [0]_ ºñ¸ñº° ¿ùº°±â¼ú  35 24" xfId="6049"/>
    <cellStyle name="AeE­ [0]_ ºn¸nº° ¿uº°±a¼u  35 25" xfId="6050"/>
    <cellStyle name="ÅëÈ­ [0]_ ºñ¸ñº° ¿ùº°±â¼ú  35 25" xfId="6051"/>
    <cellStyle name="AeE­ [0]_ ºn¸nº° ¿uº°±a¼u  35 26" xfId="6052"/>
    <cellStyle name="ÅëÈ­ [0]_ ºñ¸ñº° ¿ùº°±â¼ú  35 26" xfId="6053"/>
    <cellStyle name="AeE­ [0]_ ºn¸nº° ¿uº°±a¼u  35 27" xfId="6054"/>
    <cellStyle name="ÅëÈ­ [0]_ ºñ¸ñº° ¿ùº°±â¼ú  35 27" xfId="6055"/>
    <cellStyle name="AeE­ [0]_ ºn¸nº° ¿uº°±a¼u  35 28" xfId="6056"/>
    <cellStyle name="ÅëÈ­ [0]_ ºñ¸ñº° ¿ùº°±â¼ú  35 28" xfId="6057"/>
    <cellStyle name="AeE­ [0]_ ºn¸nº° ¿uº°±a¼u  35 29" xfId="6058"/>
    <cellStyle name="ÅëÈ­ [0]_ ºñ¸ñº° ¿ùº°±â¼ú  35 29" xfId="6059"/>
    <cellStyle name="AeE­ [0]_ ºn¸nº° ¿uº°±a¼u  35 3" xfId="6060"/>
    <cellStyle name="ÅëÈ­ [0]_ ºñ¸ñº° ¿ùº°±â¼ú  35 3" xfId="6061"/>
    <cellStyle name="AeE­ [0]_ ºn¸nº° ¿uº°±a¼u  35 30" xfId="6062"/>
    <cellStyle name="ÅëÈ­ [0]_ ºñ¸ñº° ¿ùº°±â¼ú  35 30" xfId="6063"/>
    <cellStyle name="AeE­ [0]_ ºn¸nº° ¿uº°±a¼u  35 31" xfId="6064"/>
    <cellStyle name="ÅëÈ­ [0]_ ºñ¸ñº° ¿ùº°±â¼ú  35 31" xfId="6065"/>
    <cellStyle name="AeE­ [0]_ ºn¸nº° ¿uº°±a¼u  35 32" xfId="6066"/>
    <cellStyle name="ÅëÈ­ [0]_ ºñ¸ñº° ¿ùº°±â¼ú  35 32" xfId="6067"/>
    <cellStyle name="AeE­ [0]_ ºn¸nº° ¿uº°±a¼u  35 33" xfId="6068"/>
    <cellStyle name="ÅëÈ­ [0]_ ºñ¸ñº° ¿ùº°±â¼ú  35 33" xfId="6069"/>
    <cellStyle name="AeE­ [0]_ ºn¸nº° ¿uº°±a¼u  35 34" xfId="6070"/>
    <cellStyle name="ÅëÈ­ [0]_ ºñ¸ñº° ¿ùº°±â¼ú  35 34" xfId="6071"/>
    <cellStyle name="AeE­ [0]_ ºn¸nº° ¿uº°±a¼u  35 4" xfId="6072"/>
    <cellStyle name="ÅëÈ­ [0]_ ºñ¸ñº° ¿ùº°±â¼ú  35 4" xfId="6073"/>
    <cellStyle name="AeE­ [0]_ ºn¸nº° ¿uº°±a¼u  35 5" xfId="6074"/>
    <cellStyle name="ÅëÈ­ [0]_ ºñ¸ñº° ¿ùº°±â¼ú  35 5" xfId="6075"/>
    <cellStyle name="AeE­ [0]_ ºn¸nº° ¿uº°±a¼u  35 6" xfId="6076"/>
    <cellStyle name="ÅëÈ­ [0]_ ºñ¸ñº° ¿ùº°±â¼ú  35 6" xfId="6077"/>
    <cellStyle name="AeE­ [0]_ ºn¸nº° ¿uº°±a¼u  35 7" xfId="6078"/>
    <cellStyle name="ÅëÈ­ [0]_ ºñ¸ñº° ¿ùº°±â¼ú  35 7" xfId="6079"/>
    <cellStyle name="AeE­ [0]_ ºn¸nº° ¿uº°±a¼u  35 8" xfId="6080"/>
    <cellStyle name="ÅëÈ­ [0]_ ºñ¸ñº° ¿ùº°±â¼ú  35 8" xfId="6081"/>
    <cellStyle name="AeE­ [0]_ ºn¸nº° ¿uº°±a¼u  35 9" xfId="6082"/>
    <cellStyle name="ÅëÈ­ [0]_ ºñ¸ñº° ¿ùº°±â¼ú  35 9" xfId="6083"/>
    <cellStyle name="AeE­ [0]_ ºn¸nº° ¿uº°±a¼u  36" xfId="6084"/>
    <cellStyle name="ÅëÈ­ [0]_ ºñ¸ñº° ¿ùº°±â¼ú  36" xfId="6085"/>
    <cellStyle name="AeE­ [0]_ ºn¸nº° ¿uº°±a¼u  36 10" xfId="6086"/>
    <cellStyle name="ÅëÈ­ [0]_ ºñ¸ñº° ¿ùº°±â¼ú  36 10" xfId="6087"/>
    <cellStyle name="AeE­ [0]_ ºn¸nº° ¿uº°±a¼u  36 11" xfId="6088"/>
    <cellStyle name="ÅëÈ­ [0]_ ºñ¸ñº° ¿ùº°±â¼ú  36 11" xfId="6089"/>
    <cellStyle name="AeE­ [0]_ ºn¸nº° ¿uº°±a¼u  36 12" xfId="6090"/>
    <cellStyle name="ÅëÈ­ [0]_ ºñ¸ñº° ¿ùº°±â¼ú  36 12" xfId="6091"/>
    <cellStyle name="AeE­ [0]_ ºn¸nº° ¿uº°±a¼u  36 13" xfId="6092"/>
    <cellStyle name="ÅëÈ­ [0]_ ºñ¸ñº° ¿ùº°±â¼ú  36 13" xfId="6093"/>
    <cellStyle name="AeE­ [0]_ ºn¸nº° ¿uº°±a¼u  36 14" xfId="6094"/>
    <cellStyle name="ÅëÈ­ [0]_ ºñ¸ñº° ¿ùº°±â¼ú  36 14" xfId="6095"/>
    <cellStyle name="AeE­ [0]_ ºn¸nº° ¿uº°±a¼u  36 15" xfId="6096"/>
    <cellStyle name="ÅëÈ­ [0]_ ºñ¸ñº° ¿ùº°±â¼ú  36 15" xfId="6097"/>
    <cellStyle name="AeE­ [0]_ ºn¸nº° ¿uº°±a¼u  36 16" xfId="6098"/>
    <cellStyle name="ÅëÈ­ [0]_ ºñ¸ñº° ¿ùº°±â¼ú  36 16" xfId="6099"/>
    <cellStyle name="AeE­ [0]_ ºn¸nº° ¿uº°±a¼u  36 17" xfId="6100"/>
    <cellStyle name="ÅëÈ­ [0]_ ºñ¸ñº° ¿ùº°±â¼ú  36 17" xfId="6101"/>
    <cellStyle name="AeE­ [0]_ ºn¸nº° ¿uº°±a¼u  36 18" xfId="6102"/>
    <cellStyle name="ÅëÈ­ [0]_ ºñ¸ñº° ¿ùº°±â¼ú  36 18" xfId="6103"/>
    <cellStyle name="AeE­ [0]_ ºn¸nº° ¿uº°±a¼u  36 19" xfId="6104"/>
    <cellStyle name="ÅëÈ­ [0]_ ºñ¸ñº° ¿ùº°±â¼ú  36 19" xfId="6105"/>
    <cellStyle name="AeE­ [0]_ ºn¸nº° ¿uº°±a¼u  36 2" xfId="6106"/>
    <cellStyle name="ÅëÈ­ [0]_ ºñ¸ñº° ¿ùº°±â¼ú  36 2" xfId="6107"/>
    <cellStyle name="AeE­ [0]_ ºn¸nº° ¿uº°±a¼u  36 20" xfId="6108"/>
    <cellStyle name="ÅëÈ­ [0]_ ºñ¸ñº° ¿ùº°±â¼ú  36 20" xfId="6109"/>
    <cellStyle name="AeE­ [0]_ ºn¸nº° ¿uº°±a¼u  36 21" xfId="6110"/>
    <cellStyle name="ÅëÈ­ [0]_ ºñ¸ñº° ¿ùº°±â¼ú  36 21" xfId="6111"/>
    <cellStyle name="AeE­ [0]_ ºn¸nº° ¿uº°±a¼u  36 22" xfId="6112"/>
    <cellStyle name="ÅëÈ­ [0]_ ºñ¸ñº° ¿ùº°±â¼ú  36 22" xfId="6113"/>
    <cellStyle name="AeE­ [0]_ ºn¸nº° ¿uº°±a¼u  36 23" xfId="6114"/>
    <cellStyle name="ÅëÈ­ [0]_ ºñ¸ñº° ¿ùº°±â¼ú  36 23" xfId="6115"/>
    <cellStyle name="AeE­ [0]_ ºn¸nº° ¿uº°±a¼u  36 24" xfId="6116"/>
    <cellStyle name="ÅëÈ­ [0]_ ºñ¸ñº° ¿ùº°±â¼ú  36 24" xfId="6117"/>
    <cellStyle name="AeE­ [0]_ ºn¸nº° ¿uº°±a¼u  36 25" xfId="6118"/>
    <cellStyle name="ÅëÈ­ [0]_ ºñ¸ñº° ¿ùº°±â¼ú  36 25" xfId="6119"/>
    <cellStyle name="AeE­ [0]_ ºn¸nº° ¿uº°±a¼u  36 26" xfId="6120"/>
    <cellStyle name="ÅëÈ­ [0]_ ºñ¸ñº° ¿ùº°±â¼ú  36 26" xfId="6121"/>
    <cellStyle name="AeE­ [0]_ ºn¸nº° ¿uº°±a¼u  36 27" xfId="6122"/>
    <cellStyle name="ÅëÈ­ [0]_ ºñ¸ñº° ¿ùº°±â¼ú  36 27" xfId="6123"/>
    <cellStyle name="AeE­ [0]_ ºn¸nº° ¿uº°±a¼u  36 28" xfId="6124"/>
    <cellStyle name="ÅëÈ­ [0]_ ºñ¸ñº° ¿ùº°±â¼ú  36 28" xfId="6125"/>
    <cellStyle name="AeE­ [0]_ ºn¸nº° ¿uº°±a¼u  36 29" xfId="6126"/>
    <cellStyle name="ÅëÈ­ [0]_ ºñ¸ñº° ¿ùº°±â¼ú  36 29" xfId="6127"/>
    <cellStyle name="AeE­ [0]_ ºn¸nº° ¿uº°±a¼u  36 3" xfId="6128"/>
    <cellStyle name="ÅëÈ­ [0]_ ºñ¸ñº° ¿ùº°±â¼ú  36 3" xfId="6129"/>
    <cellStyle name="AeE­ [0]_ ºn¸nº° ¿uº°±a¼u  36 30" xfId="6130"/>
    <cellStyle name="ÅëÈ­ [0]_ ºñ¸ñº° ¿ùº°±â¼ú  36 30" xfId="6131"/>
    <cellStyle name="AeE­ [0]_ ºn¸nº° ¿uº°±a¼u  36 31" xfId="6132"/>
    <cellStyle name="ÅëÈ­ [0]_ ºñ¸ñº° ¿ùº°±â¼ú  36 31" xfId="6133"/>
    <cellStyle name="AeE­ [0]_ ºn¸nº° ¿uº°±a¼u  36 32" xfId="6134"/>
    <cellStyle name="ÅëÈ­ [0]_ ºñ¸ñº° ¿ùº°±â¼ú  36 32" xfId="6135"/>
    <cellStyle name="AeE­ [0]_ ºn¸nº° ¿uº°±a¼u  36 33" xfId="6136"/>
    <cellStyle name="ÅëÈ­ [0]_ ºñ¸ñº° ¿ùº°±â¼ú  36 33" xfId="6137"/>
    <cellStyle name="AeE­ [0]_ ºn¸nº° ¿uº°±a¼u  36 34" xfId="6138"/>
    <cellStyle name="ÅëÈ­ [0]_ ºñ¸ñº° ¿ùº°±â¼ú  36 34" xfId="6139"/>
    <cellStyle name="AeE­ [0]_ ºn¸nº° ¿uº°±a¼u  36 4" xfId="6140"/>
    <cellStyle name="ÅëÈ­ [0]_ ºñ¸ñº° ¿ùº°±â¼ú  36 4" xfId="6141"/>
    <cellStyle name="AeE­ [0]_ ºn¸nº° ¿uº°±a¼u  36 5" xfId="6142"/>
    <cellStyle name="ÅëÈ­ [0]_ ºñ¸ñº° ¿ùº°±â¼ú  36 5" xfId="6143"/>
    <cellStyle name="AeE­ [0]_ ºn¸nº° ¿uº°±a¼u  36 6" xfId="6144"/>
    <cellStyle name="ÅëÈ­ [0]_ ºñ¸ñº° ¿ùº°±â¼ú  36 6" xfId="6145"/>
    <cellStyle name="AeE­ [0]_ ºn¸nº° ¿uº°±a¼u  36 7" xfId="6146"/>
    <cellStyle name="ÅëÈ­ [0]_ ºñ¸ñº° ¿ùº°±â¼ú  36 7" xfId="6147"/>
    <cellStyle name="AeE­ [0]_ ºn¸nº° ¿uº°±a¼u  36 8" xfId="6148"/>
    <cellStyle name="ÅëÈ­ [0]_ ºñ¸ñº° ¿ùº°±â¼ú  36 8" xfId="6149"/>
    <cellStyle name="AeE­ [0]_ ºn¸nº° ¿uº°±a¼u  36 9" xfId="6150"/>
    <cellStyle name="ÅëÈ­ [0]_ ºñ¸ñº° ¿ùº°±â¼ú  36 9" xfId="6151"/>
    <cellStyle name="AeE­ [0]_ ºn¸nº° ¿uº°±a¼u  37" xfId="6152"/>
    <cellStyle name="ÅëÈ­ [0]_ ºñ¸ñº° ¿ùº°±â¼ú  37" xfId="6153"/>
    <cellStyle name="AeE­ [0]_ ºn¸nº° ¿uº°±a¼u  37 10" xfId="6154"/>
    <cellStyle name="ÅëÈ­ [0]_ ºñ¸ñº° ¿ùº°±â¼ú  37 10" xfId="6155"/>
    <cellStyle name="AeE­ [0]_ ºn¸nº° ¿uº°±a¼u  37 11" xfId="6156"/>
    <cellStyle name="ÅëÈ­ [0]_ ºñ¸ñº° ¿ùº°±â¼ú  37 11" xfId="6157"/>
    <cellStyle name="AeE­ [0]_ ºn¸nº° ¿uº°±a¼u  37 12" xfId="6158"/>
    <cellStyle name="ÅëÈ­ [0]_ ºñ¸ñº° ¿ùº°±â¼ú  37 12" xfId="6159"/>
    <cellStyle name="AeE­ [0]_ ºn¸nº° ¿uº°±a¼u  37 13" xfId="6160"/>
    <cellStyle name="ÅëÈ­ [0]_ ºñ¸ñº° ¿ùº°±â¼ú  37 13" xfId="6161"/>
    <cellStyle name="AeE­ [0]_ ºn¸nº° ¿uº°±a¼u  37 14" xfId="6162"/>
    <cellStyle name="ÅëÈ­ [0]_ ºñ¸ñº° ¿ùº°±â¼ú  37 14" xfId="6163"/>
    <cellStyle name="AeE­ [0]_ ºn¸nº° ¿uº°±a¼u  37 15" xfId="6164"/>
    <cellStyle name="ÅëÈ­ [0]_ ºñ¸ñº° ¿ùº°±â¼ú  37 15" xfId="6165"/>
    <cellStyle name="AeE­ [0]_ ºn¸nº° ¿uº°±a¼u  37 16" xfId="6166"/>
    <cellStyle name="ÅëÈ­ [0]_ ºñ¸ñº° ¿ùº°±â¼ú  37 16" xfId="6167"/>
    <cellStyle name="AeE­ [0]_ ºn¸nº° ¿uº°±a¼u  37 17" xfId="6168"/>
    <cellStyle name="ÅëÈ­ [0]_ ºñ¸ñº° ¿ùº°±â¼ú  37 17" xfId="6169"/>
    <cellStyle name="AeE­ [0]_ ºn¸nº° ¿uº°±a¼u  37 18" xfId="6170"/>
    <cellStyle name="ÅëÈ­ [0]_ ºñ¸ñº° ¿ùº°±â¼ú  37 18" xfId="6171"/>
    <cellStyle name="AeE­ [0]_ ºn¸nº° ¿uº°±a¼u  37 19" xfId="6172"/>
    <cellStyle name="ÅëÈ­ [0]_ ºñ¸ñº° ¿ùº°±â¼ú  37 19" xfId="6173"/>
    <cellStyle name="AeE­ [0]_ ºn¸nº° ¿uº°±a¼u  37 2" xfId="6174"/>
    <cellStyle name="ÅëÈ­ [0]_ ºñ¸ñº° ¿ùº°±â¼ú  37 2" xfId="6175"/>
    <cellStyle name="AeE­ [0]_ ºn¸nº° ¿uº°±a¼u  37 20" xfId="6176"/>
    <cellStyle name="ÅëÈ­ [0]_ ºñ¸ñº° ¿ùº°±â¼ú  37 20" xfId="6177"/>
    <cellStyle name="AeE­ [0]_ ºn¸nº° ¿uº°±a¼u  37 21" xfId="6178"/>
    <cellStyle name="ÅëÈ­ [0]_ ºñ¸ñº° ¿ùº°±â¼ú  37 21" xfId="6179"/>
    <cellStyle name="AeE­ [0]_ ºn¸nº° ¿uº°±a¼u  37 22" xfId="6180"/>
    <cellStyle name="ÅëÈ­ [0]_ ºñ¸ñº° ¿ùº°±â¼ú  37 22" xfId="6181"/>
    <cellStyle name="AeE­ [0]_ ºn¸nº° ¿uº°±a¼u  37 23" xfId="6182"/>
    <cellStyle name="ÅëÈ­ [0]_ ºñ¸ñº° ¿ùº°±â¼ú  37 23" xfId="6183"/>
    <cellStyle name="AeE­ [0]_ ºn¸nº° ¿uº°±a¼u  37 24" xfId="6184"/>
    <cellStyle name="ÅëÈ­ [0]_ ºñ¸ñº° ¿ùº°±â¼ú  37 24" xfId="6185"/>
    <cellStyle name="AeE­ [0]_ ºn¸nº° ¿uº°±a¼u  37 25" xfId="6186"/>
    <cellStyle name="ÅëÈ­ [0]_ ºñ¸ñº° ¿ùº°±â¼ú  37 25" xfId="6187"/>
    <cellStyle name="AeE­ [0]_ ºn¸nº° ¿uº°±a¼u  37 26" xfId="6188"/>
    <cellStyle name="ÅëÈ­ [0]_ ºñ¸ñº° ¿ùº°±â¼ú  37 26" xfId="6189"/>
    <cellStyle name="AeE­ [0]_ ºn¸nº° ¿uº°±a¼u  37 27" xfId="6190"/>
    <cellStyle name="ÅëÈ­ [0]_ ºñ¸ñº° ¿ùº°±â¼ú  37 27" xfId="6191"/>
    <cellStyle name="AeE­ [0]_ ºn¸nº° ¿uº°±a¼u  37 28" xfId="6192"/>
    <cellStyle name="ÅëÈ­ [0]_ ºñ¸ñº° ¿ùº°±â¼ú  37 28" xfId="6193"/>
    <cellStyle name="AeE­ [0]_ ºn¸nº° ¿uº°±a¼u  37 29" xfId="6194"/>
    <cellStyle name="ÅëÈ­ [0]_ ºñ¸ñº° ¿ùº°±â¼ú  37 29" xfId="6195"/>
    <cellStyle name="AeE­ [0]_ ºn¸nº° ¿uº°±a¼u  37 3" xfId="6196"/>
    <cellStyle name="ÅëÈ­ [0]_ ºñ¸ñº° ¿ùº°±â¼ú  37 3" xfId="6197"/>
    <cellStyle name="AeE­ [0]_ ºn¸nº° ¿uº°±a¼u  37 30" xfId="6198"/>
    <cellStyle name="ÅëÈ­ [0]_ ºñ¸ñº° ¿ùº°±â¼ú  37 30" xfId="6199"/>
    <cellStyle name="AeE­ [0]_ ºn¸nº° ¿uº°±a¼u  37 31" xfId="6200"/>
    <cellStyle name="ÅëÈ­ [0]_ ºñ¸ñº° ¿ùº°±â¼ú  37 31" xfId="6201"/>
    <cellStyle name="AeE­ [0]_ ºn¸nº° ¿uº°±a¼u  37 32" xfId="6202"/>
    <cellStyle name="ÅëÈ­ [0]_ ºñ¸ñº° ¿ùº°±â¼ú  37 32" xfId="6203"/>
    <cellStyle name="AeE­ [0]_ ºn¸nº° ¿uº°±a¼u  37 33" xfId="6204"/>
    <cellStyle name="ÅëÈ­ [0]_ ºñ¸ñº° ¿ùº°±â¼ú  37 33" xfId="6205"/>
    <cellStyle name="AeE­ [0]_ ºn¸nº° ¿uº°±a¼u  37 34" xfId="6206"/>
    <cellStyle name="ÅëÈ­ [0]_ ºñ¸ñº° ¿ùº°±â¼ú  37 34" xfId="6207"/>
    <cellStyle name="AeE­ [0]_ ºn¸nº° ¿uº°±a¼u  37 4" xfId="6208"/>
    <cellStyle name="ÅëÈ­ [0]_ ºñ¸ñº° ¿ùº°±â¼ú  37 4" xfId="6209"/>
    <cellStyle name="AeE­ [0]_ ºn¸nº° ¿uº°±a¼u  37 5" xfId="6210"/>
    <cellStyle name="ÅëÈ­ [0]_ ºñ¸ñº° ¿ùº°±â¼ú  37 5" xfId="6211"/>
    <cellStyle name="AeE­ [0]_ ºn¸nº° ¿uº°±a¼u  37 6" xfId="6212"/>
    <cellStyle name="ÅëÈ­ [0]_ ºñ¸ñº° ¿ùº°±â¼ú  37 6" xfId="6213"/>
    <cellStyle name="AeE­ [0]_ ºn¸nº° ¿uº°±a¼u  37 7" xfId="6214"/>
    <cellStyle name="ÅëÈ­ [0]_ ºñ¸ñº° ¿ùº°±â¼ú  37 7" xfId="6215"/>
    <cellStyle name="AeE­ [0]_ ºn¸nº° ¿uº°±a¼u  37 8" xfId="6216"/>
    <cellStyle name="ÅëÈ­ [0]_ ºñ¸ñº° ¿ùº°±â¼ú  37 8" xfId="6217"/>
    <cellStyle name="AeE­ [0]_ ºn¸nº° ¿uº°±a¼u  37 9" xfId="6218"/>
    <cellStyle name="ÅëÈ­ [0]_ ºñ¸ñº° ¿ùº°±â¼ú  37 9" xfId="6219"/>
    <cellStyle name="AeE­ [0]_ ºn¸nº° ¿uº°±a¼u  38" xfId="6220"/>
    <cellStyle name="ÅëÈ­ [0]_ ºñ¸ñº° ¿ùº°±â¼ú  38" xfId="6221"/>
    <cellStyle name="AeE­ [0]_ ºn¸nº° ¿uº°±a¼u  38 10" xfId="6222"/>
    <cellStyle name="ÅëÈ­ [0]_ ºñ¸ñº° ¿ùº°±â¼ú  38 10" xfId="6223"/>
    <cellStyle name="AeE­ [0]_ ºn¸nº° ¿uº°±a¼u  38 11" xfId="6224"/>
    <cellStyle name="ÅëÈ­ [0]_ ºñ¸ñº° ¿ùº°±â¼ú  38 11" xfId="6225"/>
    <cellStyle name="AeE­ [0]_ ºn¸nº° ¿uº°±a¼u  38 12" xfId="6226"/>
    <cellStyle name="ÅëÈ­ [0]_ ºñ¸ñº° ¿ùº°±â¼ú  38 12" xfId="6227"/>
    <cellStyle name="AeE­ [0]_ ºn¸nº° ¿uº°±a¼u  38 13" xfId="6228"/>
    <cellStyle name="ÅëÈ­ [0]_ ºñ¸ñº° ¿ùº°±â¼ú  38 13" xfId="6229"/>
    <cellStyle name="AeE­ [0]_ ºn¸nº° ¿uº°±a¼u  38 14" xfId="6230"/>
    <cellStyle name="ÅëÈ­ [0]_ ºñ¸ñº° ¿ùº°±â¼ú  38 14" xfId="6231"/>
    <cellStyle name="AeE­ [0]_ ºn¸nº° ¿uº°±a¼u  38 15" xfId="6232"/>
    <cellStyle name="ÅëÈ­ [0]_ ºñ¸ñº° ¿ùº°±â¼ú  38 15" xfId="6233"/>
    <cellStyle name="AeE­ [0]_ ºn¸nº° ¿uº°±a¼u  38 16" xfId="6234"/>
    <cellStyle name="ÅëÈ­ [0]_ ºñ¸ñº° ¿ùº°±â¼ú  38 16" xfId="6235"/>
    <cellStyle name="AeE­ [0]_ ºn¸nº° ¿uº°±a¼u  38 17" xfId="6236"/>
    <cellStyle name="ÅëÈ­ [0]_ ºñ¸ñº° ¿ùº°±â¼ú  38 17" xfId="6237"/>
    <cellStyle name="AeE­ [0]_ ºn¸nº° ¿uº°±a¼u  38 18" xfId="6238"/>
    <cellStyle name="ÅëÈ­ [0]_ ºñ¸ñº° ¿ùº°±â¼ú  38 18" xfId="6239"/>
    <cellStyle name="AeE­ [0]_ ºn¸nº° ¿uº°±a¼u  38 19" xfId="6240"/>
    <cellStyle name="ÅëÈ­ [0]_ ºñ¸ñº° ¿ùº°±â¼ú  38 19" xfId="6241"/>
    <cellStyle name="AeE­ [0]_ ºn¸nº° ¿uº°±a¼u  38 2" xfId="6242"/>
    <cellStyle name="ÅëÈ­ [0]_ ºñ¸ñº° ¿ùº°±â¼ú  38 2" xfId="6243"/>
    <cellStyle name="AeE­ [0]_ ºn¸nº° ¿uº°±a¼u  38 20" xfId="6244"/>
    <cellStyle name="ÅëÈ­ [0]_ ºñ¸ñº° ¿ùº°±â¼ú  38 20" xfId="6245"/>
    <cellStyle name="AeE­ [0]_ ºn¸nº° ¿uº°±a¼u  38 21" xfId="6246"/>
    <cellStyle name="ÅëÈ­ [0]_ ºñ¸ñº° ¿ùº°±â¼ú  38 21" xfId="6247"/>
    <cellStyle name="AeE­ [0]_ ºn¸nº° ¿uº°±a¼u  38 22" xfId="6248"/>
    <cellStyle name="ÅëÈ­ [0]_ ºñ¸ñº° ¿ùº°±â¼ú  38 22" xfId="6249"/>
    <cellStyle name="AeE­ [0]_ ºn¸nº° ¿uº°±a¼u  38 23" xfId="6250"/>
    <cellStyle name="ÅëÈ­ [0]_ ºñ¸ñº° ¿ùº°±â¼ú  38 23" xfId="6251"/>
    <cellStyle name="AeE­ [0]_ ºn¸nº° ¿uº°±a¼u  38 24" xfId="6252"/>
    <cellStyle name="ÅëÈ­ [0]_ ºñ¸ñº° ¿ùº°±â¼ú  38 24" xfId="6253"/>
    <cellStyle name="AeE­ [0]_ ºn¸nº° ¿uº°±a¼u  38 25" xfId="6254"/>
    <cellStyle name="ÅëÈ­ [0]_ ºñ¸ñº° ¿ùº°±â¼ú  38 25" xfId="6255"/>
    <cellStyle name="AeE­ [0]_ ºn¸nº° ¿uº°±a¼u  38 26" xfId="6256"/>
    <cellStyle name="ÅëÈ­ [0]_ ºñ¸ñº° ¿ùº°±â¼ú  38 26" xfId="6257"/>
    <cellStyle name="AeE­ [0]_ ºn¸nº° ¿uº°±a¼u  38 27" xfId="6258"/>
    <cellStyle name="ÅëÈ­ [0]_ ºñ¸ñº° ¿ùº°±â¼ú  38 27" xfId="6259"/>
    <cellStyle name="AeE­ [0]_ ºn¸nº° ¿uº°±a¼u  38 28" xfId="6260"/>
    <cellStyle name="ÅëÈ­ [0]_ ºñ¸ñº° ¿ùº°±â¼ú  38 28" xfId="6261"/>
    <cellStyle name="AeE­ [0]_ ºn¸nº° ¿uº°±a¼u  38 29" xfId="6262"/>
    <cellStyle name="ÅëÈ­ [0]_ ºñ¸ñº° ¿ùº°±â¼ú  38 29" xfId="6263"/>
    <cellStyle name="AeE­ [0]_ ºn¸nº° ¿uº°±a¼u  38 3" xfId="6264"/>
    <cellStyle name="ÅëÈ­ [0]_ ºñ¸ñº° ¿ùº°±â¼ú  38 3" xfId="6265"/>
    <cellStyle name="AeE­ [0]_ ºn¸nº° ¿uº°±a¼u  38 30" xfId="6266"/>
    <cellStyle name="ÅëÈ­ [0]_ ºñ¸ñº° ¿ùº°±â¼ú  38 30" xfId="6267"/>
    <cellStyle name="AeE­ [0]_ ºn¸nº° ¿uº°±a¼u  38 31" xfId="6268"/>
    <cellStyle name="ÅëÈ­ [0]_ ºñ¸ñº° ¿ùº°±â¼ú  38 31" xfId="6269"/>
    <cellStyle name="AeE­ [0]_ ºn¸nº° ¿uº°±a¼u  38 32" xfId="6270"/>
    <cellStyle name="ÅëÈ­ [0]_ ºñ¸ñº° ¿ùº°±â¼ú  38 32" xfId="6271"/>
    <cellStyle name="AeE­ [0]_ ºn¸nº° ¿uº°±a¼u  38 33" xfId="6272"/>
    <cellStyle name="ÅëÈ­ [0]_ ºñ¸ñº° ¿ùº°±â¼ú  38 33" xfId="6273"/>
    <cellStyle name="AeE­ [0]_ ºn¸nº° ¿uº°±a¼u  38 34" xfId="6274"/>
    <cellStyle name="ÅëÈ­ [0]_ ºñ¸ñº° ¿ùº°±â¼ú  38 34" xfId="6275"/>
    <cellStyle name="AeE­ [0]_ ºn¸nº° ¿uº°±a¼u  38 4" xfId="6276"/>
    <cellStyle name="ÅëÈ­ [0]_ ºñ¸ñº° ¿ùº°±â¼ú  38 4" xfId="6277"/>
    <cellStyle name="AeE­ [0]_ ºn¸nº° ¿uº°±a¼u  38 5" xfId="6278"/>
    <cellStyle name="ÅëÈ­ [0]_ ºñ¸ñº° ¿ùº°±â¼ú  38 5" xfId="6279"/>
    <cellStyle name="AeE­ [0]_ ºn¸nº° ¿uº°±a¼u  38 6" xfId="6280"/>
    <cellStyle name="ÅëÈ­ [0]_ ºñ¸ñº° ¿ùº°±â¼ú  38 6" xfId="6281"/>
    <cellStyle name="AeE­ [0]_ ºn¸nº° ¿uº°±a¼u  38 7" xfId="6282"/>
    <cellStyle name="ÅëÈ­ [0]_ ºñ¸ñº° ¿ùº°±â¼ú  38 7" xfId="6283"/>
    <cellStyle name="AeE­ [0]_ ºn¸nº° ¿uº°±a¼u  38 8" xfId="6284"/>
    <cellStyle name="ÅëÈ­ [0]_ ºñ¸ñº° ¿ùº°±â¼ú  38 8" xfId="6285"/>
    <cellStyle name="AeE­ [0]_ ºn¸nº° ¿uº°±a¼u  38 9" xfId="6286"/>
    <cellStyle name="ÅëÈ­ [0]_ ºñ¸ñº° ¿ùº°±â¼ú  38 9" xfId="6287"/>
    <cellStyle name="AeE­ [0]_ ºn¸nº° ¿uº°±a¼u  39" xfId="6288"/>
    <cellStyle name="ÅëÈ­ [0]_ ºñ¸ñº° ¿ùº°±â¼ú  39" xfId="6289"/>
    <cellStyle name="AeE­ [0]_ ºn¸nº° ¿uº°±a¼u  39 10" xfId="6290"/>
    <cellStyle name="ÅëÈ­ [0]_ ºñ¸ñº° ¿ùº°±â¼ú  39 10" xfId="6291"/>
    <cellStyle name="AeE­ [0]_ ºn¸nº° ¿uº°±a¼u  39 11" xfId="6292"/>
    <cellStyle name="ÅëÈ­ [0]_ ºñ¸ñº° ¿ùº°±â¼ú  39 11" xfId="6293"/>
    <cellStyle name="AeE­ [0]_ ºn¸nº° ¿uº°±a¼u  39 12" xfId="6294"/>
    <cellStyle name="ÅëÈ­ [0]_ ºñ¸ñº° ¿ùº°±â¼ú  39 12" xfId="6295"/>
    <cellStyle name="AeE­ [0]_ ºn¸nº° ¿uº°±a¼u  39 13" xfId="6296"/>
    <cellStyle name="ÅëÈ­ [0]_ ºñ¸ñº° ¿ùº°±â¼ú  39 13" xfId="6297"/>
    <cellStyle name="AeE­ [0]_ ºn¸nº° ¿uº°±a¼u  39 14" xfId="6298"/>
    <cellStyle name="ÅëÈ­ [0]_ ºñ¸ñº° ¿ùº°±â¼ú  39 14" xfId="6299"/>
    <cellStyle name="AeE­ [0]_ ºn¸nº° ¿uº°±a¼u  39 15" xfId="6300"/>
    <cellStyle name="ÅëÈ­ [0]_ ºñ¸ñº° ¿ùº°±â¼ú  39 15" xfId="6301"/>
    <cellStyle name="AeE­ [0]_ ºn¸nº° ¿uº°±a¼u  39 16" xfId="6302"/>
    <cellStyle name="ÅëÈ­ [0]_ ºñ¸ñº° ¿ùº°±â¼ú  39 16" xfId="6303"/>
    <cellStyle name="AeE­ [0]_ ºn¸nº° ¿uº°±a¼u  39 17" xfId="6304"/>
    <cellStyle name="ÅëÈ­ [0]_ ºñ¸ñº° ¿ùº°±â¼ú  39 17" xfId="6305"/>
    <cellStyle name="AeE­ [0]_ ºn¸nº° ¿uº°±a¼u  39 18" xfId="6306"/>
    <cellStyle name="ÅëÈ­ [0]_ ºñ¸ñº° ¿ùº°±â¼ú  39 18" xfId="6307"/>
    <cellStyle name="AeE­ [0]_ ºn¸nº° ¿uº°±a¼u  39 19" xfId="6308"/>
    <cellStyle name="ÅëÈ­ [0]_ ºñ¸ñº° ¿ùº°±â¼ú  39 19" xfId="6309"/>
    <cellStyle name="AeE­ [0]_ ºn¸nº° ¿uº°±a¼u  39 2" xfId="6310"/>
    <cellStyle name="ÅëÈ­ [0]_ ºñ¸ñº° ¿ùº°±â¼ú  39 2" xfId="6311"/>
    <cellStyle name="AeE­ [0]_ ºn¸nº° ¿uº°±a¼u  39 20" xfId="6312"/>
    <cellStyle name="ÅëÈ­ [0]_ ºñ¸ñº° ¿ùº°±â¼ú  39 20" xfId="6313"/>
    <cellStyle name="AeE­ [0]_ ºn¸nº° ¿uº°±a¼u  39 21" xfId="6314"/>
    <cellStyle name="ÅëÈ­ [0]_ ºñ¸ñº° ¿ùº°±â¼ú  39 21" xfId="6315"/>
    <cellStyle name="AeE­ [0]_ ºn¸nº° ¿uº°±a¼u  39 22" xfId="6316"/>
    <cellStyle name="ÅëÈ­ [0]_ ºñ¸ñº° ¿ùº°±â¼ú  39 22" xfId="6317"/>
    <cellStyle name="AeE­ [0]_ ºn¸nº° ¿uº°±a¼u  39 23" xfId="6318"/>
    <cellStyle name="ÅëÈ­ [0]_ ºñ¸ñº° ¿ùº°±â¼ú  39 23" xfId="6319"/>
    <cellStyle name="AeE­ [0]_ ºn¸nº° ¿uº°±a¼u  39 24" xfId="6320"/>
    <cellStyle name="ÅëÈ­ [0]_ ºñ¸ñº° ¿ùº°±â¼ú  39 24" xfId="6321"/>
    <cellStyle name="AeE­ [0]_ ºn¸nº° ¿uº°±a¼u  39 25" xfId="6322"/>
    <cellStyle name="ÅëÈ­ [0]_ ºñ¸ñº° ¿ùº°±â¼ú  39 25" xfId="6323"/>
    <cellStyle name="AeE­ [0]_ ºn¸nº° ¿uº°±a¼u  39 26" xfId="6324"/>
    <cellStyle name="ÅëÈ­ [0]_ ºñ¸ñº° ¿ùº°±â¼ú  39 26" xfId="6325"/>
    <cellStyle name="AeE­ [0]_ ºn¸nº° ¿uº°±a¼u  39 27" xfId="6326"/>
    <cellStyle name="ÅëÈ­ [0]_ ºñ¸ñº° ¿ùº°±â¼ú  39 27" xfId="6327"/>
    <cellStyle name="AeE­ [0]_ ºn¸nº° ¿uº°±a¼u  39 28" xfId="6328"/>
    <cellStyle name="ÅëÈ­ [0]_ ºñ¸ñº° ¿ùº°±â¼ú  39 28" xfId="6329"/>
    <cellStyle name="AeE­ [0]_ ºn¸nº° ¿uº°±a¼u  39 29" xfId="6330"/>
    <cellStyle name="ÅëÈ­ [0]_ ºñ¸ñº° ¿ùº°±â¼ú  39 29" xfId="6331"/>
    <cellStyle name="AeE­ [0]_ ºn¸nº° ¿uº°±a¼u  39 3" xfId="6332"/>
    <cellStyle name="ÅëÈ­ [0]_ ºñ¸ñº° ¿ùº°±â¼ú  39 3" xfId="6333"/>
    <cellStyle name="AeE­ [0]_ ºn¸nº° ¿uº°±a¼u  39 30" xfId="6334"/>
    <cellStyle name="ÅëÈ­ [0]_ ºñ¸ñº° ¿ùº°±â¼ú  39 30" xfId="6335"/>
    <cellStyle name="AeE­ [0]_ ºn¸nº° ¿uº°±a¼u  39 31" xfId="6336"/>
    <cellStyle name="ÅëÈ­ [0]_ ºñ¸ñº° ¿ùº°±â¼ú  39 31" xfId="6337"/>
    <cellStyle name="AeE­ [0]_ ºn¸nº° ¿uº°±a¼u  39 32" xfId="6338"/>
    <cellStyle name="ÅëÈ­ [0]_ ºñ¸ñº° ¿ùº°±â¼ú  39 32" xfId="6339"/>
    <cellStyle name="AeE­ [0]_ ºn¸nº° ¿uº°±a¼u  39 33" xfId="6340"/>
    <cellStyle name="ÅëÈ­ [0]_ ºñ¸ñº° ¿ùº°±â¼ú  39 33" xfId="6341"/>
    <cellStyle name="AeE­ [0]_ ºn¸nº° ¿uº°±a¼u  39 34" xfId="6342"/>
    <cellStyle name="ÅëÈ­ [0]_ ºñ¸ñº° ¿ùº°±â¼ú  39 34" xfId="6343"/>
    <cellStyle name="AeE­ [0]_ ºn¸nº° ¿uº°±a¼u  39 4" xfId="6344"/>
    <cellStyle name="ÅëÈ­ [0]_ ºñ¸ñº° ¿ùº°±â¼ú  39 4" xfId="6345"/>
    <cellStyle name="AeE­ [0]_ ºn¸nº° ¿uº°±a¼u  39 5" xfId="6346"/>
    <cellStyle name="ÅëÈ­ [0]_ ºñ¸ñº° ¿ùº°±â¼ú  39 5" xfId="6347"/>
    <cellStyle name="AeE­ [0]_ ºn¸nº° ¿uº°±a¼u  39 6" xfId="6348"/>
    <cellStyle name="ÅëÈ­ [0]_ ºñ¸ñº° ¿ùº°±â¼ú  39 6" xfId="6349"/>
    <cellStyle name="AeE­ [0]_ ºn¸nº° ¿uº°±a¼u  39 7" xfId="6350"/>
    <cellStyle name="ÅëÈ­ [0]_ ºñ¸ñº° ¿ùº°±â¼ú  39 7" xfId="6351"/>
    <cellStyle name="AeE­ [0]_ ºn¸nº° ¿uº°±a¼u  39 8" xfId="6352"/>
    <cellStyle name="ÅëÈ­ [0]_ ºñ¸ñº° ¿ùº°±â¼ú  39 8" xfId="6353"/>
    <cellStyle name="AeE­ [0]_ ºn¸nº° ¿uº°±a¼u  39 9" xfId="6354"/>
    <cellStyle name="ÅëÈ­ [0]_ ºñ¸ñº° ¿ùº°±â¼ú  39 9" xfId="6355"/>
    <cellStyle name="AeE­ [0]_ ºn¸nº° ¿uº°±a¼u  4" xfId="6356"/>
    <cellStyle name="ÅëÈ­ [0]_ ºñ¸ñº° ¿ùº°±â¼ú  4" xfId="6357"/>
    <cellStyle name="AeE­ [0]_ ºn¸nº° ¿uº°±a¼u  4 10" xfId="6358"/>
    <cellStyle name="ÅëÈ­ [0]_ ºñ¸ñº° ¿ùº°±â¼ú  4 10" xfId="6359"/>
    <cellStyle name="AeE­ [0]_ ºn¸nº° ¿uº°±a¼u  4 11" xfId="6360"/>
    <cellStyle name="ÅëÈ­ [0]_ ºñ¸ñº° ¿ùº°±â¼ú  4 11" xfId="6361"/>
    <cellStyle name="AeE­ [0]_ ºn¸nº° ¿uº°±a¼u  4 12" xfId="6362"/>
    <cellStyle name="ÅëÈ­ [0]_ ºñ¸ñº° ¿ùº°±â¼ú  4 12" xfId="6363"/>
    <cellStyle name="AeE­ [0]_ ºn¸nº° ¿uº°±a¼u  4 13" xfId="6364"/>
    <cellStyle name="ÅëÈ­ [0]_ ºñ¸ñº° ¿ùº°±â¼ú  4 13" xfId="6365"/>
    <cellStyle name="AeE­ [0]_ ºn¸nº° ¿uº°±a¼u  4 14" xfId="6366"/>
    <cellStyle name="ÅëÈ­ [0]_ ºñ¸ñº° ¿ùº°±â¼ú  4 14" xfId="6367"/>
    <cellStyle name="AeE­ [0]_ ºn¸nº° ¿uº°±a¼u  4 15" xfId="6368"/>
    <cellStyle name="ÅëÈ­ [0]_ ºñ¸ñº° ¿ùº°±â¼ú  4 15" xfId="6369"/>
    <cellStyle name="AeE­ [0]_ ºn¸nº° ¿uº°±a¼u  4 16" xfId="6370"/>
    <cellStyle name="ÅëÈ­ [0]_ ºñ¸ñº° ¿ùº°±â¼ú  4 16" xfId="6371"/>
    <cellStyle name="AeE­ [0]_ ºn¸nº° ¿uº°±a¼u  4 17" xfId="6372"/>
    <cellStyle name="ÅëÈ­ [0]_ ºñ¸ñº° ¿ùº°±â¼ú  4 17" xfId="6373"/>
    <cellStyle name="AeE­ [0]_ ºn¸nº° ¿uº°±a¼u  4 18" xfId="6374"/>
    <cellStyle name="ÅëÈ­ [0]_ ºñ¸ñº° ¿ùº°±â¼ú  4 18" xfId="6375"/>
    <cellStyle name="AeE­ [0]_ ºn¸nº° ¿uº°±a¼u  4 19" xfId="6376"/>
    <cellStyle name="ÅëÈ­ [0]_ ºñ¸ñº° ¿ùº°±â¼ú  4 19" xfId="6377"/>
    <cellStyle name="AeE­ [0]_ ºn¸nº° ¿uº°±a¼u  4 2" xfId="6378"/>
    <cellStyle name="ÅëÈ­ [0]_ ºñ¸ñº° ¿ùº°±â¼ú  4 2" xfId="6379"/>
    <cellStyle name="AeE­ [0]_ ºn¸nº° ¿uº°±a¼u  4 20" xfId="6380"/>
    <cellStyle name="ÅëÈ­ [0]_ ºñ¸ñº° ¿ùº°±â¼ú  4 20" xfId="6381"/>
    <cellStyle name="AeE­ [0]_ ºn¸nº° ¿uº°±a¼u  4 21" xfId="6382"/>
    <cellStyle name="ÅëÈ­ [0]_ ºñ¸ñº° ¿ùº°±â¼ú  4 21" xfId="6383"/>
    <cellStyle name="AeE­ [0]_ ºn¸nº° ¿uº°±a¼u  4 22" xfId="6384"/>
    <cellStyle name="ÅëÈ­ [0]_ ºñ¸ñº° ¿ùº°±â¼ú  4 22" xfId="6385"/>
    <cellStyle name="AeE­ [0]_ ºn¸nº° ¿uº°±a¼u  4 23" xfId="6386"/>
    <cellStyle name="ÅëÈ­ [0]_ ºñ¸ñº° ¿ùº°±â¼ú  4 23" xfId="6387"/>
    <cellStyle name="AeE­ [0]_ ºn¸nº° ¿uº°±a¼u  4 24" xfId="6388"/>
    <cellStyle name="ÅëÈ­ [0]_ ºñ¸ñº° ¿ùº°±â¼ú  4 24" xfId="6389"/>
    <cellStyle name="AeE­ [0]_ ºn¸nº° ¿uº°±a¼u  4 25" xfId="6390"/>
    <cellStyle name="ÅëÈ­ [0]_ ºñ¸ñº° ¿ùº°±â¼ú  4 25" xfId="6391"/>
    <cellStyle name="AeE­ [0]_ ºn¸nº° ¿uº°±a¼u  4 26" xfId="6392"/>
    <cellStyle name="ÅëÈ­ [0]_ ºñ¸ñº° ¿ùº°±â¼ú  4 26" xfId="6393"/>
    <cellStyle name="AeE­ [0]_ ºn¸nº° ¿uº°±a¼u  4 27" xfId="6394"/>
    <cellStyle name="ÅëÈ­ [0]_ ºñ¸ñº° ¿ùº°±â¼ú  4 27" xfId="6395"/>
    <cellStyle name="AeE­ [0]_ ºn¸nº° ¿uº°±a¼u  4 28" xfId="6396"/>
    <cellStyle name="ÅëÈ­ [0]_ ºñ¸ñº° ¿ùº°±â¼ú  4 28" xfId="6397"/>
    <cellStyle name="AeE­ [0]_ ºn¸nº° ¿uº°±a¼u  4 29" xfId="6398"/>
    <cellStyle name="ÅëÈ­ [0]_ ºñ¸ñº° ¿ùº°±â¼ú  4 29" xfId="6399"/>
    <cellStyle name="AeE­ [0]_ ºn¸nº° ¿uº°±a¼u  4 3" xfId="6400"/>
    <cellStyle name="ÅëÈ­ [0]_ ºñ¸ñº° ¿ùº°±â¼ú  4 3" xfId="6401"/>
    <cellStyle name="AeE­ [0]_ ºn¸nº° ¿uº°±a¼u  4 30" xfId="6402"/>
    <cellStyle name="ÅëÈ­ [0]_ ºñ¸ñº° ¿ùº°±â¼ú  4 30" xfId="6403"/>
    <cellStyle name="AeE­ [0]_ ºn¸nº° ¿uº°±a¼u  4 31" xfId="6404"/>
    <cellStyle name="ÅëÈ­ [0]_ ºñ¸ñº° ¿ùº°±â¼ú  4 31" xfId="6405"/>
    <cellStyle name="AeE­ [0]_ ºn¸nº° ¿uº°±a¼u  4 32" xfId="6406"/>
    <cellStyle name="ÅëÈ­ [0]_ ºñ¸ñº° ¿ùº°±â¼ú  4 32" xfId="6407"/>
    <cellStyle name="AeE­ [0]_ ºn¸nº° ¿uº°±a¼u  4 33" xfId="6408"/>
    <cellStyle name="ÅëÈ­ [0]_ ºñ¸ñº° ¿ùº°±â¼ú  4 33" xfId="6409"/>
    <cellStyle name="AeE­ [0]_ ºn¸nº° ¿uº°±a¼u  4 34" xfId="6410"/>
    <cellStyle name="ÅëÈ­ [0]_ ºñ¸ñº° ¿ùº°±â¼ú  4 34" xfId="6411"/>
    <cellStyle name="AeE­ [0]_ ºn¸nº° ¿uº°±a¼u  4 4" xfId="6412"/>
    <cellStyle name="ÅëÈ­ [0]_ ºñ¸ñº° ¿ùº°±â¼ú  4 4" xfId="6413"/>
    <cellStyle name="AeE­ [0]_ ºn¸nº° ¿uº°±a¼u  4 5" xfId="6414"/>
    <cellStyle name="ÅëÈ­ [0]_ ºñ¸ñº° ¿ùº°±â¼ú  4 5" xfId="6415"/>
    <cellStyle name="AeE­ [0]_ ºn¸nº° ¿uº°±a¼u  4 6" xfId="6416"/>
    <cellStyle name="ÅëÈ­ [0]_ ºñ¸ñº° ¿ùº°±â¼ú  4 6" xfId="6417"/>
    <cellStyle name="AeE­ [0]_ ºn¸nº° ¿uº°±a¼u  4 7" xfId="6418"/>
    <cellStyle name="ÅëÈ­ [0]_ ºñ¸ñº° ¿ùº°±â¼ú  4 7" xfId="6419"/>
    <cellStyle name="AeE­ [0]_ ºn¸nº° ¿uº°±a¼u  4 8" xfId="6420"/>
    <cellStyle name="ÅëÈ­ [0]_ ºñ¸ñº° ¿ùº°±â¼ú  4 8" xfId="6421"/>
    <cellStyle name="AeE­ [0]_ ºn¸nº° ¿uº°±a¼u  4 9" xfId="6422"/>
    <cellStyle name="ÅëÈ­ [0]_ ºñ¸ñº° ¿ùº°±â¼ú  4 9" xfId="6423"/>
    <cellStyle name="AeE­ [0]_ ºn¸nº° ¿uº°±a¼u  40" xfId="6424"/>
    <cellStyle name="ÅëÈ­ [0]_ ºñ¸ñº° ¿ùº°±â¼ú  40" xfId="6425"/>
    <cellStyle name="AeE­ [0]_ ºn¸nº° ¿uº°±a¼u  40 10" xfId="6426"/>
    <cellStyle name="ÅëÈ­ [0]_ ºñ¸ñº° ¿ùº°±â¼ú  40 10" xfId="6427"/>
    <cellStyle name="AeE­ [0]_ ºn¸nº° ¿uº°±a¼u  40 11" xfId="6428"/>
    <cellStyle name="ÅëÈ­ [0]_ ºñ¸ñº° ¿ùº°±â¼ú  40 11" xfId="6429"/>
    <cellStyle name="AeE­ [0]_ ºn¸nº° ¿uº°±a¼u  40 12" xfId="6430"/>
    <cellStyle name="ÅëÈ­ [0]_ ºñ¸ñº° ¿ùº°±â¼ú  40 12" xfId="6431"/>
    <cellStyle name="AeE­ [0]_ ºn¸nº° ¿uº°±a¼u  40 13" xfId="6432"/>
    <cellStyle name="ÅëÈ­ [0]_ ºñ¸ñº° ¿ùº°±â¼ú  40 13" xfId="6433"/>
    <cellStyle name="AeE­ [0]_ ºn¸nº° ¿uº°±a¼u  40 14" xfId="6434"/>
    <cellStyle name="ÅëÈ­ [0]_ ºñ¸ñº° ¿ùº°±â¼ú  40 14" xfId="6435"/>
    <cellStyle name="AeE­ [0]_ ºn¸nº° ¿uº°±a¼u  40 15" xfId="6436"/>
    <cellStyle name="ÅëÈ­ [0]_ ºñ¸ñº° ¿ùº°±â¼ú  40 15" xfId="6437"/>
    <cellStyle name="AeE­ [0]_ ºn¸nº° ¿uº°±a¼u  40 16" xfId="6438"/>
    <cellStyle name="ÅëÈ­ [0]_ ºñ¸ñº° ¿ùº°±â¼ú  40 16" xfId="6439"/>
    <cellStyle name="AeE­ [0]_ ºn¸nº° ¿uº°±a¼u  40 17" xfId="6440"/>
    <cellStyle name="ÅëÈ­ [0]_ ºñ¸ñº° ¿ùº°±â¼ú  40 17" xfId="6441"/>
    <cellStyle name="AeE­ [0]_ ºn¸nº° ¿uº°±a¼u  40 18" xfId="6442"/>
    <cellStyle name="ÅëÈ­ [0]_ ºñ¸ñº° ¿ùº°±â¼ú  40 18" xfId="6443"/>
    <cellStyle name="AeE­ [0]_ ºn¸nº° ¿uº°±a¼u  40 19" xfId="6444"/>
    <cellStyle name="ÅëÈ­ [0]_ ºñ¸ñº° ¿ùº°±â¼ú  40 19" xfId="6445"/>
    <cellStyle name="AeE­ [0]_ ºn¸nº° ¿uº°±a¼u  40 2" xfId="6446"/>
    <cellStyle name="ÅëÈ­ [0]_ ºñ¸ñº° ¿ùº°±â¼ú  40 2" xfId="6447"/>
    <cellStyle name="AeE­ [0]_ ºn¸nº° ¿uº°±a¼u  40 20" xfId="6448"/>
    <cellStyle name="ÅëÈ­ [0]_ ºñ¸ñº° ¿ùº°±â¼ú  40 20" xfId="6449"/>
    <cellStyle name="AeE­ [0]_ ºn¸nº° ¿uº°±a¼u  40 21" xfId="6450"/>
    <cellStyle name="ÅëÈ­ [0]_ ºñ¸ñº° ¿ùº°±â¼ú  40 21" xfId="6451"/>
    <cellStyle name="AeE­ [0]_ ºn¸nº° ¿uº°±a¼u  40 22" xfId="6452"/>
    <cellStyle name="ÅëÈ­ [0]_ ºñ¸ñº° ¿ùº°±â¼ú  40 22" xfId="6453"/>
    <cellStyle name="AeE­ [0]_ ºn¸nº° ¿uº°±a¼u  40 23" xfId="6454"/>
    <cellStyle name="ÅëÈ­ [0]_ ºñ¸ñº° ¿ùº°±â¼ú  40 23" xfId="6455"/>
    <cellStyle name="AeE­ [0]_ ºn¸nº° ¿uº°±a¼u  40 24" xfId="6456"/>
    <cellStyle name="ÅëÈ­ [0]_ ºñ¸ñº° ¿ùº°±â¼ú  40 24" xfId="6457"/>
    <cellStyle name="AeE­ [0]_ ºn¸nº° ¿uº°±a¼u  40 25" xfId="6458"/>
    <cellStyle name="ÅëÈ­ [0]_ ºñ¸ñº° ¿ùº°±â¼ú  40 25" xfId="6459"/>
    <cellStyle name="AeE­ [0]_ ºn¸nº° ¿uº°±a¼u  40 26" xfId="6460"/>
    <cellStyle name="ÅëÈ­ [0]_ ºñ¸ñº° ¿ùº°±â¼ú  40 26" xfId="6461"/>
    <cellStyle name="AeE­ [0]_ ºn¸nº° ¿uº°±a¼u  40 27" xfId="6462"/>
    <cellStyle name="ÅëÈ­ [0]_ ºñ¸ñº° ¿ùº°±â¼ú  40 27" xfId="6463"/>
    <cellStyle name="AeE­ [0]_ ºn¸nº° ¿uº°±a¼u  40 28" xfId="6464"/>
    <cellStyle name="ÅëÈ­ [0]_ ºñ¸ñº° ¿ùº°±â¼ú  40 28" xfId="6465"/>
    <cellStyle name="AeE­ [0]_ ºn¸nº° ¿uº°±a¼u  40 29" xfId="6466"/>
    <cellStyle name="ÅëÈ­ [0]_ ºñ¸ñº° ¿ùº°±â¼ú  40 29" xfId="6467"/>
    <cellStyle name="AeE­ [0]_ ºn¸nº° ¿uº°±a¼u  40 3" xfId="6468"/>
    <cellStyle name="ÅëÈ­ [0]_ ºñ¸ñº° ¿ùº°±â¼ú  40 3" xfId="6469"/>
    <cellStyle name="AeE­ [0]_ ºn¸nº° ¿uº°±a¼u  40 30" xfId="6470"/>
    <cellStyle name="ÅëÈ­ [0]_ ºñ¸ñº° ¿ùº°±â¼ú  40 30" xfId="6471"/>
    <cellStyle name="AeE­ [0]_ ºn¸nº° ¿uº°±a¼u  40 31" xfId="6472"/>
    <cellStyle name="ÅëÈ­ [0]_ ºñ¸ñº° ¿ùº°±â¼ú  40 31" xfId="6473"/>
    <cellStyle name="AeE­ [0]_ ºn¸nº° ¿uº°±a¼u  40 32" xfId="6474"/>
    <cellStyle name="ÅëÈ­ [0]_ ºñ¸ñº° ¿ùº°±â¼ú  40 32" xfId="6475"/>
    <cellStyle name="AeE­ [0]_ ºn¸nº° ¿uº°±a¼u  40 33" xfId="6476"/>
    <cellStyle name="ÅëÈ­ [0]_ ºñ¸ñº° ¿ùº°±â¼ú  40 33" xfId="6477"/>
    <cellStyle name="AeE­ [0]_ ºn¸nº° ¿uº°±a¼u  40 34" xfId="6478"/>
    <cellStyle name="ÅëÈ­ [0]_ ºñ¸ñº° ¿ùº°±â¼ú  40 34" xfId="6479"/>
    <cellStyle name="AeE­ [0]_ ºn¸nº° ¿uº°±a¼u  40 4" xfId="6480"/>
    <cellStyle name="ÅëÈ­ [0]_ ºñ¸ñº° ¿ùº°±â¼ú  40 4" xfId="6481"/>
    <cellStyle name="AeE­ [0]_ ºn¸nº° ¿uº°±a¼u  40 5" xfId="6482"/>
    <cellStyle name="ÅëÈ­ [0]_ ºñ¸ñº° ¿ùº°±â¼ú  40 5" xfId="6483"/>
    <cellStyle name="AeE­ [0]_ ºn¸nº° ¿uº°±a¼u  40 6" xfId="6484"/>
    <cellStyle name="ÅëÈ­ [0]_ ºñ¸ñº° ¿ùº°±â¼ú  40 6" xfId="6485"/>
    <cellStyle name="AeE­ [0]_ ºn¸nº° ¿uº°±a¼u  40 7" xfId="6486"/>
    <cellStyle name="ÅëÈ­ [0]_ ºñ¸ñº° ¿ùº°±â¼ú  40 7" xfId="6487"/>
    <cellStyle name="AeE­ [0]_ ºn¸nº° ¿uº°±a¼u  40 8" xfId="6488"/>
    <cellStyle name="ÅëÈ­ [0]_ ºñ¸ñº° ¿ùº°±â¼ú  40 8" xfId="6489"/>
    <cellStyle name="AeE­ [0]_ ºn¸nº° ¿uº°±a¼u  40 9" xfId="6490"/>
    <cellStyle name="ÅëÈ­ [0]_ ºñ¸ñº° ¿ùº°±â¼ú  40 9" xfId="6491"/>
    <cellStyle name="AeE­ [0]_ ºn¸nº° ¿uº°±a¼u  41" xfId="6492"/>
    <cellStyle name="ÅëÈ­ [0]_ ºñ¸ñº° ¿ùº°±â¼ú  41" xfId="6493"/>
    <cellStyle name="AeE­ [0]_ ºn¸nº° ¿uº°±a¼u  41 10" xfId="6494"/>
    <cellStyle name="ÅëÈ­ [0]_ ºñ¸ñº° ¿ùº°±â¼ú  41 10" xfId="6495"/>
    <cellStyle name="AeE­ [0]_ ºn¸nº° ¿uº°±a¼u  41 11" xfId="6496"/>
    <cellStyle name="ÅëÈ­ [0]_ ºñ¸ñº° ¿ùº°±â¼ú  41 11" xfId="6497"/>
    <cellStyle name="AeE­ [0]_ ºn¸nº° ¿uº°±a¼u  41 12" xfId="6498"/>
    <cellStyle name="ÅëÈ­ [0]_ ºñ¸ñº° ¿ùº°±â¼ú  41 12" xfId="6499"/>
    <cellStyle name="AeE­ [0]_ ºn¸nº° ¿uº°±a¼u  41 13" xfId="6500"/>
    <cellStyle name="ÅëÈ­ [0]_ ºñ¸ñº° ¿ùº°±â¼ú  41 13" xfId="6501"/>
    <cellStyle name="AeE­ [0]_ ºn¸nº° ¿uº°±a¼u  41 14" xfId="6502"/>
    <cellStyle name="ÅëÈ­ [0]_ ºñ¸ñº° ¿ùº°±â¼ú  41 14" xfId="6503"/>
    <cellStyle name="AeE­ [0]_ ºn¸nº° ¿uº°±a¼u  41 15" xfId="6504"/>
    <cellStyle name="ÅëÈ­ [0]_ ºñ¸ñº° ¿ùº°±â¼ú  41 15" xfId="6505"/>
    <cellStyle name="AeE­ [0]_ ºn¸nº° ¿uº°±a¼u  41 16" xfId="6506"/>
    <cellStyle name="ÅëÈ­ [0]_ ºñ¸ñº° ¿ùº°±â¼ú  41 16" xfId="6507"/>
    <cellStyle name="AeE­ [0]_ ºn¸nº° ¿uº°±a¼u  41 17" xfId="6508"/>
    <cellStyle name="ÅëÈ­ [0]_ ºñ¸ñº° ¿ùº°±â¼ú  41 17" xfId="6509"/>
    <cellStyle name="AeE­ [0]_ ºn¸nº° ¿uº°±a¼u  41 18" xfId="6510"/>
    <cellStyle name="ÅëÈ­ [0]_ ºñ¸ñº° ¿ùº°±â¼ú  41 18" xfId="6511"/>
    <cellStyle name="AeE­ [0]_ ºn¸nº° ¿uº°±a¼u  41 19" xfId="6512"/>
    <cellStyle name="ÅëÈ­ [0]_ ºñ¸ñº° ¿ùº°±â¼ú  41 19" xfId="6513"/>
    <cellStyle name="AeE­ [0]_ ºn¸nº° ¿uº°±a¼u  41 2" xfId="6514"/>
    <cellStyle name="ÅëÈ­ [0]_ ºñ¸ñº° ¿ùº°±â¼ú  41 2" xfId="6515"/>
    <cellStyle name="AeE­ [0]_ ºn¸nº° ¿uº°±a¼u  41 20" xfId="6516"/>
    <cellStyle name="ÅëÈ­ [0]_ ºñ¸ñº° ¿ùº°±â¼ú  41 20" xfId="6517"/>
    <cellStyle name="AeE­ [0]_ ºn¸nº° ¿uº°±a¼u  41 21" xfId="6518"/>
    <cellStyle name="ÅëÈ­ [0]_ ºñ¸ñº° ¿ùº°±â¼ú  41 21" xfId="6519"/>
    <cellStyle name="AeE­ [0]_ ºn¸nº° ¿uº°±a¼u  41 22" xfId="6520"/>
    <cellStyle name="ÅëÈ­ [0]_ ºñ¸ñº° ¿ùº°±â¼ú  41 22" xfId="6521"/>
    <cellStyle name="AeE­ [0]_ ºn¸nº° ¿uº°±a¼u  41 23" xfId="6522"/>
    <cellStyle name="ÅëÈ­ [0]_ ºñ¸ñº° ¿ùº°±â¼ú  41 23" xfId="6523"/>
    <cellStyle name="AeE­ [0]_ ºn¸nº° ¿uº°±a¼u  41 24" xfId="6524"/>
    <cellStyle name="ÅëÈ­ [0]_ ºñ¸ñº° ¿ùº°±â¼ú  41 24" xfId="6525"/>
    <cellStyle name="AeE­ [0]_ ºn¸nº° ¿uº°±a¼u  41 25" xfId="6526"/>
    <cellStyle name="ÅëÈ­ [0]_ ºñ¸ñº° ¿ùº°±â¼ú  41 25" xfId="6527"/>
    <cellStyle name="AeE­ [0]_ ºn¸nº° ¿uº°±a¼u  41 26" xfId="6528"/>
    <cellStyle name="ÅëÈ­ [0]_ ºñ¸ñº° ¿ùº°±â¼ú  41 26" xfId="6529"/>
    <cellStyle name="AeE­ [0]_ ºn¸nº° ¿uº°±a¼u  41 27" xfId="6530"/>
    <cellStyle name="ÅëÈ­ [0]_ ºñ¸ñº° ¿ùº°±â¼ú  41 27" xfId="6531"/>
    <cellStyle name="AeE­ [0]_ ºn¸nº° ¿uº°±a¼u  41 28" xfId="6532"/>
    <cellStyle name="ÅëÈ­ [0]_ ºñ¸ñº° ¿ùº°±â¼ú  41 28" xfId="6533"/>
    <cellStyle name="AeE­ [0]_ ºn¸nº° ¿uº°±a¼u  41 29" xfId="6534"/>
    <cellStyle name="ÅëÈ­ [0]_ ºñ¸ñº° ¿ùº°±â¼ú  41 29" xfId="6535"/>
    <cellStyle name="AeE­ [0]_ ºn¸nº° ¿uº°±a¼u  41 3" xfId="6536"/>
    <cellStyle name="ÅëÈ­ [0]_ ºñ¸ñº° ¿ùº°±â¼ú  41 3" xfId="6537"/>
    <cellStyle name="AeE­ [0]_ ºn¸nº° ¿uº°±a¼u  41 30" xfId="6538"/>
    <cellStyle name="ÅëÈ­ [0]_ ºñ¸ñº° ¿ùº°±â¼ú  41 30" xfId="6539"/>
    <cellStyle name="AeE­ [0]_ ºn¸nº° ¿uº°±a¼u  41 31" xfId="6540"/>
    <cellStyle name="ÅëÈ­ [0]_ ºñ¸ñº° ¿ùº°±â¼ú  41 31" xfId="6541"/>
    <cellStyle name="AeE­ [0]_ ºn¸nº° ¿uº°±a¼u  41 32" xfId="6542"/>
    <cellStyle name="ÅëÈ­ [0]_ ºñ¸ñº° ¿ùº°±â¼ú  41 32" xfId="6543"/>
    <cellStyle name="AeE­ [0]_ ºn¸nº° ¿uº°±a¼u  41 33" xfId="6544"/>
    <cellStyle name="ÅëÈ­ [0]_ ºñ¸ñº° ¿ùº°±â¼ú  41 33" xfId="6545"/>
    <cellStyle name="AeE­ [0]_ ºn¸nº° ¿uº°±a¼u  41 34" xfId="6546"/>
    <cellStyle name="ÅëÈ­ [0]_ ºñ¸ñº° ¿ùº°±â¼ú  41 34" xfId="6547"/>
    <cellStyle name="AeE­ [0]_ ºn¸nº° ¿uº°±a¼u  41 4" xfId="6548"/>
    <cellStyle name="ÅëÈ­ [0]_ ºñ¸ñº° ¿ùº°±â¼ú  41 4" xfId="6549"/>
    <cellStyle name="AeE­ [0]_ ºn¸nº° ¿uº°±a¼u  41 5" xfId="6550"/>
    <cellStyle name="ÅëÈ­ [0]_ ºñ¸ñº° ¿ùº°±â¼ú  41 5" xfId="6551"/>
    <cellStyle name="AeE­ [0]_ ºn¸nº° ¿uº°±a¼u  41 6" xfId="6552"/>
    <cellStyle name="ÅëÈ­ [0]_ ºñ¸ñº° ¿ùº°±â¼ú  41 6" xfId="6553"/>
    <cellStyle name="AeE­ [0]_ ºn¸nº° ¿uº°±a¼u  41 7" xfId="6554"/>
    <cellStyle name="ÅëÈ­ [0]_ ºñ¸ñº° ¿ùº°±â¼ú  41 7" xfId="6555"/>
    <cellStyle name="AeE­ [0]_ ºn¸nº° ¿uº°±a¼u  41 8" xfId="6556"/>
    <cellStyle name="ÅëÈ­ [0]_ ºñ¸ñº° ¿ùº°±â¼ú  41 8" xfId="6557"/>
    <cellStyle name="AeE­ [0]_ ºn¸nº° ¿uº°±a¼u  41 9" xfId="6558"/>
    <cellStyle name="ÅëÈ­ [0]_ ºñ¸ñº° ¿ùº°±â¼ú  41 9" xfId="6559"/>
    <cellStyle name="AeE­ [0]_ ºn¸nº° ¿uº°±a¼u  42" xfId="6560"/>
    <cellStyle name="ÅëÈ­ [0]_ ºñ¸ñº° ¿ùº°±â¼ú  42" xfId="6561"/>
    <cellStyle name="AeE­ [0]_ ºn¸nº° ¿uº°±a¼u  42 10" xfId="6562"/>
    <cellStyle name="ÅëÈ­ [0]_ ºñ¸ñº° ¿ùº°±â¼ú  42 10" xfId="6563"/>
    <cellStyle name="AeE­ [0]_ ºn¸nº° ¿uº°±a¼u  42 11" xfId="6564"/>
    <cellStyle name="ÅëÈ­ [0]_ ºñ¸ñº° ¿ùº°±â¼ú  42 11" xfId="6565"/>
    <cellStyle name="AeE­ [0]_ ºn¸nº° ¿uº°±a¼u  42 12" xfId="6566"/>
    <cellStyle name="ÅëÈ­ [0]_ ºñ¸ñº° ¿ùº°±â¼ú  42 12" xfId="6567"/>
    <cellStyle name="AeE­ [0]_ ºn¸nº° ¿uº°±a¼u  42 13" xfId="6568"/>
    <cellStyle name="ÅëÈ­ [0]_ ºñ¸ñº° ¿ùº°±â¼ú  42 13" xfId="6569"/>
    <cellStyle name="AeE­ [0]_ ºn¸nº° ¿uº°±a¼u  42 14" xfId="6570"/>
    <cellStyle name="ÅëÈ­ [0]_ ºñ¸ñº° ¿ùº°±â¼ú  42 14" xfId="6571"/>
    <cellStyle name="AeE­ [0]_ ºn¸nº° ¿uº°±a¼u  42 15" xfId="6572"/>
    <cellStyle name="ÅëÈ­ [0]_ ºñ¸ñº° ¿ùº°±â¼ú  42 15" xfId="6573"/>
    <cellStyle name="AeE­ [0]_ ºn¸nº° ¿uº°±a¼u  42 16" xfId="6574"/>
    <cellStyle name="ÅëÈ­ [0]_ ºñ¸ñº° ¿ùº°±â¼ú  42 16" xfId="6575"/>
    <cellStyle name="AeE­ [0]_ ºn¸nº° ¿uº°±a¼u  42 17" xfId="6576"/>
    <cellStyle name="ÅëÈ­ [0]_ ºñ¸ñº° ¿ùº°±â¼ú  42 17" xfId="6577"/>
    <cellStyle name="AeE­ [0]_ ºn¸nº° ¿uº°±a¼u  42 18" xfId="6578"/>
    <cellStyle name="ÅëÈ­ [0]_ ºñ¸ñº° ¿ùº°±â¼ú  42 18" xfId="6579"/>
    <cellStyle name="AeE­ [0]_ ºn¸nº° ¿uº°±a¼u  42 19" xfId="6580"/>
    <cellStyle name="ÅëÈ­ [0]_ ºñ¸ñº° ¿ùº°±â¼ú  42 19" xfId="6581"/>
    <cellStyle name="AeE­ [0]_ ºn¸nº° ¿uº°±a¼u  42 2" xfId="6582"/>
    <cellStyle name="ÅëÈ­ [0]_ ºñ¸ñº° ¿ùº°±â¼ú  42 2" xfId="6583"/>
    <cellStyle name="AeE­ [0]_ ºn¸nº° ¿uº°±a¼u  42 20" xfId="6584"/>
    <cellStyle name="ÅëÈ­ [0]_ ºñ¸ñº° ¿ùº°±â¼ú  42 20" xfId="6585"/>
    <cellStyle name="AeE­ [0]_ ºn¸nº° ¿uº°±a¼u  42 21" xfId="6586"/>
    <cellStyle name="ÅëÈ­ [0]_ ºñ¸ñº° ¿ùº°±â¼ú  42 21" xfId="6587"/>
    <cellStyle name="AeE­ [0]_ ºn¸nº° ¿uº°±a¼u  42 22" xfId="6588"/>
    <cellStyle name="ÅëÈ­ [0]_ ºñ¸ñº° ¿ùº°±â¼ú  42 22" xfId="6589"/>
    <cellStyle name="AeE­ [0]_ ºn¸nº° ¿uº°±a¼u  42 23" xfId="6590"/>
    <cellStyle name="ÅëÈ­ [0]_ ºñ¸ñº° ¿ùº°±â¼ú  42 23" xfId="6591"/>
    <cellStyle name="AeE­ [0]_ ºn¸nº° ¿uº°±a¼u  42 24" xfId="6592"/>
    <cellStyle name="ÅëÈ­ [0]_ ºñ¸ñº° ¿ùº°±â¼ú  42 24" xfId="6593"/>
    <cellStyle name="AeE­ [0]_ ºn¸nº° ¿uº°±a¼u  42 25" xfId="6594"/>
    <cellStyle name="ÅëÈ­ [0]_ ºñ¸ñº° ¿ùº°±â¼ú  42 25" xfId="6595"/>
    <cellStyle name="AeE­ [0]_ ºn¸nº° ¿uº°±a¼u  42 26" xfId="6596"/>
    <cellStyle name="ÅëÈ­ [0]_ ºñ¸ñº° ¿ùº°±â¼ú  42 26" xfId="6597"/>
    <cellStyle name="AeE­ [0]_ ºn¸nº° ¿uº°±a¼u  42 27" xfId="6598"/>
    <cellStyle name="ÅëÈ­ [0]_ ºñ¸ñº° ¿ùº°±â¼ú  42 27" xfId="6599"/>
    <cellStyle name="AeE­ [0]_ ºn¸nº° ¿uº°±a¼u  42 28" xfId="6600"/>
    <cellStyle name="ÅëÈ­ [0]_ ºñ¸ñº° ¿ùº°±â¼ú  42 28" xfId="6601"/>
    <cellStyle name="AeE­ [0]_ ºn¸nº° ¿uº°±a¼u  42 29" xfId="6602"/>
    <cellStyle name="ÅëÈ­ [0]_ ºñ¸ñº° ¿ùº°±â¼ú  42 29" xfId="6603"/>
    <cellStyle name="AeE­ [0]_ ºn¸nº° ¿uº°±a¼u  42 3" xfId="6604"/>
    <cellStyle name="ÅëÈ­ [0]_ ºñ¸ñº° ¿ùº°±â¼ú  42 3" xfId="6605"/>
    <cellStyle name="AeE­ [0]_ ºn¸nº° ¿uº°±a¼u  42 30" xfId="6606"/>
    <cellStyle name="ÅëÈ­ [0]_ ºñ¸ñº° ¿ùº°±â¼ú  42 30" xfId="6607"/>
    <cellStyle name="AeE­ [0]_ ºn¸nº° ¿uº°±a¼u  42 31" xfId="6608"/>
    <cellStyle name="ÅëÈ­ [0]_ ºñ¸ñº° ¿ùº°±â¼ú  42 31" xfId="6609"/>
    <cellStyle name="AeE­ [0]_ ºn¸nº° ¿uº°±a¼u  42 32" xfId="6610"/>
    <cellStyle name="ÅëÈ­ [0]_ ºñ¸ñº° ¿ùº°±â¼ú  42 32" xfId="6611"/>
    <cellStyle name="AeE­ [0]_ ºn¸nº° ¿uº°±a¼u  42 33" xfId="6612"/>
    <cellStyle name="ÅëÈ­ [0]_ ºñ¸ñº° ¿ùº°±â¼ú  42 33" xfId="6613"/>
    <cellStyle name="AeE­ [0]_ ºn¸nº° ¿uº°±a¼u  42 34" xfId="6614"/>
    <cellStyle name="ÅëÈ­ [0]_ ºñ¸ñº° ¿ùº°±â¼ú  42 34" xfId="6615"/>
    <cellStyle name="AeE­ [0]_ ºn¸nº° ¿uº°±a¼u  42 4" xfId="6616"/>
    <cellStyle name="ÅëÈ­ [0]_ ºñ¸ñº° ¿ùº°±â¼ú  42 4" xfId="6617"/>
    <cellStyle name="AeE­ [0]_ ºn¸nº° ¿uº°±a¼u  42 5" xfId="6618"/>
    <cellStyle name="ÅëÈ­ [0]_ ºñ¸ñº° ¿ùº°±â¼ú  42 5" xfId="6619"/>
    <cellStyle name="AeE­ [0]_ ºn¸nº° ¿uº°±a¼u  42 6" xfId="6620"/>
    <cellStyle name="ÅëÈ­ [0]_ ºñ¸ñº° ¿ùº°±â¼ú  42 6" xfId="6621"/>
    <cellStyle name="AeE­ [0]_ ºn¸nº° ¿uº°±a¼u  42 7" xfId="6622"/>
    <cellStyle name="ÅëÈ­ [0]_ ºñ¸ñº° ¿ùº°±â¼ú  42 7" xfId="6623"/>
    <cellStyle name="AeE­ [0]_ ºn¸nº° ¿uº°±a¼u  42 8" xfId="6624"/>
    <cellStyle name="ÅëÈ­ [0]_ ºñ¸ñº° ¿ùº°±â¼ú  42 8" xfId="6625"/>
    <cellStyle name="AeE­ [0]_ ºn¸nº° ¿uº°±a¼u  42 9" xfId="6626"/>
    <cellStyle name="ÅëÈ­ [0]_ ºñ¸ñº° ¿ùº°±â¼ú  42 9" xfId="6627"/>
    <cellStyle name="AeE­ [0]_ ºn¸nº° ¿uº°±a¼u  43" xfId="6628"/>
    <cellStyle name="ÅëÈ­ [0]_ ºñ¸ñº° ¿ùº°±â¼ú  43" xfId="6629"/>
    <cellStyle name="AeE­ [0]_ ºn¸nº° ¿uº°±a¼u  43 10" xfId="6630"/>
    <cellStyle name="ÅëÈ­ [0]_ ºñ¸ñº° ¿ùº°±â¼ú  43 10" xfId="6631"/>
    <cellStyle name="AeE­ [0]_ ºn¸nº° ¿uº°±a¼u  43 11" xfId="6632"/>
    <cellStyle name="ÅëÈ­ [0]_ ºñ¸ñº° ¿ùº°±â¼ú  43 11" xfId="6633"/>
    <cellStyle name="AeE­ [0]_ ºn¸nº° ¿uº°±a¼u  43 12" xfId="6634"/>
    <cellStyle name="ÅëÈ­ [0]_ ºñ¸ñº° ¿ùº°±â¼ú  43 12" xfId="6635"/>
    <cellStyle name="AeE­ [0]_ ºn¸nº° ¿uº°±a¼u  43 13" xfId="6636"/>
    <cellStyle name="ÅëÈ­ [0]_ ºñ¸ñº° ¿ùº°±â¼ú  43 13" xfId="6637"/>
    <cellStyle name="AeE­ [0]_ ºn¸nº° ¿uº°±a¼u  43 14" xfId="6638"/>
    <cellStyle name="ÅëÈ­ [0]_ ºñ¸ñº° ¿ùº°±â¼ú  43 14" xfId="6639"/>
    <cellStyle name="AeE­ [0]_ ºn¸nº° ¿uº°±a¼u  43 15" xfId="6640"/>
    <cellStyle name="ÅëÈ­ [0]_ ºñ¸ñº° ¿ùº°±â¼ú  43 15" xfId="6641"/>
    <cellStyle name="AeE­ [0]_ ºn¸nº° ¿uº°±a¼u  43 16" xfId="6642"/>
    <cellStyle name="ÅëÈ­ [0]_ ºñ¸ñº° ¿ùº°±â¼ú  43 16" xfId="6643"/>
    <cellStyle name="AeE­ [0]_ ºn¸nº° ¿uº°±a¼u  43 17" xfId="6644"/>
    <cellStyle name="ÅëÈ­ [0]_ ºñ¸ñº° ¿ùº°±â¼ú  43 17" xfId="6645"/>
    <cellStyle name="AeE­ [0]_ ºn¸nº° ¿uº°±a¼u  43 18" xfId="6646"/>
    <cellStyle name="ÅëÈ­ [0]_ ºñ¸ñº° ¿ùº°±â¼ú  43 18" xfId="6647"/>
    <cellStyle name="AeE­ [0]_ ºn¸nº° ¿uº°±a¼u  43 19" xfId="6648"/>
    <cellStyle name="ÅëÈ­ [0]_ ºñ¸ñº° ¿ùº°±â¼ú  43 19" xfId="6649"/>
    <cellStyle name="AeE­ [0]_ ºn¸nº° ¿uº°±a¼u  43 2" xfId="6650"/>
    <cellStyle name="ÅëÈ­ [0]_ ºñ¸ñº° ¿ùº°±â¼ú  43 2" xfId="6651"/>
    <cellStyle name="AeE­ [0]_ ºn¸nº° ¿uº°±a¼u  43 20" xfId="6652"/>
    <cellStyle name="ÅëÈ­ [0]_ ºñ¸ñº° ¿ùº°±â¼ú  43 20" xfId="6653"/>
    <cellStyle name="AeE­ [0]_ ºn¸nº° ¿uº°±a¼u  43 21" xfId="6654"/>
    <cellStyle name="ÅëÈ­ [0]_ ºñ¸ñº° ¿ùº°±â¼ú  43 21" xfId="6655"/>
    <cellStyle name="AeE­ [0]_ ºn¸nº° ¿uº°±a¼u  43 22" xfId="6656"/>
    <cellStyle name="ÅëÈ­ [0]_ ºñ¸ñº° ¿ùº°±â¼ú  43 22" xfId="6657"/>
    <cellStyle name="AeE­ [0]_ ºn¸nº° ¿uº°±a¼u  43 23" xfId="6658"/>
    <cellStyle name="ÅëÈ­ [0]_ ºñ¸ñº° ¿ùº°±â¼ú  43 23" xfId="6659"/>
    <cellStyle name="AeE­ [0]_ ºn¸nº° ¿uº°±a¼u  43 24" xfId="6660"/>
    <cellStyle name="ÅëÈ­ [0]_ ºñ¸ñº° ¿ùº°±â¼ú  43 24" xfId="6661"/>
    <cellStyle name="AeE­ [0]_ ºn¸nº° ¿uº°±a¼u  43 25" xfId="6662"/>
    <cellStyle name="ÅëÈ­ [0]_ ºñ¸ñº° ¿ùº°±â¼ú  43 25" xfId="6663"/>
    <cellStyle name="AeE­ [0]_ ºn¸nº° ¿uº°±a¼u  43 26" xfId="6664"/>
    <cellStyle name="ÅëÈ­ [0]_ ºñ¸ñº° ¿ùº°±â¼ú  43 26" xfId="6665"/>
    <cellStyle name="AeE­ [0]_ ºn¸nº° ¿uº°±a¼u  43 27" xfId="6666"/>
    <cellStyle name="ÅëÈ­ [0]_ ºñ¸ñº° ¿ùº°±â¼ú  43 27" xfId="6667"/>
    <cellStyle name="AeE­ [0]_ ºn¸nº° ¿uº°±a¼u  43 28" xfId="6668"/>
    <cellStyle name="ÅëÈ­ [0]_ ºñ¸ñº° ¿ùº°±â¼ú  43 28" xfId="6669"/>
    <cellStyle name="AeE­ [0]_ ºn¸nº° ¿uº°±a¼u  43 29" xfId="6670"/>
    <cellStyle name="ÅëÈ­ [0]_ ºñ¸ñº° ¿ùº°±â¼ú  43 29" xfId="6671"/>
    <cellStyle name="AeE­ [0]_ ºn¸nº° ¿uº°±a¼u  43 3" xfId="6672"/>
    <cellStyle name="ÅëÈ­ [0]_ ºñ¸ñº° ¿ùº°±â¼ú  43 3" xfId="6673"/>
    <cellStyle name="AeE­ [0]_ ºn¸nº° ¿uº°±a¼u  43 30" xfId="6674"/>
    <cellStyle name="ÅëÈ­ [0]_ ºñ¸ñº° ¿ùº°±â¼ú  43 30" xfId="6675"/>
    <cellStyle name="AeE­ [0]_ ºn¸nº° ¿uº°±a¼u  43 31" xfId="6676"/>
    <cellStyle name="ÅëÈ­ [0]_ ºñ¸ñº° ¿ùº°±â¼ú  43 31" xfId="6677"/>
    <cellStyle name="AeE­ [0]_ ºn¸nº° ¿uº°±a¼u  43 32" xfId="6678"/>
    <cellStyle name="ÅëÈ­ [0]_ ºñ¸ñº° ¿ùº°±â¼ú  43 32" xfId="6679"/>
    <cellStyle name="AeE­ [0]_ ºn¸nº° ¿uº°±a¼u  43 33" xfId="6680"/>
    <cellStyle name="ÅëÈ­ [0]_ ºñ¸ñº° ¿ùº°±â¼ú  43 33" xfId="6681"/>
    <cellStyle name="AeE­ [0]_ ºn¸nº° ¿uº°±a¼u  43 34" xfId="6682"/>
    <cellStyle name="ÅëÈ­ [0]_ ºñ¸ñº° ¿ùº°±â¼ú  43 34" xfId="6683"/>
    <cellStyle name="AeE­ [0]_ ºn¸nº° ¿uº°±a¼u  43 4" xfId="6684"/>
    <cellStyle name="ÅëÈ­ [0]_ ºñ¸ñº° ¿ùº°±â¼ú  43 4" xfId="6685"/>
    <cellStyle name="AeE­ [0]_ ºn¸nº° ¿uº°±a¼u  43 5" xfId="6686"/>
    <cellStyle name="ÅëÈ­ [0]_ ºñ¸ñº° ¿ùº°±â¼ú  43 5" xfId="6687"/>
    <cellStyle name="AeE­ [0]_ ºn¸nº° ¿uº°±a¼u  43 6" xfId="6688"/>
    <cellStyle name="ÅëÈ­ [0]_ ºñ¸ñº° ¿ùº°±â¼ú  43 6" xfId="6689"/>
    <cellStyle name="AeE­ [0]_ ºn¸nº° ¿uº°±a¼u  43 7" xfId="6690"/>
    <cellStyle name="ÅëÈ­ [0]_ ºñ¸ñº° ¿ùº°±â¼ú  43 7" xfId="6691"/>
    <cellStyle name="AeE­ [0]_ ºn¸nº° ¿uº°±a¼u  43 8" xfId="6692"/>
    <cellStyle name="ÅëÈ­ [0]_ ºñ¸ñº° ¿ùº°±â¼ú  43 8" xfId="6693"/>
    <cellStyle name="AeE­ [0]_ ºn¸nº° ¿uº°±a¼u  43 9" xfId="6694"/>
    <cellStyle name="ÅëÈ­ [0]_ ºñ¸ñº° ¿ùº°±â¼ú  43 9" xfId="6695"/>
    <cellStyle name="AeE­ [0]_ ºn¸nº° ¿uº°±a¼u  5" xfId="6696"/>
    <cellStyle name="ÅëÈ­ [0]_ ºñ¸ñº° ¿ùº°±â¼ú  5" xfId="6697"/>
    <cellStyle name="AeE­ [0]_ ºn¸nº° ¿uº°±a¼u  5 10" xfId="6698"/>
    <cellStyle name="ÅëÈ­ [0]_ ºñ¸ñº° ¿ùº°±â¼ú  5 10" xfId="6699"/>
    <cellStyle name="AeE­ [0]_ ºn¸nº° ¿uº°±a¼u  5 11" xfId="6700"/>
    <cellStyle name="ÅëÈ­ [0]_ ºñ¸ñº° ¿ùº°±â¼ú  5 11" xfId="6701"/>
    <cellStyle name="AeE­ [0]_ ºn¸nº° ¿uº°±a¼u  5 12" xfId="6702"/>
    <cellStyle name="ÅëÈ­ [0]_ ºñ¸ñº° ¿ùº°±â¼ú  5 12" xfId="6703"/>
    <cellStyle name="AeE­ [0]_ ºn¸nº° ¿uº°±a¼u  5 13" xfId="6704"/>
    <cellStyle name="ÅëÈ­ [0]_ ºñ¸ñº° ¿ùº°±â¼ú  5 13" xfId="6705"/>
    <cellStyle name="AeE­ [0]_ ºn¸nº° ¿uº°±a¼u  5 14" xfId="6706"/>
    <cellStyle name="ÅëÈ­ [0]_ ºñ¸ñº° ¿ùº°±â¼ú  5 14" xfId="6707"/>
    <cellStyle name="AeE­ [0]_ ºn¸nº° ¿uº°±a¼u  5 15" xfId="6708"/>
    <cellStyle name="ÅëÈ­ [0]_ ºñ¸ñº° ¿ùº°±â¼ú  5 15" xfId="6709"/>
    <cellStyle name="AeE­ [0]_ ºn¸nº° ¿uº°±a¼u  5 16" xfId="6710"/>
    <cellStyle name="ÅëÈ­ [0]_ ºñ¸ñº° ¿ùº°±â¼ú  5 16" xfId="6711"/>
    <cellStyle name="AeE­ [0]_ ºn¸nº° ¿uº°±a¼u  5 17" xfId="6712"/>
    <cellStyle name="ÅëÈ­ [0]_ ºñ¸ñº° ¿ùº°±â¼ú  5 17" xfId="6713"/>
    <cellStyle name="AeE­ [0]_ ºn¸nº° ¿uº°±a¼u  5 18" xfId="6714"/>
    <cellStyle name="ÅëÈ­ [0]_ ºñ¸ñº° ¿ùº°±â¼ú  5 18" xfId="6715"/>
    <cellStyle name="AeE­ [0]_ ºn¸nº° ¿uº°±a¼u  5 19" xfId="6716"/>
    <cellStyle name="ÅëÈ­ [0]_ ºñ¸ñº° ¿ùº°±â¼ú  5 19" xfId="6717"/>
    <cellStyle name="AeE­ [0]_ ºn¸nº° ¿uº°±a¼u  5 2" xfId="6718"/>
    <cellStyle name="ÅëÈ­ [0]_ ºñ¸ñº° ¿ùº°±â¼ú  5 2" xfId="6719"/>
    <cellStyle name="AeE­ [0]_ ºn¸nº° ¿uº°±a¼u  5 20" xfId="6720"/>
    <cellStyle name="ÅëÈ­ [0]_ ºñ¸ñº° ¿ùº°±â¼ú  5 20" xfId="6721"/>
    <cellStyle name="AeE­ [0]_ ºn¸nº° ¿uº°±a¼u  5 21" xfId="6722"/>
    <cellStyle name="ÅëÈ­ [0]_ ºñ¸ñº° ¿ùº°±â¼ú  5 21" xfId="6723"/>
    <cellStyle name="AeE­ [0]_ ºn¸nº° ¿uº°±a¼u  5 22" xfId="6724"/>
    <cellStyle name="ÅëÈ­ [0]_ ºñ¸ñº° ¿ùº°±â¼ú  5 22" xfId="6725"/>
    <cellStyle name="AeE­ [0]_ ºn¸nº° ¿uº°±a¼u  5 23" xfId="6726"/>
    <cellStyle name="ÅëÈ­ [0]_ ºñ¸ñº° ¿ùº°±â¼ú  5 23" xfId="6727"/>
    <cellStyle name="AeE­ [0]_ ºn¸nº° ¿uº°±a¼u  5 24" xfId="6728"/>
    <cellStyle name="ÅëÈ­ [0]_ ºñ¸ñº° ¿ùº°±â¼ú  5 24" xfId="6729"/>
    <cellStyle name="AeE­ [0]_ ºn¸nº° ¿uº°±a¼u  5 25" xfId="6730"/>
    <cellStyle name="ÅëÈ­ [0]_ ºñ¸ñº° ¿ùº°±â¼ú  5 25" xfId="6731"/>
    <cellStyle name="AeE­ [0]_ ºn¸nº° ¿uº°±a¼u  5 26" xfId="6732"/>
    <cellStyle name="ÅëÈ­ [0]_ ºñ¸ñº° ¿ùº°±â¼ú  5 26" xfId="6733"/>
    <cellStyle name="AeE­ [0]_ ºn¸nº° ¿uº°±a¼u  5 27" xfId="6734"/>
    <cellStyle name="ÅëÈ­ [0]_ ºñ¸ñº° ¿ùº°±â¼ú  5 27" xfId="6735"/>
    <cellStyle name="AeE­ [0]_ ºn¸nº° ¿uº°±a¼u  5 28" xfId="6736"/>
    <cellStyle name="ÅëÈ­ [0]_ ºñ¸ñº° ¿ùº°±â¼ú  5 28" xfId="6737"/>
    <cellStyle name="AeE­ [0]_ ºn¸nº° ¿uº°±a¼u  5 29" xfId="6738"/>
    <cellStyle name="ÅëÈ­ [0]_ ºñ¸ñº° ¿ùº°±â¼ú  5 29" xfId="6739"/>
    <cellStyle name="AeE­ [0]_ ºn¸nº° ¿uº°±a¼u  5 3" xfId="6740"/>
    <cellStyle name="ÅëÈ­ [0]_ ºñ¸ñº° ¿ùº°±â¼ú  5 3" xfId="6741"/>
    <cellStyle name="AeE­ [0]_ ºn¸nº° ¿uº°±a¼u  5 30" xfId="6742"/>
    <cellStyle name="ÅëÈ­ [0]_ ºñ¸ñº° ¿ùº°±â¼ú  5 30" xfId="6743"/>
    <cellStyle name="AeE­ [0]_ ºn¸nº° ¿uº°±a¼u  5 31" xfId="6744"/>
    <cellStyle name="ÅëÈ­ [0]_ ºñ¸ñº° ¿ùº°±â¼ú  5 31" xfId="6745"/>
    <cellStyle name="AeE­ [0]_ ºn¸nº° ¿uº°±a¼u  5 32" xfId="6746"/>
    <cellStyle name="ÅëÈ­ [0]_ ºñ¸ñº° ¿ùº°±â¼ú  5 32" xfId="6747"/>
    <cellStyle name="AeE­ [0]_ ºn¸nº° ¿uº°±a¼u  5 33" xfId="6748"/>
    <cellStyle name="ÅëÈ­ [0]_ ºñ¸ñº° ¿ùº°±â¼ú  5 33" xfId="6749"/>
    <cellStyle name="AeE­ [0]_ ºn¸nº° ¿uº°±a¼u  5 34" xfId="6750"/>
    <cellStyle name="ÅëÈ­ [0]_ ºñ¸ñº° ¿ùº°±â¼ú  5 34" xfId="6751"/>
    <cellStyle name="AeE­ [0]_ ºn¸nº° ¿uº°±a¼u  5 4" xfId="6752"/>
    <cellStyle name="ÅëÈ­ [0]_ ºñ¸ñº° ¿ùº°±â¼ú  5 4" xfId="6753"/>
    <cellStyle name="AeE­ [0]_ ºn¸nº° ¿uº°±a¼u  5 5" xfId="6754"/>
    <cellStyle name="ÅëÈ­ [0]_ ºñ¸ñº° ¿ùº°±â¼ú  5 5" xfId="6755"/>
    <cellStyle name="AeE­ [0]_ ºn¸nº° ¿uº°±a¼u  5 6" xfId="6756"/>
    <cellStyle name="ÅëÈ­ [0]_ ºñ¸ñº° ¿ùº°±â¼ú  5 6" xfId="6757"/>
    <cellStyle name="AeE­ [0]_ ºn¸nº° ¿uº°±a¼u  5 7" xfId="6758"/>
    <cellStyle name="ÅëÈ­ [0]_ ºñ¸ñº° ¿ùº°±â¼ú  5 7" xfId="6759"/>
    <cellStyle name="AeE­ [0]_ ºn¸nº° ¿uº°±a¼u  5 8" xfId="6760"/>
    <cellStyle name="ÅëÈ­ [0]_ ºñ¸ñº° ¿ùº°±â¼ú  5 8" xfId="6761"/>
    <cellStyle name="AeE­ [0]_ ºn¸nº° ¿uº°±a¼u  5 9" xfId="6762"/>
    <cellStyle name="ÅëÈ­ [0]_ ºñ¸ñº° ¿ùº°±â¼ú  5 9" xfId="6763"/>
    <cellStyle name="AeE­ [0]_ ºn¸nº° ¿uº°±a¼u  6" xfId="6764"/>
    <cellStyle name="ÅëÈ­ [0]_ ºñ¸ñº° ¿ùº°±â¼ú  6" xfId="6765"/>
    <cellStyle name="AeE­ [0]_ ºn¸nº° ¿uº°±a¼u  6 10" xfId="6766"/>
    <cellStyle name="ÅëÈ­ [0]_ ºñ¸ñº° ¿ùº°±â¼ú  6 10" xfId="6767"/>
    <cellStyle name="AeE­ [0]_ ºn¸nº° ¿uº°±a¼u  6 11" xfId="6768"/>
    <cellStyle name="ÅëÈ­ [0]_ ºñ¸ñº° ¿ùº°±â¼ú  6 11" xfId="6769"/>
    <cellStyle name="AeE­ [0]_ ºn¸nº° ¿uº°±a¼u  6 12" xfId="6770"/>
    <cellStyle name="ÅëÈ­ [0]_ ºñ¸ñº° ¿ùº°±â¼ú  6 12" xfId="6771"/>
    <cellStyle name="AeE­ [0]_ ºn¸nº° ¿uº°±a¼u  6 13" xfId="6772"/>
    <cellStyle name="ÅëÈ­ [0]_ ºñ¸ñº° ¿ùº°±â¼ú  6 13" xfId="6773"/>
    <cellStyle name="AeE­ [0]_ ºn¸nº° ¿uº°±a¼u  6 14" xfId="6774"/>
    <cellStyle name="ÅëÈ­ [0]_ ºñ¸ñº° ¿ùº°±â¼ú  6 14" xfId="6775"/>
    <cellStyle name="AeE­ [0]_ ºn¸nº° ¿uº°±a¼u  6 15" xfId="6776"/>
    <cellStyle name="ÅëÈ­ [0]_ ºñ¸ñº° ¿ùº°±â¼ú  6 15" xfId="6777"/>
    <cellStyle name="AeE­ [0]_ ºn¸nº° ¿uº°±a¼u  6 16" xfId="6778"/>
    <cellStyle name="ÅëÈ­ [0]_ ºñ¸ñº° ¿ùº°±â¼ú  6 16" xfId="6779"/>
    <cellStyle name="AeE­ [0]_ ºn¸nº° ¿uº°±a¼u  6 17" xfId="6780"/>
    <cellStyle name="ÅëÈ­ [0]_ ºñ¸ñº° ¿ùº°±â¼ú  6 17" xfId="6781"/>
    <cellStyle name="AeE­ [0]_ ºn¸nº° ¿uº°±a¼u  6 18" xfId="6782"/>
    <cellStyle name="ÅëÈ­ [0]_ ºñ¸ñº° ¿ùº°±â¼ú  6 18" xfId="6783"/>
    <cellStyle name="AeE­ [0]_ ºn¸nº° ¿uº°±a¼u  6 19" xfId="6784"/>
    <cellStyle name="ÅëÈ­ [0]_ ºñ¸ñº° ¿ùº°±â¼ú  6 19" xfId="6785"/>
    <cellStyle name="AeE­ [0]_ ºn¸nº° ¿uº°±a¼u  6 2" xfId="6786"/>
    <cellStyle name="ÅëÈ­ [0]_ ºñ¸ñº° ¿ùº°±â¼ú  6 2" xfId="6787"/>
    <cellStyle name="AeE­ [0]_ ºn¸nº° ¿uº°±a¼u  6 20" xfId="6788"/>
    <cellStyle name="ÅëÈ­ [0]_ ºñ¸ñº° ¿ùº°±â¼ú  6 20" xfId="6789"/>
    <cellStyle name="AeE­ [0]_ ºn¸nº° ¿uº°±a¼u  6 21" xfId="6790"/>
    <cellStyle name="ÅëÈ­ [0]_ ºñ¸ñº° ¿ùº°±â¼ú  6 21" xfId="6791"/>
    <cellStyle name="AeE­ [0]_ ºn¸nº° ¿uº°±a¼u  6 22" xfId="6792"/>
    <cellStyle name="ÅëÈ­ [0]_ ºñ¸ñº° ¿ùº°±â¼ú  6 22" xfId="6793"/>
    <cellStyle name="AeE­ [0]_ ºn¸nº° ¿uº°±a¼u  6 23" xfId="6794"/>
    <cellStyle name="ÅëÈ­ [0]_ ºñ¸ñº° ¿ùº°±â¼ú  6 23" xfId="6795"/>
    <cellStyle name="AeE­ [0]_ ºn¸nº° ¿uº°±a¼u  6 24" xfId="6796"/>
    <cellStyle name="ÅëÈ­ [0]_ ºñ¸ñº° ¿ùº°±â¼ú  6 24" xfId="6797"/>
    <cellStyle name="AeE­ [0]_ ºn¸nº° ¿uº°±a¼u  6 25" xfId="6798"/>
    <cellStyle name="ÅëÈ­ [0]_ ºñ¸ñº° ¿ùº°±â¼ú  6 25" xfId="6799"/>
    <cellStyle name="AeE­ [0]_ ºn¸nº° ¿uº°±a¼u  6 26" xfId="6800"/>
    <cellStyle name="ÅëÈ­ [0]_ ºñ¸ñº° ¿ùº°±â¼ú  6 26" xfId="6801"/>
    <cellStyle name="AeE­ [0]_ ºn¸nº° ¿uº°±a¼u  6 27" xfId="6802"/>
    <cellStyle name="ÅëÈ­ [0]_ ºñ¸ñº° ¿ùº°±â¼ú  6 27" xfId="6803"/>
    <cellStyle name="AeE­ [0]_ ºn¸nº° ¿uº°±a¼u  6 28" xfId="6804"/>
    <cellStyle name="ÅëÈ­ [0]_ ºñ¸ñº° ¿ùº°±â¼ú  6 28" xfId="6805"/>
    <cellStyle name="AeE­ [0]_ ºn¸nº° ¿uº°±a¼u  6 29" xfId="6806"/>
    <cellStyle name="ÅëÈ­ [0]_ ºñ¸ñº° ¿ùº°±â¼ú  6 29" xfId="6807"/>
    <cellStyle name="AeE­ [0]_ ºn¸nº° ¿uº°±a¼u  6 3" xfId="6808"/>
    <cellStyle name="ÅëÈ­ [0]_ ºñ¸ñº° ¿ùº°±â¼ú  6 3" xfId="6809"/>
    <cellStyle name="AeE­ [0]_ ºn¸nº° ¿uº°±a¼u  6 30" xfId="6810"/>
    <cellStyle name="ÅëÈ­ [0]_ ºñ¸ñº° ¿ùº°±â¼ú  6 30" xfId="6811"/>
    <cellStyle name="AeE­ [0]_ ºn¸nº° ¿uº°±a¼u  6 31" xfId="6812"/>
    <cellStyle name="ÅëÈ­ [0]_ ºñ¸ñº° ¿ùº°±â¼ú  6 31" xfId="6813"/>
    <cellStyle name="AeE­ [0]_ ºn¸nº° ¿uº°±a¼u  6 32" xfId="6814"/>
    <cellStyle name="ÅëÈ­ [0]_ ºñ¸ñº° ¿ùº°±â¼ú  6 32" xfId="6815"/>
    <cellStyle name="AeE­ [0]_ ºn¸nº° ¿uº°±a¼u  6 33" xfId="6816"/>
    <cellStyle name="ÅëÈ­ [0]_ ºñ¸ñº° ¿ùº°±â¼ú  6 33" xfId="6817"/>
    <cellStyle name="AeE­ [0]_ ºn¸nº° ¿uº°±a¼u  6 34" xfId="6818"/>
    <cellStyle name="ÅëÈ­ [0]_ ºñ¸ñº° ¿ùº°±â¼ú  6 34" xfId="6819"/>
    <cellStyle name="AeE­ [0]_ ºn¸nº° ¿uº°±a¼u  6 4" xfId="6820"/>
    <cellStyle name="ÅëÈ­ [0]_ ºñ¸ñº° ¿ùº°±â¼ú  6 4" xfId="6821"/>
    <cellStyle name="AeE­ [0]_ ºn¸nº° ¿uº°±a¼u  6 5" xfId="6822"/>
    <cellStyle name="ÅëÈ­ [0]_ ºñ¸ñº° ¿ùº°±â¼ú  6 5" xfId="6823"/>
    <cellStyle name="AeE­ [0]_ ºn¸nº° ¿uº°±a¼u  6 6" xfId="6824"/>
    <cellStyle name="ÅëÈ­ [0]_ ºñ¸ñº° ¿ùº°±â¼ú  6 6" xfId="6825"/>
    <cellStyle name="AeE­ [0]_ ºn¸nº° ¿uº°±a¼u  6 7" xfId="6826"/>
    <cellStyle name="ÅëÈ­ [0]_ ºñ¸ñº° ¿ùº°±â¼ú  6 7" xfId="6827"/>
    <cellStyle name="AeE­ [0]_ ºn¸nº° ¿uº°±a¼u  6 8" xfId="6828"/>
    <cellStyle name="ÅëÈ­ [0]_ ºñ¸ñº° ¿ùº°±â¼ú  6 8" xfId="6829"/>
    <cellStyle name="AeE­ [0]_ ºn¸nº° ¿uº°±a¼u  6 9" xfId="6830"/>
    <cellStyle name="ÅëÈ­ [0]_ ºñ¸ñº° ¿ùº°±â¼ú  6 9" xfId="6831"/>
    <cellStyle name="AeE­ [0]_ ºn¸nº° ¿uº°±a¼u  7" xfId="6832"/>
    <cellStyle name="ÅëÈ­ [0]_ ºñ¸ñº° ¿ùº°±â¼ú  7" xfId="6833"/>
    <cellStyle name="AeE­ [0]_ ºn¸nº° ¿uº°±a¼u  7 10" xfId="6834"/>
    <cellStyle name="ÅëÈ­ [0]_ ºñ¸ñº° ¿ùº°±â¼ú  7 10" xfId="6835"/>
    <cellStyle name="AeE­ [0]_ ºn¸nº° ¿uº°±a¼u  7 11" xfId="6836"/>
    <cellStyle name="ÅëÈ­ [0]_ ºñ¸ñº° ¿ùº°±â¼ú  7 11" xfId="6837"/>
    <cellStyle name="AeE­ [0]_ ºn¸nº° ¿uº°±a¼u  7 12" xfId="6838"/>
    <cellStyle name="ÅëÈ­ [0]_ ºñ¸ñº° ¿ùº°±â¼ú  7 12" xfId="6839"/>
    <cellStyle name="AeE­ [0]_ ºn¸nº° ¿uº°±a¼u  7 13" xfId="6840"/>
    <cellStyle name="ÅëÈ­ [0]_ ºñ¸ñº° ¿ùº°±â¼ú  7 13" xfId="6841"/>
    <cellStyle name="AeE­ [0]_ ºn¸nº° ¿uº°±a¼u  7 14" xfId="6842"/>
    <cellStyle name="ÅëÈ­ [0]_ ºñ¸ñº° ¿ùº°±â¼ú  7 14" xfId="6843"/>
    <cellStyle name="AeE­ [0]_ ºn¸nº° ¿uº°±a¼u  7 15" xfId="6844"/>
    <cellStyle name="ÅëÈ­ [0]_ ºñ¸ñº° ¿ùº°±â¼ú  7 15" xfId="6845"/>
    <cellStyle name="AeE­ [0]_ ºn¸nº° ¿uº°±a¼u  7 16" xfId="6846"/>
    <cellStyle name="ÅëÈ­ [0]_ ºñ¸ñº° ¿ùº°±â¼ú  7 16" xfId="6847"/>
    <cellStyle name="AeE­ [0]_ ºn¸nº° ¿uº°±a¼u  7 17" xfId="6848"/>
    <cellStyle name="ÅëÈ­ [0]_ ºñ¸ñº° ¿ùº°±â¼ú  7 17" xfId="6849"/>
    <cellStyle name="AeE­ [0]_ ºn¸nº° ¿uº°±a¼u  7 18" xfId="6850"/>
    <cellStyle name="ÅëÈ­ [0]_ ºñ¸ñº° ¿ùº°±â¼ú  7 18" xfId="6851"/>
    <cellStyle name="AeE­ [0]_ ºn¸nº° ¿uº°±a¼u  7 19" xfId="6852"/>
    <cellStyle name="ÅëÈ­ [0]_ ºñ¸ñº° ¿ùº°±â¼ú  7 19" xfId="6853"/>
    <cellStyle name="AeE­ [0]_ ºn¸nº° ¿uº°±a¼u  7 2" xfId="6854"/>
    <cellStyle name="ÅëÈ­ [0]_ ºñ¸ñº° ¿ùº°±â¼ú  7 2" xfId="6855"/>
    <cellStyle name="AeE­ [0]_ ºn¸nº° ¿uº°±a¼u  7 20" xfId="6856"/>
    <cellStyle name="ÅëÈ­ [0]_ ºñ¸ñº° ¿ùº°±â¼ú  7 20" xfId="6857"/>
    <cellStyle name="AeE­ [0]_ ºn¸nº° ¿uº°±a¼u  7 21" xfId="6858"/>
    <cellStyle name="ÅëÈ­ [0]_ ºñ¸ñº° ¿ùº°±â¼ú  7 21" xfId="6859"/>
    <cellStyle name="AeE­ [0]_ ºn¸nº° ¿uº°±a¼u  7 22" xfId="6860"/>
    <cellStyle name="ÅëÈ­ [0]_ ºñ¸ñº° ¿ùº°±â¼ú  7 22" xfId="6861"/>
    <cellStyle name="AeE­ [0]_ ºn¸nº° ¿uº°±a¼u  7 23" xfId="6862"/>
    <cellStyle name="ÅëÈ­ [0]_ ºñ¸ñº° ¿ùº°±â¼ú  7 23" xfId="6863"/>
    <cellStyle name="AeE­ [0]_ ºn¸nº° ¿uº°±a¼u  7 24" xfId="6864"/>
    <cellStyle name="ÅëÈ­ [0]_ ºñ¸ñº° ¿ùº°±â¼ú  7 24" xfId="6865"/>
    <cellStyle name="AeE­ [0]_ ºn¸nº° ¿uº°±a¼u  7 25" xfId="6866"/>
    <cellStyle name="ÅëÈ­ [0]_ ºñ¸ñº° ¿ùº°±â¼ú  7 25" xfId="6867"/>
    <cellStyle name="AeE­ [0]_ ºn¸nº° ¿uº°±a¼u  7 26" xfId="6868"/>
    <cellStyle name="ÅëÈ­ [0]_ ºñ¸ñº° ¿ùº°±â¼ú  7 26" xfId="6869"/>
    <cellStyle name="AeE­ [0]_ ºn¸nº° ¿uº°±a¼u  7 27" xfId="6870"/>
    <cellStyle name="ÅëÈ­ [0]_ ºñ¸ñº° ¿ùº°±â¼ú  7 27" xfId="6871"/>
    <cellStyle name="AeE­ [0]_ ºn¸nº° ¿uº°±a¼u  7 28" xfId="6872"/>
    <cellStyle name="ÅëÈ­ [0]_ ºñ¸ñº° ¿ùº°±â¼ú  7 28" xfId="6873"/>
    <cellStyle name="AeE­ [0]_ ºn¸nº° ¿uº°±a¼u  7 29" xfId="6874"/>
    <cellStyle name="ÅëÈ­ [0]_ ºñ¸ñº° ¿ùº°±â¼ú  7 29" xfId="6875"/>
    <cellStyle name="AeE­ [0]_ ºn¸nº° ¿uº°±a¼u  7 3" xfId="6876"/>
    <cellStyle name="ÅëÈ­ [0]_ ºñ¸ñº° ¿ùº°±â¼ú  7 3" xfId="6877"/>
    <cellStyle name="AeE­ [0]_ ºn¸nº° ¿uº°±a¼u  7 30" xfId="6878"/>
    <cellStyle name="ÅëÈ­ [0]_ ºñ¸ñº° ¿ùº°±â¼ú  7 30" xfId="6879"/>
    <cellStyle name="AeE­ [0]_ ºn¸nº° ¿uº°±a¼u  7 31" xfId="6880"/>
    <cellStyle name="ÅëÈ­ [0]_ ºñ¸ñº° ¿ùº°±â¼ú  7 31" xfId="6881"/>
    <cellStyle name="AeE­ [0]_ ºn¸nº° ¿uº°±a¼u  7 32" xfId="6882"/>
    <cellStyle name="ÅëÈ­ [0]_ ºñ¸ñº° ¿ùº°±â¼ú  7 32" xfId="6883"/>
    <cellStyle name="AeE­ [0]_ ºn¸nº° ¿uº°±a¼u  7 33" xfId="6884"/>
    <cellStyle name="ÅëÈ­ [0]_ ºñ¸ñº° ¿ùº°±â¼ú  7 33" xfId="6885"/>
    <cellStyle name="AeE­ [0]_ ºn¸nº° ¿uº°±a¼u  7 34" xfId="6886"/>
    <cellStyle name="ÅëÈ­ [0]_ ºñ¸ñº° ¿ùº°±â¼ú  7 34" xfId="6887"/>
    <cellStyle name="AeE­ [0]_ ºn¸nº° ¿uº°±a¼u  7 4" xfId="6888"/>
    <cellStyle name="ÅëÈ­ [0]_ ºñ¸ñº° ¿ùº°±â¼ú  7 4" xfId="6889"/>
    <cellStyle name="AeE­ [0]_ ºn¸nº° ¿uº°±a¼u  7 5" xfId="6890"/>
    <cellStyle name="ÅëÈ­ [0]_ ºñ¸ñº° ¿ùº°±â¼ú  7 5" xfId="6891"/>
    <cellStyle name="AeE­ [0]_ ºn¸nº° ¿uº°±a¼u  7 6" xfId="6892"/>
    <cellStyle name="ÅëÈ­ [0]_ ºñ¸ñº° ¿ùº°±â¼ú  7 6" xfId="6893"/>
    <cellStyle name="AeE­ [0]_ ºn¸nº° ¿uº°±a¼u  7 7" xfId="6894"/>
    <cellStyle name="ÅëÈ­ [0]_ ºñ¸ñº° ¿ùº°±â¼ú  7 7" xfId="6895"/>
    <cellStyle name="AeE­ [0]_ ºn¸nº° ¿uº°±a¼u  7 8" xfId="6896"/>
    <cellStyle name="ÅëÈ­ [0]_ ºñ¸ñº° ¿ùº°±â¼ú  7 8" xfId="6897"/>
    <cellStyle name="AeE­ [0]_ ºn¸nº° ¿uº°±a¼u  7 9" xfId="6898"/>
    <cellStyle name="ÅëÈ­ [0]_ ºñ¸ñº° ¿ùº°±â¼ú  7 9" xfId="6899"/>
    <cellStyle name="AeE­ [0]_ ºn¸nº° ¿uº°±a¼u  8" xfId="6900"/>
    <cellStyle name="ÅëÈ­ [0]_ ºñ¸ñº° ¿ùº°±â¼ú  8" xfId="6901"/>
    <cellStyle name="AeE­ [0]_ ºn¸nº° ¿uº°±a¼u  8 10" xfId="6902"/>
    <cellStyle name="ÅëÈ­ [0]_ ºñ¸ñº° ¿ùº°±â¼ú  8 10" xfId="6903"/>
    <cellStyle name="AeE­ [0]_ ºn¸nº° ¿uº°±a¼u  8 11" xfId="6904"/>
    <cellStyle name="ÅëÈ­ [0]_ ºñ¸ñº° ¿ùº°±â¼ú  8 11" xfId="6905"/>
    <cellStyle name="AeE­ [0]_ ºn¸nº° ¿uº°±a¼u  8 12" xfId="6906"/>
    <cellStyle name="ÅëÈ­ [0]_ ºñ¸ñº° ¿ùº°±â¼ú  8 12" xfId="6907"/>
    <cellStyle name="AeE­ [0]_ ºn¸nº° ¿uº°±a¼u  8 13" xfId="6908"/>
    <cellStyle name="ÅëÈ­ [0]_ ºñ¸ñº° ¿ùº°±â¼ú  8 13" xfId="6909"/>
    <cellStyle name="AeE­ [0]_ ºn¸nº° ¿uº°±a¼u  8 14" xfId="6910"/>
    <cellStyle name="ÅëÈ­ [0]_ ºñ¸ñº° ¿ùº°±â¼ú  8 14" xfId="6911"/>
    <cellStyle name="AeE­ [0]_ ºn¸nº° ¿uº°±a¼u  8 15" xfId="6912"/>
    <cellStyle name="ÅëÈ­ [0]_ ºñ¸ñº° ¿ùº°±â¼ú  8 15" xfId="6913"/>
    <cellStyle name="AeE­ [0]_ ºn¸nº° ¿uº°±a¼u  8 16" xfId="6914"/>
    <cellStyle name="ÅëÈ­ [0]_ ºñ¸ñº° ¿ùº°±â¼ú  8 16" xfId="6915"/>
    <cellStyle name="AeE­ [0]_ ºn¸nº° ¿uº°±a¼u  8 17" xfId="6916"/>
    <cellStyle name="ÅëÈ­ [0]_ ºñ¸ñº° ¿ùº°±â¼ú  8 17" xfId="6917"/>
    <cellStyle name="AeE­ [0]_ ºn¸nº° ¿uº°±a¼u  8 18" xfId="6918"/>
    <cellStyle name="ÅëÈ­ [0]_ ºñ¸ñº° ¿ùº°±â¼ú  8 18" xfId="6919"/>
    <cellStyle name="AeE­ [0]_ ºn¸nº° ¿uº°±a¼u  8 19" xfId="6920"/>
    <cellStyle name="ÅëÈ­ [0]_ ºñ¸ñº° ¿ùº°±â¼ú  8 19" xfId="6921"/>
    <cellStyle name="AeE­ [0]_ ºn¸nº° ¿uº°±a¼u  8 2" xfId="6922"/>
    <cellStyle name="ÅëÈ­ [0]_ ºñ¸ñº° ¿ùº°±â¼ú  8 2" xfId="6923"/>
    <cellStyle name="AeE­ [0]_ ºn¸nº° ¿uº°±a¼u  8 20" xfId="6924"/>
    <cellStyle name="ÅëÈ­ [0]_ ºñ¸ñº° ¿ùº°±â¼ú  8 20" xfId="6925"/>
    <cellStyle name="AeE­ [0]_ ºn¸nº° ¿uº°±a¼u  8 21" xfId="6926"/>
    <cellStyle name="ÅëÈ­ [0]_ ºñ¸ñº° ¿ùº°±â¼ú  8 21" xfId="6927"/>
    <cellStyle name="AeE­ [0]_ ºn¸nº° ¿uº°±a¼u  8 22" xfId="6928"/>
    <cellStyle name="ÅëÈ­ [0]_ ºñ¸ñº° ¿ùº°±â¼ú  8 22" xfId="6929"/>
    <cellStyle name="AeE­ [0]_ ºn¸nº° ¿uº°±a¼u  8 23" xfId="6930"/>
    <cellStyle name="ÅëÈ­ [0]_ ºñ¸ñº° ¿ùº°±â¼ú  8 23" xfId="6931"/>
    <cellStyle name="AeE­ [0]_ ºn¸nº° ¿uº°±a¼u  8 24" xfId="6932"/>
    <cellStyle name="ÅëÈ­ [0]_ ºñ¸ñº° ¿ùº°±â¼ú  8 24" xfId="6933"/>
    <cellStyle name="AeE­ [0]_ ºn¸nº° ¿uº°±a¼u  8 25" xfId="6934"/>
    <cellStyle name="ÅëÈ­ [0]_ ºñ¸ñº° ¿ùº°±â¼ú  8 25" xfId="6935"/>
    <cellStyle name="AeE­ [0]_ ºn¸nº° ¿uº°±a¼u  8 26" xfId="6936"/>
    <cellStyle name="ÅëÈ­ [0]_ ºñ¸ñº° ¿ùº°±â¼ú  8 26" xfId="6937"/>
    <cellStyle name="AeE­ [0]_ ºn¸nº° ¿uº°±a¼u  8 27" xfId="6938"/>
    <cellStyle name="ÅëÈ­ [0]_ ºñ¸ñº° ¿ùº°±â¼ú  8 27" xfId="6939"/>
    <cellStyle name="AeE­ [0]_ ºn¸nº° ¿uº°±a¼u  8 28" xfId="6940"/>
    <cellStyle name="ÅëÈ­ [0]_ ºñ¸ñº° ¿ùº°±â¼ú  8 28" xfId="6941"/>
    <cellStyle name="AeE­ [0]_ ºn¸nº° ¿uº°±a¼u  8 29" xfId="6942"/>
    <cellStyle name="ÅëÈ­ [0]_ ºñ¸ñº° ¿ùº°±â¼ú  8 29" xfId="6943"/>
    <cellStyle name="AeE­ [0]_ ºn¸nº° ¿uº°±a¼u  8 3" xfId="6944"/>
    <cellStyle name="ÅëÈ­ [0]_ ºñ¸ñº° ¿ùº°±â¼ú  8 3" xfId="6945"/>
    <cellStyle name="AeE­ [0]_ ºn¸nº° ¿uº°±a¼u  8 30" xfId="6946"/>
    <cellStyle name="ÅëÈ­ [0]_ ºñ¸ñº° ¿ùº°±â¼ú  8 30" xfId="6947"/>
    <cellStyle name="AeE­ [0]_ ºn¸nº° ¿uº°±a¼u  8 31" xfId="6948"/>
    <cellStyle name="ÅëÈ­ [0]_ ºñ¸ñº° ¿ùº°±â¼ú  8 31" xfId="6949"/>
    <cellStyle name="AeE­ [0]_ ºn¸nº° ¿uº°±a¼u  8 32" xfId="6950"/>
    <cellStyle name="ÅëÈ­ [0]_ ºñ¸ñº° ¿ùº°±â¼ú  8 32" xfId="6951"/>
    <cellStyle name="AeE­ [0]_ ºn¸nº° ¿uº°±a¼u  8 33" xfId="6952"/>
    <cellStyle name="ÅëÈ­ [0]_ ºñ¸ñº° ¿ùº°±â¼ú  8 33" xfId="6953"/>
    <cellStyle name="AeE­ [0]_ ºn¸nº° ¿uº°±a¼u  8 34" xfId="6954"/>
    <cellStyle name="ÅëÈ­ [0]_ ºñ¸ñº° ¿ùº°±â¼ú  8 34" xfId="6955"/>
    <cellStyle name="AeE­ [0]_ ºn¸nº° ¿uº°±a¼u  8 4" xfId="6956"/>
    <cellStyle name="ÅëÈ­ [0]_ ºñ¸ñº° ¿ùº°±â¼ú  8 4" xfId="6957"/>
    <cellStyle name="AeE­ [0]_ ºn¸nº° ¿uº°±a¼u  8 5" xfId="6958"/>
    <cellStyle name="ÅëÈ­ [0]_ ºñ¸ñº° ¿ùº°±â¼ú  8 5" xfId="6959"/>
    <cellStyle name="AeE­ [0]_ ºn¸nº° ¿uº°±a¼u  8 6" xfId="6960"/>
    <cellStyle name="ÅëÈ­ [0]_ ºñ¸ñº° ¿ùº°±â¼ú  8 6" xfId="6961"/>
    <cellStyle name="AeE­ [0]_ ºn¸nº° ¿uº°±a¼u  8 7" xfId="6962"/>
    <cellStyle name="ÅëÈ­ [0]_ ºñ¸ñº° ¿ùº°±â¼ú  8 7" xfId="6963"/>
    <cellStyle name="AeE­ [0]_ ºn¸nº° ¿uº°±a¼u  8 8" xfId="6964"/>
    <cellStyle name="ÅëÈ­ [0]_ ºñ¸ñº° ¿ùº°±â¼ú  8 8" xfId="6965"/>
    <cellStyle name="AeE­ [0]_ ºn¸nº° ¿uº°±a¼u  8 9" xfId="6966"/>
    <cellStyle name="ÅëÈ­ [0]_ ºñ¸ñº° ¿ùº°±â¼ú  8 9" xfId="6967"/>
    <cellStyle name="AeE­ [0]_ ºn¸nº° ¿uº°±a¼u  9" xfId="6968"/>
    <cellStyle name="ÅëÈ­ [0]_ ºñ¸ñº° ¿ùº°±â¼ú  9" xfId="6969"/>
    <cellStyle name="AeE­ [0]_ ºn¸nº° ¿uº°±a¼u  9 10" xfId="6970"/>
    <cellStyle name="ÅëÈ­ [0]_ ºñ¸ñº° ¿ùº°±â¼ú  9 10" xfId="6971"/>
    <cellStyle name="AeE­ [0]_ ºn¸nº° ¿uº°±a¼u  9 11" xfId="6972"/>
    <cellStyle name="ÅëÈ­ [0]_ ºñ¸ñº° ¿ùº°±â¼ú  9 11" xfId="6973"/>
    <cellStyle name="AeE­ [0]_ ºn¸nº° ¿uº°±a¼u  9 12" xfId="6974"/>
    <cellStyle name="ÅëÈ­ [0]_ ºñ¸ñº° ¿ùº°±â¼ú  9 12" xfId="6975"/>
    <cellStyle name="AeE­ [0]_ ºn¸nº° ¿uº°±a¼u  9 13" xfId="6976"/>
    <cellStyle name="ÅëÈ­ [0]_ ºñ¸ñº° ¿ùº°±â¼ú  9 13" xfId="6977"/>
    <cellStyle name="AeE­ [0]_ ºn¸nº° ¿uº°±a¼u  9 14" xfId="6978"/>
    <cellStyle name="ÅëÈ­ [0]_ ºñ¸ñº° ¿ùº°±â¼ú  9 14" xfId="6979"/>
    <cellStyle name="AeE­ [0]_ ºn¸nº° ¿uº°±a¼u  9 15" xfId="6980"/>
    <cellStyle name="ÅëÈ­ [0]_ ºñ¸ñº° ¿ùº°±â¼ú  9 15" xfId="6981"/>
    <cellStyle name="AeE­ [0]_ ºn¸nº° ¿uº°±a¼u  9 16" xfId="6982"/>
    <cellStyle name="ÅëÈ­ [0]_ ºñ¸ñº° ¿ùº°±â¼ú  9 16" xfId="6983"/>
    <cellStyle name="AeE­ [0]_ ºn¸nº° ¿uº°±a¼u  9 17" xfId="6984"/>
    <cellStyle name="ÅëÈ­ [0]_ ºñ¸ñº° ¿ùº°±â¼ú  9 17" xfId="6985"/>
    <cellStyle name="AeE­ [0]_ ºn¸nº° ¿uº°±a¼u  9 18" xfId="6986"/>
    <cellStyle name="ÅëÈ­ [0]_ ºñ¸ñº° ¿ùº°±â¼ú  9 18" xfId="6987"/>
    <cellStyle name="AeE­ [0]_ ºn¸nº° ¿uº°±a¼u  9 19" xfId="6988"/>
    <cellStyle name="ÅëÈ­ [0]_ ºñ¸ñº° ¿ùº°±â¼ú  9 19" xfId="6989"/>
    <cellStyle name="AeE­ [0]_ ºn¸nº° ¿uº°±a¼u  9 2" xfId="6990"/>
    <cellStyle name="ÅëÈ­ [0]_ ºñ¸ñº° ¿ùº°±â¼ú  9 2" xfId="6991"/>
    <cellStyle name="AeE­ [0]_ ºn¸nº° ¿uº°±a¼u  9 20" xfId="6992"/>
    <cellStyle name="ÅëÈ­ [0]_ ºñ¸ñº° ¿ùº°±â¼ú  9 20" xfId="6993"/>
    <cellStyle name="AeE­ [0]_ ºn¸nº° ¿uº°±a¼u  9 21" xfId="6994"/>
    <cellStyle name="ÅëÈ­ [0]_ ºñ¸ñº° ¿ùº°±â¼ú  9 21" xfId="6995"/>
    <cellStyle name="AeE­ [0]_ ºn¸nº° ¿uº°±a¼u  9 22" xfId="6996"/>
    <cellStyle name="ÅëÈ­ [0]_ ºñ¸ñº° ¿ùº°±â¼ú  9 22" xfId="6997"/>
    <cellStyle name="AeE­ [0]_ ºn¸nº° ¿uº°±a¼u  9 23" xfId="6998"/>
    <cellStyle name="ÅëÈ­ [0]_ ºñ¸ñº° ¿ùº°±â¼ú  9 23" xfId="6999"/>
    <cellStyle name="AeE­ [0]_ ºn¸nº° ¿uº°±a¼u  9 24" xfId="7000"/>
    <cellStyle name="ÅëÈ­ [0]_ ºñ¸ñº° ¿ùº°±â¼ú  9 24" xfId="7001"/>
    <cellStyle name="AeE­ [0]_ ºn¸nº° ¿uº°±a¼u  9 25" xfId="7002"/>
    <cellStyle name="ÅëÈ­ [0]_ ºñ¸ñº° ¿ùº°±â¼ú  9 25" xfId="7003"/>
    <cellStyle name="AeE­ [0]_ ºn¸nº° ¿uº°±a¼u  9 26" xfId="7004"/>
    <cellStyle name="ÅëÈ­ [0]_ ºñ¸ñº° ¿ùº°±â¼ú  9 26" xfId="7005"/>
    <cellStyle name="AeE­ [0]_ ºn¸nº° ¿uº°±a¼u  9 27" xfId="7006"/>
    <cellStyle name="ÅëÈ­ [0]_ ºñ¸ñº° ¿ùº°±â¼ú  9 27" xfId="7007"/>
    <cellStyle name="AeE­ [0]_ ºn¸nº° ¿uº°±a¼u  9 28" xfId="7008"/>
    <cellStyle name="ÅëÈ­ [0]_ ºñ¸ñº° ¿ùº°±â¼ú  9 28" xfId="7009"/>
    <cellStyle name="AeE­ [0]_ ºn¸nº° ¿uº°±a¼u  9 29" xfId="7010"/>
    <cellStyle name="ÅëÈ­ [0]_ ºñ¸ñº° ¿ùº°±â¼ú  9 29" xfId="7011"/>
    <cellStyle name="AeE­ [0]_ ºn¸nº° ¿uº°±a¼u  9 3" xfId="7012"/>
    <cellStyle name="ÅëÈ­ [0]_ ºñ¸ñº° ¿ùº°±â¼ú  9 3" xfId="7013"/>
    <cellStyle name="AeE­ [0]_ ºn¸nº° ¿uº°±a¼u  9 30" xfId="7014"/>
    <cellStyle name="ÅëÈ­ [0]_ ºñ¸ñº° ¿ùº°±â¼ú  9 30" xfId="7015"/>
    <cellStyle name="AeE­ [0]_ ºn¸nº° ¿uº°±a¼u  9 31" xfId="7016"/>
    <cellStyle name="ÅëÈ­ [0]_ ºñ¸ñº° ¿ùº°±â¼ú  9 31" xfId="7017"/>
    <cellStyle name="AeE­ [0]_ ºn¸nº° ¿uº°±a¼u  9 32" xfId="7018"/>
    <cellStyle name="ÅëÈ­ [0]_ ºñ¸ñº° ¿ùº°±â¼ú  9 32" xfId="7019"/>
    <cellStyle name="AeE­ [0]_ ºn¸nº° ¿uº°±a¼u  9 33" xfId="7020"/>
    <cellStyle name="ÅëÈ­ [0]_ ºñ¸ñº° ¿ùº°±â¼ú  9 33" xfId="7021"/>
    <cellStyle name="AeE­ [0]_ ºn¸nº° ¿uº°±a¼u  9 34" xfId="7022"/>
    <cellStyle name="ÅëÈ­ [0]_ ºñ¸ñº° ¿ùº°±â¼ú  9 34" xfId="7023"/>
    <cellStyle name="AeE­ [0]_ ºn¸nº° ¿uº°±a¼u  9 4" xfId="7024"/>
    <cellStyle name="ÅëÈ­ [0]_ ºñ¸ñº° ¿ùº°±â¼ú  9 4" xfId="7025"/>
    <cellStyle name="AeE­ [0]_ ºn¸nº° ¿uº°±a¼u  9 5" xfId="7026"/>
    <cellStyle name="ÅëÈ­ [0]_ ºñ¸ñº° ¿ùº°±â¼ú  9 5" xfId="7027"/>
    <cellStyle name="AeE­ [0]_ ºn¸nº° ¿uº°±a¼u  9 6" xfId="7028"/>
    <cellStyle name="ÅëÈ­ [0]_ ºñ¸ñº° ¿ùº°±â¼ú  9 6" xfId="7029"/>
    <cellStyle name="AeE­ [0]_ ºn¸nº° ¿uº°±a¼u  9 7" xfId="7030"/>
    <cellStyle name="ÅëÈ­ [0]_ ºñ¸ñº° ¿ùº°±â¼ú  9 7" xfId="7031"/>
    <cellStyle name="AeE­ [0]_ ºn¸nº° ¿uº°±a¼u  9 8" xfId="7032"/>
    <cellStyle name="ÅëÈ­ [0]_ ºñ¸ñº° ¿ùº°±â¼ú  9 8" xfId="7033"/>
    <cellStyle name="AeE­ [0]_ ºn¸nº° ¿uº°±a¼u  9 9" xfId="7034"/>
    <cellStyle name="ÅëÈ­ [0]_ ºñ¸ñº° ¿ùº°±â¼ú  9 9" xfId="7035"/>
    <cellStyle name="AeE­ [0]_´eAN°yC￥ " xfId="7036"/>
    <cellStyle name="ÅëÈ­ [0]_¸ÅÃâ" xfId="7037"/>
    <cellStyle name="AeE­ [0]_¸AAa¾×(3)" xfId="7038"/>
    <cellStyle name="ÅëÈ­ [0]_°ü¸®Ç×¸ñ_¾÷Á¾º° " xfId="7039"/>
    <cellStyle name="AeE­ [0]_¼oAa½CAu " xfId="7040"/>
    <cellStyle name="ÅëÈ­ [0]_INQUIRY ¿µ¾÷ÃßÁø " xfId="7041"/>
    <cellStyle name="AeE­ [0]_INQUIRY ¿μ¾÷AßAø " xfId="7042"/>
    <cellStyle name="AeE­_ ºn¸nº° ¿uº°±a¼u " xfId="7043"/>
    <cellStyle name="ÅëÈ­_ ºñ¸ñº° ¿ùº°±â¼ú " xfId="7044"/>
    <cellStyle name="AeE­_ ºn¸nº° ¿uº°±a¼u  10" xfId="7045"/>
    <cellStyle name="ÅëÈ­_ ºñ¸ñº° ¿ùº°±â¼ú  10" xfId="7046"/>
    <cellStyle name="AeE­_ ºn¸nº° ¿uº°±a¼u  10 10" xfId="7047"/>
    <cellStyle name="ÅëÈ­_ ºñ¸ñº° ¿ùº°±â¼ú  10 10" xfId="7048"/>
    <cellStyle name="AeE­_ ºn¸nº° ¿uº°±a¼u  10 11" xfId="7049"/>
    <cellStyle name="ÅëÈ­_ ºñ¸ñº° ¿ùº°±â¼ú  10 11" xfId="7050"/>
    <cellStyle name="AeE­_ ºn¸nº° ¿uº°±a¼u  10 12" xfId="7051"/>
    <cellStyle name="ÅëÈ­_ ºñ¸ñº° ¿ùº°±â¼ú  10 12" xfId="7052"/>
    <cellStyle name="AeE­_ ºn¸nº° ¿uº°±a¼u  10 13" xfId="7053"/>
    <cellStyle name="ÅëÈ­_ ºñ¸ñº° ¿ùº°±â¼ú  10 13" xfId="7054"/>
    <cellStyle name="AeE­_ ºn¸nº° ¿uº°±a¼u  10 14" xfId="7055"/>
    <cellStyle name="ÅëÈ­_ ºñ¸ñº° ¿ùº°±â¼ú  10 14" xfId="7056"/>
    <cellStyle name="AeE­_ ºn¸nº° ¿uº°±a¼u  10 15" xfId="7057"/>
    <cellStyle name="ÅëÈ­_ ºñ¸ñº° ¿ùº°±â¼ú  10 15" xfId="7058"/>
    <cellStyle name="AeE­_ ºn¸nº° ¿uº°±a¼u  10 16" xfId="7059"/>
    <cellStyle name="ÅëÈ­_ ºñ¸ñº° ¿ùº°±â¼ú  10 16" xfId="7060"/>
    <cellStyle name="AeE­_ ºn¸nº° ¿uº°±a¼u  10 17" xfId="7061"/>
    <cellStyle name="ÅëÈ­_ ºñ¸ñº° ¿ùº°±â¼ú  10 17" xfId="7062"/>
    <cellStyle name="AeE­_ ºn¸nº° ¿uº°±a¼u  10 18" xfId="7063"/>
    <cellStyle name="ÅëÈ­_ ºñ¸ñº° ¿ùº°±â¼ú  10 18" xfId="7064"/>
    <cellStyle name="AeE­_ ºn¸nº° ¿uº°±a¼u  10 19" xfId="7065"/>
    <cellStyle name="ÅëÈ­_ ºñ¸ñº° ¿ùº°±â¼ú  10 19" xfId="7066"/>
    <cellStyle name="AeE­_ ºn¸nº° ¿uº°±a¼u  10 2" xfId="7067"/>
    <cellStyle name="ÅëÈ­_ ºñ¸ñº° ¿ùº°±â¼ú  10 2" xfId="7068"/>
    <cellStyle name="AeE­_ ºn¸nº° ¿uº°±a¼u  10 20" xfId="7069"/>
    <cellStyle name="ÅëÈ­_ ºñ¸ñº° ¿ùº°±â¼ú  10 20" xfId="7070"/>
    <cellStyle name="AeE­_ ºn¸nº° ¿uº°±a¼u  10 21" xfId="7071"/>
    <cellStyle name="ÅëÈ­_ ºñ¸ñº° ¿ùº°±â¼ú  10 21" xfId="7072"/>
    <cellStyle name="AeE­_ ºn¸nº° ¿uº°±a¼u  10 22" xfId="7073"/>
    <cellStyle name="ÅëÈ­_ ºñ¸ñº° ¿ùº°±â¼ú  10 22" xfId="7074"/>
    <cellStyle name="AeE­_ ºn¸nº° ¿uº°±a¼u  10 23" xfId="7075"/>
    <cellStyle name="ÅëÈ­_ ºñ¸ñº° ¿ùº°±â¼ú  10 23" xfId="7076"/>
    <cellStyle name="AeE­_ ºn¸nº° ¿uº°±a¼u  10 24" xfId="7077"/>
    <cellStyle name="ÅëÈ­_ ºñ¸ñº° ¿ùº°±â¼ú  10 24" xfId="7078"/>
    <cellStyle name="AeE­_ ºn¸nº° ¿uº°±a¼u  10 25" xfId="7079"/>
    <cellStyle name="ÅëÈ­_ ºñ¸ñº° ¿ùº°±â¼ú  10 25" xfId="7080"/>
    <cellStyle name="AeE­_ ºn¸nº° ¿uº°±a¼u  10 26" xfId="7081"/>
    <cellStyle name="ÅëÈ­_ ºñ¸ñº° ¿ùº°±â¼ú  10 26" xfId="7082"/>
    <cellStyle name="AeE­_ ºn¸nº° ¿uº°±a¼u  10 27" xfId="7083"/>
    <cellStyle name="ÅëÈ­_ ºñ¸ñº° ¿ùº°±â¼ú  10 27" xfId="7084"/>
    <cellStyle name="AeE­_ ºn¸nº° ¿uº°±a¼u  10 28" xfId="7085"/>
    <cellStyle name="ÅëÈ­_ ºñ¸ñº° ¿ùº°±â¼ú  10 28" xfId="7086"/>
    <cellStyle name="AeE­_ ºn¸nº° ¿uº°±a¼u  10 29" xfId="7087"/>
    <cellStyle name="ÅëÈ­_ ºñ¸ñº° ¿ùº°±â¼ú  10 29" xfId="7088"/>
    <cellStyle name="AeE­_ ºn¸nº° ¿uº°±a¼u  10 3" xfId="7089"/>
    <cellStyle name="ÅëÈ­_ ºñ¸ñº° ¿ùº°±â¼ú  10 3" xfId="7090"/>
    <cellStyle name="AeE­_ ºn¸nº° ¿uº°±a¼u  10 30" xfId="7091"/>
    <cellStyle name="ÅëÈ­_ ºñ¸ñº° ¿ùº°±â¼ú  10 30" xfId="7092"/>
    <cellStyle name="AeE­_ ºn¸nº° ¿uº°±a¼u  10 31" xfId="7093"/>
    <cellStyle name="ÅëÈ­_ ºñ¸ñº° ¿ùº°±â¼ú  10 31" xfId="7094"/>
    <cellStyle name="AeE­_ ºn¸nº° ¿uº°±a¼u  10 32" xfId="7095"/>
    <cellStyle name="ÅëÈ­_ ºñ¸ñº° ¿ùº°±â¼ú  10 32" xfId="7096"/>
    <cellStyle name="AeE­_ ºn¸nº° ¿uº°±a¼u  10 33" xfId="7097"/>
    <cellStyle name="ÅëÈ­_ ºñ¸ñº° ¿ùº°±â¼ú  10 33" xfId="7098"/>
    <cellStyle name="AeE­_ ºn¸nº° ¿uº°±a¼u  10 34" xfId="7099"/>
    <cellStyle name="ÅëÈ­_ ºñ¸ñº° ¿ùº°±â¼ú  10 34" xfId="7100"/>
    <cellStyle name="AeE­_ ºn¸nº° ¿uº°±a¼u  10 4" xfId="7101"/>
    <cellStyle name="ÅëÈ­_ ºñ¸ñº° ¿ùº°±â¼ú  10 4" xfId="7102"/>
    <cellStyle name="AeE­_ ºn¸nº° ¿uº°±a¼u  10 5" xfId="7103"/>
    <cellStyle name="ÅëÈ­_ ºñ¸ñº° ¿ùº°±â¼ú  10 5" xfId="7104"/>
    <cellStyle name="AeE­_ ºn¸nº° ¿uº°±a¼u  10 6" xfId="7105"/>
    <cellStyle name="ÅëÈ­_ ºñ¸ñº° ¿ùº°±â¼ú  10 6" xfId="7106"/>
    <cellStyle name="AeE­_ ºn¸nº° ¿uº°±a¼u  10 7" xfId="7107"/>
    <cellStyle name="ÅëÈ­_ ºñ¸ñº° ¿ùº°±â¼ú  10 7" xfId="7108"/>
    <cellStyle name="AeE­_ ºn¸nº° ¿uº°±a¼u  10 8" xfId="7109"/>
    <cellStyle name="ÅëÈ­_ ºñ¸ñº° ¿ùº°±â¼ú  10 8" xfId="7110"/>
    <cellStyle name="AeE­_ ºn¸nº° ¿uº°±a¼u  10 9" xfId="7111"/>
    <cellStyle name="ÅëÈ­_ ºñ¸ñº° ¿ùº°±â¼ú  10 9" xfId="7112"/>
    <cellStyle name="AeE­_ ºn¸nº° ¿uº°±a¼u  11" xfId="7113"/>
    <cellStyle name="ÅëÈ­_ ºñ¸ñº° ¿ùº°±â¼ú  11" xfId="7114"/>
    <cellStyle name="AeE­_ ºn¸nº° ¿uº°±a¼u  11 10" xfId="7115"/>
    <cellStyle name="ÅëÈ­_ ºñ¸ñº° ¿ùº°±â¼ú  11 10" xfId="7116"/>
    <cellStyle name="AeE­_ ºn¸nº° ¿uº°±a¼u  11 11" xfId="7117"/>
    <cellStyle name="ÅëÈ­_ ºñ¸ñº° ¿ùº°±â¼ú  11 11" xfId="7118"/>
    <cellStyle name="AeE­_ ºn¸nº° ¿uº°±a¼u  11 12" xfId="7119"/>
    <cellStyle name="ÅëÈ­_ ºñ¸ñº° ¿ùº°±â¼ú  11 12" xfId="7120"/>
    <cellStyle name="AeE­_ ºn¸nº° ¿uº°±a¼u  11 13" xfId="7121"/>
    <cellStyle name="ÅëÈ­_ ºñ¸ñº° ¿ùº°±â¼ú  11 13" xfId="7122"/>
    <cellStyle name="AeE­_ ºn¸nº° ¿uº°±a¼u  11 14" xfId="7123"/>
    <cellStyle name="ÅëÈ­_ ºñ¸ñº° ¿ùº°±â¼ú  11 14" xfId="7124"/>
    <cellStyle name="AeE­_ ºn¸nº° ¿uº°±a¼u  11 15" xfId="7125"/>
    <cellStyle name="ÅëÈ­_ ºñ¸ñº° ¿ùº°±â¼ú  11 15" xfId="7126"/>
    <cellStyle name="AeE­_ ºn¸nº° ¿uº°±a¼u  11 16" xfId="7127"/>
    <cellStyle name="ÅëÈ­_ ºñ¸ñº° ¿ùº°±â¼ú  11 16" xfId="7128"/>
    <cellStyle name="AeE­_ ºn¸nº° ¿uº°±a¼u  11 17" xfId="7129"/>
    <cellStyle name="ÅëÈ­_ ºñ¸ñº° ¿ùº°±â¼ú  11 17" xfId="7130"/>
    <cellStyle name="AeE­_ ºn¸nº° ¿uº°±a¼u  11 18" xfId="7131"/>
    <cellStyle name="ÅëÈ­_ ºñ¸ñº° ¿ùº°±â¼ú  11 18" xfId="7132"/>
    <cellStyle name="AeE­_ ºn¸nº° ¿uº°±a¼u  11 19" xfId="7133"/>
    <cellStyle name="ÅëÈ­_ ºñ¸ñº° ¿ùº°±â¼ú  11 19" xfId="7134"/>
    <cellStyle name="AeE­_ ºn¸nº° ¿uº°±a¼u  11 2" xfId="7135"/>
    <cellStyle name="ÅëÈ­_ ºñ¸ñº° ¿ùº°±â¼ú  11 2" xfId="7136"/>
    <cellStyle name="AeE­_ ºn¸nº° ¿uº°±a¼u  11 20" xfId="7137"/>
    <cellStyle name="ÅëÈ­_ ºñ¸ñº° ¿ùº°±â¼ú  11 20" xfId="7138"/>
    <cellStyle name="AeE­_ ºn¸nº° ¿uº°±a¼u  11 21" xfId="7139"/>
    <cellStyle name="ÅëÈ­_ ºñ¸ñº° ¿ùº°±â¼ú  11 21" xfId="7140"/>
    <cellStyle name="AeE­_ ºn¸nº° ¿uº°±a¼u  11 22" xfId="7141"/>
    <cellStyle name="ÅëÈ­_ ºñ¸ñº° ¿ùº°±â¼ú  11 22" xfId="7142"/>
    <cellStyle name="AeE­_ ºn¸nº° ¿uº°±a¼u  11 23" xfId="7143"/>
    <cellStyle name="ÅëÈ­_ ºñ¸ñº° ¿ùº°±â¼ú  11 23" xfId="7144"/>
    <cellStyle name="AeE­_ ºn¸nº° ¿uº°±a¼u  11 24" xfId="7145"/>
    <cellStyle name="ÅëÈ­_ ºñ¸ñº° ¿ùº°±â¼ú  11 24" xfId="7146"/>
    <cellStyle name="AeE­_ ºn¸nº° ¿uº°±a¼u  11 25" xfId="7147"/>
    <cellStyle name="ÅëÈ­_ ºñ¸ñº° ¿ùº°±â¼ú  11 25" xfId="7148"/>
    <cellStyle name="AeE­_ ºn¸nº° ¿uº°±a¼u  11 26" xfId="7149"/>
    <cellStyle name="ÅëÈ­_ ºñ¸ñº° ¿ùº°±â¼ú  11 26" xfId="7150"/>
    <cellStyle name="AeE­_ ºn¸nº° ¿uº°±a¼u  11 27" xfId="7151"/>
    <cellStyle name="ÅëÈ­_ ºñ¸ñº° ¿ùº°±â¼ú  11 27" xfId="7152"/>
    <cellStyle name="AeE­_ ºn¸nº° ¿uº°±a¼u  11 28" xfId="7153"/>
    <cellStyle name="ÅëÈ­_ ºñ¸ñº° ¿ùº°±â¼ú  11 28" xfId="7154"/>
    <cellStyle name="AeE­_ ºn¸nº° ¿uº°±a¼u  11 29" xfId="7155"/>
    <cellStyle name="ÅëÈ­_ ºñ¸ñº° ¿ùº°±â¼ú  11 29" xfId="7156"/>
    <cellStyle name="AeE­_ ºn¸nº° ¿uº°±a¼u  11 3" xfId="7157"/>
    <cellStyle name="ÅëÈ­_ ºñ¸ñº° ¿ùº°±â¼ú  11 3" xfId="7158"/>
    <cellStyle name="AeE­_ ºn¸nº° ¿uº°±a¼u  11 30" xfId="7159"/>
    <cellStyle name="ÅëÈ­_ ºñ¸ñº° ¿ùº°±â¼ú  11 30" xfId="7160"/>
    <cellStyle name="AeE­_ ºn¸nº° ¿uº°±a¼u  11 31" xfId="7161"/>
    <cellStyle name="ÅëÈ­_ ºñ¸ñº° ¿ùº°±â¼ú  11 31" xfId="7162"/>
    <cellStyle name="AeE­_ ºn¸nº° ¿uº°±a¼u  11 32" xfId="7163"/>
    <cellStyle name="ÅëÈ­_ ºñ¸ñº° ¿ùº°±â¼ú  11 32" xfId="7164"/>
    <cellStyle name="AeE­_ ºn¸nº° ¿uº°±a¼u  11 33" xfId="7165"/>
    <cellStyle name="ÅëÈ­_ ºñ¸ñº° ¿ùº°±â¼ú  11 33" xfId="7166"/>
    <cellStyle name="AeE­_ ºn¸nº° ¿uº°±a¼u  11 34" xfId="7167"/>
    <cellStyle name="ÅëÈ­_ ºñ¸ñº° ¿ùº°±â¼ú  11 34" xfId="7168"/>
    <cellStyle name="AeE­_ ºn¸nº° ¿uº°±a¼u  11 4" xfId="7169"/>
    <cellStyle name="ÅëÈ­_ ºñ¸ñº° ¿ùº°±â¼ú  11 4" xfId="7170"/>
    <cellStyle name="AeE­_ ºn¸nº° ¿uº°±a¼u  11 5" xfId="7171"/>
    <cellStyle name="ÅëÈ­_ ºñ¸ñº° ¿ùº°±â¼ú  11 5" xfId="7172"/>
    <cellStyle name="AeE­_ ºn¸nº° ¿uº°±a¼u  11 6" xfId="7173"/>
    <cellStyle name="ÅëÈ­_ ºñ¸ñº° ¿ùº°±â¼ú  11 6" xfId="7174"/>
    <cellStyle name="AeE­_ ºn¸nº° ¿uº°±a¼u  11 7" xfId="7175"/>
    <cellStyle name="ÅëÈ­_ ºñ¸ñº° ¿ùº°±â¼ú  11 7" xfId="7176"/>
    <cellStyle name="AeE­_ ºn¸nº° ¿uº°±a¼u  11 8" xfId="7177"/>
    <cellStyle name="ÅëÈ­_ ºñ¸ñº° ¿ùº°±â¼ú  11 8" xfId="7178"/>
    <cellStyle name="AeE­_ ºn¸nº° ¿uº°±a¼u  11 9" xfId="7179"/>
    <cellStyle name="ÅëÈ­_ ºñ¸ñº° ¿ùº°±â¼ú  11 9" xfId="7180"/>
    <cellStyle name="AeE­_ ºn¸nº° ¿uº°±a¼u  12" xfId="7181"/>
    <cellStyle name="ÅëÈ­_ ºñ¸ñº° ¿ùº°±â¼ú  12" xfId="7182"/>
    <cellStyle name="AeE­_ ºn¸nº° ¿uº°±a¼u  12 10" xfId="7183"/>
    <cellStyle name="ÅëÈ­_ ºñ¸ñº° ¿ùº°±â¼ú  12 10" xfId="7184"/>
    <cellStyle name="AeE­_ ºn¸nº° ¿uº°±a¼u  12 11" xfId="7185"/>
    <cellStyle name="ÅëÈ­_ ºñ¸ñº° ¿ùº°±â¼ú  12 11" xfId="7186"/>
    <cellStyle name="AeE­_ ºn¸nº° ¿uº°±a¼u  12 12" xfId="7187"/>
    <cellStyle name="ÅëÈ­_ ºñ¸ñº° ¿ùº°±â¼ú  12 12" xfId="7188"/>
    <cellStyle name="AeE­_ ºn¸nº° ¿uº°±a¼u  12 13" xfId="7189"/>
    <cellStyle name="ÅëÈ­_ ºñ¸ñº° ¿ùº°±â¼ú  12 13" xfId="7190"/>
    <cellStyle name="AeE­_ ºn¸nº° ¿uº°±a¼u  12 14" xfId="7191"/>
    <cellStyle name="ÅëÈ­_ ºñ¸ñº° ¿ùº°±â¼ú  12 14" xfId="7192"/>
    <cellStyle name="AeE­_ ºn¸nº° ¿uº°±a¼u  12 15" xfId="7193"/>
    <cellStyle name="ÅëÈ­_ ºñ¸ñº° ¿ùº°±â¼ú  12 15" xfId="7194"/>
    <cellStyle name="AeE­_ ºn¸nº° ¿uº°±a¼u  12 16" xfId="7195"/>
    <cellStyle name="ÅëÈ­_ ºñ¸ñº° ¿ùº°±â¼ú  12 16" xfId="7196"/>
    <cellStyle name="AeE­_ ºn¸nº° ¿uº°±a¼u  12 17" xfId="7197"/>
    <cellStyle name="ÅëÈ­_ ºñ¸ñº° ¿ùº°±â¼ú  12 17" xfId="7198"/>
    <cellStyle name="AeE­_ ºn¸nº° ¿uº°±a¼u  12 18" xfId="7199"/>
    <cellStyle name="ÅëÈ­_ ºñ¸ñº° ¿ùº°±â¼ú  12 18" xfId="7200"/>
    <cellStyle name="AeE­_ ºn¸nº° ¿uº°±a¼u  12 19" xfId="7201"/>
    <cellStyle name="ÅëÈ­_ ºñ¸ñº° ¿ùº°±â¼ú  12 19" xfId="7202"/>
    <cellStyle name="AeE­_ ºn¸nº° ¿uº°±a¼u  12 2" xfId="7203"/>
    <cellStyle name="ÅëÈ­_ ºñ¸ñº° ¿ùº°±â¼ú  12 2" xfId="7204"/>
    <cellStyle name="AeE­_ ºn¸nº° ¿uº°±a¼u  12 20" xfId="7205"/>
    <cellStyle name="ÅëÈ­_ ºñ¸ñº° ¿ùº°±â¼ú  12 20" xfId="7206"/>
    <cellStyle name="AeE­_ ºn¸nº° ¿uº°±a¼u  12 21" xfId="7207"/>
    <cellStyle name="ÅëÈ­_ ºñ¸ñº° ¿ùº°±â¼ú  12 21" xfId="7208"/>
    <cellStyle name="AeE­_ ºn¸nº° ¿uº°±a¼u  12 22" xfId="7209"/>
    <cellStyle name="ÅëÈ­_ ºñ¸ñº° ¿ùº°±â¼ú  12 22" xfId="7210"/>
    <cellStyle name="AeE­_ ºn¸nº° ¿uº°±a¼u  12 23" xfId="7211"/>
    <cellStyle name="ÅëÈ­_ ºñ¸ñº° ¿ùº°±â¼ú  12 23" xfId="7212"/>
    <cellStyle name="AeE­_ ºn¸nº° ¿uº°±a¼u  12 24" xfId="7213"/>
    <cellStyle name="ÅëÈ­_ ºñ¸ñº° ¿ùº°±â¼ú  12 24" xfId="7214"/>
    <cellStyle name="AeE­_ ºn¸nº° ¿uº°±a¼u  12 25" xfId="7215"/>
    <cellStyle name="ÅëÈ­_ ºñ¸ñº° ¿ùº°±â¼ú  12 25" xfId="7216"/>
    <cellStyle name="AeE­_ ºn¸nº° ¿uº°±a¼u  12 26" xfId="7217"/>
    <cellStyle name="ÅëÈ­_ ºñ¸ñº° ¿ùº°±â¼ú  12 26" xfId="7218"/>
    <cellStyle name="AeE­_ ºn¸nº° ¿uº°±a¼u  12 27" xfId="7219"/>
    <cellStyle name="ÅëÈ­_ ºñ¸ñº° ¿ùº°±â¼ú  12 27" xfId="7220"/>
    <cellStyle name="AeE­_ ºn¸nº° ¿uº°±a¼u  12 28" xfId="7221"/>
    <cellStyle name="ÅëÈ­_ ºñ¸ñº° ¿ùº°±â¼ú  12 28" xfId="7222"/>
    <cellStyle name="AeE­_ ºn¸nº° ¿uº°±a¼u  12 29" xfId="7223"/>
    <cellStyle name="ÅëÈ­_ ºñ¸ñº° ¿ùº°±â¼ú  12 29" xfId="7224"/>
    <cellStyle name="AeE­_ ºn¸nº° ¿uº°±a¼u  12 3" xfId="7225"/>
    <cellStyle name="ÅëÈ­_ ºñ¸ñº° ¿ùº°±â¼ú  12 3" xfId="7226"/>
    <cellStyle name="AeE­_ ºn¸nº° ¿uº°±a¼u  12 30" xfId="7227"/>
    <cellStyle name="ÅëÈ­_ ºñ¸ñº° ¿ùº°±â¼ú  12 30" xfId="7228"/>
    <cellStyle name="AeE­_ ºn¸nº° ¿uº°±a¼u  12 31" xfId="7229"/>
    <cellStyle name="ÅëÈ­_ ºñ¸ñº° ¿ùº°±â¼ú  12 31" xfId="7230"/>
    <cellStyle name="AeE­_ ºn¸nº° ¿uº°±a¼u  12 32" xfId="7231"/>
    <cellStyle name="ÅëÈ­_ ºñ¸ñº° ¿ùº°±â¼ú  12 32" xfId="7232"/>
    <cellStyle name="AeE­_ ºn¸nº° ¿uº°±a¼u  12 33" xfId="7233"/>
    <cellStyle name="ÅëÈ­_ ºñ¸ñº° ¿ùº°±â¼ú  12 33" xfId="7234"/>
    <cellStyle name="AeE­_ ºn¸nº° ¿uº°±a¼u  12 34" xfId="7235"/>
    <cellStyle name="ÅëÈ­_ ºñ¸ñº° ¿ùº°±â¼ú  12 34" xfId="7236"/>
    <cellStyle name="AeE­_ ºn¸nº° ¿uº°±a¼u  12 4" xfId="7237"/>
    <cellStyle name="ÅëÈ­_ ºñ¸ñº° ¿ùº°±â¼ú  12 4" xfId="7238"/>
    <cellStyle name="AeE­_ ºn¸nº° ¿uº°±a¼u  12 5" xfId="7239"/>
    <cellStyle name="ÅëÈ­_ ºñ¸ñº° ¿ùº°±â¼ú  12 5" xfId="7240"/>
    <cellStyle name="AeE­_ ºn¸nº° ¿uº°±a¼u  12 6" xfId="7241"/>
    <cellStyle name="ÅëÈ­_ ºñ¸ñº° ¿ùº°±â¼ú  12 6" xfId="7242"/>
    <cellStyle name="AeE­_ ºn¸nº° ¿uº°±a¼u  12 7" xfId="7243"/>
    <cellStyle name="ÅëÈ­_ ºñ¸ñº° ¿ùº°±â¼ú  12 7" xfId="7244"/>
    <cellStyle name="AeE­_ ºn¸nº° ¿uº°±a¼u  12 8" xfId="7245"/>
    <cellStyle name="ÅëÈ­_ ºñ¸ñº° ¿ùº°±â¼ú  12 8" xfId="7246"/>
    <cellStyle name="AeE­_ ºn¸nº° ¿uº°±a¼u  12 9" xfId="7247"/>
    <cellStyle name="ÅëÈ­_ ºñ¸ñº° ¿ùº°±â¼ú  12 9" xfId="7248"/>
    <cellStyle name="AeE­_ ºn¸nº° ¿uº°±a¼u  13" xfId="7249"/>
    <cellStyle name="ÅëÈ­_ ºñ¸ñº° ¿ùº°±â¼ú  13" xfId="7250"/>
    <cellStyle name="AeE­_ ºn¸nº° ¿uº°±a¼u  13 10" xfId="7251"/>
    <cellStyle name="ÅëÈ­_ ºñ¸ñº° ¿ùº°±â¼ú  13 10" xfId="7252"/>
    <cellStyle name="AeE­_ ºn¸nº° ¿uº°±a¼u  13 11" xfId="7253"/>
    <cellStyle name="ÅëÈ­_ ºñ¸ñº° ¿ùº°±â¼ú  13 11" xfId="7254"/>
    <cellStyle name="AeE­_ ºn¸nº° ¿uº°±a¼u  13 12" xfId="7255"/>
    <cellStyle name="ÅëÈ­_ ºñ¸ñº° ¿ùº°±â¼ú  13 12" xfId="7256"/>
    <cellStyle name="AeE­_ ºn¸nº° ¿uº°±a¼u  13 13" xfId="7257"/>
    <cellStyle name="ÅëÈ­_ ºñ¸ñº° ¿ùº°±â¼ú  13 13" xfId="7258"/>
    <cellStyle name="AeE­_ ºn¸nº° ¿uº°±a¼u  13 14" xfId="7259"/>
    <cellStyle name="ÅëÈ­_ ºñ¸ñº° ¿ùº°±â¼ú  13 14" xfId="7260"/>
    <cellStyle name="AeE­_ ºn¸nº° ¿uº°±a¼u  13 15" xfId="7261"/>
    <cellStyle name="ÅëÈ­_ ºñ¸ñº° ¿ùº°±â¼ú  13 15" xfId="7262"/>
    <cellStyle name="AeE­_ ºn¸nº° ¿uº°±a¼u  13 16" xfId="7263"/>
    <cellStyle name="ÅëÈ­_ ºñ¸ñº° ¿ùº°±â¼ú  13 16" xfId="7264"/>
    <cellStyle name="AeE­_ ºn¸nº° ¿uº°±a¼u  13 17" xfId="7265"/>
    <cellStyle name="ÅëÈ­_ ºñ¸ñº° ¿ùº°±â¼ú  13 17" xfId="7266"/>
    <cellStyle name="AeE­_ ºn¸nº° ¿uº°±a¼u  13 18" xfId="7267"/>
    <cellStyle name="ÅëÈ­_ ºñ¸ñº° ¿ùº°±â¼ú  13 18" xfId="7268"/>
    <cellStyle name="AeE­_ ºn¸nº° ¿uº°±a¼u  13 19" xfId="7269"/>
    <cellStyle name="ÅëÈ­_ ºñ¸ñº° ¿ùº°±â¼ú  13 19" xfId="7270"/>
    <cellStyle name="AeE­_ ºn¸nº° ¿uº°±a¼u  13 2" xfId="7271"/>
    <cellStyle name="ÅëÈ­_ ºñ¸ñº° ¿ùº°±â¼ú  13 2" xfId="7272"/>
    <cellStyle name="AeE­_ ºn¸nº° ¿uº°±a¼u  13 20" xfId="7273"/>
    <cellStyle name="ÅëÈ­_ ºñ¸ñº° ¿ùº°±â¼ú  13 20" xfId="7274"/>
    <cellStyle name="AeE­_ ºn¸nº° ¿uº°±a¼u  13 21" xfId="7275"/>
    <cellStyle name="ÅëÈ­_ ºñ¸ñº° ¿ùº°±â¼ú  13 21" xfId="7276"/>
    <cellStyle name="AeE­_ ºn¸nº° ¿uº°±a¼u  13 22" xfId="7277"/>
    <cellStyle name="ÅëÈ­_ ºñ¸ñº° ¿ùº°±â¼ú  13 22" xfId="7278"/>
    <cellStyle name="AeE­_ ºn¸nº° ¿uº°±a¼u  13 23" xfId="7279"/>
    <cellStyle name="ÅëÈ­_ ºñ¸ñº° ¿ùº°±â¼ú  13 23" xfId="7280"/>
    <cellStyle name="AeE­_ ºn¸nº° ¿uº°±a¼u  13 24" xfId="7281"/>
    <cellStyle name="ÅëÈ­_ ºñ¸ñº° ¿ùº°±â¼ú  13 24" xfId="7282"/>
    <cellStyle name="AeE­_ ºn¸nº° ¿uº°±a¼u  13 25" xfId="7283"/>
    <cellStyle name="ÅëÈ­_ ºñ¸ñº° ¿ùº°±â¼ú  13 25" xfId="7284"/>
    <cellStyle name="AeE­_ ºn¸nº° ¿uº°±a¼u  13 26" xfId="7285"/>
    <cellStyle name="ÅëÈ­_ ºñ¸ñº° ¿ùº°±â¼ú  13 26" xfId="7286"/>
    <cellStyle name="AeE­_ ºn¸nº° ¿uº°±a¼u  13 27" xfId="7287"/>
    <cellStyle name="ÅëÈ­_ ºñ¸ñº° ¿ùº°±â¼ú  13 27" xfId="7288"/>
    <cellStyle name="AeE­_ ºn¸nº° ¿uº°±a¼u  13 28" xfId="7289"/>
    <cellStyle name="ÅëÈ­_ ºñ¸ñº° ¿ùº°±â¼ú  13 28" xfId="7290"/>
    <cellStyle name="AeE­_ ºn¸nº° ¿uº°±a¼u  13 29" xfId="7291"/>
    <cellStyle name="ÅëÈ­_ ºñ¸ñº° ¿ùº°±â¼ú  13 29" xfId="7292"/>
    <cellStyle name="AeE­_ ºn¸nº° ¿uº°±a¼u  13 3" xfId="7293"/>
    <cellStyle name="ÅëÈ­_ ºñ¸ñº° ¿ùº°±â¼ú  13 3" xfId="7294"/>
    <cellStyle name="AeE­_ ºn¸nº° ¿uº°±a¼u  13 30" xfId="7295"/>
    <cellStyle name="ÅëÈ­_ ºñ¸ñº° ¿ùº°±â¼ú  13 30" xfId="7296"/>
    <cellStyle name="AeE­_ ºn¸nº° ¿uº°±a¼u  13 31" xfId="7297"/>
    <cellStyle name="ÅëÈ­_ ºñ¸ñº° ¿ùº°±â¼ú  13 31" xfId="7298"/>
    <cellStyle name="AeE­_ ºn¸nº° ¿uº°±a¼u  13 32" xfId="7299"/>
    <cellStyle name="ÅëÈ­_ ºñ¸ñº° ¿ùº°±â¼ú  13 32" xfId="7300"/>
    <cellStyle name="AeE­_ ºn¸nº° ¿uº°±a¼u  13 33" xfId="7301"/>
    <cellStyle name="ÅëÈ­_ ºñ¸ñº° ¿ùº°±â¼ú  13 33" xfId="7302"/>
    <cellStyle name="AeE­_ ºn¸nº° ¿uº°±a¼u  13 34" xfId="7303"/>
    <cellStyle name="ÅëÈ­_ ºñ¸ñº° ¿ùº°±â¼ú  13 34" xfId="7304"/>
    <cellStyle name="AeE­_ ºn¸nº° ¿uº°±a¼u  13 4" xfId="7305"/>
    <cellStyle name="ÅëÈ­_ ºñ¸ñº° ¿ùº°±â¼ú  13 4" xfId="7306"/>
    <cellStyle name="AeE­_ ºn¸nº° ¿uº°±a¼u  13 5" xfId="7307"/>
    <cellStyle name="ÅëÈ­_ ºñ¸ñº° ¿ùº°±â¼ú  13 5" xfId="7308"/>
    <cellStyle name="AeE­_ ºn¸nº° ¿uº°±a¼u  13 6" xfId="7309"/>
    <cellStyle name="ÅëÈ­_ ºñ¸ñº° ¿ùº°±â¼ú  13 6" xfId="7310"/>
    <cellStyle name="AeE­_ ºn¸nº° ¿uº°±a¼u  13 7" xfId="7311"/>
    <cellStyle name="ÅëÈ­_ ºñ¸ñº° ¿ùº°±â¼ú  13 7" xfId="7312"/>
    <cellStyle name="AeE­_ ºn¸nº° ¿uº°±a¼u  13 8" xfId="7313"/>
    <cellStyle name="ÅëÈ­_ ºñ¸ñº° ¿ùº°±â¼ú  13 8" xfId="7314"/>
    <cellStyle name="AeE­_ ºn¸nº° ¿uº°±a¼u  13 9" xfId="7315"/>
    <cellStyle name="ÅëÈ­_ ºñ¸ñº° ¿ùº°±â¼ú  13 9" xfId="7316"/>
    <cellStyle name="AeE­_ ºn¸nº° ¿uº°±a¼u  14" xfId="7317"/>
    <cellStyle name="ÅëÈ­_ ºñ¸ñº° ¿ùº°±â¼ú  14" xfId="7318"/>
    <cellStyle name="AeE­_ ºn¸nº° ¿uº°±a¼u  14 10" xfId="7319"/>
    <cellStyle name="ÅëÈ­_ ºñ¸ñº° ¿ùº°±â¼ú  14 10" xfId="7320"/>
    <cellStyle name="AeE­_ ºn¸nº° ¿uº°±a¼u  14 11" xfId="7321"/>
    <cellStyle name="ÅëÈ­_ ºñ¸ñº° ¿ùº°±â¼ú  14 11" xfId="7322"/>
    <cellStyle name="AeE­_ ºn¸nº° ¿uº°±a¼u  14 12" xfId="7323"/>
    <cellStyle name="ÅëÈ­_ ºñ¸ñº° ¿ùº°±â¼ú  14 12" xfId="7324"/>
    <cellStyle name="AeE­_ ºn¸nº° ¿uº°±a¼u  14 13" xfId="7325"/>
    <cellStyle name="ÅëÈ­_ ºñ¸ñº° ¿ùº°±â¼ú  14 13" xfId="7326"/>
    <cellStyle name="AeE­_ ºn¸nº° ¿uº°±a¼u  14 14" xfId="7327"/>
    <cellStyle name="ÅëÈ­_ ºñ¸ñº° ¿ùº°±â¼ú  14 14" xfId="7328"/>
    <cellStyle name="AeE­_ ºn¸nº° ¿uº°±a¼u  14 15" xfId="7329"/>
    <cellStyle name="ÅëÈ­_ ºñ¸ñº° ¿ùº°±â¼ú  14 15" xfId="7330"/>
    <cellStyle name="AeE­_ ºn¸nº° ¿uº°±a¼u  14 16" xfId="7331"/>
    <cellStyle name="ÅëÈ­_ ºñ¸ñº° ¿ùº°±â¼ú  14 16" xfId="7332"/>
    <cellStyle name="AeE­_ ºn¸nº° ¿uº°±a¼u  14 17" xfId="7333"/>
    <cellStyle name="ÅëÈ­_ ºñ¸ñº° ¿ùº°±â¼ú  14 17" xfId="7334"/>
    <cellStyle name="AeE­_ ºn¸nº° ¿uº°±a¼u  14 18" xfId="7335"/>
    <cellStyle name="ÅëÈ­_ ºñ¸ñº° ¿ùº°±â¼ú  14 18" xfId="7336"/>
    <cellStyle name="AeE­_ ºn¸nº° ¿uº°±a¼u  14 19" xfId="7337"/>
    <cellStyle name="ÅëÈ­_ ºñ¸ñº° ¿ùº°±â¼ú  14 19" xfId="7338"/>
    <cellStyle name="AeE­_ ºn¸nº° ¿uº°±a¼u  14 2" xfId="7339"/>
    <cellStyle name="ÅëÈ­_ ºñ¸ñº° ¿ùº°±â¼ú  14 2" xfId="7340"/>
    <cellStyle name="AeE­_ ºn¸nº° ¿uº°±a¼u  14 20" xfId="7341"/>
    <cellStyle name="ÅëÈ­_ ºñ¸ñº° ¿ùº°±â¼ú  14 20" xfId="7342"/>
    <cellStyle name="AeE­_ ºn¸nº° ¿uº°±a¼u  14 21" xfId="7343"/>
    <cellStyle name="ÅëÈ­_ ºñ¸ñº° ¿ùº°±â¼ú  14 21" xfId="7344"/>
    <cellStyle name="AeE­_ ºn¸nº° ¿uº°±a¼u  14 22" xfId="7345"/>
    <cellStyle name="ÅëÈ­_ ºñ¸ñº° ¿ùº°±â¼ú  14 22" xfId="7346"/>
    <cellStyle name="AeE­_ ºn¸nº° ¿uº°±a¼u  14 23" xfId="7347"/>
    <cellStyle name="ÅëÈ­_ ºñ¸ñº° ¿ùº°±â¼ú  14 23" xfId="7348"/>
    <cellStyle name="AeE­_ ºn¸nº° ¿uº°±a¼u  14 24" xfId="7349"/>
    <cellStyle name="ÅëÈ­_ ºñ¸ñº° ¿ùº°±â¼ú  14 24" xfId="7350"/>
    <cellStyle name="AeE­_ ºn¸nº° ¿uº°±a¼u  14 25" xfId="7351"/>
    <cellStyle name="ÅëÈ­_ ºñ¸ñº° ¿ùº°±â¼ú  14 25" xfId="7352"/>
    <cellStyle name="AeE­_ ºn¸nº° ¿uº°±a¼u  14 26" xfId="7353"/>
    <cellStyle name="ÅëÈ­_ ºñ¸ñº° ¿ùº°±â¼ú  14 26" xfId="7354"/>
    <cellStyle name="AeE­_ ºn¸nº° ¿uº°±a¼u  14 27" xfId="7355"/>
    <cellStyle name="ÅëÈ­_ ºñ¸ñº° ¿ùº°±â¼ú  14 27" xfId="7356"/>
    <cellStyle name="AeE­_ ºn¸nº° ¿uº°±a¼u  14 28" xfId="7357"/>
    <cellStyle name="ÅëÈ­_ ºñ¸ñº° ¿ùº°±â¼ú  14 28" xfId="7358"/>
    <cellStyle name="AeE­_ ºn¸nº° ¿uº°±a¼u  14 29" xfId="7359"/>
    <cellStyle name="ÅëÈ­_ ºñ¸ñº° ¿ùº°±â¼ú  14 29" xfId="7360"/>
    <cellStyle name="AeE­_ ºn¸nº° ¿uº°±a¼u  14 3" xfId="7361"/>
    <cellStyle name="ÅëÈ­_ ºñ¸ñº° ¿ùº°±â¼ú  14 3" xfId="7362"/>
    <cellStyle name="AeE­_ ºn¸nº° ¿uº°±a¼u  14 30" xfId="7363"/>
    <cellStyle name="ÅëÈ­_ ºñ¸ñº° ¿ùº°±â¼ú  14 30" xfId="7364"/>
    <cellStyle name="AeE­_ ºn¸nº° ¿uº°±a¼u  14 31" xfId="7365"/>
    <cellStyle name="ÅëÈ­_ ºñ¸ñº° ¿ùº°±â¼ú  14 31" xfId="7366"/>
    <cellStyle name="AeE­_ ºn¸nº° ¿uº°±a¼u  14 32" xfId="7367"/>
    <cellStyle name="ÅëÈ­_ ºñ¸ñº° ¿ùº°±â¼ú  14 32" xfId="7368"/>
    <cellStyle name="AeE­_ ºn¸nº° ¿uº°±a¼u  14 33" xfId="7369"/>
    <cellStyle name="ÅëÈ­_ ºñ¸ñº° ¿ùº°±â¼ú  14 33" xfId="7370"/>
    <cellStyle name="AeE­_ ºn¸nº° ¿uº°±a¼u  14 34" xfId="7371"/>
    <cellStyle name="ÅëÈ­_ ºñ¸ñº° ¿ùº°±â¼ú  14 34" xfId="7372"/>
    <cellStyle name="AeE­_ ºn¸nº° ¿uº°±a¼u  14 4" xfId="7373"/>
    <cellStyle name="ÅëÈ­_ ºñ¸ñº° ¿ùº°±â¼ú  14 4" xfId="7374"/>
    <cellStyle name="AeE­_ ºn¸nº° ¿uº°±a¼u  14 5" xfId="7375"/>
    <cellStyle name="ÅëÈ­_ ºñ¸ñº° ¿ùº°±â¼ú  14 5" xfId="7376"/>
    <cellStyle name="AeE­_ ºn¸nº° ¿uº°±a¼u  14 6" xfId="7377"/>
    <cellStyle name="ÅëÈ­_ ºñ¸ñº° ¿ùº°±â¼ú  14 6" xfId="7378"/>
    <cellStyle name="AeE­_ ºn¸nº° ¿uº°±a¼u  14 7" xfId="7379"/>
    <cellStyle name="ÅëÈ­_ ºñ¸ñº° ¿ùº°±â¼ú  14 7" xfId="7380"/>
    <cellStyle name="AeE­_ ºn¸nº° ¿uº°±a¼u  14 8" xfId="7381"/>
    <cellStyle name="ÅëÈ­_ ºñ¸ñº° ¿ùº°±â¼ú  14 8" xfId="7382"/>
    <cellStyle name="AeE­_ ºn¸nº° ¿uº°±a¼u  14 9" xfId="7383"/>
    <cellStyle name="ÅëÈ­_ ºñ¸ñº° ¿ùº°±â¼ú  14 9" xfId="7384"/>
    <cellStyle name="AeE­_ ºn¸nº° ¿uº°±a¼u  15" xfId="7385"/>
    <cellStyle name="ÅëÈ­_ ºñ¸ñº° ¿ùº°±â¼ú  15" xfId="7386"/>
    <cellStyle name="AeE­_ ºn¸nº° ¿uº°±a¼u  15 10" xfId="7387"/>
    <cellStyle name="ÅëÈ­_ ºñ¸ñº° ¿ùº°±â¼ú  15 10" xfId="7388"/>
    <cellStyle name="AeE­_ ºn¸nº° ¿uº°±a¼u  15 11" xfId="7389"/>
    <cellStyle name="ÅëÈ­_ ºñ¸ñº° ¿ùº°±â¼ú  15 11" xfId="7390"/>
    <cellStyle name="AeE­_ ºn¸nº° ¿uº°±a¼u  15 12" xfId="7391"/>
    <cellStyle name="ÅëÈ­_ ºñ¸ñº° ¿ùº°±â¼ú  15 12" xfId="7392"/>
    <cellStyle name="AeE­_ ºn¸nº° ¿uº°±a¼u  15 13" xfId="7393"/>
    <cellStyle name="ÅëÈ­_ ºñ¸ñº° ¿ùº°±â¼ú  15 13" xfId="7394"/>
    <cellStyle name="AeE­_ ºn¸nº° ¿uº°±a¼u  15 14" xfId="7395"/>
    <cellStyle name="ÅëÈ­_ ºñ¸ñº° ¿ùº°±â¼ú  15 14" xfId="7396"/>
    <cellStyle name="AeE­_ ºn¸nº° ¿uº°±a¼u  15 15" xfId="7397"/>
    <cellStyle name="ÅëÈ­_ ºñ¸ñº° ¿ùº°±â¼ú  15 15" xfId="7398"/>
    <cellStyle name="AeE­_ ºn¸nº° ¿uº°±a¼u  15 16" xfId="7399"/>
    <cellStyle name="ÅëÈ­_ ºñ¸ñº° ¿ùº°±â¼ú  15 16" xfId="7400"/>
    <cellStyle name="AeE­_ ºn¸nº° ¿uº°±a¼u  15 17" xfId="7401"/>
    <cellStyle name="ÅëÈ­_ ºñ¸ñº° ¿ùº°±â¼ú  15 17" xfId="7402"/>
    <cellStyle name="AeE­_ ºn¸nº° ¿uº°±a¼u  15 18" xfId="7403"/>
    <cellStyle name="ÅëÈ­_ ºñ¸ñº° ¿ùº°±â¼ú  15 18" xfId="7404"/>
    <cellStyle name="AeE­_ ºn¸nº° ¿uº°±a¼u  15 19" xfId="7405"/>
    <cellStyle name="ÅëÈ­_ ºñ¸ñº° ¿ùº°±â¼ú  15 19" xfId="7406"/>
    <cellStyle name="AeE­_ ºn¸nº° ¿uº°±a¼u  15 2" xfId="7407"/>
    <cellStyle name="ÅëÈ­_ ºñ¸ñº° ¿ùº°±â¼ú  15 2" xfId="7408"/>
    <cellStyle name="AeE­_ ºn¸nº° ¿uº°±a¼u  15 20" xfId="7409"/>
    <cellStyle name="ÅëÈ­_ ºñ¸ñº° ¿ùº°±â¼ú  15 20" xfId="7410"/>
    <cellStyle name="AeE­_ ºn¸nº° ¿uº°±a¼u  15 21" xfId="7411"/>
    <cellStyle name="ÅëÈ­_ ºñ¸ñº° ¿ùº°±â¼ú  15 21" xfId="7412"/>
    <cellStyle name="AeE­_ ºn¸nº° ¿uº°±a¼u  15 22" xfId="7413"/>
    <cellStyle name="ÅëÈ­_ ºñ¸ñº° ¿ùº°±â¼ú  15 22" xfId="7414"/>
    <cellStyle name="AeE­_ ºn¸nº° ¿uº°±a¼u  15 23" xfId="7415"/>
    <cellStyle name="ÅëÈ­_ ºñ¸ñº° ¿ùº°±â¼ú  15 23" xfId="7416"/>
    <cellStyle name="AeE­_ ºn¸nº° ¿uº°±a¼u  15 24" xfId="7417"/>
    <cellStyle name="ÅëÈ­_ ºñ¸ñº° ¿ùº°±â¼ú  15 24" xfId="7418"/>
    <cellStyle name="AeE­_ ºn¸nº° ¿uº°±a¼u  15 25" xfId="7419"/>
    <cellStyle name="ÅëÈ­_ ºñ¸ñº° ¿ùº°±â¼ú  15 25" xfId="7420"/>
    <cellStyle name="AeE­_ ºn¸nº° ¿uº°±a¼u  15 26" xfId="7421"/>
    <cellStyle name="ÅëÈ­_ ºñ¸ñº° ¿ùº°±â¼ú  15 26" xfId="7422"/>
    <cellStyle name="AeE­_ ºn¸nº° ¿uº°±a¼u  15 27" xfId="7423"/>
    <cellStyle name="ÅëÈ­_ ºñ¸ñº° ¿ùº°±â¼ú  15 27" xfId="7424"/>
    <cellStyle name="AeE­_ ºn¸nº° ¿uº°±a¼u  15 28" xfId="7425"/>
    <cellStyle name="ÅëÈ­_ ºñ¸ñº° ¿ùº°±â¼ú  15 28" xfId="7426"/>
    <cellStyle name="AeE­_ ºn¸nº° ¿uº°±a¼u  15 29" xfId="7427"/>
    <cellStyle name="ÅëÈ­_ ºñ¸ñº° ¿ùº°±â¼ú  15 29" xfId="7428"/>
    <cellStyle name="AeE­_ ºn¸nº° ¿uº°±a¼u  15 3" xfId="7429"/>
    <cellStyle name="ÅëÈ­_ ºñ¸ñº° ¿ùº°±â¼ú  15 3" xfId="7430"/>
    <cellStyle name="AeE­_ ºn¸nº° ¿uº°±a¼u  15 30" xfId="7431"/>
    <cellStyle name="ÅëÈ­_ ºñ¸ñº° ¿ùº°±â¼ú  15 30" xfId="7432"/>
    <cellStyle name="AeE­_ ºn¸nº° ¿uº°±a¼u  15 31" xfId="7433"/>
    <cellStyle name="ÅëÈ­_ ºñ¸ñº° ¿ùº°±â¼ú  15 31" xfId="7434"/>
    <cellStyle name="AeE­_ ºn¸nº° ¿uº°±a¼u  15 32" xfId="7435"/>
    <cellStyle name="ÅëÈ­_ ºñ¸ñº° ¿ùº°±â¼ú  15 32" xfId="7436"/>
    <cellStyle name="AeE­_ ºn¸nº° ¿uº°±a¼u  15 33" xfId="7437"/>
    <cellStyle name="ÅëÈ­_ ºñ¸ñº° ¿ùº°±â¼ú  15 33" xfId="7438"/>
    <cellStyle name="AeE­_ ºn¸nº° ¿uº°±a¼u  15 34" xfId="7439"/>
    <cellStyle name="ÅëÈ­_ ºñ¸ñº° ¿ùº°±â¼ú  15 34" xfId="7440"/>
    <cellStyle name="AeE­_ ºn¸nº° ¿uº°±a¼u  15 4" xfId="7441"/>
    <cellStyle name="ÅëÈ­_ ºñ¸ñº° ¿ùº°±â¼ú  15 4" xfId="7442"/>
    <cellStyle name="AeE­_ ºn¸nº° ¿uº°±a¼u  15 5" xfId="7443"/>
    <cellStyle name="ÅëÈ­_ ºñ¸ñº° ¿ùº°±â¼ú  15 5" xfId="7444"/>
    <cellStyle name="AeE­_ ºn¸nº° ¿uº°±a¼u  15 6" xfId="7445"/>
    <cellStyle name="ÅëÈ­_ ºñ¸ñº° ¿ùº°±â¼ú  15 6" xfId="7446"/>
    <cellStyle name="AeE­_ ºn¸nº° ¿uº°±a¼u  15 7" xfId="7447"/>
    <cellStyle name="ÅëÈ­_ ºñ¸ñº° ¿ùº°±â¼ú  15 7" xfId="7448"/>
    <cellStyle name="AeE­_ ºn¸nº° ¿uº°±a¼u  15 8" xfId="7449"/>
    <cellStyle name="ÅëÈ­_ ºñ¸ñº° ¿ùº°±â¼ú  15 8" xfId="7450"/>
    <cellStyle name="AeE­_ ºn¸nº° ¿uº°±a¼u  15 9" xfId="7451"/>
    <cellStyle name="ÅëÈ­_ ºñ¸ñº° ¿ùº°±â¼ú  15 9" xfId="7452"/>
    <cellStyle name="AeE­_ ºn¸nº° ¿uº°±a¼u  16" xfId="7453"/>
    <cellStyle name="ÅëÈ­_ ºñ¸ñº° ¿ùº°±â¼ú  16" xfId="7454"/>
    <cellStyle name="AeE­_ ºn¸nº° ¿uº°±a¼u  16 10" xfId="7455"/>
    <cellStyle name="ÅëÈ­_ ºñ¸ñº° ¿ùº°±â¼ú  16 10" xfId="7456"/>
    <cellStyle name="AeE­_ ºn¸nº° ¿uº°±a¼u  16 11" xfId="7457"/>
    <cellStyle name="ÅëÈ­_ ºñ¸ñº° ¿ùº°±â¼ú  16 11" xfId="7458"/>
    <cellStyle name="AeE­_ ºn¸nº° ¿uº°±a¼u  16 12" xfId="7459"/>
    <cellStyle name="ÅëÈ­_ ºñ¸ñº° ¿ùº°±â¼ú  16 12" xfId="7460"/>
    <cellStyle name="AeE­_ ºn¸nº° ¿uº°±a¼u  16 13" xfId="7461"/>
    <cellStyle name="ÅëÈ­_ ºñ¸ñº° ¿ùº°±â¼ú  16 13" xfId="7462"/>
    <cellStyle name="AeE­_ ºn¸nº° ¿uº°±a¼u  16 14" xfId="7463"/>
    <cellStyle name="ÅëÈ­_ ºñ¸ñº° ¿ùº°±â¼ú  16 14" xfId="7464"/>
    <cellStyle name="AeE­_ ºn¸nº° ¿uº°±a¼u  16 15" xfId="7465"/>
    <cellStyle name="ÅëÈ­_ ºñ¸ñº° ¿ùº°±â¼ú  16 15" xfId="7466"/>
    <cellStyle name="AeE­_ ºn¸nº° ¿uº°±a¼u  16 16" xfId="7467"/>
    <cellStyle name="ÅëÈ­_ ºñ¸ñº° ¿ùº°±â¼ú  16 16" xfId="7468"/>
    <cellStyle name="AeE­_ ºn¸nº° ¿uº°±a¼u  16 17" xfId="7469"/>
    <cellStyle name="ÅëÈ­_ ºñ¸ñº° ¿ùº°±â¼ú  16 17" xfId="7470"/>
    <cellStyle name="AeE­_ ºn¸nº° ¿uº°±a¼u  16 18" xfId="7471"/>
    <cellStyle name="ÅëÈ­_ ºñ¸ñº° ¿ùº°±â¼ú  16 18" xfId="7472"/>
    <cellStyle name="AeE­_ ºn¸nº° ¿uº°±a¼u  16 19" xfId="7473"/>
    <cellStyle name="ÅëÈ­_ ºñ¸ñº° ¿ùº°±â¼ú  16 19" xfId="7474"/>
    <cellStyle name="AeE­_ ºn¸nº° ¿uº°±a¼u  16 2" xfId="7475"/>
    <cellStyle name="ÅëÈ­_ ºñ¸ñº° ¿ùº°±â¼ú  16 2" xfId="7476"/>
    <cellStyle name="AeE­_ ºn¸nº° ¿uº°±a¼u  16 20" xfId="7477"/>
    <cellStyle name="ÅëÈ­_ ºñ¸ñº° ¿ùº°±â¼ú  16 20" xfId="7478"/>
    <cellStyle name="AeE­_ ºn¸nº° ¿uº°±a¼u  16 21" xfId="7479"/>
    <cellStyle name="ÅëÈ­_ ºñ¸ñº° ¿ùº°±â¼ú  16 21" xfId="7480"/>
    <cellStyle name="AeE­_ ºn¸nº° ¿uº°±a¼u  16 22" xfId="7481"/>
    <cellStyle name="ÅëÈ­_ ºñ¸ñº° ¿ùº°±â¼ú  16 22" xfId="7482"/>
    <cellStyle name="AeE­_ ºn¸nº° ¿uº°±a¼u  16 23" xfId="7483"/>
    <cellStyle name="ÅëÈ­_ ºñ¸ñº° ¿ùº°±â¼ú  16 23" xfId="7484"/>
    <cellStyle name="AeE­_ ºn¸nº° ¿uº°±a¼u  16 24" xfId="7485"/>
    <cellStyle name="ÅëÈ­_ ºñ¸ñº° ¿ùº°±â¼ú  16 24" xfId="7486"/>
    <cellStyle name="AeE­_ ºn¸nº° ¿uº°±a¼u  16 25" xfId="7487"/>
    <cellStyle name="ÅëÈ­_ ºñ¸ñº° ¿ùº°±â¼ú  16 25" xfId="7488"/>
    <cellStyle name="AeE­_ ºn¸nº° ¿uº°±a¼u  16 26" xfId="7489"/>
    <cellStyle name="ÅëÈ­_ ºñ¸ñº° ¿ùº°±â¼ú  16 26" xfId="7490"/>
    <cellStyle name="AeE­_ ºn¸nº° ¿uº°±a¼u  16 27" xfId="7491"/>
    <cellStyle name="ÅëÈ­_ ºñ¸ñº° ¿ùº°±â¼ú  16 27" xfId="7492"/>
    <cellStyle name="AeE­_ ºn¸nº° ¿uº°±a¼u  16 28" xfId="7493"/>
    <cellStyle name="ÅëÈ­_ ºñ¸ñº° ¿ùº°±â¼ú  16 28" xfId="7494"/>
    <cellStyle name="AeE­_ ºn¸nº° ¿uº°±a¼u  16 29" xfId="7495"/>
    <cellStyle name="ÅëÈ­_ ºñ¸ñº° ¿ùº°±â¼ú  16 29" xfId="7496"/>
    <cellStyle name="AeE­_ ºn¸nº° ¿uº°±a¼u  16 3" xfId="7497"/>
    <cellStyle name="ÅëÈ­_ ºñ¸ñº° ¿ùº°±â¼ú  16 3" xfId="7498"/>
    <cellStyle name="AeE­_ ºn¸nº° ¿uº°±a¼u  16 30" xfId="7499"/>
    <cellStyle name="ÅëÈ­_ ºñ¸ñº° ¿ùº°±â¼ú  16 30" xfId="7500"/>
    <cellStyle name="AeE­_ ºn¸nº° ¿uº°±a¼u  16 31" xfId="7501"/>
    <cellStyle name="ÅëÈ­_ ºñ¸ñº° ¿ùº°±â¼ú  16 31" xfId="7502"/>
    <cellStyle name="AeE­_ ºn¸nº° ¿uº°±a¼u  16 32" xfId="7503"/>
    <cellStyle name="ÅëÈ­_ ºñ¸ñº° ¿ùº°±â¼ú  16 32" xfId="7504"/>
    <cellStyle name="AeE­_ ºn¸nº° ¿uº°±a¼u  16 33" xfId="7505"/>
    <cellStyle name="ÅëÈ­_ ºñ¸ñº° ¿ùº°±â¼ú  16 33" xfId="7506"/>
    <cellStyle name="AeE­_ ºn¸nº° ¿uº°±a¼u  16 34" xfId="7507"/>
    <cellStyle name="ÅëÈ­_ ºñ¸ñº° ¿ùº°±â¼ú  16 34" xfId="7508"/>
    <cellStyle name="AeE­_ ºn¸nº° ¿uº°±a¼u  16 4" xfId="7509"/>
    <cellStyle name="ÅëÈ­_ ºñ¸ñº° ¿ùº°±â¼ú  16 4" xfId="7510"/>
    <cellStyle name="AeE­_ ºn¸nº° ¿uº°±a¼u  16 5" xfId="7511"/>
    <cellStyle name="ÅëÈ­_ ºñ¸ñº° ¿ùº°±â¼ú  16 5" xfId="7512"/>
    <cellStyle name="AeE­_ ºn¸nº° ¿uº°±a¼u  16 6" xfId="7513"/>
    <cellStyle name="ÅëÈ­_ ºñ¸ñº° ¿ùº°±â¼ú  16 6" xfId="7514"/>
    <cellStyle name="AeE­_ ºn¸nº° ¿uº°±a¼u  16 7" xfId="7515"/>
    <cellStyle name="ÅëÈ­_ ºñ¸ñº° ¿ùº°±â¼ú  16 7" xfId="7516"/>
    <cellStyle name="AeE­_ ºn¸nº° ¿uº°±a¼u  16 8" xfId="7517"/>
    <cellStyle name="ÅëÈ­_ ºñ¸ñº° ¿ùº°±â¼ú  16 8" xfId="7518"/>
    <cellStyle name="AeE­_ ºn¸nº° ¿uº°±a¼u  16 9" xfId="7519"/>
    <cellStyle name="ÅëÈ­_ ºñ¸ñº° ¿ùº°±â¼ú  16 9" xfId="7520"/>
    <cellStyle name="AeE­_ ºn¸nº° ¿uº°±a¼u  17" xfId="7521"/>
    <cellStyle name="ÅëÈ­_ ºñ¸ñº° ¿ùº°±â¼ú  17" xfId="7522"/>
    <cellStyle name="AeE­_ ºn¸nº° ¿uº°±a¼u  17 10" xfId="7523"/>
    <cellStyle name="ÅëÈ­_ ºñ¸ñº° ¿ùº°±â¼ú  17 10" xfId="7524"/>
    <cellStyle name="AeE­_ ºn¸nº° ¿uº°±a¼u  17 11" xfId="7525"/>
    <cellStyle name="ÅëÈ­_ ºñ¸ñº° ¿ùº°±â¼ú  17 11" xfId="7526"/>
    <cellStyle name="AeE­_ ºn¸nº° ¿uº°±a¼u  17 12" xfId="7527"/>
    <cellStyle name="ÅëÈ­_ ºñ¸ñº° ¿ùº°±â¼ú  17 12" xfId="7528"/>
    <cellStyle name="AeE­_ ºn¸nº° ¿uº°±a¼u  17 13" xfId="7529"/>
    <cellStyle name="ÅëÈ­_ ºñ¸ñº° ¿ùº°±â¼ú  17 13" xfId="7530"/>
    <cellStyle name="AeE­_ ºn¸nº° ¿uº°±a¼u  17 14" xfId="7531"/>
    <cellStyle name="ÅëÈ­_ ºñ¸ñº° ¿ùº°±â¼ú  17 14" xfId="7532"/>
    <cellStyle name="AeE­_ ºn¸nº° ¿uº°±a¼u  17 15" xfId="7533"/>
    <cellStyle name="ÅëÈ­_ ºñ¸ñº° ¿ùº°±â¼ú  17 15" xfId="7534"/>
    <cellStyle name="AeE­_ ºn¸nº° ¿uº°±a¼u  17 16" xfId="7535"/>
    <cellStyle name="ÅëÈ­_ ºñ¸ñº° ¿ùº°±â¼ú  17 16" xfId="7536"/>
    <cellStyle name="AeE­_ ºn¸nº° ¿uº°±a¼u  17 17" xfId="7537"/>
    <cellStyle name="ÅëÈ­_ ºñ¸ñº° ¿ùº°±â¼ú  17 17" xfId="7538"/>
    <cellStyle name="AeE­_ ºn¸nº° ¿uº°±a¼u  17 18" xfId="7539"/>
    <cellStyle name="ÅëÈ­_ ºñ¸ñº° ¿ùº°±â¼ú  17 18" xfId="7540"/>
    <cellStyle name="AeE­_ ºn¸nº° ¿uº°±a¼u  17 19" xfId="7541"/>
    <cellStyle name="ÅëÈ­_ ºñ¸ñº° ¿ùº°±â¼ú  17 19" xfId="7542"/>
    <cellStyle name="AeE­_ ºn¸nº° ¿uº°±a¼u  17 2" xfId="7543"/>
    <cellStyle name="ÅëÈ­_ ºñ¸ñº° ¿ùº°±â¼ú  17 2" xfId="7544"/>
    <cellStyle name="AeE­_ ºn¸nº° ¿uº°±a¼u  17 20" xfId="7545"/>
    <cellStyle name="ÅëÈ­_ ºñ¸ñº° ¿ùº°±â¼ú  17 20" xfId="7546"/>
    <cellStyle name="AeE­_ ºn¸nº° ¿uº°±a¼u  17 21" xfId="7547"/>
    <cellStyle name="ÅëÈ­_ ºñ¸ñº° ¿ùº°±â¼ú  17 21" xfId="7548"/>
    <cellStyle name="AeE­_ ºn¸nº° ¿uº°±a¼u  17 22" xfId="7549"/>
    <cellStyle name="ÅëÈ­_ ºñ¸ñº° ¿ùº°±â¼ú  17 22" xfId="7550"/>
    <cellStyle name="AeE­_ ºn¸nº° ¿uº°±a¼u  17 23" xfId="7551"/>
    <cellStyle name="ÅëÈ­_ ºñ¸ñº° ¿ùº°±â¼ú  17 23" xfId="7552"/>
    <cellStyle name="AeE­_ ºn¸nº° ¿uº°±a¼u  17 24" xfId="7553"/>
    <cellStyle name="ÅëÈ­_ ºñ¸ñº° ¿ùº°±â¼ú  17 24" xfId="7554"/>
    <cellStyle name="AeE­_ ºn¸nº° ¿uº°±a¼u  17 25" xfId="7555"/>
    <cellStyle name="ÅëÈ­_ ºñ¸ñº° ¿ùº°±â¼ú  17 25" xfId="7556"/>
    <cellStyle name="AeE­_ ºn¸nº° ¿uº°±a¼u  17 26" xfId="7557"/>
    <cellStyle name="ÅëÈ­_ ºñ¸ñº° ¿ùº°±â¼ú  17 26" xfId="7558"/>
    <cellStyle name="AeE­_ ºn¸nº° ¿uº°±a¼u  17 27" xfId="7559"/>
    <cellStyle name="ÅëÈ­_ ºñ¸ñº° ¿ùº°±â¼ú  17 27" xfId="7560"/>
    <cellStyle name="AeE­_ ºn¸nº° ¿uº°±a¼u  17 28" xfId="7561"/>
    <cellStyle name="ÅëÈ­_ ºñ¸ñº° ¿ùº°±â¼ú  17 28" xfId="7562"/>
    <cellStyle name="AeE­_ ºn¸nº° ¿uº°±a¼u  17 29" xfId="7563"/>
    <cellStyle name="ÅëÈ­_ ºñ¸ñº° ¿ùº°±â¼ú  17 29" xfId="7564"/>
    <cellStyle name="AeE­_ ºn¸nº° ¿uº°±a¼u  17 3" xfId="7565"/>
    <cellStyle name="ÅëÈ­_ ºñ¸ñº° ¿ùº°±â¼ú  17 3" xfId="7566"/>
    <cellStyle name="AeE­_ ºn¸nº° ¿uº°±a¼u  17 30" xfId="7567"/>
    <cellStyle name="ÅëÈ­_ ºñ¸ñº° ¿ùº°±â¼ú  17 30" xfId="7568"/>
    <cellStyle name="AeE­_ ºn¸nº° ¿uº°±a¼u  17 31" xfId="7569"/>
    <cellStyle name="ÅëÈ­_ ºñ¸ñº° ¿ùº°±â¼ú  17 31" xfId="7570"/>
    <cellStyle name="AeE­_ ºn¸nº° ¿uº°±a¼u  17 32" xfId="7571"/>
    <cellStyle name="ÅëÈ­_ ºñ¸ñº° ¿ùº°±â¼ú  17 32" xfId="7572"/>
    <cellStyle name="AeE­_ ºn¸nº° ¿uº°±a¼u  17 33" xfId="7573"/>
    <cellStyle name="ÅëÈ­_ ºñ¸ñº° ¿ùº°±â¼ú  17 33" xfId="7574"/>
    <cellStyle name="AeE­_ ºn¸nº° ¿uº°±a¼u  17 34" xfId="7575"/>
    <cellStyle name="ÅëÈ­_ ºñ¸ñº° ¿ùº°±â¼ú  17 34" xfId="7576"/>
    <cellStyle name="AeE­_ ºn¸nº° ¿uº°±a¼u  17 4" xfId="7577"/>
    <cellStyle name="ÅëÈ­_ ºñ¸ñº° ¿ùº°±â¼ú  17 4" xfId="7578"/>
    <cellStyle name="AeE­_ ºn¸nº° ¿uº°±a¼u  17 5" xfId="7579"/>
    <cellStyle name="ÅëÈ­_ ºñ¸ñº° ¿ùº°±â¼ú  17 5" xfId="7580"/>
    <cellStyle name="AeE­_ ºn¸nº° ¿uº°±a¼u  17 6" xfId="7581"/>
    <cellStyle name="ÅëÈ­_ ºñ¸ñº° ¿ùº°±â¼ú  17 6" xfId="7582"/>
    <cellStyle name="AeE­_ ºn¸nº° ¿uº°±a¼u  17 7" xfId="7583"/>
    <cellStyle name="ÅëÈ­_ ºñ¸ñº° ¿ùº°±â¼ú  17 7" xfId="7584"/>
    <cellStyle name="AeE­_ ºn¸nº° ¿uº°±a¼u  17 8" xfId="7585"/>
    <cellStyle name="ÅëÈ­_ ºñ¸ñº° ¿ùº°±â¼ú  17 8" xfId="7586"/>
    <cellStyle name="AeE­_ ºn¸nº° ¿uº°±a¼u  17 9" xfId="7587"/>
    <cellStyle name="ÅëÈ­_ ºñ¸ñº° ¿ùº°±â¼ú  17 9" xfId="7588"/>
    <cellStyle name="AeE­_ ºn¸nº° ¿uº°±a¼u  18" xfId="7589"/>
    <cellStyle name="ÅëÈ­_ ºñ¸ñº° ¿ùº°±â¼ú  18" xfId="7590"/>
    <cellStyle name="AeE­_ ºn¸nº° ¿uº°±a¼u  18 10" xfId="7591"/>
    <cellStyle name="ÅëÈ­_ ºñ¸ñº° ¿ùº°±â¼ú  18 10" xfId="7592"/>
    <cellStyle name="AeE­_ ºn¸nº° ¿uº°±a¼u  18 11" xfId="7593"/>
    <cellStyle name="ÅëÈ­_ ºñ¸ñº° ¿ùº°±â¼ú  18 11" xfId="7594"/>
    <cellStyle name="AeE­_ ºn¸nº° ¿uº°±a¼u  18 12" xfId="7595"/>
    <cellStyle name="ÅëÈ­_ ºñ¸ñº° ¿ùº°±â¼ú  18 12" xfId="7596"/>
    <cellStyle name="AeE­_ ºn¸nº° ¿uº°±a¼u  18 13" xfId="7597"/>
    <cellStyle name="ÅëÈ­_ ºñ¸ñº° ¿ùº°±â¼ú  18 13" xfId="7598"/>
    <cellStyle name="AeE­_ ºn¸nº° ¿uº°±a¼u  18 14" xfId="7599"/>
    <cellStyle name="ÅëÈ­_ ºñ¸ñº° ¿ùº°±â¼ú  18 14" xfId="7600"/>
    <cellStyle name="AeE­_ ºn¸nº° ¿uº°±a¼u  18 15" xfId="7601"/>
    <cellStyle name="ÅëÈ­_ ºñ¸ñº° ¿ùº°±â¼ú  18 15" xfId="7602"/>
    <cellStyle name="AeE­_ ºn¸nº° ¿uº°±a¼u  18 16" xfId="7603"/>
    <cellStyle name="ÅëÈ­_ ºñ¸ñº° ¿ùº°±â¼ú  18 16" xfId="7604"/>
    <cellStyle name="AeE­_ ºn¸nº° ¿uº°±a¼u  18 17" xfId="7605"/>
    <cellStyle name="ÅëÈ­_ ºñ¸ñº° ¿ùº°±â¼ú  18 17" xfId="7606"/>
    <cellStyle name="AeE­_ ºn¸nº° ¿uº°±a¼u  18 18" xfId="7607"/>
    <cellStyle name="ÅëÈ­_ ºñ¸ñº° ¿ùº°±â¼ú  18 18" xfId="7608"/>
    <cellStyle name="AeE­_ ºn¸nº° ¿uº°±a¼u  18 19" xfId="7609"/>
    <cellStyle name="ÅëÈ­_ ºñ¸ñº° ¿ùº°±â¼ú  18 19" xfId="7610"/>
    <cellStyle name="AeE­_ ºn¸nº° ¿uº°±a¼u  18 2" xfId="7611"/>
    <cellStyle name="ÅëÈ­_ ºñ¸ñº° ¿ùº°±â¼ú  18 2" xfId="7612"/>
    <cellStyle name="AeE­_ ºn¸nº° ¿uº°±a¼u  18 20" xfId="7613"/>
    <cellStyle name="ÅëÈ­_ ºñ¸ñº° ¿ùº°±â¼ú  18 20" xfId="7614"/>
    <cellStyle name="AeE­_ ºn¸nº° ¿uº°±a¼u  18 21" xfId="7615"/>
    <cellStyle name="ÅëÈ­_ ºñ¸ñº° ¿ùº°±â¼ú  18 21" xfId="7616"/>
    <cellStyle name="AeE­_ ºn¸nº° ¿uº°±a¼u  18 22" xfId="7617"/>
    <cellStyle name="ÅëÈ­_ ºñ¸ñº° ¿ùº°±â¼ú  18 22" xfId="7618"/>
    <cellStyle name="AeE­_ ºn¸nº° ¿uº°±a¼u  18 23" xfId="7619"/>
    <cellStyle name="ÅëÈ­_ ºñ¸ñº° ¿ùº°±â¼ú  18 23" xfId="7620"/>
    <cellStyle name="AeE­_ ºn¸nº° ¿uº°±a¼u  18 24" xfId="7621"/>
    <cellStyle name="ÅëÈ­_ ºñ¸ñº° ¿ùº°±â¼ú  18 24" xfId="7622"/>
    <cellStyle name="AeE­_ ºn¸nº° ¿uº°±a¼u  18 25" xfId="7623"/>
    <cellStyle name="ÅëÈ­_ ºñ¸ñº° ¿ùº°±â¼ú  18 25" xfId="7624"/>
    <cellStyle name="AeE­_ ºn¸nº° ¿uº°±a¼u  18 26" xfId="7625"/>
    <cellStyle name="ÅëÈ­_ ºñ¸ñº° ¿ùº°±â¼ú  18 26" xfId="7626"/>
    <cellStyle name="AeE­_ ºn¸nº° ¿uº°±a¼u  18 27" xfId="7627"/>
    <cellStyle name="ÅëÈ­_ ºñ¸ñº° ¿ùº°±â¼ú  18 27" xfId="7628"/>
    <cellStyle name="AeE­_ ºn¸nº° ¿uº°±a¼u  18 28" xfId="7629"/>
    <cellStyle name="ÅëÈ­_ ºñ¸ñº° ¿ùº°±â¼ú  18 28" xfId="7630"/>
    <cellStyle name="AeE­_ ºn¸nº° ¿uº°±a¼u  18 29" xfId="7631"/>
    <cellStyle name="ÅëÈ­_ ºñ¸ñº° ¿ùº°±â¼ú  18 29" xfId="7632"/>
    <cellStyle name="AeE­_ ºn¸nº° ¿uº°±a¼u  18 3" xfId="7633"/>
    <cellStyle name="ÅëÈ­_ ºñ¸ñº° ¿ùº°±â¼ú  18 3" xfId="7634"/>
    <cellStyle name="AeE­_ ºn¸nº° ¿uº°±a¼u  18 30" xfId="7635"/>
    <cellStyle name="ÅëÈ­_ ºñ¸ñº° ¿ùº°±â¼ú  18 30" xfId="7636"/>
    <cellStyle name="AeE­_ ºn¸nº° ¿uº°±a¼u  18 31" xfId="7637"/>
    <cellStyle name="ÅëÈ­_ ºñ¸ñº° ¿ùº°±â¼ú  18 31" xfId="7638"/>
    <cellStyle name="AeE­_ ºn¸nº° ¿uº°±a¼u  18 32" xfId="7639"/>
    <cellStyle name="ÅëÈ­_ ºñ¸ñº° ¿ùº°±â¼ú  18 32" xfId="7640"/>
    <cellStyle name="AeE­_ ºn¸nº° ¿uº°±a¼u  18 33" xfId="7641"/>
    <cellStyle name="ÅëÈ­_ ºñ¸ñº° ¿ùº°±â¼ú  18 33" xfId="7642"/>
    <cellStyle name="AeE­_ ºn¸nº° ¿uº°±a¼u  18 34" xfId="7643"/>
    <cellStyle name="ÅëÈ­_ ºñ¸ñº° ¿ùº°±â¼ú  18 34" xfId="7644"/>
    <cellStyle name="AeE­_ ºn¸nº° ¿uº°±a¼u  18 4" xfId="7645"/>
    <cellStyle name="ÅëÈ­_ ºñ¸ñº° ¿ùº°±â¼ú  18 4" xfId="7646"/>
    <cellStyle name="AeE­_ ºn¸nº° ¿uº°±a¼u  18 5" xfId="7647"/>
    <cellStyle name="ÅëÈ­_ ºñ¸ñº° ¿ùº°±â¼ú  18 5" xfId="7648"/>
    <cellStyle name="AeE­_ ºn¸nº° ¿uº°±a¼u  18 6" xfId="7649"/>
    <cellStyle name="ÅëÈ­_ ºñ¸ñº° ¿ùº°±â¼ú  18 6" xfId="7650"/>
    <cellStyle name="AeE­_ ºn¸nº° ¿uº°±a¼u  18 7" xfId="7651"/>
    <cellStyle name="ÅëÈ­_ ºñ¸ñº° ¿ùº°±â¼ú  18 7" xfId="7652"/>
    <cellStyle name="AeE­_ ºn¸nº° ¿uº°±a¼u  18 8" xfId="7653"/>
    <cellStyle name="ÅëÈ­_ ºñ¸ñº° ¿ùº°±â¼ú  18 8" xfId="7654"/>
    <cellStyle name="AeE­_ ºn¸nº° ¿uº°±a¼u  18 9" xfId="7655"/>
    <cellStyle name="ÅëÈ­_ ºñ¸ñº° ¿ùº°±â¼ú  18 9" xfId="7656"/>
    <cellStyle name="AeE­_ ºn¸nº° ¿uº°±a¼u  19" xfId="7657"/>
    <cellStyle name="ÅëÈ­_ ºñ¸ñº° ¿ùº°±â¼ú  19" xfId="7658"/>
    <cellStyle name="AeE­_ ºn¸nº° ¿uº°±a¼u  19 10" xfId="7659"/>
    <cellStyle name="ÅëÈ­_ ºñ¸ñº° ¿ùº°±â¼ú  19 10" xfId="7660"/>
    <cellStyle name="AeE­_ ºn¸nº° ¿uº°±a¼u  19 11" xfId="7661"/>
    <cellStyle name="ÅëÈ­_ ºñ¸ñº° ¿ùº°±â¼ú  19 11" xfId="7662"/>
    <cellStyle name="AeE­_ ºn¸nº° ¿uº°±a¼u  19 12" xfId="7663"/>
    <cellStyle name="ÅëÈ­_ ºñ¸ñº° ¿ùº°±â¼ú  19 12" xfId="7664"/>
    <cellStyle name="AeE­_ ºn¸nº° ¿uº°±a¼u  19 13" xfId="7665"/>
    <cellStyle name="ÅëÈ­_ ºñ¸ñº° ¿ùº°±â¼ú  19 13" xfId="7666"/>
    <cellStyle name="AeE­_ ºn¸nº° ¿uº°±a¼u  19 14" xfId="7667"/>
    <cellStyle name="ÅëÈ­_ ºñ¸ñº° ¿ùº°±â¼ú  19 14" xfId="7668"/>
    <cellStyle name="AeE­_ ºn¸nº° ¿uº°±a¼u  19 15" xfId="7669"/>
    <cellStyle name="ÅëÈ­_ ºñ¸ñº° ¿ùº°±â¼ú  19 15" xfId="7670"/>
    <cellStyle name="AeE­_ ºn¸nº° ¿uº°±a¼u  19 16" xfId="7671"/>
    <cellStyle name="ÅëÈ­_ ºñ¸ñº° ¿ùº°±â¼ú  19 16" xfId="7672"/>
    <cellStyle name="AeE­_ ºn¸nº° ¿uº°±a¼u  19 17" xfId="7673"/>
    <cellStyle name="ÅëÈ­_ ºñ¸ñº° ¿ùº°±â¼ú  19 17" xfId="7674"/>
    <cellStyle name="AeE­_ ºn¸nº° ¿uº°±a¼u  19 18" xfId="7675"/>
    <cellStyle name="ÅëÈ­_ ºñ¸ñº° ¿ùº°±â¼ú  19 18" xfId="7676"/>
    <cellStyle name="AeE­_ ºn¸nº° ¿uº°±a¼u  19 19" xfId="7677"/>
    <cellStyle name="ÅëÈ­_ ºñ¸ñº° ¿ùº°±â¼ú  19 19" xfId="7678"/>
    <cellStyle name="AeE­_ ºn¸nº° ¿uº°±a¼u  19 2" xfId="7679"/>
    <cellStyle name="ÅëÈ­_ ºñ¸ñº° ¿ùº°±â¼ú  19 2" xfId="7680"/>
    <cellStyle name="AeE­_ ºn¸nº° ¿uº°±a¼u  19 20" xfId="7681"/>
    <cellStyle name="ÅëÈ­_ ºñ¸ñº° ¿ùº°±â¼ú  19 20" xfId="7682"/>
    <cellStyle name="AeE­_ ºn¸nº° ¿uº°±a¼u  19 21" xfId="7683"/>
    <cellStyle name="ÅëÈ­_ ºñ¸ñº° ¿ùº°±â¼ú  19 21" xfId="7684"/>
    <cellStyle name="AeE­_ ºn¸nº° ¿uº°±a¼u  19 22" xfId="7685"/>
    <cellStyle name="ÅëÈ­_ ºñ¸ñº° ¿ùº°±â¼ú  19 22" xfId="7686"/>
    <cellStyle name="AeE­_ ºn¸nº° ¿uº°±a¼u  19 23" xfId="7687"/>
    <cellStyle name="ÅëÈ­_ ºñ¸ñº° ¿ùº°±â¼ú  19 23" xfId="7688"/>
    <cellStyle name="AeE­_ ºn¸nº° ¿uº°±a¼u  19 24" xfId="7689"/>
    <cellStyle name="ÅëÈ­_ ºñ¸ñº° ¿ùº°±â¼ú  19 24" xfId="7690"/>
    <cellStyle name="AeE­_ ºn¸nº° ¿uº°±a¼u  19 25" xfId="7691"/>
    <cellStyle name="ÅëÈ­_ ºñ¸ñº° ¿ùº°±â¼ú  19 25" xfId="7692"/>
    <cellStyle name="AeE­_ ºn¸nº° ¿uº°±a¼u  19 26" xfId="7693"/>
    <cellStyle name="ÅëÈ­_ ºñ¸ñº° ¿ùº°±â¼ú  19 26" xfId="7694"/>
    <cellStyle name="AeE­_ ºn¸nº° ¿uº°±a¼u  19 27" xfId="7695"/>
    <cellStyle name="ÅëÈ­_ ºñ¸ñº° ¿ùº°±â¼ú  19 27" xfId="7696"/>
    <cellStyle name="AeE­_ ºn¸nº° ¿uº°±a¼u  19 28" xfId="7697"/>
    <cellStyle name="ÅëÈ­_ ºñ¸ñº° ¿ùº°±â¼ú  19 28" xfId="7698"/>
    <cellStyle name="AeE­_ ºn¸nº° ¿uº°±a¼u  19 29" xfId="7699"/>
    <cellStyle name="ÅëÈ­_ ºñ¸ñº° ¿ùº°±â¼ú  19 29" xfId="7700"/>
    <cellStyle name="AeE­_ ºn¸nº° ¿uº°±a¼u  19 3" xfId="7701"/>
    <cellStyle name="ÅëÈ­_ ºñ¸ñº° ¿ùº°±â¼ú  19 3" xfId="7702"/>
    <cellStyle name="AeE­_ ºn¸nº° ¿uº°±a¼u  19 30" xfId="7703"/>
    <cellStyle name="ÅëÈ­_ ºñ¸ñº° ¿ùº°±â¼ú  19 30" xfId="7704"/>
    <cellStyle name="AeE­_ ºn¸nº° ¿uº°±a¼u  19 31" xfId="7705"/>
    <cellStyle name="ÅëÈ­_ ºñ¸ñº° ¿ùº°±â¼ú  19 31" xfId="7706"/>
    <cellStyle name="AeE­_ ºn¸nº° ¿uº°±a¼u  19 32" xfId="7707"/>
    <cellStyle name="ÅëÈ­_ ºñ¸ñº° ¿ùº°±â¼ú  19 32" xfId="7708"/>
    <cellStyle name="AeE­_ ºn¸nº° ¿uº°±a¼u  19 33" xfId="7709"/>
    <cellStyle name="ÅëÈ­_ ºñ¸ñº° ¿ùº°±â¼ú  19 33" xfId="7710"/>
    <cellStyle name="AeE­_ ºn¸nº° ¿uº°±a¼u  19 34" xfId="7711"/>
    <cellStyle name="ÅëÈ­_ ºñ¸ñº° ¿ùº°±â¼ú  19 34" xfId="7712"/>
    <cellStyle name="AeE­_ ºn¸nº° ¿uº°±a¼u  19 4" xfId="7713"/>
    <cellStyle name="ÅëÈ­_ ºñ¸ñº° ¿ùº°±â¼ú  19 4" xfId="7714"/>
    <cellStyle name="AeE­_ ºn¸nº° ¿uº°±a¼u  19 5" xfId="7715"/>
    <cellStyle name="ÅëÈ­_ ºñ¸ñº° ¿ùº°±â¼ú  19 5" xfId="7716"/>
    <cellStyle name="AeE­_ ºn¸nº° ¿uº°±a¼u  19 6" xfId="7717"/>
    <cellStyle name="ÅëÈ­_ ºñ¸ñº° ¿ùº°±â¼ú  19 6" xfId="7718"/>
    <cellStyle name="AeE­_ ºn¸nº° ¿uº°±a¼u  19 7" xfId="7719"/>
    <cellStyle name="ÅëÈ­_ ºñ¸ñº° ¿ùº°±â¼ú  19 7" xfId="7720"/>
    <cellStyle name="AeE­_ ºn¸nº° ¿uº°±a¼u  19 8" xfId="7721"/>
    <cellStyle name="ÅëÈ­_ ºñ¸ñº° ¿ùº°±â¼ú  19 8" xfId="7722"/>
    <cellStyle name="AeE­_ ºn¸nº° ¿uº°±a¼u  19 9" xfId="7723"/>
    <cellStyle name="ÅëÈ­_ ºñ¸ñº° ¿ùº°±â¼ú  19 9" xfId="7724"/>
    <cellStyle name="AeE­_ ºn¸nº° ¿uº°±a¼u  2" xfId="7725"/>
    <cellStyle name="ÅëÈ­_ ºñ¸ñº° ¿ùº°±â¼ú  2" xfId="7726"/>
    <cellStyle name="AeE­_ ºn¸nº° ¿uº°±a¼u  2 10" xfId="7727"/>
    <cellStyle name="ÅëÈ­_ ºñ¸ñº° ¿ùº°±â¼ú  2 10" xfId="7728"/>
    <cellStyle name="AeE­_ ºn¸nº° ¿uº°±a¼u  2 11" xfId="7729"/>
    <cellStyle name="ÅëÈ­_ ºñ¸ñº° ¿ùº°±â¼ú  2 11" xfId="7730"/>
    <cellStyle name="AeE­_ ºn¸nº° ¿uº°±a¼u  2 12" xfId="7731"/>
    <cellStyle name="ÅëÈ­_ ºñ¸ñº° ¿ùº°±â¼ú  2 12" xfId="7732"/>
    <cellStyle name="AeE­_ ºn¸nº° ¿uº°±a¼u  2 13" xfId="7733"/>
    <cellStyle name="ÅëÈ­_ ºñ¸ñº° ¿ùº°±â¼ú  2 13" xfId="7734"/>
    <cellStyle name="AeE­_ ºn¸nº° ¿uº°±a¼u  2 14" xfId="7735"/>
    <cellStyle name="ÅëÈ­_ ºñ¸ñº° ¿ùº°±â¼ú  2 14" xfId="7736"/>
    <cellStyle name="AeE­_ ºn¸nº° ¿uº°±a¼u  2 15" xfId="7737"/>
    <cellStyle name="ÅëÈ­_ ºñ¸ñº° ¿ùº°±â¼ú  2 15" xfId="7738"/>
    <cellStyle name="AeE­_ ºn¸nº° ¿uº°±a¼u  2 16" xfId="7739"/>
    <cellStyle name="ÅëÈ­_ ºñ¸ñº° ¿ùº°±â¼ú  2 16" xfId="7740"/>
    <cellStyle name="AeE­_ ºn¸nº° ¿uº°±a¼u  2 17" xfId="7741"/>
    <cellStyle name="ÅëÈ­_ ºñ¸ñº° ¿ùº°±â¼ú  2 17" xfId="7742"/>
    <cellStyle name="AeE­_ ºn¸nº° ¿uº°±a¼u  2 18" xfId="7743"/>
    <cellStyle name="ÅëÈ­_ ºñ¸ñº° ¿ùº°±â¼ú  2 18" xfId="7744"/>
    <cellStyle name="AeE­_ ºn¸nº° ¿uº°±a¼u  2 19" xfId="7745"/>
    <cellStyle name="ÅëÈ­_ ºñ¸ñº° ¿ùº°±â¼ú  2 19" xfId="7746"/>
    <cellStyle name="AeE­_ ºn¸nº° ¿uº°±a¼u  2 2" xfId="7747"/>
    <cellStyle name="ÅëÈ­_ ºñ¸ñº° ¿ùº°±â¼ú  2 2" xfId="7748"/>
    <cellStyle name="AeE­_ ºn¸nº° ¿uº°±a¼u  2 20" xfId="7749"/>
    <cellStyle name="ÅëÈ­_ ºñ¸ñº° ¿ùº°±â¼ú  2 20" xfId="7750"/>
    <cellStyle name="AeE­_ ºn¸nº° ¿uº°±a¼u  2 21" xfId="7751"/>
    <cellStyle name="ÅëÈ­_ ºñ¸ñº° ¿ùº°±â¼ú  2 21" xfId="7752"/>
    <cellStyle name="AeE­_ ºn¸nº° ¿uº°±a¼u  2 22" xfId="7753"/>
    <cellStyle name="ÅëÈ­_ ºñ¸ñº° ¿ùº°±â¼ú  2 22" xfId="7754"/>
    <cellStyle name="AeE­_ ºn¸nº° ¿uº°±a¼u  2 23" xfId="7755"/>
    <cellStyle name="ÅëÈ­_ ºñ¸ñº° ¿ùº°±â¼ú  2 23" xfId="7756"/>
    <cellStyle name="AeE­_ ºn¸nº° ¿uº°±a¼u  2 24" xfId="7757"/>
    <cellStyle name="ÅëÈ­_ ºñ¸ñº° ¿ùº°±â¼ú  2 24" xfId="7758"/>
    <cellStyle name="AeE­_ ºn¸nº° ¿uº°±a¼u  2 25" xfId="7759"/>
    <cellStyle name="ÅëÈ­_ ºñ¸ñº° ¿ùº°±â¼ú  2 25" xfId="7760"/>
    <cellStyle name="AeE­_ ºn¸nº° ¿uº°±a¼u  2 26" xfId="7761"/>
    <cellStyle name="ÅëÈ­_ ºñ¸ñº° ¿ùº°±â¼ú  2 26" xfId="7762"/>
    <cellStyle name="AeE­_ ºn¸nº° ¿uº°±a¼u  2 27" xfId="7763"/>
    <cellStyle name="ÅëÈ­_ ºñ¸ñº° ¿ùº°±â¼ú  2 27" xfId="7764"/>
    <cellStyle name="AeE­_ ºn¸nº° ¿uº°±a¼u  2 28" xfId="7765"/>
    <cellStyle name="ÅëÈ­_ ºñ¸ñº° ¿ùº°±â¼ú  2 28" xfId="7766"/>
    <cellStyle name="AeE­_ ºn¸nº° ¿uº°±a¼u  2 29" xfId="7767"/>
    <cellStyle name="ÅëÈ­_ ºñ¸ñº° ¿ùº°±â¼ú  2 29" xfId="7768"/>
    <cellStyle name="AeE­_ ºn¸nº° ¿uº°±a¼u  2 3" xfId="7769"/>
    <cellStyle name="ÅëÈ­_ ºñ¸ñº° ¿ùº°±â¼ú  2 3" xfId="7770"/>
    <cellStyle name="AeE­_ ºn¸nº° ¿uº°±a¼u  2 30" xfId="7771"/>
    <cellStyle name="ÅëÈ­_ ºñ¸ñº° ¿ùº°±â¼ú  2 30" xfId="7772"/>
    <cellStyle name="AeE­_ ºn¸nº° ¿uº°±a¼u  2 31" xfId="7773"/>
    <cellStyle name="ÅëÈ­_ ºñ¸ñº° ¿ùº°±â¼ú  2 31" xfId="7774"/>
    <cellStyle name="AeE­_ ºn¸nº° ¿uº°±a¼u  2 32" xfId="7775"/>
    <cellStyle name="ÅëÈ­_ ºñ¸ñº° ¿ùº°±â¼ú  2 32" xfId="7776"/>
    <cellStyle name="AeE­_ ºn¸nº° ¿uº°±a¼u  2 33" xfId="7777"/>
    <cellStyle name="ÅëÈ­_ ºñ¸ñº° ¿ùº°±â¼ú  2 33" xfId="7778"/>
    <cellStyle name="AeE­_ ºn¸nº° ¿uº°±a¼u  2 34" xfId="7779"/>
    <cellStyle name="ÅëÈ­_ ºñ¸ñº° ¿ùº°±â¼ú  2 34" xfId="7780"/>
    <cellStyle name="AeE­_ ºn¸nº° ¿uº°±a¼u  2 4" xfId="7781"/>
    <cellStyle name="ÅëÈ­_ ºñ¸ñº° ¿ùº°±â¼ú  2 4" xfId="7782"/>
    <cellStyle name="AeE­_ ºn¸nº° ¿uº°±a¼u  2 5" xfId="7783"/>
    <cellStyle name="ÅëÈ­_ ºñ¸ñº° ¿ùº°±â¼ú  2 5" xfId="7784"/>
    <cellStyle name="AeE­_ ºn¸nº° ¿uº°±a¼u  2 6" xfId="7785"/>
    <cellStyle name="ÅëÈ­_ ºñ¸ñº° ¿ùº°±â¼ú  2 6" xfId="7786"/>
    <cellStyle name="AeE­_ ºn¸nº° ¿uº°±a¼u  2 7" xfId="7787"/>
    <cellStyle name="ÅëÈ­_ ºñ¸ñº° ¿ùº°±â¼ú  2 7" xfId="7788"/>
    <cellStyle name="AeE­_ ºn¸nº° ¿uº°±a¼u  2 8" xfId="7789"/>
    <cellStyle name="ÅëÈ­_ ºñ¸ñº° ¿ùº°±â¼ú  2 8" xfId="7790"/>
    <cellStyle name="AeE­_ ºn¸nº° ¿uº°±a¼u  2 9" xfId="7791"/>
    <cellStyle name="ÅëÈ­_ ºñ¸ñº° ¿ùº°±â¼ú  2 9" xfId="7792"/>
    <cellStyle name="AeE­_ ºn¸nº° ¿uº°±a¼u  20" xfId="7793"/>
    <cellStyle name="ÅëÈ­_ ºñ¸ñº° ¿ùº°±â¼ú  20" xfId="7794"/>
    <cellStyle name="AeE­_ ºn¸nº° ¿uº°±a¼u  20 10" xfId="7795"/>
    <cellStyle name="ÅëÈ­_ ºñ¸ñº° ¿ùº°±â¼ú  20 10" xfId="7796"/>
    <cellStyle name="AeE­_ ºn¸nº° ¿uº°±a¼u  20 11" xfId="7797"/>
    <cellStyle name="ÅëÈ­_ ºñ¸ñº° ¿ùº°±â¼ú  20 11" xfId="7798"/>
    <cellStyle name="AeE­_ ºn¸nº° ¿uº°±a¼u  20 12" xfId="7799"/>
    <cellStyle name="ÅëÈ­_ ºñ¸ñº° ¿ùº°±â¼ú  20 12" xfId="7800"/>
    <cellStyle name="AeE­_ ºn¸nº° ¿uº°±a¼u  20 13" xfId="7801"/>
    <cellStyle name="ÅëÈ­_ ºñ¸ñº° ¿ùº°±â¼ú  20 13" xfId="7802"/>
    <cellStyle name="AeE­_ ºn¸nº° ¿uº°±a¼u  20 14" xfId="7803"/>
    <cellStyle name="ÅëÈ­_ ºñ¸ñº° ¿ùº°±â¼ú  20 14" xfId="7804"/>
    <cellStyle name="AeE­_ ºn¸nº° ¿uº°±a¼u  20 15" xfId="7805"/>
    <cellStyle name="ÅëÈ­_ ºñ¸ñº° ¿ùº°±â¼ú  20 15" xfId="7806"/>
    <cellStyle name="AeE­_ ºn¸nº° ¿uº°±a¼u  20 16" xfId="7807"/>
    <cellStyle name="ÅëÈ­_ ºñ¸ñº° ¿ùº°±â¼ú  20 16" xfId="7808"/>
    <cellStyle name="AeE­_ ºn¸nº° ¿uº°±a¼u  20 17" xfId="7809"/>
    <cellStyle name="ÅëÈ­_ ºñ¸ñº° ¿ùº°±â¼ú  20 17" xfId="7810"/>
    <cellStyle name="AeE­_ ºn¸nº° ¿uº°±a¼u  20 18" xfId="7811"/>
    <cellStyle name="ÅëÈ­_ ºñ¸ñº° ¿ùº°±â¼ú  20 18" xfId="7812"/>
    <cellStyle name="AeE­_ ºn¸nº° ¿uº°±a¼u  20 19" xfId="7813"/>
    <cellStyle name="ÅëÈ­_ ºñ¸ñº° ¿ùº°±â¼ú  20 19" xfId="7814"/>
    <cellStyle name="AeE­_ ºn¸nº° ¿uº°±a¼u  20 2" xfId="7815"/>
    <cellStyle name="ÅëÈ­_ ºñ¸ñº° ¿ùº°±â¼ú  20 2" xfId="7816"/>
    <cellStyle name="AeE­_ ºn¸nº° ¿uº°±a¼u  20 20" xfId="7817"/>
    <cellStyle name="ÅëÈ­_ ºñ¸ñº° ¿ùº°±â¼ú  20 20" xfId="7818"/>
    <cellStyle name="AeE­_ ºn¸nº° ¿uº°±a¼u  20 21" xfId="7819"/>
    <cellStyle name="ÅëÈ­_ ºñ¸ñº° ¿ùº°±â¼ú  20 21" xfId="7820"/>
    <cellStyle name="AeE­_ ºn¸nº° ¿uº°±a¼u  20 22" xfId="7821"/>
    <cellStyle name="ÅëÈ­_ ºñ¸ñº° ¿ùº°±â¼ú  20 22" xfId="7822"/>
    <cellStyle name="AeE­_ ºn¸nº° ¿uº°±a¼u  20 23" xfId="7823"/>
    <cellStyle name="ÅëÈ­_ ºñ¸ñº° ¿ùº°±â¼ú  20 23" xfId="7824"/>
    <cellStyle name="AeE­_ ºn¸nº° ¿uº°±a¼u  20 24" xfId="7825"/>
    <cellStyle name="ÅëÈ­_ ºñ¸ñº° ¿ùº°±â¼ú  20 24" xfId="7826"/>
    <cellStyle name="AeE­_ ºn¸nº° ¿uº°±a¼u  20 25" xfId="7827"/>
    <cellStyle name="ÅëÈ­_ ºñ¸ñº° ¿ùº°±â¼ú  20 25" xfId="7828"/>
    <cellStyle name="AeE­_ ºn¸nº° ¿uº°±a¼u  20 26" xfId="7829"/>
    <cellStyle name="ÅëÈ­_ ºñ¸ñº° ¿ùº°±â¼ú  20 26" xfId="7830"/>
    <cellStyle name="AeE­_ ºn¸nº° ¿uº°±a¼u  20 27" xfId="7831"/>
    <cellStyle name="ÅëÈ­_ ºñ¸ñº° ¿ùº°±â¼ú  20 27" xfId="7832"/>
    <cellStyle name="AeE­_ ºn¸nº° ¿uº°±a¼u  20 28" xfId="7833"/>
    <cellStyle name="ÅëÈ­_ ºñ¸ñº° ¿ùº°±â¼ú  20 28" xfId="7834"/>
    <cellStyle name="AeE­_ ºn¸nº° ¿uº°±a¼u  20 29" xfId="7835"/>
    <cellStyle name="ÅëÈ­_ ºñ¸ñº° ¿ùº°±â¼ú  20 29" xfId="7836"/>
    <cellStyle name="AeE­_ ºn¸nº° ¿uº°±a¼u  20 3" xfId="7837"/>
    <cellStyle name="ÅëÈ­_ ºñ¸ñº° ¿ùº°±â¼ú  20 3" xfId="7838"/>
    <cellStyle name="AeE­_ ºn¸nº° ¿uº°±a¼u  20 30" xfId="7839"/>
    <cellStyle name="ÅëÈ­_ ºñ¸ñº° ¿ùº°±â¼ú  20 30" xfId="7840"/>
    <cellStyle name="AeE­_ ºn¸nº° ¿uº°±a¼u  20 31" xfId="7841"/>
    <cellStyle name="ÅëÈ­_ ºñ¸ñº° ¿ùº°±â¼ú  20 31" xfId="7842"/>
    <cellStyle name="AeE­_ ºn¸nº° ¿uº°±a¼u  20 32" xfId="7843"/>
    <cellStyle name="ÅëÈ­_ ºñ¸ñº° ¿ùº°±â¼ú  20 32" xfId="7844"/>
    <cellStyle name="AeE­_ ºn¸nº° ¿uº°±a¼u  20 33" xfId="7845"/>
    <cellStyle name="ÅëÈ­_ ºñ¸ñº° ¿ùº°±â¼ú  20 33" xfId="7846"/>
    <cellStyle name="AeE­_ ºn¸nº° ¿uº°±a¼u  20 34" xfId="7847"/>
    <cellStyle name="ÅëÈ­_ ºñ¸ñº° ¿ùº°±â¼ú  20 34" xfId="7848"/>
    <cellStyle name="AeE­_ ºn¸nº° ¿uº°±a¼u  20 4" xfId="7849"/>
    <cellStyle name="ÅëÈ­_ ºñ¸ñº° ¿ùº°±â¼ú  20 4" xfId="7850"/>
    <cellStyle name="AeE­_ ºn¸nº° ¿uº°±a¼u  20 5" xfId="7851"/>
    <cellStyle name="ÅëÈ­_ ºñ¸ñº° ¿ùº°±â¼ú  20 5" xfId="7852"/>
    <cellStyle name="AeE­_ ºn¸nº° ¿uº°±a¼u  20 6" xfId="7853"/>
    <cellStyle name="ÅëÈ­_ ºñ¸ñº° ¿ùº°±â¼ú  20 6" xfId="7854"/>
    <cellStyle name="AeE­_ ºn¸nº° ¿uº°±a¼u  20 7" xfId="7855"/>
    <cellStyle name="ÅëÈ­_ ºñ¸ñº° ¿ùº°±â¼ú  20 7" xfId="7856"/>
    <cellStyle name="AeE­_ ºn¸nº° ¿uº°±a¼u  20 8" xfId="7857"/>
    <cellStyle name="ÅëÈ­_ ºñ¸ñº° ¿ùº°±â¼ú  20 8" xfId="7858"/>
    <cellStyle name="AeE­_ ºn¸nº° ¿uº°±a¼u  20 9" xfId="7859"/>
    <cellStyle name="ÅëÈ­_ ºñ¸ñº° ¿ùº°±â¼ú  20 9" xfId="7860"/>
    <cellStyle name="AeE­_ ºn¸nº° ¿uº°±a¼u  21" xfId="7861"/>
    <cellStyle name="ÅëÈ­_ ºñ¸ñº° ¿ùº°±â¼ú  21" xfId="7862"/>
    <cellStyle name="AeE­_ ºn¸nº° ¿uº°±a¼u  21 10" xfId="7863"/>
    <cellStyle name="ÅëÈ­_ ºñ¸ñº° ¿ùº°±â¼ú  21 10" xfId="7864"/>
    <cellStyle name="AeE­_ ºn¸nº° ¿uº°±a¼u  21 11" xfId="7865"/>
    <cellStyle name="ÅëÈ­_ ºñ¸ñº° ¿ùº°±â¼ú  21 11" xfId="7866"/>
    <cellStyle name="AeE­_ ºn¸nº° ¿uº°±a¼u  21 12" xfId="7867"/>
    <cellStyle name="ÅëÈ­_ ºñ¸ñº° ¿ùº°±â¼ú  21 12" xfId="7868"/>
    <cellStyle name="AeE­_ ºn¸nº° ¿uº°±a¼u  21 13" xfId="7869"/>
    <cellStyle name="ÅëÈ­_ ºñ¸ñº° ¿ùº°±â¼ú  21 13" xfId="7870"/>
    <cellStyle name="AeE­_ ºn¸nº° ¿uº°±a¼u  21 14" xfId="7871"/>
    <cellStyle name="ÅëÈ­_ ºñ¸ñº° ¿ùº°±â¼ú  21 14" xfId="7872"/>
    <cellStyle name="AeE­_ ºn¸nº° ¿uº°±a¼u  21 15" xfId="7873"/>
    <cellStyle name="ÅëÈ­_ ºñ¸ñº° ¿ùº°±â¼ú  21 15" xfId="7874"/>
    <cellStyle name="AeE­_ ºn¸nº° ¿uº°±a¼u  21 16" xfId="7875"/>
    <cellStyle name="ÅëÈ­_ ºñ¸ñº° ¿ùº°±â¼ú  21 16" xfId="7876"/>
    <cellStyle name="AeE­_ ºn¸nº° ¿uº°±a¼u  21 17" xfId="7877"/>
    <cellStyle name="ÅëÈ­_ ºñ¸ñº° ¿ùº°±â¼ú  21 17" xfId="7878"/>
    <cellStyle name="AeE­_ ºn¸nº° ¿uº°±a¼u  21 18" xfId="7879"/>
    <cellStyle name="ÅëÈ­_ ºñ¸ñº° ¿ùº°±â¼ú  21 18" xfId="7880"/>
    <cellStyle name="AeE­_ ºn¸nº° ¿uº°±a¼u  21 19" xfId="7881"/>
    <cellStyle name="ÅëÈ­_ ºñ¸ñº° ¿ùº°±â¼ú  21 19" xfId="7882"/>
    <cellStyle name="AeE­_ ºn¸nº° ¿uº°±a¼u  21 2" xfId="7883"/>
    <cellStyle name="ÅëÈ­_ ºñ¸ñº° ¿ùº°±â¼ú  21 2" xfId="7884"/>
    <cellStyle name="AeE­_ ºn¸nº° ¿uº°±a¼u  21 20" xfId="7885"/>
    <cellStyle name="ÅëÈ­_ ºñ¸ñº° ¿ùº°±â¼ú  21 20" xfId="7886"/>
    <cellStyle name="AeE­_ ºn¸nº° ¿uº°±a¼u  21 21" xfId="7887"/>
    <cellStyle name="ÅëÈ­_ ºñ¸ñº° ¿ùº°±â¼ú  21 21" xfId="7888"/>
    <cellStyle name="AeE­_ ºn¸nº° ¿uº°±a¼u  21 22" xfId="7889"/>
    <cellStyle name="ÅëÈ­_ ºñ¸ñº° ¿ùº°±â¼ú  21 22" xfId="7890"/>
    <cellStyle name="AeE­_ ºn¸nº° ¿uº°±a¼u  21 23" xfId="7891"/>
    <cellStyle name="ÅëÈ­_ ºñ¸ñº° ¿ùº°±â¼ú  21 23" xfId="7892"/>
    <cellStyle name="AeE­_ ºn¸nº° ¿uº°±a¼u  21 24" xfId="7893"/>
    <cellStyle name="ÅëÈ­_ ºñ¸ñº° ¿ùº°±â¼ú  21 24" xfId="7894"/>
    <cellStyle name="AeE­_ ºn¸nº° ¿uº°±a¼u  21 25" xfId="7895"/>
    <cellStyle name="ÅëÈ­_ ºñ¸ñº° ¿ùº°±â¼ú  21 25" xfId="7896"/>
    <cellStyle name="AeE­_ ºn¸nº° ¿uº°±a¼u  21 26" xfId="7897"/>
    <cellStyle name="ÅëÈ­_ ºñ¸ñº° ¿ùº°±â¼ú  21 26" xfId="7898"/>
    <cellStyle name="AeE­_ ºn¸nº° ¿uº°±a¼u  21 27" xfId="7899"/>
    <cellStyle name="ÅëÈ­_ ºñ¸ñº° ¿ùº°±â¼ú  21 27" xfId="7900"/>
    <cellStyle name="AeE­_ ºn¸nº° ¿uº°±a¼u  21 28" xfId="7901"/>
    <cellStyle name="ÅëÈ­_ ºñ¸ñº° ¿ùº°±â¼ú  21 28" xfId="7902"/>
    <cellStyle name="AeE­_ ºn¸nº° ¿uº°±a¼u  21 29" xfId="7903"/>
    <cellStyle name="ÅëÈ­_ ºñ¸ñº° ¿ùº°±â¼ú  21 29" xfId="7904"/>
    <cellStyle name="AeE­_ ºn¸nº° ¿uº°±a¼u  21 3" xfId="7905"/>
    <cellStyle name="ÅëÈ­_ ºñ¸ñº° ¿ùº°±â¼ú  21 3" xfId="7906"/>
    <cellStyle name="AeE­_ ºn¸nº° ¿uº°±a¼u  21 30" xfId="7907"/>
    <cellStyle name="ÅëÈ­_ ºñ¸ñº° ¿ùº°±â¼ú  21 30" xfId="7908"/>
    <cellStyle name="AeE­_ ºn¸nº° ¿uº°±a¼u  21 31" xfId="7909"/>
    <cellStyle name="ÅëÈ­_ ºñ¸ñº° ¿ùº°±â¼ú  21 31" xfId="7910"/>
    <cellStyle name="AeE­_ ºn¸nº° ¿uº°±a¼u  21 32" xfId="7911"/>
    <cellStyle name="ÅëÈ­_ ºñ¸ñº° ¿ùº°±â¼ú  21 32" xfId="7912"/>
    <cellStyle name="AeE­_ ºn¸nº° ¿uº°±a¼u  21 33" xfId="7913"/>
    <cellStyle name="ÅëÈ­_ ºñ¸ñº° ¿ùº°±â¼ú  21 33" xfId="7914"/>
    <cellStyle name="AeE­_ ºn¸nº° ¿uº°±a¼u  21 34" xfId="7915"/>
    <cellStyle name="ÅëÈ­_ ºñ¸ñº° ¿ùº°±â¼ú  21 34" xfId="7916"/>
    <cellStyle name="AeE­_ ºn¸nº° ¿uº°±a¼u  21 4" xfId="7917"/>
    <cellStyle name="ÅëÈ­_ ºñ¸ñº° ¿ùº°±â¼ú  21 4" xfId="7918"/>
    <cellStyle name="AeE­_ ºn¸nº° ¿uº°±a¼u  21 5" xfId="7919"/>
    <cellStyle name="ÅëÈ­_ ºñ¸ñº° ¿ùº°±â¼ú  21 5" xfId="7920"/>
    <cellStyle name="AeE­_ ºn¸nº° ¿uº°±a¼u  21 6" xfId="7921"/>
    <cellStyle name="ÅëÈ­_ ºñ¸ñº° ¿ùº°±â¼ú  21 6" xfId="7922"/>
    <cellStyle name="AeE­_ ºn¸nº° ¿uº°±a¼u  21 7" xfId="7923"/>
    <cellStyle name="ÅëÈ­_ ºñ¸ñº° ¿ùº°±â¼ú  21 7" xfId="7924"/>
    <cellStyle name="AeE­_ ºn¸nº° ¿uº°±a¼u  21 8" xfId="7925"/>
    <cellStyle name="ÅëÈ­_ ºñ¸ñº° ¿ùº°±â¼ú  21 8" xfId="7926"/>
    <cellStyle name="AeE­_ ºn¸nº° ¿uº°±a¼u  21 9" xfId="7927"/>
    <cellStyle name="ÅëÈ­_ ºñ¸ñº° ¿ùº°±â¼ú  21 9" xfId="7928"/>
    <cellStyle name="AeE­_ ºn¸nº° ¿uº°±a¼u  22" xfId="7929"/>
    <cellStyle name="ÅëÈ­_ ºñ¸ñº° ¿ùº°±â¼ú  22" xfId="7930"/>
    <cellStyle name="AeE­_ ºn¸nº° ¿uº°±a¼u  22 10" xfId="7931"/>
    <cellStyle name="ÅëÈ­_ ºñ¸ñº° ¿ùº°±â¼ú  22 10" xfId="7932"/>
    <cellStyle name="AeE­_ ºn¸nº° ¿uº°±a¼u  22 11" xfId="7933"/>
    <cellStyle name="ÅëÈ­_ ºñ¸ñº° ¿ùº°±â¼ú  22 11" xfId="7934"/>
    <cellStyle name="AeE­_ ºn¸nº° ¿uº°±a¼u  22 12" xfId="7935"/>
    <cellStyle name="ÅëÈ­_ ºñ¸ñº° ¿ùº°±â¼ú  22 12" xfId="7936"/>
    <cellStyle name="AeE­_ ºn¸nº° ¿uº°±a¼u  22 13" xfId="7937"/>
    <cellStyle name="ÅëÈ­_ ºñ¸ñº° ¿ùº°±â¼ú  22 13" xfId="7938"/>
    <cellStyle name="AeE­_ ºn¸nº° ¿uº°±a¼u  22 14" xfId="7939"/>
    <cellStyle name="ÅëÈ­_ ºñ¸ñº° ¿ùº°±â¼ú  22 14" xfId="7940"/>
    <cellStyle name="AeE­_ ºn¸nº° ¿uº°±a¼u  22 15" xfId="7941"/>
    <cellStyle name="ÅëÈ­_ ºñ¸ñº° ¿ùº°±â¼ú  22 15" xfId="7942"/>
    <cellStyle name="AeE­_ ºn¸nº° ¿uº°±a¼u  22 16" xfId="7943"/>
    <cellStyle name="ÅëÈ­_ ºñ¸ñº° ¿ùº°±â¼ú  22 16" xfId="7944"/>
    <cellStyle name="AeE­_ ºn¸nº° ¿uº°±a¼u  22 17" xfId="7945"/>
    <cellStyle name="ÅëÈ­_ ºñ¸ñº° ¿ùº°±â¼ú  22 17" xfId="7946"/>
    <cellStyle name="AeE­_ ºn¸nº° ¿uº°±a¼u  22 18" xfId="7947"/>
    <cellStyle name="ÅëÈ­_ ºñ¸ñº° ¿ùº°±â¼ú  22 18" xfId="7948"/>
    <cellStyle name="AeE­_ ºn¸nº° ¿uº°±a¼u  22 19" xfId="7949"/>
    <cellStyle name="ÅëÈ­_ ºñ¸ñº° ¿ùº°±â¼ú  22 19" xfId="7950"/>
    <cellStyle name="AeE­_ ºn¸nº° ¿uº°±a¼u  22 2" xfId="7951"/>
    <cellStyle name="ÅëÈ­_ ºñ¸ñº° ¿ùº°±â¼ú  22 2" xfId="7952"/>
    <cellStyle name="AeE­_ ºn¸nº° ¿uº°±a¼u  22 20" xfId="7953"/>
    <cellStyle name="ÅëÈ­_ ºñ¸ñº° ¿ùº°±â¼ú  22 20" xfId="7954"/>
    <cellStyle name="AeE­_ ºn¸nº° ¿uº°±a¼u  22 21" xfId="7955"/>
    <cellStyle name="ÅëÈ­_ ºñ¸ñº° ¿ùº°±â¼ú  22 21" xfId="7956"/>
    <cellStyle name="AeE­_ ºn¸nº° ¿uº°±a¼u  22 22" xfId="7957"/>
    <cellStyle name="ÅëÈ­_ ºñ¸ñº° ¿ùº°±â¼ú  22 22" xfId="7958"/>
    <cellStyle name="AeE­_ ºn¸nº° ¿uº°±a¼u  22 23" xfId="7959"/>
    <cellStyle name="ÅëÈ­_ ºñ¸ñº° ¿ùº°±â¼ú  22 23" xfId="7960"/>
    <cellStyle name="AeE­_ ºn¸nº° ¿uº°±a¼u  22 24" xfId="7961"/>
    <cellStyle name="ÅëÈ­_ ºñ¸ñº° ¿ùº°±â¼ú  22 24" xfId="7962"/>
    <cellStyle name="AeE­_ ºn¸nº° ¿uº°±a¼u  22 25" xfId="7963"/>
    <cellStyle name="ÅëÈ­_ ºñ¸ñº° ¿ùº°±â¼ú  22 25" xfId="7964"/>
    <cellStyle name="AeE­_ ºn¸nº° ¿uº°±a¼u  22 26" xfId="7965"/>
    <cellStyle name="ÅëÈ­_ ºñ¸ñº° ¿ùº°±â¼ú  22 26" xfId="7966"/>
    <cellStyle name="AeE­_ ºn¸nº° ¿uº°±a¼u  22 27" xfId="7967"/>
    <cellStyle name="ÅëÈ­_ ºñ¸ñº° ¿ùº°±â¼ú  22 27" xfId="7968"/>
    <cellStyle name="AeE­_ ºn¸nº° ¿uº°±a¼u  22 28" xfId="7969"/>
    <cellStyle name="ÅëÈ­_ ºñ¸ñº° ¿ùº°±â¼ú  22 28" xfId="7970"/>
    <cellStyle name="AeE­_ ºn¸nº° ¿uº°±a¼u  22 29" xfId="7971"/>
    <cellStyle name="ÅëÈ­_ ºñ¸ñº° ¿ùº°±â¼ú  22 29" xfId="7972"/>
    <cellStyle name="AeE­_ ºn¸nº° ¿uº°±a¼u  22 3" xfId="7973"/>
    <cellStyle name="ÅëÈ­_ ºñ¸ñº° ¿ùº°±â¼ú  22 3" xfId="7974"/>
    <cellStyle name="AeE­_ ºn¸nº° ¿uº°±a¼u  22 30" xfId="7975"/>
    <cellStyle name="ÅëÈ­_ ºñ¸ñº° ¿ùº°±â¼ú  22 30" xfId="7976"/>
    <cellStyle name="AeE­_ ºn¸nº° ¿uº°±a¼u  22 31" xfId="7977"/>
    <cellStyle name="ÅëÈ­_ ºñ¸ñº° ¿ùº°±â¼ú  22 31" xfId="7978"/>
    <cellStyle name="AeE­_ ºn¸nº° ¿uº°±a¼u  22 32" xfId="7979"/>
    <cellStyle name="ÅëÈ­_ ºñ¸ñº° ¿ùº°±â¼ú  22 32" xfId="7980"/>
    <cellStyle name="AeE­_ ºn¸nº° ¿uº°±a¼u  22 33" xfId="7981"/>
    <cellStyle name="ÅëÈ­_ ºñ¸ñº° ¿ùº°±â¼ú  22 33" xfId="7982"/>
    <cellStyle name="AeE­_ ºn¸nº° ¿uº°±a¼u  22 34" xfId="7983"/>
    <cellStyle name="ÅëÈ­_ ºñ¸ñº° ¿ùº°±â¼ú  22 34" xfId="7984"/>
    <cellStyle name="AeE­_ ºn¸nº° ¿uº°±a¼u  22 4" xfId="7985"/>
    <cellStyle name="ÅëÈ­_ ºñ¸ñº° ¿ùº°±â¼ú  22 4" xfId="7986"/>
    <cellStyle name="AeE­_ ºn¸nº° ¿uº°±a¼u  22 5" xfId="7987"/>
    <cellStyle name="ÅëÈ­_ ºñ¸ñº° ¿ùº°±â¼ú  22 5" xfId="7988"/>
    <cellStyle name="AeE­_ ºn¸nº° ¿uº°±a¼u  22 6" xfId="7989"/>
    <cellStyle name="ÅëÈ­_ ºñ¸ñº° ¿ùº°±â¼ú  22 6" xfId="7990"/>
    <cellStyle name="AeE­_ ºn¸nº° ¿uº°±a¼u  22 7" xfId="7991"/>
    <cellStyle name="ÅëÈ­_ ºñ¸ñº° ¿ùº°±â¼ú  22 7" xfId="7992"/>
    <cellStyle name="AeE­_ ºn¸nº° ¿uº°±a¼u  22 8" xfId="7993"/>
    <cellStyle name="ÅëÈ­_ ºñ¸ñº° ¿ùº°±â¼ú  22 8" xfId="7994"/>
    <cellStyle name="AeE­_ ºn¸nº° ¿uº°±a¼u  22 9" xfId="7995"/>
    <cellStyle name="ÅëÈ­_ ºñ¸ñº° ¿ùº°±â¼ú  22 9" xfId="7996"/>
    <cellStyle name="AeE­_ ºn¸nº° ¿uº°±a¼u  23" xfId="7997"/>
    <cellStyle name="ÅëÈ­_ ºñ¸ñº° ¿ùº°±â¼ú  23" xfId="7998"/>
    <cellStyle name="AeE­_ ºn¸nº° ¿uº°±a¼u  23 10" xfId="7999"/>
    <cellStyle name="ÅëÈ­_ ºñ¸ñº° ¿ùº°±â¼ú  23 10" xfId="8000"/>
    <cellStyle name="AeE­_ ºn¸nº° ¿uº°±a¼u  23 11" xfId="8001"/>
    <cellStyle name="ÅëÈ­_ ºñ¸ñº° ¿ùº°±â¼ú  23 11" xfId="8002"/>
    <cellStyle name="AeE­_ ºn¸nº° ¿uº°±a¼u  23 12" xfId="8003"/>
    <cellStyle name="ÅëÈ­_ ºñ¸ñº° ¿ùº°±â¼ú  23 12" xfId="8004"/>
    <cellStyle name="AeE­_ ºn¸nº° ¿uº°±a¼u  23 13" xfId="8005"/>
    <cellStyle name="ÅëÈ­_ ºñ¸ñº° ¿ùº°±â¼ú  23 13" xfId="8006"/>
    <cellStyle name="AeE­_ ºn¸nº° ¿uº°±a¼u  23 14" xfId="8007"/>
    <cellStyle name="ÅëÈ­_ ºñ¸ñº° ¿ùº°±â¼ú  23 14" xfId="8008"/>
    <cellStyle name="AeE­_ ºn¸nº° ¿uº°±a¼u  23 15" xfId="8009"/>
    <cellStyle name="ÅëÈ­_ ºñ¸ñº° ¿ùº°±â¼ú  23 15" xfId="8010"/>
    <cellStyle name="AeE­_ ºn¸nº° ¿uº°±a¼u  23 16" xfId="8011"/>
    <cellStyle name="ÅëÈ­_ ºñ¸ñº° ¿ùº°±â¼ú  23 16" xfId="8012"/>
    <cellStyle name="AeE­_ ºn¸nº° ¿uº°±a¼u  23 17" xfId="8013"/>
    <cellStyle name="ÅëÈ­_ ºñ¸ñº° ¿ùº°±â¼ú  23 17" xfId="8014"/>
    <cellStyle name="AeE­_ ºn¸nº° ¿uº°±a¼u  23 18" xfId="8015"/>
    <cellStyle name="ÅëÈ­_ ºñ¸ñº° ¿ùº°±â¼ú  23 18" xfId="8016"/>
    <cellStyle name="AeE­_ ºn¸nº° ¿uº°±a¼u  23 19" xfId="8017"/>
    <cellStyle name="ÅëÈ­_ ºñ¸ñº° ¿ùº°±â¼ú  23 19" xfId="8018"/>
    <cellStyle name="AeE­_ ºn¸nº° ¿uº°±a¼u  23 2" xfId="8019"/>
    <cellStyle name="ÅëÈ­_ ºñ¸ñº° ¿ùº°±â¼ú  23 2" xfId="8020"/>
    <cellStyle name="AeE­_ ºn¸nº° ¿uº°±a¼u  23 20" xfId="8021"/>
    <cellStyle name="ÅëÈ­_ ºñ¸ñº° ¿ùº°±â¼ú  23 20" xfId="8022"/>
    <cellStyle name="AeE­_ ºn¸nº° ¿uº°±a¼u  23 21" xfId="8023"/>
    <cellStyle name="ÅëÈ­_ ºñ¸ñº° ¿ùº°±â¼ú  23 21" xfId="8024"/>
    <cellStyle name="AeE­_ ºn¸nº° ¿uº°±a¼u  23 22" xfId="8025"/>
    <cellStyle name="ÅëÈ­_ ºñ¸ñº° ¿ùº°±â¼ú  23 22" xfId="8026"/>
    <cellStyle name="AeE­_ ºn¸nº° ¿uº°±a¼u  23 23" xfId="8027"/>
    <cellStyle name="ÅëÈ­_ ºñ¸ñº° ¿ùº°±â¼ú  23 23" xfId="8028"/>
    <cellStyle name="AeE­_ ºn¸nº° ¿uº°±a¼u  23 24" xfId="8029"/>
    <cellStyle name="ÅëÈ­_ ºñ¸ñº° ¿ùº°±â¼ú  23 24" xfId="8030"/>
    <cellStyle name="AeE­_ ºn¸nº° ¿uº°±a¼u  23 25" xfId="8031"/>
    <cellStyle name="ÅëÈ­_ ºñ¸ñº° ¿ùº°±â¼ú  23 25" xfId="8032"/>
    <cellStyle name="AeE­_ ºn¸nº° ¿uº°±a¼u  23 26" xfId="8033"/>
    <cellStyle name="ÅëÈ­_ ºñ¸ñº° ¿ùº°±â¼ú  23 26" xfId="8034"/>
    <cellStyle name="AeE­_ ºn¸nº° ¿uº°±a¼u  23 27" xfId="8035"/>
    <cellStyle name="ÅëÈ­_ ºñ¸ñº° ¿ùº°±â¼ú  23 27" xfId="8036"/>
    <cellStyle name="AeE­_ ºn¸nº° ¿uº°±a¼u  23 28" xfId="8037"/>
    <cellStyle name="ÅëÈ­_ ºñ¸ñº° ¿ùº°±â¼ú  23 28" xfId="8038"/>
    <cellStyle name="AeE­_ ºn¸nº° ¿uº°±a¼u  23 29" xfId="8039"/>
    <cellStyle name="ÅëÈ­_ ºñ¸ñº° ¿ùº°±â¼ú  23 29" xfId="8040"/>
    <cellStyle name="AeE­_ ºn¸nº° ¿uº°±a¼u  23 3" xfId="8041"/>
    <cellStyle name="ÅëÈ­_ ºñ¸ñº° ¿ùº°±â¼ú  23 3" xfId="8042"/>
    <cellStyle name="AeE­_ ºn¸nº° ¿uº°±a¼u  23 30" xfId="8043"/>
    <cellStyle name="ÅëÈ­_ ºñ¸ñº° ¿ùº°±â¼ú  23 30" xfId="8044"/>
    <cellStyle name="AeE­_ ºn¸nº° ¿uº°±a¼u  23 31" xfId="8045"/>
    <cellStyle name="ÅëÈ­_ ºñ¸ñº° ¿ùº°±â¼ú  23 31" xfId="8046"/>
    <cellStyle name="AeE­_ ºn¸nº° ¿uº°±a¼u  23 32" xfId="8047"/>
    <cellStyle name="ÅëÈ­_ ºñ¸ñº° ¿ùº°±â¼ú  23 32" xfId="8048"/>
    <cellStyle name="AeE­_ ºn¸nº° ¿uº°±a¼u  23 33" xfId="8049"/>
    <cellStyle name="ÅëÈ­_ ºñ¸ñº° ¿ùº°±â¼ú  23 33" xfId="8050"/>
    <cellStyle name="AeE­_ ºn¸nº° ¿uº°±a¼u  23 34" xfId="8051"/>
    <cellStyle name="ÅëÈ­_ ºñ¸ñº° ¿ùº°±â¼ú  23 34" xfId="8052"/>
    <cellStyle name="AeE­_ ºn¸nº° ¿uº°±a¼u  23 4" xfId="8053"/>
    <cellStyle name="ÅëÈ­_ ºñ¸ñº° ¿ùº°±â¼ú  23 4" xfId="8054"/>
    <cellStyle name="AeE­_ ºn¸nº° ¿uº°±a¼u  23 5" xfId="8055"/>
    <cellStyle name="ÅëÈ­_ ºñ¸ñº° ¿ùº°±â¼ú  23 5" xfId="8056"/>
    <cellStyle name="AeE­_ ºn¸nº° ¿uº°±a¼u  23 6" xfId="8057"/>
    <cellStyle name="ÅëÈ­_ ºñ¸ñº° ¿ùº°±â¼ú  23 6" xfId="8058"/>
    <cellStyle name="AeE­_ ºn¸nº° ¿uº°±a¼u  23 7" xfId="8059"/>
    <cellStyle name="ÅëÈ­_ ºñ¸ñº° ¿ùº°±â¼ú  23 7" xfId="8060"/>
    <cellStyle name="AeE­_ ºn¸nº° ¿uº°±a¼u  23 8" xfId="8061"/>
    <cellStyle name="ÅëÈ­_ ºñ¸ñº° ¿ùº°±â¼ú  23 8" xfId="8062"/>
    <cellStyle name="AeE­_ ºn¸nº° ¿uº°±a¼u  23 9" xfId="8063"/>
    <cellStyle name="ÅëÈ­_ ºñ¸ñº° ¿ùº°±â¼ú  23 9" xfId="8064"/>
    <cellStyle name="AeE­_ ºn¸nº° ¿uº°±a¼u  24" xfId="8065"/>
    <cellStyle name="ÅëÈ­_ ºñ¸ñº° ¿ùº°±â¼ú  24" xfId="8066"/>
    <cellStyle name="AeE­_ ºn¸nº° ¿uº°±a¼u  24 10" xfId="8067"/>
    <cellStyle name="ÅëÈ­_ ºñ¸ñº° ¿ùº°±â¼ú  24 10" xfId="8068"/>
    <cellStyle name="AeE­_ ºn¸nº° ¿uº°±a¼u  24 11" xfId="8069"/>
    <cellStyle name="ÅëÈ­_ ºñ¸ñº° ¿ùº°±â¼ú  24 11" xfId="8070"/>
    <cellStyle name="AeE­_ ºn¸nº° ¿uº°±a¼u  24 12" xfId="8071"/>
    <cellStyle name="ÅëÈ­_ ºñ¸ñº° ¿ùº°±â¼ú  24 12" xfId="8072"/>
    <cellStyle name="AeE­_ ºn¸nº° ¿uº°±a¼u  24 13" xfId="8073"/>
    <cellStyle name="ÅëÈ­_ ºñ¸ñº° ¿ùº°±â¼ú  24 13" xfId="8074"/>
    <cellStyle name="AeE­_ ºn¸nº° ¿uº°±a¼u  24 14" xfId="8075"/>
    <cellStyle name="ÅëÈ­_ ºñ¸ñº° ¿ùº°±â¼ú  24 14" xfId="8076"/>
    <cellStyle name="AeE­_ ºn¸nº° ¿uº°±a¼u  24 15" xfId="8077"/>
    <cellStyle name="ÅëÈ­_ ºñ¸ñº° ¿ùº°±â¼ú  24 15" xfId="8078"/>
    <cellStyle name="AeE­_ ºn¸nº° ¿uº°±a¼u  24 16" xfId="8079"/>
    <cellStyle name="ÅëÈ­_ ºñ¸ñº° ¿ùº°±â¼ú  24 16" xfId="8080"/>
    <cellStyle name="AeE­_ ºn¸nº° ¿uº°±a¼u  24 17" xfId="8081"/>
    <cellStyle name="ÅëÈ­_ ºñ¸ñº° ¿ùº°±â¼ú  24 17" xfId="8082"/>
    <cellStyle name="AeE­_ ºn¸nº° ¿uº°±a¼u  24 18" xfId="8083"/>
    <cellStyle name="ÅëÈ­_ ºñ¸ñº° ¿ùº°±â¼ú  24 18" xfId="8084"/>
    <cellStyle name="AeE­_ ºn¸nº° ¿uº°±a¼u  24 19" xfId="8085"/>
    <cellStyle name="ÅëÈ­_ ºñ¸ñº° ¿ùº°±â¼ú  24 19" xfId="8086"/>
    <cellStyle name="AeE­_ ºn¸nº° ¿uº°±a¼u  24 2" xfId="8087"/>
    <cellStyle name="ÅëÈ­_ ºñ¸ñº° ¿ùº°±â¼ú  24 2" xfId="8088"/>
    <cellStyle name="AeE­_ ºn¸nº° ¿uº°±a¼u  24 20" xfId="8089"/>
    <cellStyle name="ÅëÈ­_ ºñ¸ñº° ¿ùº°±â¼ú  24 20" xfId="8090"/>
    <cellStyle name="AeE­_ ºn¸nº° ¿uº°±a¼u  24 21" xfId="8091"/>
    <cellStyle name="ÅëÈ­_ ºñ¸ñº° ¿ùº°±â¼ú  24 21" xfId="8092"/>
    <cellStyle name="AeE­_ ºn¸nº° ¿uº°±a¼u  24 22" xfId="8093"/>
    <cellStyle name="ÅëÈ­_ ºñ¸ñº° ¿ùº°±â¼ú  24 22" xfId="8094"/>
    <cellStyle name="AeE­_ ºn¸nº° ¿uº°±a¼u  24 23" xfId="8095"/>
    <cellStyle name="ÅëÈ­_ ºñ¸ñº° ¿ùº°±â¼ú  24 23" xfId="8096"/>
    <cellStyle name="AeE­_ ºn¸nº° ¿uº°±a¼u  24 24" xfId="8097"/>
    <cellStyle name="ÅëÈ­_ ºñ¸ñº° ¿ùº°±â¼ú  24 24" xfId="8098"/>
    <cellStyle name="AeE­_ ºn¸nº° ¿uº°±a¼u  24 25" xfId="8099"/>
    <cellStyle name="ÅëÈ­_ ºñ¸ñº° ¿ùº°±â¼ú  24 25" xfId="8100"/>
    <cellStyle name="AeE­_ ºn¸nº° ¿uº°±a¼u  24 26" xfId="8101"/>
    <cellStyle name="ÅëÈ­_ ºñ¸ñº° ¿ùº°±â¼ú  24 26" xfId="8102"/>
    <cellStyle name="AeE­_ ºn¸nº° ¿uº°±a¼u  24 27" xfId="8103"/>
    <cellStyle name="ÅëÈ­_ ºñ¸ñº° ¿ùº°±â¼ú  24 27" xfId="8104"/>
    <cellStyle name="AeE­_ ºn¸nº° ¿uº°±a¼u  24 28" xfId="8105"/>
    <cellStyle name="ÅëÈ­_ ºñ¸ñº° ¿ùº°±â¼ú  24 28" xfId="8106"/>
    <cellStyle name="AeE­_ ºn¸nº° ¿uº°±a¼u  24 29" xfId="8107"/>
    <cellStyle name="ÅëÈ­_ ºñ¸ñº° ¿ùº°±â¼ú  24 29" xfId="8108"/>
    <cellStyle name="AeE­_ ºn¸nº° ¿uº°±a¼u  24 3" xfId="8109"/>
    <cellStyle name="ÅëÈ­_ ºñ¸ñº° ¿ùº°±â¼ú  24 3" xfId="8110"/>
    <cellStyle name="AeE­_ ºn¸nº° ¿uº°±a¼u  24 30" xfId="8111"/>
    <cellStyle name="ÅëÈ­_ ºñ¸ñº° ¿ùº°±â¼ú  24 30" xfId="8112"/>
    <cellStyle name="AeE­_ ºn¸nº° ¿uº°±a¼u  24 31" xfId="8113"/>
    <cellStyle name="ÅëÈ­_ ºñ¸ñº° ¿ùº°±â¼ú  24 31" xfId="8114"/>
    <cellStyle name="AeE­_ ºn¸nº° ¿uº°±a¼u  24 32" xfId="8115"/>
    <cellStyle name="ÅëÈ­_ ºñ¸ñº° ¿ùº°±â¼ú  24 32" xfId="8116"/>
    <cellStyle name="AeE­_ ºn¸nº° ¿uº°±a¼u  24 33" xfId="8117"/>
    <cellStyle name="ÅëÈ­_ ºñ¸ñº° ¿ùº°±â¼ú  24 33" xfId="8118"/>
    <cellStyle name="AeE­_ ºn¸nº° ¿uº°±a¼u  24 34" xfId="8119"/>
    <cellStyle name="ÅëÈ­_ ºñ¸ñº° ¿ùº°±â¼ú  24 34" xfId="8120"/>
    <cellStyle name="AeE­_ ºn¸nº° ¿uº°±a¼u  24 4" xfId="8121"/>
    <cellStyle name="ÅëÈ­_ ºñ¸ñº° ¿ùº°±â¼ú  24 4" xfId="8122"/>
    <cellStyle name="AeE­_ ºn¸nº° ¿uº°±a¼u  24 5" xfId="8123"/>
    <cellStyle name="ÅëÈ­_ ºñ¸ñº° ¿ùº°±â¼ú  24 5" xfId="8124"/>
    <cellStyle name="AeE­_ ºn¸nº° ¿uº°±a¼u  24 6" xfId="8125"/>
    <cellStyle name="ÅëÈ­_ ºñ¸ñº° ¿ùº°±â¼ú  24 6" xfId="8126"/>
    <cellStyle name="AeE­_ ºn¸nº° ¿uº°±a¼u  24 7" xfId="8127"/>
    <cellStyle name="ÅëÈ­_ ºñ¸ñº° ¿ùº°±â¼ú  24 7" xfId="8128"/>
    <cellStyle name="AeE­_ ºn¸nº° ¿uº°±a¼u  24 8" xfId="8129"/>
    <cellStyle name="ÅëÈ­_ ºñ¸ñº° ¿ùº°±â¼ú  24 8" xfId="8130"/>
    <cellStyle name="AeE­_ ºn¸nº° ¿uº°±a¼u  24 9" xfId="8131"/>
    <cellStyle name="ÅëÈ­_ ºñ¸ñº° ¿ùº°±â¼ú  24 9" xfId="8132"/>
    <cellStyle name="AeE­_ ºn¸nº° ¿uº°±a¼u  25" xfId="8133"/>
    <cellStyle name="ÅëÈ­_ ºñ¸ñº° ¿ùº°±â¼ú  25" xfId="8134"/>
    <cellStyle name="AeE­_ ºn¸nº° ¿uº°±a¼u  25 10" xfId="8135"/>
    <cellStyle name="ÅëÈ­_ ºñ¸ñº° ¿ùº°±â¼ú  25 10" xfId="8136"/>
    <cellStyle name="AeE­_ ºn¸nº° ¿uº°±a¼u  25 11" xfId="8137"/>
    <cellStyle name="ÅëÈ­_ ºñ¸ñº° ¿ùº°±â¼ú  25 11" xfId="8138"/>
    <cellStyle name="AeE­_ ºn¸nº° ¿uº°±a¼u  25 12" xfId="8139"/>
    <cellStyle name="ÅëÈ­_ ºñ¸ñº° ¿ùº°±â¼ú  25 12" xfId="8140"/>
    <cellStyle name="AeE­_ ºn¸nº° ¿uº°±a¼u  25 13" xfId="8141"/>
    <cellStyle name="ÅëÈ­_ ºñ¸ñº° ¿ùº°±â¼ú  25 13" xfId="8142"/>
    <cellStyle name="AeE­_ ºn¸nº° ¿uº°±a¼u  25 14" xfId="8143"/>
    <cellStyle name="ÅëÈ­_ ºñ¸ñº° ¿ùº°±â¼ú  25 14" xfId="8144"/>
    <cellStyle name="AeE­_ ºn¸nº° ¿uº°±a¼u  25 15" xfId="8145"/>
    <cellStyle name="ÅëÈ­_ ºñ¸ñº° ¿ùº°±â¼ú  25 15" xfId="8146"/>
    <cellStyle name="AeE­_ ºn¸nº° ¿uº°±a¼u  25 16" xfId="8147"/>
    <cellStyle name="ÅëÈ­_ ºñ¸ñº° ¿ùº°±â¼ú  25 16" xfId="8148"/>
    <cellStyle name="AeE­_ ºn¸nº° ¿uº°±a¼u  25 17" xfId="8149"/>
    <cellStyle name="ÅëÈ­_ ºñ¸ñº° ¿ùº°±â¼ú  25 17" xfId="8150"/>
    <cellStyle name="AeE­_ ºn¸nº° ¿uº°±a¼u  25 18" xfId="8151"/>
    <cellStyle name="ÅëÈ­_ ºñ¸ñº° ¿ùº°±â¼ú  25 18" xfId="8152"/>
    <cellStyle name="AeE­_ ºn¸nº° ¿uº°±a¼u  25 19" xfId="8153"/>
    <cellStyle name="ÅëÈ­_ ºñ¸ñº° ¿ùº°±â¼ú  25 19" xfId="8154"/>
    <cellStyle name="AeE­_ ºn¸nº° ¿uº°±a¼u  25 2" xfId="8155"/>
    <cellStyle name="ÅëÈ­_ ºñ¸ñº° ¿ùº°±â¼ú  25 2" xfId="8156"/>
    <cellStyle name="AeE­_ ºn¸nº° ¿uº°±a¼u  25 20" xfId="8157"/>
    <cellStyle name="ÅëÈ­_ ºñ¸ñº° ¿ùº°±â¼ú  25 20" xfId="8158"/>
    <cellStyle name="AeE­_ ºn¸nº° ¿uº°±a¼u  25 21" xfId="8159"/>
    <cellStyle name="ÅëÈ­_ ºñ¸ñº° ¿ùº°±â¼ú  25 21" xfId="8160"/>
    <cellStyle name="AeE­_ ºn¸nº° ¿uº°±a¼u  25 22" xfId="8161"/>
    <cellStyle name="ÅëÈ­_ ºñ¸ñº° ¿ùº°±â¼ú  25 22" xfId="8162"/>
    <cellStyle name="AeE­_ ºn¸nº° ¿uº°±a¼u  25 23" xfId="8163"/>
    <cellStyle name="ÅëÈ­_ ºñ¸ñº° ¿ùº°±â¼ú  25 23" xfId="8164"/>
    <cellStyle name="AeE­_ ºn¸nº° ¿uº°±a¼u  25 24" xfId="8165"/>
    <cellStyle name="ÅëÈ­_ ºñ¸ñº° ¿ùº°±â¼ú  25 24" xfId="8166"/>
    <cellStyle name="AeE­_ ºn¸nº° ¿uº°±a¼u  25 25" xfId="8167"/>
    <cellStyle name="ÅëÈ­_ ºñ¸ñº° ¿ùº°±â¼ú  25 25" xfId="8168"/>
    <cellStyle name="AeE­_ ºn¸nº° ¿uº°±a¼u  25 26" xfId="8169"/>
    <cellStyle name="ÅëÈ­_ ºñ¸ñº° ¿ùº°±â¼ú  25 26" xfId="8170"/>
    <cellStyle name="AeE­_ ºn¸nº° ¿uº°±a¼u  25 27" xfId="8171"/>
    <cellStyle name="ÅëÈ­_ ºñ¸ñº° ¿ùº°±â¼ú  25 27" xfId="8172"/>
    <cellStyle name="AeE­_ ºn¸nº° ¿uº°±a¼u  25 28" xfId="8173"/>
    <cellStyle name="ÅëÈ­_ ºñ¸ñº° ¿ùº°±â¼ú  25 28" xfId="8174"/>
    <cellStyle name="AeE­_ ºn¸nº° ¿uº°±a¼u  25 29" xfId="8175"/>
    <cellStyle name="ÅëÈ­_ ºñ¸ñº° ¿ùº°±â¼ú  25 29" xfId="8176"/>
    <cellStyle name="AeE­_ ºn¸nº° ¿uº°±a¼u  25 3" xfId="8177"/>
    <cellStyle name="ÅëÈ­_ ºñ¸ñº° ¿ùº°±â¼ú  25 3" xfId="8178"/>
    <cellStyle name="AeE­_ ºn¸nº° ¿uº°±a¼u  25 30" xfId="8179"/>
    <cellStyle name="ÅëÈ­_ ºñ¸ñº° ¿ùº°±â¼ú  25 30" xfId="8180"/>
    <cellStyle name="AeE­_ ºn¸nº° ¿uº°±a¼u  25 31" xfId="8181"/>
    <cellStyle name="ÅëÈ­_ ºñ¸ñº° ¿ùº°±â¼ú  25 31" xfId="8182"/>
    <cellStyle name="AeE­_ ºn¸nº° ¿uº°±a¼u  25 32" xfId="8183"/>
    <cellStyle name="ÅëÈ­_ ºñ¸ñº° ¿ùº°±â¼ú  25 32" xfId="8184"/>
    <cellStyle name="AeE­_ ºn¸nº° ¿uº°±a¼u  25 33" xfId="8185"/>
    <cellStyle name="ÅëÈ­_ ºñ¸ñº° ¿ùº°±â¼ú  25 33" xfId="8186"/>
    <cellStyle name="AeE­_ ºn¸nº° ¿uº°±a¼u  25 34" xfId="8187"/>
    <cellStyle name="ÅëÈ­_ ºñ¸ñº° ¿ùº°±â¼ú  25 34" xfId="8188"/>
    <cellStyle name="AeE­_ ºn¸nº° ¿uº°±a¼u  25 4" xfId="8189"/>
    <cellStyle name="ÅëÈ­_ ºñ¸ñº° ¿ùº°±â¼ú  25 4" xfId="8190"/>
    <cellStyle name="AeE­_ ºn¸nº° ¿uº°±a¼u  25 5" xfId="8191"/>
    <cellStyle name="ÅëÈ­_ ºñ¸ñº° ¿ùº°±â¼ú  25 5" xfId="8192"/>
    <cellStyle name="AeE­_ ºn¸nº° ¿uº°±a¼u  25 6" xfId="8193"/>
    <cellStyle name="ÅëÈ­_ ºñ¸ñº° ¿ùº°±â¼ú  25 6" xfId="8194"/>
    <cellStyle name="AeE­_ ºn¸nº° ¿uº°±a¼u  25 7" xfId="8195"/>
    <cellStyle name="ÅëÈ­_ ºñ¸ñº° ¿ùº°±â¼ú  25 7" xfId="8196"/>
    <cellStyle name="AeE­_ ºn¸nº° ¿uº°±a¼u  25 8" xfId="8197"/>
    <cellStyle name="ÅëÈ­_ ºñ¸ñº° ¿ùº°±â¼ú  25 8" xfId="8198"/>
    <cellStyle name="AeE­_ ºn¸nº° ¿uº°±a¼u  25 9" xfId="8199"/>
    <cellStyle name="ÅëÈ­_ ºñ¸ñº° ¿ùº°±â¼ú  25 9" xfId="8200"/>
    <cellStyle name="AeE­_ ºn¸nº° ¿uº°±a¼u  26" xfId="8201"/>
    <cellStyle name="ÅëÈ­_ ºñ¸ñº° ¿ùº°±â¼ú  26" xfId="8202"/>
    <cellStyle name="AeE­_ ºn¸nº° ¿uº°±a¼u  26 10" xfId="8203"/>
    <cellStyle name="ÅëÈ­_ ºñ¸ñº° ¿ùº°±â¼ú  26 10" xfId="8204"/>
    <cellStyle name="AeE­_ ºn¸nº° ¿uº°±a¼u  26 11" xfId="8205"/>
    <cellStyle name="ÅëÈ­_ ºñ¸ñº° ¿ùº°±â¼ú  26 11" xfId="8206"/>
    <cellStyle name="AeE­_ ºn¸nº° ¿uº°±a¼u  26 12" xfId="8207"/>
    <cellStyle name="ÅëÈ­_ ºñ¸ñº° ¿ùº°±â¼ú  26 12" xfId="8208"/>
    <cellStyle name="AeE­_ ºn¸nº° ¿uº°±a¼u  26 13" xfId="8209"/>
    <cellStyle name="ÅëÈ­_ ºñ¸ñº° ¿ùº°±â¼ú  26 13" xfId="8210"/>
    <cellStyle name="AeE­_ ºn¸nº° ¿uº°±a¼u  26 14" xfId="8211"/>
    <cellStyle name="ÅëÈ­_ ºñ¸ñº° ¿ùº°±â¼ú  26 14" xfId="8212"/>
    <cellStyle name="AeE­_ ºn¸nº° ¿uº°±a¼u  26 15" xfId="8213"/>
    <cellStyle name="ÅëÈ­_ ºñ¸ñº° ¿ùº°±â¼ú  26 15" xfId="8214"/>
    <cellStyle name="AeE­_ ºn¸nº° ¿uº°±a¼u  26 16" xfId="8215"/>
    <cellStyle name="ÅëÈ­_ ºñ¸ñº° ¿ùº°±â¼ú  26 16" xfId="8216"/>
    <cellStyle name="AeE­_ ºn¸nº° ¿uº°±a¼u  26 17" xfId="8217"/>
    <cellStyle name="ÅëÈ­_ ºñ¸ñº° ¿ùº°±â¼ú  26 17" xfId="8218"/>
    <cellStyle name="AeE­_ ºn¸nº° ¿uº°±a¼u  26 18" xfId="8219"/>
    <cellStyle name="ÅëÈ­_ ºñ¸ñº° ¿ùº°±â¼ú  26 18" xfId="8220"/>
    <cellStyle name="AeE­_ ºn¸nº° ¿uº°±a¼u  26 19" xfId="8221"/>
    <cellStyle name="ÅëÈ­_ ºñ¸ñº° ¿ùº°±â¼ú  26 19" xfId="8222"/>
    <cellStyle name="AeE­_ ºn¸nº° ¿uº°±a¼u  26 2" xfId="8223"/>
    <cellStyle name="ÅëÈ­_ ºñ¸ñº° ¿ùº°±â¼ú  26 2" xfId="8224"/>
    <cellStyle name="AeE­_ ºn¸nº° ¿uº°±a¼u  26 20" xfId="8225"/>
    <cellStyle name="ÅëÈ­_ ºñ¸ñº° ¿ùº°±â¼ú  26 20" xfId="8226"/>
    <cellStyle name="AeE­_ ºn¸nº° ¿uº°±a¼u  26 21" xfId="8227"/>
    <cellStyle name="ÅëÈ­_ ºñ¸ñº° ¿ùº°±â¼ú  26 21" xfId="8228"/>
    <cellStyle name="AeE­_ ºn¸nº° ¿uº°±a¼u  26 22" xfId="8229"/>
    <cellStyle name="ÅëÈ­_ ºñ¸ñº° ¿ùº°±â¼ú  26 22" xfId="8230"/>
    <cellStyle name="AeE­_ ºn¸nº° ¿uº°±a¼u  26 23" xfId="8231"/>
    <cellStyle name="ÅëÈ­_ ºñ¸ñº° ¿ùº°±â¼ú  26 23" xfId="8232"/>
    <cellStyle name="AeE­_ ºn¸nº° ¿uº°±a¼u  26 24" xfId="8233"/>
    <cellStyle name="ÅëÈ­_ ºñ¸ñº° ¿ùº°±â¼ú  26 24" xfId="8234"/>
    <cellStyle name="AeE­_ ºn¸nº° ¿uº°±a¼u  26 25" xfId="8235"/>
    <cellStyle name="ÅëÈ­_ ºñ¸ñº° ¿ùº°±â¼ú  26 25" xfId="8236"/>
    <cellStyle name="AeE­_ ºn¸nº° ¿uº°±a¼u  26 26" xfId="8237"/>
    <cellStyle name="ÅëÈ­_ ºñ¸ñº° ¿ùº°±â¼ú  26 26" xfId="8238"/>
    <cellStyle name="AeE­_ ºn¸nº° ¿uº°±a¼u  26 27" xfId="8239"/>
    <cellStyle name="ÅëÈ­_ ºñ¸ñº° ¿ùº°±â¼ú  26 27" xfId="8240"/>
    <cellStyle name="AeE­_ ºn¸nº° ¿uº°±a¼u  26 28" xfId="8241"/>
    <cellStyle name="ÅëÈ­_ ºñ¸ñº° ¿ùº°±â¼ú  26 28" xfId="8242"/>
    <cellStyle name="AeE­_ ºn¸nº° ¿uº°±a¼u  26 29" xfId="8243"/>
    <cellStyle name="ÅëÈ­_ ºñ¸ñº° ¿ùº°±â¼ú  26 29" xfId="8244"/>
    <cellStyle name="AeE­_ ºn¸nº° ¿uº°±a¼u  26 3" xfId="8245"/>
    <cellStyle name="ÅëÈ­_ ºñ¸ñº° ¿ùº°±â¼ú  26 3" xfId="8246"/>
    <cellStyle name="AeE­_ ºn¸nº° ¿uº°±a¼u  26 30" xfId="8247"/>
    <cellStyle name="ÅëÈ­_ ºñ¸ñº° ¿ùº°±â¼ú  26 30" xfId="8248"/>
    <cellStyle name="AeE­_ ºn¸nº° ¿uº°±a¼u  26 31" xfId="8249"/>
    <cellStyle name="ÅëÈ­_ ºñ¸ñº° ¿ùº°±â¼ú  26 31" xfId="8250"/>
    <cellStyle name="AeE­_ ºn¸nº° ¿uº°±a¼u  26 32" xfId="8251"/>
    <cellStyle name="ÅëÈ­_ ºñ¸ñº° ¿ùº°±â¼ú  26 32" xfId="8252"/>
    <cellStyle name="AeE­_ ºn¸nº° ¿uº°±a¼u  26 33" xfId="8253"/>
    <cellStyle name="ÅëÈ­_ ºñ¸ñº° ¿ùº°±â¼ú  26 33" xfId="8254"/>
    <cellStyle name="AeE­_ ºn¸nº° ¿uº°±a¼u  26 34" xfId="8255"/>
    <cellStyle name="ÅëÈ­_ ºñ¸ñº° ¿ùº°±â¼ú  26 34" xfId="8256"/>
    <cellStyle name="AeE­_ ºn¸nº° ¿uº°±a¼u  26 4" xfId="8257"/>
    <cellStyle name="ÅëÈ­_ ºñ¸ñº° ¿ùº°±â¼ú  26 4" xfId="8258"/>
    <cellStyle name="AeE­_ ºn¸nº° ¿uº°±a¼u  26 5" xfId="8259"/>
    <cellStyle name="ÅëÈ­_ ºñ¸ñº° ¿ùº°±â¼ú  26 5" xfId="8260"/>
    <cellStyle name="AeE­_ ºn¸nº° ¿uº°±a¼u  26 6" xfId="8261"/>
    <cellStyle name="ÅëÈ­_ ºñ¸ñº° ¿ùº°±â¼ú  26 6" xfId="8262"/>
    <cellStyle name="AeE­_ ºn¸nº° ¿uº°±a¼u  26 7" xfId="8263"/>
    <cellStyle name="ÅëÈ­_ ºñ¸ñº° ¿ùº°±â¼ú  26 7" xfId="8264"/>
    <cellStyle name="AeE­_ ºn¸nº° ¿uº°±a¼u  26 8" xfId="8265"/>
    <cellStyle name="ÅëÈ­_ ºñ¸ñº° ¿ùº°±â¼ú  26 8" xfId="8266"/>
    <cellStyle name="AeE­_ ºn¸nº° ¿uº°±a¼u  26 9" xfId="8267"/>
    <cellStyle name="ÅëÈ­_ ºñ¸ñº° ¿ùº°±â¼ú  26 9" xfId="8268"/>
    <cellStyle name="AeE­_ ºn¸nº° ¿uº°±a¼u  27" xfId="8269"/>
    <cellStyle name="ÅëÈ­_ ºñ¸ñº° ¿ùº°±â¼ú  27" xfId="8270"/>
    <cellStyle name="AeE­_ ºn¸nº° ¿uº°±a¼u  27 10" xfId="8271"/>
    <cellStyle name="ÅëÈ­_ ºñ¸ñº° ¿ùº°±â¼ú  27 10" xfId="8272"/>
    <cellStyle name="AeE­_ ºn¸nº° ¿uº°±a¼u  27 11" xfId="8273"/>
    <cellStyle name="ÅëÈ­_ ºñ¸ñº° ¿ùº°±â¼ú  27 11" xfId="8274"/>
    <cellStyle name="AeE­_ ºn¸nº° ¿uº°±a¼u  27 12" xfId="8275"/>
    <cellStyle name="ÅëÈ­_ ºñ¸ñº° ¿ùº°±â¼ú  27 12" xfId="8276"/>
    <cellStyle name="AeE­_ ºn¸nº° ¿uº°±a¼u  27 13" xfId="8277"/>
    <cellStyle name="ÅëÈ­_ ºñ¸ñº° ¿ùº°±â¼ú  27 13" xfId="8278"/>
    <cellStyle name="AeE­_ ºn¸nº° ¿uº°±a¼u  27 14" xfId="8279"/>
    <cellStyle name="ÅëÈ­_ ºñ¸ñº° ¿ùº°±â¼ú  27 14" xfId="8280"/>
    <cellStyle name="AeE­_ ºn¸nº° ¿uº°±a¼u  27 15" xfId="8281"/>
    <cellStyle name="ÅëÈ­_ ºñ¸ñº° ¿ùº°±â¼ú  27 15" xfId="8282"/>
    <cellStyle name="AeE­_ ºn¸nº° ¿uº°±a¼u  27 16" xfId="8283"/>
    <cellStyle name="ÅëÈ­_ ºñ¸ñº° ¿ùº°±â¼ú  27 16" xfId="8284"/>
    <cellStyle name="AeE­_ ºn¸nº° ¿uº°±a¼u  27 17" xfId="8285"/>
    <cellStyle name="ÅëÈ­_ ºñ¸ñº° ¿ùº°±â¼ú  27 17" xfId="8286"/>
    <cellStyle name="AeE­_ ºn¸nº° ¿uº°±a¼u  27 18" xfId="8287"/>
    <cellStyle name="ÅëÈ­_ ºñ¸ñº° ¿ùº°±â¼ú  27 18" xfId="8288"/>
    <cellStyle name="AeE­_ ºn¸nº° ¿uº°±a¼u  27 19" xfId="8289"/>
    <cellStyle name="ÅëÈ­_ ºñ¸ñº° ¿ùº°±â¼ú  27 19" xfId="8290"/>
    <cellStyle name="AeE­_ ºn¸nº° ¿uº°±a¼u  27 2" xfId="8291"/>
    <cellStyle name="ÅëÈ­_ ºñ¸ñº° ¿ùº°±â¼ú  27 2" xfId="8292"/>
    <cellStyle name="AeE­_ ºn¸nº° ¿uº°±a¼u  27 20" xfId="8293"/>
    <cellStyle name="ÅëÈ­_ ºñ¸ñº° ¿ùº°±â¼ú  27 20" xfId="8294"/>
    <cellStyle name="AeE­_ ºn¸nº° ¿uº°±a¼u  27 21" xfId="8295"/>
    <cellStyle name="ÅëÈ­_ ºñ¸ñº° ¿ùº°±â¼ú  27 21" xfId="8296"/>
    <cellStyle name="AeE­_ ºn¸nº° ¿uº°±a¼u  27 22" xfId="8297"/>
    <cellStyle name="ÅëÈ­_ ºñ¸ñº° ¿ùº°±â¼ú  27 22" xfId="8298"/>
    <cellStyle name="AeE­_ ºn¸nº° ¿uº°±a¼u  27 23" xfId="8299"/>
    <cellStyle name="ÅëÈ­_ ºñ¸ñº° ¿ùº°±â¼ú  27 23" xfId="8300"/>
    <cellStyle name="AeE­_ ºn¸nº° ¿uº°±a¼u  27 24" xfId="8301"/>
    <cellStyle name="ÅëÈ­_ ºñ¸ñº° ¿ùº°±â¼ú  27 24" xfId="8302"/>
    <cellStyle name="AeE­_ ºn¸nº° ¿uº°±a¼u  27 25" xfId="8303"/>
    <cellStyle name="ÅëÈ­_ ºñ¸ñº° ¿ùº°±â¼ú  27 25" xfId="8304"/>
    <cellStyle name="AeE­_ ºn¸nº° ¿uº°±a¼u  27 26" xfId="8305"/>
    <cellStyle name="ÅëÈ­_ ºñ¸ñº° ¿ùº°±â¼ú  27 26" xfId="8306"/>
    <cellStyle name="AeE­_ ºn¸nº° ¿uº°±a¼u  27 27" xfId="8307"/>
    <cellStyle name="ÅëÈ­_ ºñ¸ñº° ¿ùº°±â¼ú  27 27" xfId="8308"/>
    <cellStyle name="AeE­_ ºn¸nº° ¿uº°±a¼u  27 28" xfId="8309"/>
    <cellStyle name="ÅëÈ­_ ºñ¸ñº° ¿ùº°±â¼ú  27 28" xfId="8310"/>
    <cellStyle name="AeE­_ ºn¸nº° ¿uº°±a¼u  27 29" xfId="8311"/>
    <cellStyle name="ÅëÈ­_ ºñ¸ñº° ¿ùº°±â¼ú  27 29" xfId="8312"/>
    <cellStyle name="AeE­_ ºn¸nº° ¿uº°±a¼u  27 3" xfId="8313"/>
    <cellStyle name="ÅëÈ­_ ºñ¸ñº° ¿ùº°±â¼ú  27 3" xfId="8314"/>
    <cellStyle name="AeE­_ ºn¸nº° ¿uº°±a¼u  27 30" xfId="8315"/>
    <cellStyle name="ÅëÈ­_ ºñ¸ñº° ¿ùº°±â¼ú  27 30" xfId="8316"/>
    <cellStyle name="AeE­_ ºn¸nº° ¿uº°±a¼u  27 31" xfId="8317"/>
    <cellStyle name="ÅëÈ­_ ºñ¸ñº° ¿ùº°±â¼ú  27 31" xfId="8318"/>
    <cellStyle name="AeE­_ ºn¸nº° ¿uº°±a¼u  27 32" xfId="8319"/>
    <cellStyle name="ÅëÈ­_ ºñ¸ñº° ¿ùº°±â¼ú  27 32" xfId="8320"/>
    <cellStyle name="AeE­_ ºn¸nº° ¿uº°±a¼u  27 33" xfId="8321"/>
    <cellStyle name="ÅëÈ­_ ºñ¸ñº° ¿ùº°±â¼ú  27 33" xfId="8322"/>
    <cellStyle name="AeE­_ ºn¸nº° ¿uº°±a¼u  27 34" xfId="8323"/>
    <cellStyle name="ÅëÈ­_ ºñ¸ñº° ¿ùº°±â¼ú  27 34" xfId="8324"/>
    <cellStyle name="AeE­_ ºn¸nº° ¿uº°±a¼u  27 4" xfId="8325"/>
    <cellStyle name="ÅëÈ­_ ºñ¸ñº° ¿ùº°±â¼ú  27 4" xfId="8326"/>
    <cellStyle name="AeE­_ ºn¸nº° ¿uº°±a¼u  27 5" xfId="8327"/>
    <cellStyle name="ÅëÈ­_ ºñ¸ñº° ¿ùº°±â¼ú  27 5" xfId="8328"/>
    <cellStyle name="AeE­_ ºn¸nº° ¿uº°±a¼u  27 6" xfId="8329"/>
    <cellStyle name="ÅëÈ­_ ºñ¸ñº° ¿ùº°±â¼ú  27 6" xfId="8330"/>
    <cellStyle name="AeE­_ ºn¸nº° ¿uº°±a¼u  27 7" xfId="8331"/>
    <cellStyle name="ÅëÈ­_ ºñ¸ñº° ¿ùº°±â¼ú  27 7" xfId="8332"/>
    <cellStyle name="AeE­_ ºn¸nº° ¿uº°±a¼u  27 8" xfId="8333"/>
    <cellStyle name="ÅëÈ­_ ºñ¸ñº° ¿ùº°±â¼ú  27 8" xfId="8334"/>
    <cellStyle name="AeE­_ ºn¸nº° ¿uº°±a¼u  27 9" xfId="8335"/>
    <cellStyle name="ÅëÈ­_ ºñ¸ñº° ¿ùº°±â¼ú  27 9" xfId="8336"/>
    <cellStyle name="AeE­_ ºn¸nº° ¿uº°±a¼u  28" xfId="8337"/>
    <cellStyle name="ÅëÈ­_ ºñ¸ñº° ¿ùº°±â¼ú  28" xfId="8338"/>
    <cellStyle name="AeE­_ ºn¸nº° ¿uº°±a¼u  28 10" xfId="8339"/>
    <cellStyle name="ÅëÈ­_ ºñ¸ñº° ¿ùº°±â¼ú  28 10" xfId="8340"/>
    <cellStyle name="AeE­_ ºn¸nº° ¿uº°±a¼u  28 11" xfId="8341"/>
    <cellStyle name="ÅëÈ­_ ºñ¸ñº° ¿ùº°±â¼ú  28 11" xfId="8342"/>
    <cellStyle name="AeE­_ ºn¸nº° ¿uº°±a¼u  28 12" xfId="8343"/>
    <cellStyle name="ÅëÈ­_ ºñ¸ñº° ¿ùº°±â¼ú  28 12" xfId="8344"/>
    <cellStyle name="AeE­_ ºn¸nº° ¿uº°±a¼u  28 13" xfId="8345"/>
    <cellStyle name="ÅëÈ­_ ºñ¸ñº° ¿ùº°±â¼ú  28 13" xfId="8346"/>
    <cellStyle name="AeE­_ ºn¸nº° ¿uº°±a¼u  28 14" xfId="8347"/>
    <cellStyle name="ÅëÈ­_ ºñ¸ñº° ¿ùº°±â¼ú  28 14" xfId="8348"/>
    <cellStyle name="AeE­_ ºn¸nº° ¿uº°±a¼u  28 15" xfId="8349"/>
    <cellStyle name="ÅëÈ­_ ºñ¸ñº° ¿ùº°±â¼ú  28 15" xfId="8350"/>
    <cellStyle name="AeE­_ ºn¸nº° ¿uº°±a¼u  28 16" xfId="8351"/>
    <cellStyle name="ÅëÈ­_ ºñ¸ñº° ¿ùº°±â¼ú  28 16" xfId="8352"/>
    <cellStyle name="AeE­_ ºn¸nº° ¿uº°±a¼u  28 17" xfId="8353"/>
    <cellStyle name="ÅëÈ­_ ºñ¸ñº° ¿ùº°±â¼ú  28 17" xfId="8354"/>
    <cellStyle name="AeE­_ ºn¸nº° ¿uº°±a¼u  28 18" xfId="8355"/>
    <cellStyle name="ÅëÈ­_ ºñ¸ñº° ¿ùº°±â¼ú  28 18" xfId="8356"/>
    <cellStyle name="AeE­_ ºn¸nº° ¿uº°±a¼u  28 19" xfId="8357"/>
    <cellStyle name="ÅëÈ­_ ºñ¸ñº° ¿ùº°±â¼ú  28 19" xfId="8358"/>
    <cellStyle name="AeE­_ ºn¸nº° ¿uº°±a¼u  28 2" xfId="8359"/>
    <cellStyle name="ÅëÈ­_ ºñ¸ñº° ¿ùº°±â¼ú  28 2" xfId="8360"/>
    <cellStyle name="AeE­_ ºn¸nº° ¿uº°±a¼u  28 20" xfId="8361"/>
    <cellStyle name="ÅëÈ­_ ºñ¸ñº° ¿ùº°±â¼ú  28 20" xfId="8362"/>
    <cellStyle name="AeE­_ ºn¸nº° ¿uº°±a¼u  28 21" xfId="8363"/>
    <cellStyle name="ÅëÈ­_ ºñ¸ñº° ¿ùº°±â¼ú  28 21" xfId="8364"/>
    <cellStyle name="AeE­_ ºn¸nº° ¿uº°±a¼u  28 22" xfId="8365"/>
    <cellStyle name="ÅëÈ­_ ºñ¸ñº° ¿ùº°±â¼ú  28 22" xfId="8366"/>
    <cellStyle name="AeE­_ ºn¸nº° ¿uº°±a¼u  28 23" xfId="8367"/>
    <cellStyle name="ÅëÈ­_ ºñ¸ñº° ¿ùº°±â¼ú  28 23" xfId="8368"/>
    <cellStyle name="AeE­_ ºn¸nº° ¿uº°±a¼u  28 24" xfId="8369"/>
    <cellStyle name="ÅëÈ­_ ºñ¸ñº° ¿ùº°±â¼ú  28 24" xfId="8370"/>
    <cellStyle name="AeE­_ ºn¸nº° ¿uº°±a¼u  28 25" xfId="8371"/>
    <cellStyle name="ÅëÈ­_ ºñ¸ñº° ¿ùº°±â¼ú  28 25" xfId="8372"/>
    <cellStyle name="AeE­_ ºn¸nº° ¿uº°±a¼u  28 26" xfId="8373"/>
    <cellStyle name="ÅëÈ­_ ºñ¸ñº° ¿ùº°±â¼ú  28 26" xfId="8374"/>
    <cellStyle name="AeE­_ ºn¸nº° ¿uº°±a¼u  28 27" xfId="8375"/>
    <cellStyle name="ÅëÈ­_ ºñ¸ñº° ¿ùº°±â¼ú  28 27" xfId="8376"/>
    <cellStyle name="AeE­_ ºn¸nº° ¿uº°±a¼u  28 28" xfId="8377"/>
    <cellStyle name="ÅëÈ­_ ºñ¸ñº° ¿ùº°±â¼ú  28 28" xfId="8378"/>
    <cellStyle name="AeE­_ ºn¸nº° ¿uº°±a¼u  28 29" xfId="8379"/>
    <cellStyle name="ÅëÈ­_ ºñ¸ñº° ¿ùº°±â¼ú  28 29" xfId="8380"/>
    <cellStyle name="AeE­_ ºn¸nº° ¿uº°±a¼u  28 3" xfId="8381"/>
    <cellStyle name="ÅëÈ­_ ºñ¸ñº° ¿ùº°±â¼ú  28 3" xfId="8382"/>
    <cellStyle name="AeE­_ ºn¸nº° ¿uº°±a¼u  28 30" xfId="8383"/>
    <cellStyle name="ÅëÈ­_ ºñ¸ñº° ¿ùº°±â¼ú  28 30" xfId="8384"/>
    <cellStyle name="AeE­_ ºn¸nº° ¿uº°±a¼u  28 31" xfId="8385"/>
    <cellStyle name="ÅëÈ­_ ºñ¸ñº° ¿ùº°±â¼ú  28 31" xfId="8386"/>
    <cellStyle name="AeE­_ ºn¸nº° ¿uº°±a¼u  28 32" xfId="8387"/>
    <cellStyle name="ÅëÈ­_ ºñ¸ñº° ¿ùº°±â¼ú  28 32" xfId="8388"/>
    <cellStyle name="AeE­_ ºn¸nº° ¿uº°±a¼u  28 33" xfId="8389"/>
    <cellStyle name="ÅëÈ­_ ºñ¸ñº° ¿ùº°±â¼ú  28 33" xfId="8390"/>
    <cellStyle name="AeE­_ ºn¸nº° ¿uº°±a¼u  28 34" xfId="8391"/>
    <cellStyle name="ÅëÈ­_ ºñ¸ñº° ¿ùº°±â¼ú  28 34" xfId="8392"/>
    <cellStyle name="AeE­_ ºn¸nº° ¿uº°±a¼u  28 4" xfId="8393"/>
    <cellStyle name="ÅëÈ­_ ºñ¸ñº° ¿ùº°±â¼ú  28 4" xfId="8394"/>
    <cellStyle name="AeE­_ ºn¸nº° ¿uº°±a¼u  28 5" xfId="8395"/>
    <cellStyle name="ÅëÈ­_ ºñ¸ñº° ¿ùº°±â¼ú  28 5" xfId="8396"/>
    <cellStyle name="AeE­_ ºn¸nº° ¿uº°±a¼u  28 6" xfId="8397"/>
    <cellStyle name="ÅëÈ­_ ºñ¸ñº° ¿ùº°±â¼ú  28 6" xfId="8398"/>
    <cellStyle name="AeE­_ ºn¸nº° ¿uº°±a¼u  28 7" xfId="8399"/>
    <cellStyle name="ÅëÈ­_ ºñ¸ñº° ¿ùº°±â¼ú  28 7" xfId="8400"/>
    <cellStyle name="AeE­_ ºn¸nº° ¿uº°±a¼u  28 8" xfId="8401"/>
    <cellStyle name="ÅëÈ­_ ºñ¸ñº° ¿ùº°±â¼ú  28 8" xfId="8402"/>
    <cellStyle name="AeE­_ ºn¸nº° ¿uº°±a¼u  28 9" xfId="8403"/>
    <cellStyle name="ÅëÈ­_ ºñ¸ñº° ¿ùº°±â¼ú  28 9" xfId="8404"/>
    <cellStyle name="AeE­_ ºn¸nº° ¿uº°±a¼u  29" xfId="8405"/>
    <cellStyle name="ÅëÈ­_ ºñ¸ñº° ¿ùº°±â¼ú  29" xfId="8406"/>
    <cellStyle name="AeE­_ ºn¸nº° ¿uº°±a¼u  29 10" xfId="8407"/>
    <cellStyle name="ÅëÈ­_ ºñ¸ñº° ¿ùº°±â¼ú  29 10" xfId="8408"/>
    <cellStyle name="AeE­_ ºn¸nº° ¿uº°±a¼u  29 11" xfId="8409"/>
    <cellStyle name="ÅëÈ­_ ºñ¸ñº° ¿ùº°±â¼ú  29 11" xfId="8410"/>
    <cellStyle name="AeE­_ ºn¸nº° ¿uº°±a¼u  29 12" xfId="8411"/>
    <cellStyle name="ÅëÈ­_ ºñ¸ñº° ¿ùº°±â¼ú  29 12" xfId="8412"/>
    <cellStyle name="AeE­_ ºn¸nº° ¿uº°±a¼u  29 13" xfId="8413"/>
    <cellStyle name="ÅëÈ­_ ºñ¸ñº° ¿ùº°±â¼ú  29 13" xfId="8414"/>
    <cellStyle name="AeE­_ ºn¸nº° ¿uº°±a¼u  29 14" xfId="8415"/>
    <cellStyle name="ÅëÈ­_ ºñ¸ñº° ¿ùº°±â¼ú  29 14" xfId="8416"/>
    <cellStyle name="AeE­_ ºn¸nº° ¿uº°±a¼u  29 15" xfId="8417"/>
    <cellStyle name="ÅëÈ­_ ºñ¸ñº° ¿ùº°±â¼ú  29 15" xfId="8418"/>
    <cellStyle name="AeE­_ ºn¸nº° ¿uº°±a¼u  29 16" xfId="8419"/>
    <cellStyle name="ÅëÈ­_ ºñ¸ñº° ¿ùº°±â¼ú  29 16" xfId="8420"/>
    <cellStyle name="AeE­_ ºn¸nº° ¿uº°±a¼u  29 17" xfId="8421"/>
    <cellStyle name="ÅëÈ­_ ºñ¸ñº° ¿ùº°±â¼ú  29 17" xfId="8422"/>
    <cellStyle name="AeE­_ ºn¸nº° ¿uº°±a¼u  29 18" xfId="8423"/>
    <cellStyle name="ÅëÈ­_ ºñ¸ñº° ¿ùº°±â¼ú  29 18" xfId="8424"/>
    <cellStyle name="AeE­_ ºn¸nº° ¿uº°±a¼u  29 19" xfId="8425"/>
    <cellStyle name="ÅëÈ­_ ºñ¸ñº° ¿ùº°±â¼ú  29 19" xfId="8426"/>
    <cellStyle name="AeE­_ ºn¸nº° ¿uº°±a¼u  29 2" xfId="8427"/>
    <cellStyle name="ÅëÈ­_ ºñ¸ñº° ¿ùº°±â¼ú  29 2" xfId="8428"/>
    <cellStyle name="AeE­_ ºn¸nº° ¿uº°±a¼u  29 20" xfId="8429"/>
    <cellStyle name="ÅëÈ­_ ºñ¸ñº° ¿ùº°±â¼ú  29 20" xfId="8430"/>
    <cellStyle name="AeE­_ ºn¸nº° ¿uº°±a¼u  29 21" xfId="8431"/>
    <cellStyle name="ÅëÈ­_ ºñ¸ñº° ¿ùº°±â¼ú  29 21" xfId="8432"/>
    <cellStyle name="AeE­_ ºn¸nº° ¿uº°±a¼u  29 22" xfId="8433"/>
    <cellStyle name="ÅëÈ­_ ºñ¸ñº° ¿ùº°±â¼ú  29 22" xfId="8434"/>
    <cellStyle name="AeE­_ ºn¸nº° ¿uº°±a¼u  29 23" xfId="8435"/>
    <cellStyle name="ÅëÈ­_ ºñ¸ñº° ¿ùº°±â¼ú  29 23" xfId="8436"/>
    <cellStyle name="AeE­_ ºn¸nº° ¿uº°±a¼u  29 24" xfId="8437"/>
    <cellStyle name="ÅëÈ­_ ºñ¸ñº° ¿ùº°±â¼ú  29 24" xfId="8438"/>
    <cellStyle name="AeE­_ ºn¸nº° ¿uº°±a¼u  29 25" xfId="8439"/>
    <cellStyle name="ÅëÈ­_ ºñ¸ñº° ¿ùº°±â¼ú  29 25" xfId="8440"/>
    <cellStyle name="AeE­_ ºn¸nº° ¿uº°±a¼u  29 26" xfId="8441"/>
    <cellStyle name="ÅëÈ­_ ºñ¸ñº° ¿ùº°±â¼ú  29 26" xfId="8442"/>
    <cellStyle name="AeE­_ ºn¸nº° ¿uº°±a¼u  29 27" xfId="8443"/>
    <cellStyle name="ÅëÈ­_ ºñ¸ñº° ¿ùº°±â¼ú  29 27" xfId="8444"/>
    <cellStyle name="AeE­_ ºn¸nº° ¿uº°±a¼u  29 28" xfId="8445"/>
    <cellStyle name="ÅëÈ­_ ºñ¸ñº° ¿ùº°±â¼ú  29 28" xfId="8446"/>
    <cellStyle name="AeE­_ ºn¸nº° ¿uº°±a¼u  29 29" xfId="8447"/>
    <cellStyle name="ÅëÈ­_ ºñ¸ñº° ¿ùº°±â¼ú  29 29" xfId="8448"/>
    <cellStyle name="AeE­_ ºn¸nº° ¿uº°±a¼u  29 3" xfId="8449"/>
    <cellStyle name="ÅëÈ­_ ºñ¸ñº° ¿ùº°±â¼ú  29 3" xfId="8450"/>
    <cellStyle name="AeE­_ ºn¸nº° ¿uº°±a¼u  29 30" xfId="8451"/>
    <cellStyle name="ÅëÈ­_ ºñ¸ñº° ¿ùº°±â¼ú  29 30" xfId="8452"/>
    <cellStyle name="AeE­_ ºn¸nº° ¿uº°±a¼u  29 31" xfId="8453"/>
    <cellStyle name="ÅëÈ­_ ºñ¸ñº° ¿ùº°±â¼ú  29 31" xfId="8454"/>
    <cellStyle name="AeE­_ ºn¸nº° ¿uº°±a¼u  29 32" xfId="8455"/>
    <cellStyle name="ÅëÈ­_ ºñ¸ñº° ¿ùº°±â¼ú  29 32" xfId="8456"/>
    <cellStyle name="AeE­_ ºn¸nº° ¿uº°±a¼u  29 33" xfId="8457"/>
    <cellStyle name="ÅëÈ­_ ºñ¸ñº° ¿ùº°±â¼ú  29 33" xfId="8458"/>
    <cellStyle name="AeE­_ ºn¸nº° ¿uº°±a¼u  29 34" xfId="8459"/>
    <cellStyle name="ÅëÈ­_ ºñ¸ñº° ¿ùº°±â¼ú  29 34" xfId="8460"/>
    <cellStyle name="AeE­_ ºn¸nº° ¿uº°±a¼u  29 4" xfId="8461"/>
    <cellStyle name="ÅëÈ­_ ºñ¸ñº° ¿ùº°±â¼ú  29 4" xfId="8462"/>
    <cellStyle name="AeE­_ ºn¸nº° ¿uº°±a¼u  29 5" xfId="8463"/>
    <cellStyle name="ÅëÈ­_ ºñ¸ñº° ¿ùº°±â¼ú  29 5" xfId="8464"/>
    <cellStyle name="AeE­_ ºn¸nº° ¿uº°±a¼u  29 6" xfId="8465"/>
    <cellStyle name="ÅëÈ­_ ºñ¸ñº° ¿ùº°±â¼ú  29 6" xfId="8466"/>
    <cellStyle name="AeE­_ ºn¸nº° ¿uº°±a¼u  29 7" xfId="8467"/>
    <cellStyle name="ÅëÈ­_ ºñ¸ñº° ¿ùº°±â¼ú  29 7" xfId="8468"/>
    <cellStyle name="AeE­_ ºn¸nº° ¿uº°±a¼u  29 8" xfId="8469"/>
    <cellStyle name="ÅëÈ­_ ºñ¸ñº° ¿ùº°±â¼ú  29 8" xfId="8470"/>
    <cellStyle name="AeE­_ ºn¸nº° ¿uº°±a¼u  29 9" xfId="8471"/>
    <cellStyle name="ÅëÈ­_ ºñ¸ñº° ¿ùº°±â¼ú  29 9" xfId="8472"/>
    <cellStyle name="AeE­_ ºn¸nº° ¿uº°±a¼u  3" xfId="8473"/>
    <cellStyle name="ÅëÈ­_ ºñ¸ñº° ¿ùº°±â¼ú  3" xfId="8474"/>
    <cellStyle name="AeE­_ ºn¸nº° ¿uº°±a¼u  3 10" xfId="8475"/>
    <cellStyle name="ÅëÈ­_ ºñ¸ñº° ¿ùº°±â¼ú  3 10" xfId="8476"/>
    <cellStyle name="AeE­_ ºn¸nº° ¿uº°±a¼u  3 11" xfId="8477"/>
    <cellStyle name="ÅëÈ­_ ºñ¸ñº° ¿ùº°±â¼ú  3 11" xfId="8478"/>
    <cellStyle name="AeE­_ ºn¸nº° ¿uº°±a¼u  3 12" xfId="8479"/>
    <cellStyle name="ÅëÈ­_ ºñ¸ñº° ¿ùº°±â¼ú  3 12" xfId="8480"/>
    <cellStyle name="AeE­_ ºn¸nº° ¿uº°±a¼u  3 13" xfId="8481"/>
    <cellStyle name="ÅëÈ­_ ºñ¸ñº° ¿ùº°±â¼ú  3 13" xfId="8482"/>
    <cellStyle name="AeE­_ ºn¸nº° ¿uº°±a¼u  3 14" xfId="8483"/>
    <cellStyle name="ÅëÈ­_ ºñ¸ñº° ¿ùº°±â¼ú  3 14" xfId="8484"/>
    <cellStyle name="AeE­_ ºn¸nº° ¿uº°±a¼u  3 15" xfId="8485"/>
    <cellStyle name="ÅëÈ­_ ºñ¸ñº° ¿ùº°±â¼ú  3 15" xfId="8486"/>
    <cellStyle name="AeE­_ ºn¸nº° ¿uº°±a¼u  3 16" xfId="8487"/>
    <cellStyle name="ÅëÈ­_ ºñ¸ñº° ¿ùº°±â¼ú  3 16" xfId="8488"/>
    <cellStyle name="AeE­_ ºn¸nº° ¿uº°±a¼u  3 17" xfId="8489"/>
    <cellStyle name="ÅëÈ­_ ºñ¸ñº° ¿ùº°±â¼ú  3 17" xfId="8490"/>
    <cellStyle name="AeE­_ ºn¸nº° ¿uº°±a¼u  3 18" xfId="8491"/>
    <cellStyle name="ÅëÈ­_ ºñ¸ñº° ¿ùº°±â¼ú  3 18" xfId="8492"/>
    <cellStyle name="AeE­_ ºn¸nº° ¿uº°±a¼u  3 19" xfId="8493"/>
    <cellStyle name="ÅëÈ­_ ºñ¸ñº° ¿ùº°±â¼ú  3 19" xfId="8494"/>
    <cellStyle name="AeE­_ ºn¸nº° ¿uº°±a¼u  3 2" xfId="8495"/>
    <cellStyle name="ÅëÈ­_ ºñ¸ñº° ¿ùº°±â¼ú  3 2" xfId="8496"/>
    <cellStyle name="AeE­_ ºn¸nº° ¿uº°±a¼u  3 20" xfId="8497"/>
    <cellStyle name="ÅëÈ­_ ºñ¸ñº° ¿ùº°±â¼ú  3 20" xfId="8498"/>
    <cellStyle name="AeE­_ ºn¸nº° ¿uº°±a¼u  3 21" xfId="8499"/>
    <cellStyle name="ÅëÈ­_ ºñ¸ñº° ¿ùº°±â¼ú  3 21" xfId="8500"/>
    <cellStyle name="AeE­_ ºn¸nº° ¿uº°±a¼u  3 22" xfId="8501"/>
    <cellStyle name="ÅëÈ­_ ºñ¸ñº° ¿ùº°±â¼ú  3 22" xfId="8502"/>
    <cellStyle name="AeE­_ ºn¸nº° ¿uº°±a¼u  3 23" xfId="8503"/>
    <cellStyle name="ÅëÈ­_ ºñ¸ñº° ¿ùº°±â¼ú  3 23" xfId="8504"/>
    <cellStyle name="AeE­_ ºn¸nº° ¿uº°±a¼u  3 24" xfId="8505"/>
    <cellStyle name="ÅëÈ­_ ºñ¸ñº° ¿ùº°±â¼ú  3 24" xfId="8506"/>
    <cellStyle name="AeE­_ ºn¸nº° ¿uº°±a¼u  3 25" xfId="8507"/>
    <cellStyle name="ÅëÈ­_ ºñ¸ñº° ¿ùº°±â¼ú  3 25" xfId="8508"/>
    <cellStyle name="AeE­_ ºn¸nº° ¿uº°±a¼u  3 26" xfId="8509"/>
    <cellStyle name="ÅëÈ­_ ºñ¸ñº° ¿ùº°±â¼ú  3 26" xfId="8510"/>
    <cellStyle name="AeE­_ ºn¸nº° ¿uº°±a¼u  3 27" xfId="8511"/>
    <cellStyle name="ÅëÈ­_ ºñ¸ñº° ¿ùº°±â¼ú  3 27" xfId="8512"/>
    <cellStyle name="AeE­_ ºn¸nº° ¿uº°±a¼u  3 28" xfId="8513"/>
    <cellStyle name="ÅëÈ­_ ºñ¸ñº° ¿ùº°±â¼ú  3 28" xfId="8514"/>
    <cellStyle name="AeE­_ ºn¸nº° ¿uº°±a¼u  3 29" xfId="8515"/>
    <cellStyle name="ÅëÈ­_ ºñ¸ñº° ¿ùº°±â¼ú  3 29" xfId="8516"/>
    <cellStyle name="AeE­_ ºn¸nº° ¿uº°±a¼u  3 3" xfId="8517"/>
    <cellStyle name="ÅëÈ­_ ºñ¸ñº° ¿ùº°±â¼ú  3 3" xfId="8518"/>
    <cellStyle name="AeE­_ ºn¸nº° ¿uº°±a¼u  3 30" xfId="8519"/>
    <cellStyle name="ÅëÈ­_ ºñ¸ñº° ¿ùº°±â¼ú  3 30" xfId="8520"/>
    <cellStyle name="AeE­_ ºn¸nº° ¿uº°±a¼u  3 31" xfId="8521"/>
    <cellStyle name="ÅëÈ­_ ºñ¸ñº° ¿ùº°±â¼ú  3 31" xfId="8522"/>
    <cellStyle name="AeE­_ ºn¸nº° ¿uº°±a¼u  3 32" xfId="8523"/>
    <cellStyle name="ÅëÈ­_ ºñ¸ñº° ¿ùº°±â¼ú  3 32" xfId="8524"/>
    <cellStyle name="AeE­_ ºn¸nº° ¿uº°±a¼u  3 33" xfId="8525"/>
    <cellStyle name="ÅëÈ­_ ºñ¸ñº° ¿ùº°±â¼ú  3 33" xfId="8526"/>
    <cellStyle name="AeE­_ ºn¸nº° ¿uº°±a¼u  3 34" xfId="8527"/>
    <cellStyle name="ÅëÈ­_ ºñ¸ñº° ¿ùº°±â¼ú  3 34" xfId="8528"/>
    <cellStyle name="AeE­_ ºn¸nº° ¿uº°±a¼u  3 4" xfId="8529"/>
    <cellStyle name="ÅëÈ­_ ºñ¸ñº° ¿ùº°±â¼ú  3 4" xfId="8530"/>
    <cellStyle name="AeE­_ ºn¸nº° ¿uº°±a¼u  3 5" xfId="8531"/>
    <cellStyle name="ÅëÈ­_ ºñ¸ñº° ¿ùº°±â¼ú  3 5" xfId="8532"/>
    <cellStyle name="AeE­_ ºn¸nº° ¿uº°±a¼u  3 6" xfId="8533"/>
    <cellStyle name="ÅëÈ­_ ºñ¸ñº° ¿ùº°±â¼ú  3 6" xfId="8534"/>
    <cellStyle name="AeE­_ ºn¸nº° ¿uº°±a¼u  3 7" xfId="8535"/>
    <cellStyle name="ÅëÈ­_ ºñ¸ñº° ¿ùº°±â¼ú  3 7" xfId="8536"/>
    <cellStyle name="AeE­_ ºn¸nº° ¿uº°±a¼u  3 8" xfId="8537"/>
    <cellStyle name="ÅëÈ­_ ºñ¸ñº° ¿ùº°±â¼ú  3 8" xfId="8538"/>
    <cellStyle name="AeE­_ ºn¸nº° ¿uº°±a¼u  3 9" xfId="8539"/>
    <cellStyle name="ÅëÈ­_ ºñ¸ñº° ¿ùº°±â¼ú  3 9" xfId="8540"/>
    <cellStyle name="AeE­_ ºn¸nº° ¿uº°±a¼u  30" xfId="8541"/>
    <cellStyle name="ÅëÈ­_ ºñ¸ñº° ¿ùº°±â¼ú  30" xfId="8542"/>
    <cellStyle name="AeE­_ ºn¸nº° ¿uº°±a¼u  30 10" xfId="8543"/>
    <cellStyle name="ÅëÈ­_ ºñ¸ñº° ¿ùº°±â¼ú  30 10" xfId="8544"/>
    <cellStyle name="AeE­_ ºn¸nº° ¿uº°±a¼u  30 11" xfId="8545"/>
    <cellStyle name="ÅëÈ­_ ºñ¸ñº° ¿ùº°±â¼ú  30 11" xfId="8546"/>
    <cellStyle name="AeE­_ ºn¸nº° ¿uº°±a¼u  30 12" xfId="8547"/>
    <cellStyle name="ÅëÈ­_ ºñ¸ñº° ¿ùº°±â¼ú  30 12" xfId="8548"/>
    <cellStyle name="AeE­_ ºn¸nº° ¿uº°±a¼u  30 13" xfId="8549"/>
    <cellStyle name="ÅëÈ­_ ºñ¸ñº° ¿ùº°±â¼ú  30 13" xfId="8550"/>
    <cellStyle name="AeE­_ ºn¸nº° ¿uº°±a¼u  30 14" xfId="8551"/>
    <cellStyle name="ÅëÈ­_ ºñ¸ñº° ¿ùº°±â¼ú  30 14" xfId="8552"/>
    <cellStyle name="AeE­_ ºn¸nº° ¿uº°±a¼u  30 15" xfId="8553"/>
    <cellStyle name="ÅëÈ­_ ºñ¸ñº° ¿ùº°±â¼ú  30 15" xfId="8554"/>
    <cellStyle name="AeE­_ ºn¸nº° ¿uº°±a¼u  30 16" xfId="8555"/>
    <cellStyle name="ÅëÈ­_ ºñ¸ñº° ¿ùº°±â¼ú  30 16" xfId="8556"/>
    <cellStyle name="AeE­_ ºn¸nº° ¿uº°±a¼u  30 17" xfId="8557"/>
    <cellStyle name="ÅëÈ­_ ºñ¸ñº° ¿ùº°±â¼ú  30 17" xfId="8558"/>
    <cellStyle name="AeE­_ ºn¸nº° ¿uº°±a¼u  30 18" xfId="8559"/>
    <cellStyle name="ÅëÈ­_ ºñ¸ñº° ¿ùº°±â¼ú  30 18" xfId="8560"/>
    <cellStyle name="AeE­_ ºn¸nº° ¿uº°±a¼u  30 19" xfId="8561"/>
    <cellStyle name="ÅëÈ­_ ºñ¸ñº° ¿ùº°±â¼ú  30 19" xfId="8562"/>
    <cellStyle name="AeE­_ ºn¸nº° ¿uº°±a¼u  30 2" xfId="8563"/>
    <cellStyle name="ÅëÈ­_ ºñ¸ñº° ¿ùº°±â¼ú  30 2" xfId="8564"/>
    <cellStyle name="AeE­_ ºn¸nº° ¿uº°±a¼u  30 20" xfId="8565"/>
    <cellStyle name="ÅëÈ­_ ºñ¸ñº° ¿ùº°±â¼ú  30 20" xfId="8566"/>
    <cellStyle name="AeE­_ ºn¸nº° ¿uº°±a¼u  30 21" xfId="8567"/>
    <cellStyle name="ÅëÈ­_ ºñ¸ñº° ¿ùº°±â¼ú  30 21" xfId="8568"/>
    <cellStyle name="AeE­_ ºn¸nº° ¿uº°±a¼u  30 22" xfId="8569"/>
    <cellStyle name="ÅëÈ­_ ºñ¸ñº° ¿ùº°±â¼ú  30 22" xfId="8570"/>
    <cellStyle name="AeE­_ ºn¸nº° ¿uº°±a¼u  30 23" xfId="8571"/>
    <cellStyle name="ÅëÈ­_ ºñ¸ñº° ¿ùº°±â¼ú  30 23" xfId="8572"/>
    <cellStyle name="AeE­_ ºn¸nº° ¿uº°±a¼u  30 24" xfId="8573"/>
    <cellStyle name="ÅëÈ­_ ºñ¸ñº° ¿ùº°±â¼ú  30 24" xfId="8574"/>
    <cellStyle name="AeE­_ ºn¸nº° ¿uº°±a¼u  30 25" xfId="8575"/>
    <cellStyle name="ÅëÈ­_ ºñ¸ñº° ¿ùº°±â¼ú  30 25" xfId="8576"/>
    <cellStyle name="AeE­_ ºn¸nº° ¿uº°±a¼u  30 26" xfId="8577"/>
    <cellStyle name="ÅëÈ­_ ºñ¸ñº° ¿ùº°±â¼ú  30 26" xfId="8578"/>
    <cellStyle name="AeE­_ ºn¸nº° ¿uº°±a¼u  30 27" xfId="8579"/>
    <cellStyle name="ÅëÈ­_ ºñ¸ñº° ¿ùº°±â¼ú  30 27" xfId="8580"/>
    <cellStyle name="AeE­_ ºn¸nº° ¿uº°±a¼u  30 28" xfId="8581"/>
    <cellStyle name="ÅëÈ­_ ºñ¸ñº° ¿ùº°±â¼ú  30 28" xfId="8582"/>
    <cellStyle name="AeE­_ ºn¸nº° ¿uº°±a¼u  30 29" xfId="8583"/>
    <cellStyle name="ÅëÈ­_ ºñ¸ñº° ¿ùº°±â¼ú  30 29" xfId="8584"/>
    <cellStyle name="AeE­_ ºn¸nº° ¿uº°±a¼u  30 3" xfId="8585"/>
    <cellStyle name="ÅëÈ­_ ºñ¸ñº° ¿ùº°±â¼ú  30 3" xfId="8586"/>
    <cellStyle name="AeE­_ ºn¸nº° ¿uº°±a¼u  30 30" xfId="8587"/>
    <cellStyle name="ÅëÈ­_ ºñ¸ñº° ¿ùº°±â¼ú  30 30" xfId="8588"/>
    <cellStyle name="AeE­_ ºn¸nº° ¿uº°±a¼u  30 31" xfId="8589"/>
    <cellStyle name="ÅëÈ­_ ºñ¸ñº° ¿ùº°±â¼ú  30 31" xfId="8590"/>
    <cellStyle name="AeE­_ ºn¸nº° ¿uº°±a¼u  30 32" xfId="8591"/>
    <cellStyle name="ÅëÈ­_ ºñ¸ñº° ¿ùº°±â¼ú  30 32" xfId="8592"/>
    <cellStyle name="AeE­_ ºn¸nº° ¿uº°±a¼u  30 33" xfId="8593"/>
    <cellStyle name="ÅëÈ­_ ºñ¸ñº° ¿ùº°±â¼ú  30 33" xfId="8594"/>
    <cellStyle name="AeE­_ ºn¸nº° ¿uº°±a¼u  30 34" xfId="8595"/>
    <cellStyle name="ÅëÈ­_ ºñ¸ñº° ¿ùº°±â¼ú  30 34" xfId="8596"/>
    <cellStyle name="AeE­_ ºn¸nº° ¿uº°±a¼u  30 4" xfId="8597"/>
    <cellStyle name="ÅëÈ­_ ºñ¸ñº° ¿ùº°±â¼ú  30 4" xfId="8598"/>
    <cellStyle name="AeE­_ ºn¸nº° ¿uº°±a¼u  30 5" xfId="8599"/>
    <cellStyle name="ÅëÈ­_ ºñ¸ñº° ¿ùº°±â¼ú  30 5" xfId="8600"/>
    <cellStyle name="AeE­_ ºn¸nº° ¿uº°±a¼u  30 6" xfId="8601"/>
    <cellStyle name="ÅëÈ­_ ºñ¸ñº° ¿ùº°±â¼ú  30 6" xfId="8602"/>
    <cellStyle name="AeE­_ ºn¸nº° ¿uº°±a¼u  30 7" xfId="8603"/>
    <cellStyle name="ÅëÈ­_ ºñ¸ñº° ¿ùº°±â¼ú  30 7" xfId="8604"/>
    <cellStyle name="AeE­_ ºn¸nº° ¿uº°±a¼u  30 8" xfId="8605"/>
    <cellStyle name="ÅëÈ­_ ºñ¸ñº° ¿ùº°±â¼ú  30 8" xfId="8606"/>
    <cellStyle name="AeE­_ ºn¸nº° ¿uº°±a¼u  30 9" xfId="8607"/>
    <cellStyle name="ÅëÈ­_ ºñ¸ñº° ¿ùº°±â¼ú  30 9" xfId="8608"/>
    <cellStyle name="AeE­_ ºn¸nº° ¿uº°±a¼u  31" xfId="8609"/>
    <cellStyle name="ÅëÈ­_ ºñ¸ñº° ¿ùº°±â¼ú  31" xfId="8610"/>
    <cellStyle name="AeE­_ ºn¸nº° ¿uº°±a¼u  31 10" xfId="8611"/>
    <cellStyle name="ÅëÈ­_ ºñ¸ñº° ¿ùº°±â¼ú  31 10" xfId="8612"/>
    <cellStyle name="AeE­_ ºn¸nº° ¿uº°±a¼u  31 11" xfId="8613"/>
    <cellStyle name="ÅëÈ­_ ºñ¸ñº° ¿ùº°±â¼ú  31 11" xfId="8614"/>
    <cellStyle name="AeE­_ ºn¸nº° ¿uº°±a¼u  31 12" xfId="8615"/>
    <cellStyle name="ÅëÈ­_ ºñ¸ñº° ¿ùº°±â¼ú  31 12" xfId="8616"/>
    <cellStyle name="AeE­_ ºn¸nº° ¿uº°±a¼u  31 13" xfId="8617"/>
    <cellStyle name="ÅëÈ­_ ºñ¸ñº° ¿ùº°±â¼ú  31 13" xfId="8618"/>
    <cellStyle name="AeE­_ ºn¸nº° ¿uº°±a¼u  31 14" xfId="8619"/>
    <cellStyle name="ÅëÈ­_ ºñ¸ñº° ¿ùº°±â¼ú  31 14" xfId="8620"/>
    <cellStyle name="AeE­_ ºn¸nº° ¿uº°±a¼u  31 15" xfId="8621"/>
    <cellStyle name="ÅëÈ­_ ºñ¸ñº° ¿ùº°±â¼ú  31 15" xfId="8622"/>
    <cellStyle name="AeE­_ ºn¸nº° ¿uº°±a¼u  31 16" xfId="8623"/>
    <cellStyle name="ÅëÈ­_ ºñ¸ñº° ¿ùº°±â¼ú  31 16" xfId="8624"/>
    <cellStyle name="AeE­_ ºn¸nº° ¿uº°±a¼u  31 17" xfId="8625"/>
    <cellStyle name="ÅëÈ­_ ºñ¸ñº° ¿ùº°±â¼ú  31 17" xfId="8626"/>
    <cellStyle name="AeE­_ ºn¸nº° ¿uº°±a¼u  31 18" xfId="8627"/>
    <cellStyle name="ÅëÈ­_ ºñ¸ñº° ¿ùº°±â¼ú  31 18" xfId="8628"/>
    <cellStyle name="AeE­_ ºn¸nº° ¿uº°±a¼u  31 19" xfId="8629"/>
    <cellStyle name="ÅëÈ­_ ºñ¸ñº° ¿ùº°±â¼ú  31 19" xfId="8630"/>
    <cellStyle name="AeE­_ ºn¸nº° ¿uº°±a¼u  31 2" xfId="8631"/>
    <cellStyle name="ÅëÈ­_ ºñ¸ñº° ¿ùº°±â¼ú  31 2" xfId="8632"/>
    <cellStyle name="AeE­_ ºn¸nº° ¿uº°±a¼u  31 20" xfId="8633"/>
    <cellStyle name="ÅëÈ­_ ºñ¸ñº° ¿ùº°±â¼ú  31 20" xfId="8634"/>
    <cellStyle name="AeE­_ ºn¸nº° ¿uº°±a¼u  31 21" xfId="8635"/>
    <cellStyle name="ÅëÈ­_ ºñ¸ñº° ¿ùº°±â¼ú  31 21" xfId="8636"/>
    <cellStyle name="AeE­_ ºn¸nº° ¿uº°±a¼u  31 22" xfId="8637"/>
    <cellStyle name="ÅëÈ­_ ºñ¸ñº° ¿ùº°±â¼ú  31 22" xfId="8638"/>
    <cellStyle name="AeE­_ ºn¸nº° ¿uº°±a¼u  31 23" xfId="8639"/>
    <cellStyle name="ÅëÈ­_ ºñ¸ñº° ¿ùº°±â¼ú  31 23" xfId="8640"/>
    <cellStyle name="AeE­_ ºn¸nº° ¿uº°±a¼u  31 24" xfId="8641"/>
    <cellStyle name="ÅëÈ­_ ºñ¸ñº° ¿ùº°±â¼ú  31 24" xfId="8642"/>
    <cellStyle name="AeE­_ ºn¸nº° ¿uº°±a¼u  31 25" xfId="8643"/>
    <cellStyle name="ÅëÈ­_ ºñ¸ñº° ¿ùº°±â¼ú  31 25" xfId="8644"/>
    <cellStyle name="AeE­_ ºn¸nº° ¿uº°±a¼u  31 26" xfId="8645"/>
    <cellStyle name="ÅëÈ­_ ºñ¸ñº° ¿ùº°±â¼ú  31 26" xfId="8646"/>
    <cellStyle name="AeE­_ ºn¸nº° ¿uº°±a¼u  31 27" xfId="8647"/>
    <cellStyle name="ÅëÈ­_ ºñ¸ñº° ¿ùº°±â¼ú  31 27" xfId="8648"/>
    <cellStyle name="AeE­_ ºn¸nº° ¿uº°±a¼u  31 28" xfId="8649"/>
    <cellStyle name="ÅëÈ­_ ºñ¸ñº° ¿ùº°±â¼ú  31 28" xfId="8650"/>
    <cellStyle name="AeE­_ ºn¸nº° ¿uº°±a¼u  31 29" xfId="8651"/>
    <cellStyle name="ÅëÈ­_ ºñ¸ñº° ¿ùº°±â¼ú  31 29" xfId="8652"/>
    <cellStyle name="AeE­_ ºn¸nº° ¿uº°±a¼u  31 3" xfId="8653"/>
    <cellStyle name="ÅëÈ­_ ºñ¸ñº° ¿ùº°±â¼ú  31 3" xfId="8654"/>
    <cellStyle name="AeE­_ ºn¸nº° ¿uº°±a¼u  31 30" xfId="8655"/>
    <cellStyle name="ÅëÈ­_ ºñ¸ñº° ¿ùº°±â¼ú  31 30" xfId="8656"/>
    <cellStyle name="AeE­_ ºn¸nº° ¿uº°±a¼u  31 31" xfId="8657"/>
    <cellStyle name="ÅëÈ­_ ºñ¸ñº° ¿ùº°±â¼ú  31 31" xfId="8658"/>
    <cellStyle name="AeE­_ ºn¸nº° ¿uº°±a¼u  31 32" xfId="8659"/>
    <cellStyle name="ÅëÈ­_ ºñ¸ñº° ¿ùº°±â¼ú  31 32" xfId="8660"/>
    <cellStyle name="AeE­_ ºn¸nº° ¿uº°±a¼u  31 33" xfId="8661"/>
    <cellStyle name="ÅëÈ­_ ºñ¸ñº° ¿ùº°±â¼ú  31 33" xfId="8662"/>
    <cellStyle name="AeE­_ ºn¸nº° ¿uº°±a¼u  31 34" xfId="8663"/>
    <cellStyle name="ÅëÈ­_ ºñ¸ñº° ¿ùº°±â¼ú  31 34" xfId="8664"/>
    <cellStyle name="AeE­_ ºn¸nº° ¿uº°±a¼u  31 4" xfId="8665"/>
    <cellStyle name="ÅëÈ­_ ºñ¸ñº° ¿ùº°±â¼ú  31 4" xfId="8666"/>
    <cellStyle name="AeE­_ ºn¸nº° ¿uº°±a¼u  31 5" xfId="8667"/>
    <cellStyle name="ÅëÈ­_ ºñ¸ñº° ¿ùº°±â¼ú  31 5" xfId="8668"/>
    <cellStyle name="AeE­_ ºn¸nº° ¿uº°±a¼u  31 6" xfId="8669"/>
    <cellStyle name="ÅëÈ­_ ºñ¸ñº° ¿ùº°±â¼ú  31 6" xfId="8670"/>
    <cellStyle name="AeE­_ ºn¸nº° ¿uº°±a¼u  31 7" xfId="8671"/>
    <cellStyle name="ÅëÈ­_ ºñ¸ñº° ¿ùº°±â¼ú  31 7" xfId="8672"/>
    <cellStyle name="AeE­_ ºn¸nº° ¿uº°±a¼u  31 8" xfId="8673"/>
    <cellStyle name="ÅëÈ­_ ºñ¸ñº° ¿ùº°±â¼ú  31 8" xfId="8674"/>
    <cellStyle name="AeE­_ ºn¸nº° ¿uº°±a¼u  31 9" xfId="8675"/>
    <cellStyle name="ÅëÈ­_ ºñ¸ñº° ¿ùº°±â¼ú  31 9" xfId="8676"/>
    <cellStyle name="AeE­_ ºn¸nº° ¿uº°±a¼u  32" xfId="8677"/>
    <cellStyle name="ÅëÈ­_ ºñ¸ñº° ¿ùº°±â¼ú  32" xfId="8678"/>
    <cellStyle name="AeE­_ ºn¸nº° ¿uº°±a¼u  32 10" xfId="8679"/>
    <cellStyle name="ÅëÈ­_ ºñ¸ñº° ¿ùº°±â¼ú  32 10" xfId="8680"/>
    <cellStyle name="AeE­_ ºn¸nº° ¿uº°±a¼u  32 11" xfId="8681"/>
    <cellStyle name="ÅëÈ­_ ºñ¸ñº° ¿ùº°±â¼ú  32 11" xfId="8682"/>
    <cellStyle name="AeE­_ ºn¸nº° ¿uº°±a¼u  32 12" xfId="8683"/>
    <cellStyle name="ÅëÈ­_ ºñ¸ñº° ¿ùº°±â¼ú  32 12" xfId="8684"/>
    <cellStyle name="AeE­_ ºn¸nº° ¿uº°±a¼u  32 13" xfId="8685"/>
    <cellStyle name="ÅëÈ­_ ºñ¸ñº° ¿ùº°±â¼ú  32 13" xfId="8686"/>
    <cellStyle name="AeE­_ ºn¸nº° ¿uº°±a¼u  32 14" xfId="8687"/>
    <cellStyle name="ÅëÈ­_ ºñ¸ñº° ¿ùº°±â¼ú  32 14" xfId="8688"/>
    <cellStyle name="AeE­_ ºn¸nº° ¿uº°±a¼u  32 15" xfId="8689"/>
    <cellStyle name="ÅëÈ­_ ºñ¸ñº° ¿ùº°±â¼ú  32 15" xfId="8690"/>
    <cellStyle name="AeE­_ ºn¸nº° ¿uº°±a¼u  32 16" xfId="8691"/>
    <cellStyle name="ÅëÈ­_ ºñ¸ñº° ¿ùº°±â¼ú  32 16" xfId="8692"/>
    <cellStyle name="AeE­_ ºn¸nº° ¿uº°±a¼u  32 17" xfId="8693"/>
    <cellStyle name="ÅëÈ­_ ºñ¸ñº° ¿ùº°±â¼ú  32 17" xfId="8694"/>
    <cellStyle name="AeE­_ ºn¸nº° ¿uº°±a¼u  32 18" xfId="8695"/>
    <cellStyle name="ÅëÈ­_ ºñ¸ñº° ¿ùº°±â¼ú  32 18" xfId="8696"/>
    <cellStyle name="AeE­_ ºn¸nº° ¿uº°±a¼u  32 19" xfId="8697"/>
    <cellStyle name="ÅëÈ­_ ºñ¸ñº° ¿ùº°±â¼ú  32 19" xfId="8698"/>
    <cellStyle name="AeE­_ ºn¸nº° ¿uº°±a¼u  32 2" xfId="8699"/>
    <cellStyle name="ÅëÈ­_ ºñ¸ñº° ¿ùº°±â¼ú  32 2" xfId="8700"/>
    <cellStyle name="AeE­_ ºn¸nº° ¿uº°±a¼u  32 20" xfId="8701"/>
    <cellStyle name="ÅëÈ­_ ºñ¸ñº° ¿ùº°±â¼ú  32 20" xfId="8702"/>
    <cellStyle name="AeE­_ ºn¸nº° ¿uº°±a¼u  32 21" xfId="8703"/>
    <cellStyle name="ÅëÈ­_ ºñ¸ñº° ¿ùº°±â¼ú  32 21" xfId="8704"/>
    <cellStyle name="AeE­_ ºn¸nº° ¿uº°±a¼u  32 22" xfId="8705"/>
    <cellStyle name="ÅëÈ­_ ºñ¸ñº° ¿ùº°±â¼ú  32 22" xfId="8706"/>
    <cellStyle name="AeE­_ ºn¸nº° ¿uº°±a¼u  32 23" xfId="8707"/>
    <cellStyle name="ÅëÈ­_ ºñ¸ñº° ¿ùº°±â¼ú  32 23" xfId="8708"/>
    <cellStyle name="AeE­_ ºn¸nº° ¿uº°±a¼u  32 24" xfId="8709"/>
    <cellStyle name="ÅëÈ­_ ºñ¸ñº° ¿ùº°±â¼ú  32 24" xfId="8710"/>
    <cellStyle name="AeE­_ ºn¸nº° ¿uº°±a¼u  32 25" xfId="8711"/>
    <cellStyle name="ÅëÈ­_ ºñ¸ñº° ¿ùº°±â¼ú  32 25" xfId="8712"/>
    <cellStyle name="AeE­_ ºn¸nº° ¿uº°±a¼u  32 26" xfId="8713"/>
    <cellStyle name="ÅëÈ­_ ºñ¸ñº° ¿ùº°±â¼ú  32 26" xfId="8714"/>
    <cellStyle name="AeE­_ ºn¸nº° ¿uº°±a¼u  32 27" xfId="8715"/>
    <cellStyle name="ÅëÈ­_ ºñ¸ñº° ¿ùº°±â¼ú  32 27" xfId="8716"/>
    <cellStyle name="AeE­_ ºn¸nº° ¿uº°±a¼u  32 28" xfId="8717"/>
    <cellStyle name="ÅëÈ­_ ºñ¸ñº° ¿ùº°±â¼ú  32 28" xfId="8718"/>
    <cellStyle name="AeE­_ ºn¸nº° ¿uº°±a¼u  32 29" xfId="8719"/>
    <cellStyle name="ÅëÈ­_ ºñ¸ñº° ¿ùº°±â¼ú  32 29" xfId="8720"/>
    <cellStyle name="AeE­_ ºn¸nº° ¿uº°±a¼u  32 3" xfId="8721"/>
    <cellStyle name="ÅëÈ­_ ºñ¸ñº° ¿ùº°±â¼ú  32 3" xfId="8722"/>
    <cellStyle name="AeE­_ ºn¸nº° ¿uº°±a¼u  32 30" xfId="8723"/>
    <cellStyle name="ÅëÈ­_ ºñ¸ñº° ¿ùº°±â¼ú  32 30" xfId="8724"/>
    <cellStyle name="AeE­_ ºn¸nº° ¿uº°±a¼u  32 31" xfId="8725"/>
    <cellStyle name="ÅëÈ­_ ºñ¸ñº° ¿ùº°±â¼ú  32 31" xfId="8726"/>
    <cellStyle name="AeE­_ ºn¸nº° ¿uº°±a¼u  32 32" xfId="8727"/>
    <cellStyle name="ÅëÈ­_ ºñ¸ñº° ¿ùº°±â¼ú  32 32" xfId="8728"/>
    <cellStyle name="AeE­_ ºn¸nº° ¿uº°±a¼u  32 33" xfId="8729"/>
    <cellStyle name="ÅëÈ­_ ºñ¸ñº° ¿ùº°±â¼ú  32 33" xfId="8730"/>
    <cellStyle name="AeE­_ ºn¸nº° ¿uº°±a¼u  32 34" xfId="8731"/>
    <cellStyle name="ÅëÈ­_ ºñ¸ñº° ¿ùº°±â¼ú  32 34" xfId="8732"/>
    <cellStyle name="AeE­_ ºn¸nº° ¿uº°±a¼u  32 4" xfId="8733"/>
    <cellStyle name="ÅëÈ­_ ºñ¸ñº° ¿ùº°±â¼ú  32 4" xfId="8734"/>
    <cellStyle name="AeE­_ ºn¸nº° ¿uº°±a¼u  32 5" xfId="8735"/>
    <cellStyle name="ÅëÈ­_ ºñ¸ñº° ¿ùº°±â¼ú  32 5" xfId="8736"/>
    <cellStyle name="AeE­_ ºn¸nº° ¿uº°±a¼u  32 6" xfId="8737"/>
    <cellStyle name="ÅëÈ­_ ºñ¸ñº° ¿ùº°±â¼ú  32 6" xfId="8738"/>
    <cellStyle name="AeE­_ ºn¸nº° ¿uº°±a¼u  32 7" xfId="8739"/>
    <cellStyle name="ÅëÈ­_ ºñ¸ñº° ¿ùº°±â¼ú  32 7" xfId="8740"/>
    <cellStyle name="AeE­_ ºn¸nº° ¿uº°±a¼u  32 8" xfId="8741"/>
    <cellStyle name="ÅëÈ­_ ºñ¸ñº° ¿ùº°±â¼ú  32 8" xfId="8742"/>
    <cellStyle name="AeE­_ ºn¸nº° ¿uº°±a¼u  32 9" xfId="8743"/>
    <cellStyle name="ÅëÈ­_ ºñ¸ñº° ¿ùº°±â¼ú  32 9" xfId="8744"/>
    <cellStyle name="AeE­_ ºn¸nº° ¿uº°±a¼u  33" xfId="8745"/>
    <cellStyle name="ÅëÈ­_ ºñ¸ñº° ¿ùº°±â¼ú  33" xfId="8746"/>
    <cellStyle name="AeE­_ ºn¸nº° ¿uº°±a¼u  33 10" xfId="8747"/>
    <cellStyle name="ÅëÈ­_ ºñ¸ñº° ¿ùº°±â¼ú  33 10" xfId="8748"/>
    <cellStyle name="AeE­_ ºn¸nº° ¿uº°±a¼u  33 11" xfId="8749"/>
    <cellStyle name="ÅëÈ­_ ºñ¸ñº° ¿ùº°±â¼ú  33 11" xfId="8750"/>
    <cellStyle name="AeE­_ ºn¸nº° ¿uº°±a¼u  33 12" xfId="8751"/>
    <cellStyle name="ÅëÈ­_ ºñ¸ñº° ¿ùº°±â¼ú  33 12" xfId="8752"/>
    <cellStyle name="AeE­_ ºn¸nº° ¿uº°±a¼u  33 13" xfId="8753"/>
    <cellStyle name="ÅëÈ­_ ºñ¸ñº° ¿ùº°±â¼ú  33 13" xfId="8754"/>
    <cellStyle name="AeE­_ ºn¸nº° ¿uº°±a¼u  33 14" xfId="8755"/>
    <cellStyle name="ÅëÈ­_ ºñ¸ñº° ¿ùº°±â¼ú  33 14" xfId="8756"/>
    <cellStyle name="AeE­_ ºn¸nº° ¿uº°±a¼u  33 15" xfId="8757"/>
    <cellStyle name="ÅëÈ­_ ºñ¸ñº° ¿ùº°±â¼ú  33 15" xfId="8758"/>
    <cellStyle name="AeE­_ ºn¸nº° ¿uº°±a¼u  33 16" xfId="8759"/>
    <cellStyle name="ÅëÈ­_ ºñ¸ñº° ¿ùº°±â¼ú  33 16" xfId="8760"/>
    <cellStyle name="AeE­_ ºn¸nº° ¿uº°±a¼u  33 17" xfId="8761"/>
    <cellStyle name="ÅëÈ­_ ºñ¸ñº° ¿ùº°±â¼ú  33 17" xfId="8762"/>
    <cellStyle name="AeE­_ ºn¸nº° ¿uº°±a¼u  33 18" xfId="8763"/>
    <cellStyle name="ÅëÈ­_ ºñ¸ñº° ¿ùº°±â¼ú  33 18" xfId="8764"/>
    <cellStyle name="AeE­_ ºn¸nº° ¿uº°±a¼u  33 19" xfId="8765"/>
    <cellStyle name="ÅëÈ­_ ºñ¸ñº° ¿ùº°±â¼ú  33 19" xfId="8766"/>
    <cellStyle name="AeE­_ ºn¸nº° ¿uº°±a¼u  33 2" xfId="8767"/>
    <cellStyle name="ÅëÈ­_ ºñ¸ñº° ¿ùº°±â¼ú  33 2" xfId="8768"/>
    <cellStyle name="AeE­_ ºn¸nº° ¿uº°±a¼u  33 20" xfId="8769"/>
    <cellStyle name="ÅëÈ­_ ºñ¸ñº° ¿ùº°±â¼ú  33 20" xfId="8770"/>
    <cellStyle name="AeE­_ ºn¸nº° ¿uº°±a¼u  33 21" xfId="8771"/>
    <cellStyle name="ÅëÈ­_ ºñ¸ñº° ¿ùº°±â¼ú  33 21" xfId="8772"/>
    <cellStyle name="AeE­_ ºn¸nº° ¿uº°±a¼u  33 22" xfId="8773"/>
    <cellStyle name="ÅëÈ­_ ºñ¸ñº° ¿ùº°±â¼ú  33 22" xfId="8774"/>
    <cellStyle name="AeE­_ ºn¸nº° ¿uº°±a¼u  33 23" xfId="8775"/>
    <cellStyle name="ÅëÈ­_ ºñ¸ñº° ¿ùº°±â¼ú  33 23" xfId="8776"/>
    <cellStyle name="AeE­_ ºn¸nº° ¿uº°±a¼u  33 24" xfId="8777"/>
    <cellStyle name="ÅëÈ­_ ºñ¸ñº° ¿ùº°±â¼ú  33 24" xfId="8778"/>
    <cellStyle name="AeE­_ ºn¸nº° ¿uº°±a¼u  33 25" xfId="8779"/>
    <cellStyle name="ÅëÈ­_ ºñ¸ñº° ¿ùº°±â¼ú  33 25" xfId="8780"/>
    <cellStyle name="AeE­_ ºn¸nº° ¿uº°±a¼u  33 26" xfId="8781"/>
    <cellStyle name="ÅëÈ­_ ºñ¸ñº° ¿ùº°±â¼ú  33 26" xfId="8782"/>
    <cellStyle name="AeE­_ ºn¸nº° ¿uº°±a¼u  33 27" xfId="8783"/>
    <cellStyle name="ÅëÈ­_ ºñ¸ñº° ¿ùº°±â¼ú  33 27" xfId="8784"/>
    <cellStyle name="AeE­_ ºn¸nº° ¿uº°±a¼u  33 28" xfId="8785"/>
    <cellStyle name="ÅëÈ­_ ºñ¸ñº° ¿ùº°±â¼ú  33 28" xfId="8786"/>
    <cellStyle name="AeE­_ ºn¸nº° ¿uº°±a¼u  33 29" xfId="8787"/>
    <cellStyle name="ÅëÈ­_ ºñ¸ñº° ¿ùº°±â¼ú  33 29" xfId="8788"/>
    <cellStyle name="AeE­_ ºn¸nº° ¿uº°±a¼u  33 3" xfId="8789"/>
    <cellStyle name="ÅëÈ­_ ºñ¸ñº° ¿ùº°±â¼ú  33 3" xfId="8790"/>
    <cellStyle name="AeE­_ ºn¸nº° ¿uº°±a¼u  33 30" xfId="8791"/>
    <cellStyle name="ÅëÈ­_ ºñ¸ñº° ¿ùº°±â¼ú  33 30" xfId="8792"/>
    <cellStyle name="AeE­_ ºn¸nº° ¿uº°±a¼u  33 31" xfId="8793"/>
    <cellStyle name="ÅëÈ­_ ºñ¸ñº° ¿ùº°±â¼ú  33 31" xfId="8794"/>
    <cellStyle name="AeE­_ ºn¸nº° ¿uº°±a¼u  33 32" xfId="8795"/>
    <cellStyle name="ÅëÈ­_ ºñ¸ñº° ¿ùº°±â¼ú  33 32" xfId="8796"/>
    <cellStyle name="AeE­_ ºn¸nº° ¿uº°±a¼u  33 33" xfId="8797"/>
    <cellStyle name="ÅëÈ­_ ºñ¸ñº° ¿ùº°±â¼ú  33 33" xfId="8798"/>
    <cellStyle name="AeE­_ ºn¸nº° ¿uº°±a¼u  33 34" xfId="8799"/>
    <cellStyle name="ÅëÈ­_ ºñ¸ñº° ¿ùº°±â¼ú  33 34" xfId="8800"/>
    <cellStyle name="AeE­_ ºn¸nº° ¿uº°±a¼u  33 4" xfId="8801"/>
    <cellStyle name="ÅëÈ­_ ºñ¸ñº° ¿ùº°±â¼ú  33 4" xfId="8802"/>
    <cellStyle name="AeE­_ ºn¸nº° ¿uº°±a¼u  33 5" xfId="8803"/>
    <cellStyle name="ÅëÈ­_ ºñ¸ñº° ¿ùº°±â¼ú  33 5" xfId="8804"/>
    <cellStyle name="AeE­_ ºn¸nº° ¿uº°±a¼u  33 6" xfId="8805"/>
    <cellStyle name="ÅëÈ­_ ºñ¸ñº° ¿ùº°±â¼ú  33 6" xfId="8806"/>
    <cellStyle name="AeE­_ ºn¸nº° ¿uº°±a¼u  33 7" xfId="8807"/>
    <cellStyle name="ÅëÈ­_ ºñ¸ñº° ¿ùº°±â¼ú  33 7" xfId="8808"/>
    <cellStyle name="AeE­_ ºn¸nº° ¿uº°±a¼u  33 8" xfId="8809"/>
    <cellStyle name="ÅëÈ­_ ºñ¸ñº° ¿ùº°±â¼ú  33 8" xfId="8810"/>
    <cellStyle name="AeE­_ ºn¸nº° ¿uº°±a¼u  33 9" xfId="8811"/>
    <cellStyle name="ÅëÈ­_ ºñ¸ñº° ¿ùº°±â¼ú  33 9" xfId="8812"/>
    <cellStyle name="AeE­_ ºn¸nº° ¿uº°±a¼u  34" xfId="8813"/>
    <cellStyle name="ÅëÈ­_ ºñ¸ñº° ¿ùº°±â¼ú  34" xfId="8814"/>
    <cellStyle name="AeE­_ ºn¸nº° ¿uº°±a¼u  34 10" xfId="8815"/>
    <cellStyle name="ÅëÈ­_ ºñ¸ñº° ¿ùº°±â¼ú  34 10" xfId="8816"/>
    <cellStyle name="AeE­_ ºn¸nº° ¿uº°±a¼u  34 11" xfId="8817"/>
    <cellStyle name="ÅëÈ­_ ºñ¸ñº° ¿ùº°±â¼ú  34 11" xfId="8818"/>
    <cellStyle name="AeE­_ ºn¸nº° ¿uº°±a¼u  34 12" xfId="8819"/>
    <cellStyle name="ÅëÈ­_ ºñ¸ñº° ¿ùº°±â¼ú  34 12" xfId="8820"/>
    <cellStyle name="AeE­_ ºn¸nº° ¿uº°±a¼u  34 13" xfId="8821"/>
    <cellStyle name="ÅëÈ­_ ºñ¸ñº° ¿ùº°±â¼ú  34 13" xfId="8822"/>
    <cellStyle name="AeE­_ ºn¸nº° ¿uº°±a¼u  34 14" xfId="8823"/>
    <cellStyle name="ÅëÈ­_ ºñ¸ñº° ¿ùº°±â¼ú  34 14" xfId="8824"/>
    <cellStyle name="AeE­_ ºn¸nº° ¿uº°±a¼u  34 15" xfId="8825"/>
    <cellStyle name="ÅëÈ­_ ºñ¸ñº° ¿ùº°±â¼ú  34 15" xfId="8826"/>
    <cellStyle name="AeE­_ ºn¸nº° ¿uº°±a¼u  34 16" xfId="8827"/>
    <cellStyle name="ÅëÈ­_ ºñ¸ñº° ¿ùº°±â¼ú  34 16" xfId="8828"/>
    <cellStyle name="AeE­_ ºn¸nº° ¿uº°±a¼u  34 17" xfId="8829"/>
    <cellStyle name="ÅëÈ­_ ºñ¸ñº° ¿ùº°±â¼ú  34 17" xfId="8830"/>
    <cellStyle name="AeE­_ ºn¸nº° ¿uº°±a¼u  34 18" xfId="8831"/>
    <cellStyle name="ÅëÈ­_ ºñ¸ñº° ¿ùº°±â¼ú  34 18" xfId="8832"/>
    <cellStyle name="AeE­_ ºn¸nº° ¿uº°±a¼u  34 19" xfId="8833"/>
    <cellStyle name="ÅëÈ­_ ºñ¸ñº° ¿ùº°±â¼ú  34 19" xfId="8834"/>
    <cellStyle name="AeE­_ ºn¸nº° ¿uº°±a¼u  34 2" xfId="8835"/>
    <cellStyle name="ÅëÈ­_ ºñ¸ñº° ¿ùº°±â¼ú  34 2" xfId="8836"/>
    <cellStyle name="AeE­_ ºn¸nº° ¿uº°±a¼u  34 20" xfId="8837"/>
    <cellStyle name="ÅëÈ­_ ºñ¸ñº° ¿ùº°±â¼ú  34 20" xfId="8838"/>
    <cellStyle name="AeE­_ ºn¸nº° ¿uº°±a¼u  34 21" xfId="8839"/>
    <cellStyle name="ÅëÈ­_ ºñ¸ñº° ¿ùº°±â¼ú  34 21" xfId="8840"/>
    <cellStyle name="AeE­_ ºn¸nº° ¿uº°±a¼u  34 22" xfId="8841"/>
    <cellStyle name="ÅëÈ­_ ºñ¸ñº° ¿ùº°±â¼ú  34 22" xfId="8842"/>
    <cellStyle name="AeE­_ ºn¸nº° ¿uº°±a¼u  34 23" xfId="8843"/>
    <cellStyle name="ÅëÈ­_ ºñ¸ñº° ¿ùº°±â¼ú  34 23" xfId="8844"/>
    <cellStyle name="AeE­_ ºn¸nº° ¿uº°±a¼u  34 24" xfId="8845"/>
    <cellStyle name="ÅëÈ­_ ºñ¸ñº° ¿ùº°±â¼ú  34 24" xfId="8846"/>
    <cellStyle name="AeE­_ ºn¸nº° ¿uº°±a¼u  34 25" xfId="8847"/>
    <cellStyle name="ÅëÈ­_ ºñ¸ñº° ¿ùº°±â¼ú  34 25" xfId="8848"/>
    <cellStyle name="AeE­_ ºn¸nº° ¿uº°±a¼u  34 26" xfId="8849"/>
    <cellStyle name="ÅëÈ­_ ºñ¸ñº° ¿ùº°±â¼ú  34 26" xfId="8850"/>
    <cellStyle name="AeE­_ ºn¸nº° ¿uº°±a¼u  34 27" xfId="8851"/>
    <cellStyle name="ÅëÈ­_ ºñ¸ñº° ¿ùº°±â¼ú  34 27" xfId="8852"/>
    <cellStyle name="AeE­_ ºn¸nº° ¿uº°±a¼u  34 28" xfId="8853"/>
    <cellStyle name="ÅëÈ­_ ºñ¸ñº° ¿ùº°±â¼ú  34 28" xfId="8854"/>
    <cellStyle name="AeE­_ ºn¸nº° ¿uº°±a¼u  34 29" xfId="8855"/>
    <cellStyle name="ÅëÈ­_ ºñ¸ñº° ¿ùº°±â¼ú  34 29" xfId="8856"/>
    <cellStyle name="AeE­_ ºn¸nº° ¿uº°±a¼u  34 3" xfId="8857"/>
    <cellStyle name="ÅëÈ­_ ºñ¸ñº° ¿ùº°±â¼ú  34 3" xfId="8858"/>
    <cellStyle name="AeE­_ ºn¸nº° ¿uº°±a¼u  34 30" xfId="8859"/>
    <cellStyle name="ÅëÈ­_ ºñ¸ñº° ¿ùº°±â¼ú  34 30" xfId="8860"/>
    <cellStyle name="AeE­_ ºn¸nº° ¿uº°±a¼u  34 31" xfId="8861"/>
    <cellStyle name="ÅëÈ­_ ºñ¸ñº° ¿ùº°±â¼ú  34 31" xfId="8862"/>
    <cellStyle name="AeE­_ ºn¸nº° ¿uº°±a¼u  34 32" xfId="8863"/>
    <cellStyle name="ÅëÈ­_ ºñ¸ñº° ¿ùº°±â¼ú  34 32" xfId="8864"/>
    <cellStyle name="AeE­_ ºn¸nº° ¿uº°±a¼u  34 33" xfId="8865"/>
    <cellStyle name="ÅëÈ­_ ºñ¸ñº° ¿ùº°±â¼ú  34 33" xfId="8866"/>
    <cellStyle name="AeE­_ ºn¸nº° ¿uº°±a¼u  34 34" xfId="8867"/>
    <cellStyle name="ÅëÈ­_ ºñ¸ñº° ¿ùº°±â¼ú  34 34" xfId="8868"/>
    <cellStyle name="AeE­_ ºn¸nº° ¿uº°±a¼u  34 4" xfId="8869"/>
    <cellStyle name="ÅëÈ­_ ºñ¸ñº° ¿ùº°±â¼ú  34 4" xfId="8870"/>
    <cellStyle name="AeE­_ ºn¸nº° ¿uº°±a¼u  34 5" xfId="8871"/>
    <cellStyle name="ÅëÈ­_ ºñ¸ñº° ¿ùº°±â¼ú  34 5" xfId="8872"/>
    <cellStyle name="AeE­_ ºn¸nº° ¿uº°±a¼u  34 6" xfId="8873"/>
    <cellStyle name="ÅëÈ­_ ºñ¸ñº° ¿ùº°±â¼ú  34 6" xfId="8874"/>
    <cellStyle name="AeE­_ ºn¸nº° ¿uº°±a¼u  34 7" xfId="8875"/>
    <cellStyle name="ÅëÈ­_ ºñ¸ñº° ¿ùº°±â¼ú  34 7" xfId="8876"/>
    <cellStyle name="AeE­_ ºn¸nº° ¿uº°±a¼u  34 8" xfId="8877"/>
    <cellStyle name="ÅëÈ­_ ºñ¸ñº° ¿ùº°±â¼ú  34 8" xfId="8878"/>
    <cellStyle name="AeE­_ ºn¸nº° ¿uº°±a¼u  34 9" xfId="8879"/>
    <cellStyle name="ÅëÈ­_ ºñ¸ñº° ¿ùº°±â¼ú  34 9" xfId="8880"/>
    <cellStyle name="AeE­_ ºn¸nº° ¿uº°±a¼u  35" xfId="8881"/>
    <cellStyle name="ÅëÈ­_ ºñ¸ñº° ¿ùº°±â¼ú  35" xfId="8882"/>
    <cellStyle name="AeE­_ ºn¸nº° ¿uº°±a¼u  35 10" xfId="8883"/>
    <cellStyle name="ÅëÈ­_ ºñ¸ñº° ¿ùº°±â¼ú  35 10" xfId="8884"/>
    <cellStyle name="AeE­_ ºn¸nº° ¿uº°±a¼u  35 11" xfId="8885"/>
    <cellStyle name="ÅëÈ­_ ºñ¸ñº° ¿ùº°±â¼ú  35 11" xfId="8886"/>
    <cellStyle name="AeE­_ ºn¸nº° ¿uº°±a¼u  35 12" xfId="8887"/>
    <cellStyle name="ÅëÈ­_ ºñ¸ñº° ¿ùº°±â¼ú  35 12" xfId="8888"/>
    <cellStyle name="AeE­_ ºn¸nº° ¿uº°±a¼u  35 13" xfId="8889"/>
    <cellStyle name="ÅëÈ­_ ºñ¸ñº° ¿ùº°±â¼ú  35 13" xfId="8890"/>
    <cellStyle name="AeE­_ ºn¸nº° ¿uº°±a¼u  35 14" xfId="8891"/>
    <cellStyle name="ÅëÈ­_ ºñ¸ñº° ¿ùº°±â¼ú  35 14" xfId="8892"/>
    <cellStyle name="AeE­_ ºn¸nº° ¿uº°±a¼u  35 15" xfId="8893"/>
    <cellStyle name="ÅëÈ­_ ºñ¸ñº° ¿ùº°±â¼ú  35 15" xfId="8894"/>
    <cellStyle name="AeE­_ ºn¸nº° ¿uº°±a¼u  35 16" xfId="8895"/>
    <cellStyle name="ÅëÈ­_ ºñ¸ñº° ¿ùº°±â¼ú  35 16" xfId="8896"/>
    <cellStyle name="AeE­_ ºn¸nº° ¿uº°±a¼u  35 17" xfId="8897"/>
    <cellStyle name="ÅëÈ­_ ºñ¸ñº° ¿ùº°±â¼ú  35 17" xfId="8898"/>
    <cellStyle name="AeE­_ ºn¸nº° ¿uº°±a¼u  35 18" xfId="8899"/>
    <cellStyle name="ÅëÈ­_ ºñ¸ñº° ¿ùº°±â¼ú  35 18" xfId="8900"/>
    <cellStyle name="AeE­_ ºn¸nº° ¿uº°±a¼u  35 19" xfId="8901"/>
    <cellStyle name="ÅëÈ­_ ºñ¸ñº° ¿ùº°±â¼ú  35 19" xfId="8902"/>
    <cellStyle name="AeE­_ ºn¸nº° ¿uº°±a¼u  35 2" xfId="8903"/>
    <cellStyle name="ÅëÈ­_ ºñ¸ñº° ¿ùº°±â¼ú  35 2" xfId="8904"/>
    <cellStyle name="AeE­_ ºn¸nº° ¿uº°±a¼u  35 20" xfId="8905"/>
    <cellStyle name="ÅëÈ­_ ºñ¸ñº° ¿ùº°±â¼ú  35 20" xfId="8906"/>
    <cellStyle name="AeE­_ ºn¸nº° ¿uº°±a¼u  35 21" xfId="8907"/>
    <cellStyle name="ÅëÈ­_ ºñ¸ñº° ¿ùº°±â¼ú  35 21" xfId="8908"/>
    <cellStyle name="AeE­_ ºn¸nº° ¿uº°±a¼u  35 22" xfId="8909"/>
    <cellStyle name="ÅëÈ­_ ºñ¸ñº° ¿ùº°±â¼ú  35 22" xfId="8910"/>
    <cellStyle name="AeE­_ ºn¸nº° ¿uº°±a¼u  35 23" xfId="8911"/>
    <cellStyle name="ÅëÈ­_ ºñ¸ñº° ¿ùº°±â¼ú  35 23" xfId="8912"/>
    <cellStyle name="AeE­_ ºn¸nº° ¿uº°±a¼u  35 24" xfId="8913"/>
    <cellStyle name="ÅëÈ­_ ºñ¸ñº° ¿ùº°±â¼ú  35 24" xfId="8914"/>
    <cellStyle name="AeE­_ ºn¸nº° ¿uº°±a¼u  35 25" xfId="8915"/>
    <cellStyle name="ÅëÈ­_ ºñ¸ñº° ¿ùº°±â¼ú  35 25" xfId="8916"/>
    <cellStyle name="AeE­_ ºn¸nº° ¿uº°±a¼u  35 26" xfId="8917"/>
    <cellStyle name="ÅëÈ­_ ºñ¸ñº° ¿ùº°±â¼ú  35 26" xfId="8918"/>
    <cellStyle name="AeE­_ ºn¸nº° ¿uº°±a¼u  35 27" xfId="8919"/>
    <cellStyle name="ÅëÈ­_ ºñ¸ñº° ¿ùº°±â¼ú  35 27" xfId="8920"/>
    <cellStyle name="AeE­_ ºn¸nº° ¿uº°±a¼u  35 28" xfId="8921"/>
    <cellStyle name="ÅëÈ­_ ºñ¸ñº° ¿ùº°±â¼ú  35 28" xfId="8922"/>
    <cellStyle name="AeE­_ ºn¸nº° ¿uº°±a¼u  35 29" xfId="8923"/>
    <cellStyle name="ÅëÈ­_ ºñ¸ñº° ¿ùº°±â¼ú  35 29" xfId="8924"/>
    <cellStyle name="AeE­_ ºn¸nº° ¿uº°±a¼u  35 3" xfId="8925"/>
    <cellStyle name="ÅëÈ­_ ºñ¸ñº° ¿ùº°±â¼ú  35 3" xfId="8926"/>
    <cellStyle name="AeE­_ ºn¸nº° ¿uº°±a¼u  35 30" xfId="8927"/>
    <cellStyle name="ÅëÈ­_ ºñ¸ñº° ¿ùº°±â¼ú  35 30" xfId="8928"/>
    <cellStyle name="AeE­_ ºn¸nº° ¿uº°±a¼u  35 31" xfId="8929"/>
    <cellStyle name="ÅëÈ­_ ºñ¸ñº° ¿ùº°±â¼ú  35 31" xfId="8930"/>
    <cellStyle name="AeE­_ ºn¸nº° ¿uº°±a¼u  35 32" xfId="8931"/>
    <cellStyle name="ÅëÈ­_ ºñ¸ñº° ¿ùº°±â¼ú  35 32" xfId="8932"/>
    <cellStyle name="AeE­_ ºn¸nº° ¿uº°±a¼u  35 33" xfId="8933"/>
    <cellStyle name="ÅëÈ­_ ºñ¸ñº° ¿ùº°±â¼ú  35 33" xfId="8934"/>
    <cellStyle name="AeE­_ ºn¸nº° ¿uº°±a¼u  35 34" xfId="8935"/>
    <cellStyle name="ÅëÈ­_ ºñ¸ñº° ¿ùº°±â¼ú  35 34" xfId="8936"/>
    <cellStyle name="AeE­_ ºn¸nº° ¿uº°±a¼u  35 4" xfId="8937"/>
    <cellStyle name="ÅëÈ­_ ºñ¸ñº° ¿ùº°±â¼ú  35 4" xfId="8938"/>
    <cellStyle name="AeE­_ ºn¸nº° ¿uº°±a¼u  35 5" xfId="8939"/>
    <cellStyle name="ÅëÈ­_ ºñ¸ñº° ¿ùº°±â¼ú  35 5" xfId="8940"/>
    <cellStyle name="AeE­_ ºn¸nº° ¿uº°±a¼u  35 6" xfId="8941"/>
    <cellStyle name="ÅëÈ­_ ºñ¸ñº° ¿ùº°±â¼ú  35 6" xfId="8942"/>
    <cellStyle name="AeE­_ ºn¸nº° ¿uº°±a¼u  35 7" xfId="8943"/>
    <cellStyle name="ÅëÈ­_ ºñ¸ñº° ¿ùº°±â¼ú  35 7" xfId="8944"/>
    <cellStyle name="AeE­_ ºn¸nº° ¿uº°±a¼u  35 8" xfId="8945"/>
    <cellStyle name="ÅëÈ­_ ºñ¸ñº° ¿ùº°±â¼ú  35 8" xfId="8946"/>
    <cellStyle name="AeE­_ ºn¸nº° ¿uº°±a¼u  35 9" xfId="8947"/>
    <cellStyle name="ÅëÈ­_ ºñ¸ñº° ¿ùº°±â¼ú  35 9" xfId="8948"/>
    <cellStyle name="AeE­_ ºn¸nº° ¿uº°±a¼u  36" xfId="8949"/>
    <cellStyle name="ÅëÈ­_ ºñ¸ñº° ¿ùº°±â¼ú  36" xfId="8950"/>
    <cellStyle name="AeE­_ ºn¸nº° ¿uº°±a¼u  36 10" xfId="8951"/>
    <cellStyle name="ÅëÈ­_ ºñ¸ñº° ¿ùº°±â¼ú  36 10" xfId="8952"/>
    <cellStyle name="AeE­_ ºn¸nº° ¿uº°±a¼u  36 11" xfId="8953"/>
    <cellStyle name="ÅëÈ­_ ºñ¸ñº° ¿ùº°±â¼ú  36 11" xfId="8954"/>
    <cellStyle name="AeE­_ ºn¸nº° ¿uº°±a¼u  36 12" xfId="8955"/>
    <cellStyle name="ÅëÈ­_ ºñ¸ñº° ¿ùº°±â¼ú  36 12" xfId="8956"/>
    <cellStyle name="AeE­_ ºn¸nº° ¿uº°±a¼u  36 13" xfId="8957"/>
    <cellStyle name="ÅëÈ­_ ºñ¸ñº° ¿ùº°±â¼ú  36 13" xfId="8958"/>
    <cellStyle name="AeE­_ ºn¸nº° ¿uº°±a¼u  36 14" xfId="8959"/>
    <cellStyle name="ÅëÈ­_ ºñ¸ñº° ¿ùº°±â¼ú  36 14" xfId="8960"/>
    <cellStyle name="AeE­_ ºn¸nº° ¿uº°±a¼u  36 15" xfId="8961"/>
    <cellStyle name="ÅëÈ­_ ºñ¸ñº° ¿ùº°±â¼ú  36 15" xfId="8962"/>
    <cellStyle name="AeE­_ ºn¸nº° ¿uº°±a¼u  36 16" xfId="8963"/>
    <cellStyle name="ÅëÈ­_ ºñ¸ñº° ¿ùº°±â¼ú  36 16" xfId="8964"/>
    <cellStyle name="AeE­_ ºn¸nº° ¿uº°±a¼u  36 17" xfId="8965"/>
    <cellStyle name="ÅëÈ­_ ºñ¸ñº° ¿ùº°±â¼ú  36 17" xfId="8966"/>
    <cellStyle name="AeE­_ ºn¸nº° ¿uº°±a¼u  36 18" xfId="8967"/>
    <cellStyle name="ÅëÈ­_ ºñ¸ñº° ¿ùº°±â¼ú  36 18" xfId="8968"/>
    <cellStyle name="AeE­_ ºn¸nº° ¿uº°±a¼u  36 19" xfId="8969"/>
    <cellStyle name="ÅëÈ­_ ºñ¸ñº° ¿ùº°±â¼ú  36 19" xfId="8970"/>
    <cellStyle name="AeE­_ ºn¸nº° ¿uº°±a¼u  36 2" xfId="8971"/>
    <cellStyle name="ÅëÈ­_ ºñ¸ñº° ¿ùº°±â¼ú  36 2" xfId="8972"/>
    <cellStyle name="AeE­_ ºn¸nº° ¿uº°±a¼u  36 20" xfId="8973"/>
    <cellStyle name="ÅëÈ­_ ºñ¸ñº° ¿ùº°±â¼ú  36 20" xfId="8974"/>
    <cellStyle name="AeE­_ ºn¸nº° ¿uº°±a¼u  36 21" xfId="8975"/>
    <cellStyle name="ÅëÈ­_ ºñ¸ñº° ¿ùº°±â¼ú  36 21" xfId="8976"/>
    <cellStyle name="AeE­_ ºn¸nº° ¿uº°±a¼u  36 22" xfId="8977"/>
    <cellStyle name="ÅëÈ­_ ºñ¸ñº° ¿ùº°±â¼ú  36 22" xfId="8978"/>
    <cellStyle name="AeE­_ ºn¸nº° ¿uº°±a¼u  36 23" xfId="8979"/>
    <cellStyle name="ÅëÈ­_ ºñ¸ñº° ¿ùº°±â¼ú  36 23" xfId="8980"/>
    <cellStyle name="AeE­_ ºn¸nº° ¿uº°±a¼u  36 24" xfId="8981"/>
    <cellStyle name="ÅëÈ­_ ºñ¸ñº° ¿ùº°±â¼ú  36 24" xfId="8982"/>
    <cellStyle name="AeE­_ ºn¸nº° ¿uº°±a¼u  36 25" xfId="8983"/>
    <cellStyle name="ÅëÈ­_ ºñ¸ñº° ¿ùº°±â¼ú  36 25" xfId="8984"/>
    <cellStyle name="AeE­_ ºn¸nº° ¿uº°±a¼u  36 26" xfId="8985"/>
    <cellStyle name="ÅëÈ­_ ºñ¸ñº° ¿ùº°±â¼ú  36 26" xfId="8986"/>
    <cellStyle name="AeE­_ ºn¸nº° ¿uº°±a¼u  36 27" xfId="8987"/>
    <cellStyle name="ÅëÈ­_ ºñ¸ñº° ¿ùº°±â¼ú  36 27" xfId="8988"/>
    <cellStyle name="AeE­_ ºn¸nº° ¿uº°±a¼u  36 28" xfId="8989"/>
    <cellStyle name="ÅëÈ­_ ºñ¸ñº° ¿ùº°±â¼ú  36 28" xfId="8990"/>
    <cellStyle name="AeE­_ ºn¸nº° ¿uº°±a¼u  36 29" xfId="8991"/>
    <cellStyle name="ÅëÈ­_ ºñ¸ñº° ¿ùº°±â¼ú  36 29" xfId="8992"/>
    <cellStyle name="AeE­_ ºn¸nº° ¿uº°±a¼u  36 3" xfId="8993"/>
    <cellStyle name="ÅëÈ­_ ºñ¸ñº° ¿ùº°±â¼ú  36 3" xfId="8994"/>
    <cellStyle name="AeE­_ ºn¸nº° ¿uº°±a¼u  36 30" xfId="8995"/>
    <cellStyle name="ÅëÈ­_ ºñ¸ñº° ¿ùº°±â¼ú  36 30" xfId="8996"/>
    <cellStyle name="AeE­_ ºn¸nº° ¿uº°±a¼u  36 31" xfId="8997"/>
    <cellStyle name="ÅëÈ­_ ºñ¸ñº° ¿ùº°±â¼ú  36 31" xfId="8998"/>
    <cellStyle name="AeE­_ ºn¸nº° ¿uº°±a¼u  36 32" xfId="8999"/>
    <cellStyle name="ÅëÈ­_ ºñ¸ñº° ¿ùº°±â¼ú  36 32" xfId="9000"/>
    <cellStyle name="AeE­_ ºn¸nº° ¿uº°±a¼u  36 33" xfId="9001"/>
    <cellStyle name="ÅëÈ­_ ºñ¸ñº° ¿ùº°±â¼ú  36 33" xfId="9002"/>
    <cellStyle name="AeE­_ ºn¸nº° ¿uº°±a¼u  36 34" xfId="9003"/>
    <cellStyle name="ÅëÈ­_ ºñ¸ñº° ¿ùº°±â¼ú  36 34" xfId="9004"/>
    <cellStyle name="AeE­_ ºn¸nº° ¿uº°±a¼u  36 4" xfId="9005"/>
    <cellStyle name="ÅëÈ­_ ºñ¸ñº° ¿ùº°±â¼ú  36 4" xfId="9006"/>
    <cellStyle name="AeE­_ ºn¸nº° ¿uº°±a¼u  36 5" xfId="9007"/>
    <cellStyle name="ÅëÈ­_ ºñ¸ñº° ¿ùº°±â¼ú  36 5" xfId="9008"/>
    <cellStyle name="AeE­_ ºn¸nº° ¿uº°±a¼u  36 6" xfId="9009"/>
    <cellStyle name="ÅëÈ­_ ºñ¸ñº° ¿ùº°±â¼ú  36 6" xfId="9010"/>
    <cellStyle name="AeE­_ ºn¸nº° ¿uº°±a¼u  36 7" xfId="9011"/>
    <cellStyle name="ÅëÈ­_ ºñ¸ñº° ¿ùº°±â¼ú  36 7" xfId="9012"/>
    <cellStyle name="AeE­_ ºn¸nº° ¿uº°±a¼u  36 8" xfId="9013"/>
    <cellStyle name="ÅëÈ­_ ºñ¸ñº° ¿ùº°±â¼ú  36 8" xfId="9014"/>
    <cellStyle name="AeE­_ ºn¸nº° ¿uº°±a¼u  36 9" xfId="9015"/>
    <cellStyle name="ÅëÈ­_ ºñ¸ñº° ¿ùº°±â¼ú  36 9" xfId="9016"/>
    <cellStyle name="AeE­_ ºn¸nº° ¿uº°±a¼u  37" xfId="9017"/>
    <cellStyle name="ÅëÈ­_ ºñ¸ñº° ¿ùº°±â¼ú  37" xfId="9018"/>
    <cellStyle name="AeE­_ ºn¸nº° ¿uº°±a¼u  37 10" xfId="9019"/>
    <cellStyle name="ÅëÈ­_ ºñ¸ñº° ¿ùº°±â¼ú  37 10" xfId="9020"/>
    <cellStyle name="AeE­_ ºn¸nº° ¿uº°±a¼u  37 11" xfId="9021"/>
    <cellStyle name="ÅëÈ­_ ºñ¸ñº° ¿ùº°±â¼ú  37 11" xfId="9022"/>
    <cellStyle name="AeE­_ ºn¸nº° ¿uº°±a¼u  37 12" xfId="9023"/>
    <cellStyle name="ÅëÈ­_ ºñ¸ñº° ¿ùº°±â¼ú  37 12" xfId="9024"/>
    <cellStyle name="AeE­_ ºn¸nº° ¿uº°±a¼u  37 13" xfId="9025"/>
    <cellStyle name="ÅëÈ­_ ºñ¸ñº° ¿ùº°±â¼ú  37 13" xfId="9026"/>
    <cellStyle name="AeE­_ ºn¸nº° ¿uº°±a¼u  37 14" xfId="9027"/>
    <cellStyle name="ÅëÈ­_ ºñ¸ñº° ¿ùº°±â¼ú  37 14" xfId="9028"/>
    <cellStyle name="AeE­_ ºn¸nº° ¿uº°±a¼u  37 15" xfId="9029"/>
    <cellStyle name="ÅëÈ­_ ºñ¸ñº° ¿ùº°±â¼ú  37 15" xfId="9030"/>
    <cellStyle name="AeE­_ ºn¸nº° ¿uº°±a¼u  37 16" xfId="9031"/>
    <cellStyle name="ÅëÈ­_ ºñ¸ñº° ¿ùº°±â¼ú  37 16" xfId="9032"/>
    <cellStyle name="AeE­_ ºn¸nº° ¿uº°±a¼u  37 17" xfId="9033"/>
    <cellStyle name="ÅëÈ­_ ºñ¸ñº° ¿ùº°±â¼ú  37 17" xfId="9034"/>
    <cellStyle name="AeE­_ ºn¸nº° ¿uº°±a¼u  37 18" xfId="9035"/>
    <cellStyle name="ÅëÈ­_ ºñ¸ñº° ¿ùº°±â¼ú  37 18" xfId="9036"/>
    <cellStyle name="AeE­_ ºn¸nº° ¿uº°±a¼u  37 19" xfId="9037"/>
    <cellStyle name="ÅëÈ­_ ºñ¸ñº° ¿ùº°±â¼ú  37 19" xfId="9038"/>
    <cellStyle name="AeE­_ ºn¸nº° ¿uº°±a¼u  37 2" xfId="9039"/>
    <cellStyle name="ÅëÈ­_ ºñ¸ñº° ¿ùº°±â¼ú  37 2" xfId="9040"/>
    <cellStyle name="AeE­_ ºn¸nº° ¿uº°±a¼u  37 20" xfId="9041"/>
    <cellStyle name="ÅëÈ­_ ºñ¸ñº° ¿ùº°±â¼ú  37 20" xfId="9042"/>
    <cellStyle name="AeE­_ ºn¸nº° ¿uº°±a¼u  37 21" xfId="9043"/>
    <cellStyle name="ÅëÈ­_ ºñ¸ñº° ¿ùº°±â¼ú  37 21" xfId="9044"/>
    <cellStyle name="AeE­_ ºn¸nº° ¿uº°±a¼u  37 22" xfId="9045"/>
    <cellStyle name="ÅëÈ­_ ºñ¸ñº° ¿ùº°±â¼ú  37 22" xfId="9046"/>
    <cellStyle name="AeE­_ ºn¸nº° ¿uº°±a¼u  37 23" xfId="9047"/>
    <cellStyle name="ÅëÈ­_ ºñ¸ñº° ¿ùº°±â¼ú  37 23" xfId="9048"/>
    <cellStyle name="AeE­_ ºn¸nº° ¿uº°±a¼u  37 24" xfId="9049"/>
    <cellStyle name="ÅëÈ­_ ºñ¸ñº° ¿ùº°±â¼ú  37 24" xfId="9050"/>
    <cellStyle name="AeE­_ ºn¸nº° ¿uº°±a¼u  37 25" xfId="9051"/>
    <cellStyle name="ÅëÈ­_ ºñ¸ñº° ¿ùº°±â¼ú  37 25" xfId="9052"/>
    <cellStyle name="AeE­_ ºn¸nº° ¿uº°±a¼u  37 26" xfId="9053"/>
    <cellStyle name="ÅëÈ­_ ºñ¸ñº° ¿ùº°±â¼ú  37 26" xfId="9054"/>
    <cellStyle name="AeE­_ ºn¸nº° ¿uº°±a¼u  37 27" xfId="9055"/>
    <cellStyle name="ÅëÈ­_ ºñ¸ñº° ¿ùº°±â¼ú  37 27" xfId="9056"/>
    <cellStyle name="AeE­_ ºn¸nº° ¿uº°±a¼u  37 28" xfId="9057"/>
    <cellStyle name="ÅëÈ­_ ºñ¸ñº° ¿ùº°±â¼ú  37 28" xfId="9058"/>
    <cellStyle name="AeE­_ ºn¸nº° ¿uº°±a¼u  37 29" xfId="9059"/>
    <cellStyle name="ÅëÈ­_ ºñ¸ñº° ¿ùº°±â¼ú  37 29" xfId="9060"/>
    <cellStyle name="AeE­_ ºn¸nº° ¿uº°±a¼u  37 3" xfId="9061"/>
    <cellStyle name="ÅëÈ­_ ºñ¸ñº° ¿ùº°±â¼ú  37 3" xfId="9062"/>
    <cellStyle name="AeE­_ ºn¸nº° ¿uº°±a¼u  37 30" xfId="9063"/>
    <cellStyle name="ÅëÈ­_ ºñ¸ñº° ¿ùº°±â¼ú  37 30" xfId="9064"/>
    <cellStyle name="AeE­_ ºn¸nº° ¿uº°±a¼u  37 31" xfId="9065"/>
    <cellStyle name="ÅëÈ­_ ºñ¸ñº° ¿ùº°±â¼ú  37 31" xfId="9066"/>
    <cellStyle name="AeE­_ ºn¸nº° ¿uº°±a¼u  37 32" xfId="9067"/>
    <cellStyle name="ÅëÈ­_ ºñ¸ñº° ¿ùº°±â¼ú  37 32" xfId="9068"/>
    <cellStyle name="AeE­_ ºn¸nº° ¿uº°±a¼u  37 33" xfId="9069"/>
    <cellStyle name="ÅëÈ­_ ºñ¸ñº° ¿ùº°±â¼ú  37 33" xfId="9070"/>
    <cellStyle name="AeE­_ ºn¸nº° ¿uº°±a¼u  37 34" xfId="9071"/>
    <cellStyle name="ÅëÈ­_ ºñ¸ñº° ¿ùº°±â¼ú  37 34" xfId="9072"/>
    <cellStyle name="AeE­_ ºn¸nº° ¿uº°±a¼u  37 4" xfId="9073"/>
    <cellStyle name="ÅëÈ­_ ºñ¸ñº° ¿ùº°±â¼ú  37 4" xfId="9074"/>
    <cellStyle name="AeE­_ ºn¸nº° ¿uº°±a¼u  37 5" xfId="9075"/>
    <cellStyle name="ÅëÈ­_ ºñ¸ñº° ¿ùº°±â¼ú  37 5" xfId="9076"/>
    <cellStyle name="AeE­_ ºn¸nº° ¿uº°±a¼u  37 6" xfId="9077"/>
    <cellStyle name="ÅëÈ­_ ºñ¸ñº° ¿ùº°±â¼ú  37 6" xfId="9078"/>
    <cellStyle name="AeE­_ ºn¸nº° ¿uº°±a¼u  37 7" xfId="9079"/>
    <cellStyle name="ÅëÈ­_ ºñ¸ñº° ¿ùº°±â¼ú  37 7" xfId="9080"/>
    <cellStyle name="AeE­_ ºn¸nº° ¿uº°±a¼u  37 8" xfId="9081"/>
    <cellStyle name="ÅëÈ­_ ºñ¸ñº° ¿ùº°±â¼ú  37 8" xfId="9082"/>
    <cellStyle name="AeE­_ ºn¸nº° ¿uº°±a¼u  37 9" xfId="9083"/>
    <cellStyle name="ÅëÈ­_ ºñ¸ñº° ¿ùº°±â¼ú  37 9" xfId="9084"/>
    <cellStyle name="AeE­_ ºn¸nº° ¿uº°±a¼u  38" xfId="9085"/>
    <cellStyle name="ÅëÈ­_ ºñ¸ñº° ¿ùº°±â¼ú  38" xfId="9086"/>
    <cellStyle name="AeE­_ ºn¸nº° ¿uº°±a¼u  38 10" xfId="9087"/>
    <cellStyle name="ÅëÈ­_ ºñ¸ñº° ¿ùº°±â¼ú  38 10" xfId="9088"/>
    <cellStyle name="AeE­_ ºn¸nº° ¿uº°±a¼u  38 11" xfId="9089"/>
    <cellStyle name="ÅëÈ­_ ºñ¸ñº° ¿ùº°±â¼ú  38 11" xfId="9090"/>
    <cellStyle name="AeE­_ ºn¸nº° ¿uº°±a¼u  38 12" xfId="9091"/>
    <cellStyle name="ÅëÈ­_ ºñ¸ñº° ¿ùº°±â¼ú  38 12" xfId="9092"/>
    <cellStyle name="AeE­_ ºn¸nº° ¿uº°±a¼u  38 13" xfId="9093"/>
    <cellStyle name="ÅëÈ­_ ºñ¸ñº° ¿ùº°±â¼ú  38 13" xfId="9094"/>
    <cellStyle name="AeE­_ ºn¸nº° ¿uº°±a¼u  38 14" xfId="9095"/>
    <cellStyle name="ÅëÈ­_ ºñ¸ñº° ¿ùº°±â¼ú  38 14" xfId="9096"/>
    <cellStyle name="AeE­_ ºn¸nº° ¿uº°±a¼u  38 15" xfId="9097"/>
    <cellStyle name="ÅëÈ­_ ºñ¸ñº° ¿ùº°±â¼ú  38 15" xfId="9098"/>
    <cellStyle name="AeE­_ ºn¸nº° ¿uº°±a¼u  38 16" xfId="9099"/>
    <cellStyle name="ÅëÈ­_ ºñ¸ñº° ¿ùº°±â¼ú  38 16" xfId="9100"/>
    <cellStyle name="AeE­_ ºn¸nº° ¿uº°±a¼u  38 17" xfId="9101"/>
    <cellStyle name="ÅëÈ­_ ºñ¸ñº° ¿ùº°±â¼ú  38 17" xfId="9102"/>
    <cellStyle name="AeE­_ ºn¸nº° ¿uº°±a¼u  38 18" xfId="9103"/>
    <cellStyle name="ÅëÈ­_ ºñ¸ñº° ¿ùº°±â¼ú  38 18" xfId="9104"/>
    <cellStyle name="AeE­_ ºn¸nº° ¿uº°±a¼u  38 19" xfId="9105"/>
    <cellStyle name="ÅëÈ­_ ºñ¸ñº° ¿ùº°±â¼ú  38 19" xfId="9106"/>
    <cellStyle name="AeE­_ ºn¸nº° ¿uº°±a¼u  38 2" xfId="9107"/>
    <cellStyle name="ÅëÈ­_ ºñ¸ñº° ¿ùº°±â¼ú  38 2" xfId="9108"/>
    <cellStyle name="AeE­_ ºn¸nº° ¿uº°±a¼u  38 20" xfId="9109"/>
    <cellStyle name="ÅëÈ­_ ºñ¸ñº° ¿ùº°±â¼ú  38 20" xfId="9110"/>
    <cellStyle name="AeE­_ ºn¸nº° ¿uº°±a¼u  38 21" xfId="9111"/>
    <cellStyle name="ÅëÈ­_ ºñ¸ñº° ¿ùº°±â¼ú  38 21" xfId="9112"/>
    <cellStyle name="AeE­_ ºn¸nº° ¿uº°±a¼u  38 22" xfId="9113"/>
    <cellStyle name="ÅëÈ­_ ºñ¸ñº° ¿ùº°±â¼ú  38 22" xfId="9114"/>
    <cellStyle name="AeE­_ ºn¸nº° ¿uº°±a¼u  38 23" xfId="9115"/>
    <cellStyle name="ÅëÈ­_ ºñ¸ñº° ¿ùº°±â¼ú  38 23" xfId="9116"/>
    <cellStyle name="AeE­_ ºn¸nº° ¿uº°±a¼u  38 24" xfId="9117"/>
    <cellStyle name="ÅëÈ­_ ºñ¸ñº° ¿ùº°±â¼ú  38 24" xfId="9118"/>
    <cellStyle name="AeE­_ ºn¸nº° ¿uº°±a¼u  38 25" xfId="9119"/>
    <cellStyle name="ÅëÈ­_ ºñ¸ñº° ¿ùº°±â¼ú  38 25" xfId="9120"/>
    <cellStyle name="AeE­_ ºn¸nº° ¿uº°±a¼u  38 26" xfId="9121"/>
    <cellStyle name="ÅëÈ­_ ºñ¸ñº° ¿ùº°±â¼ú  38 26" xfId="9122"/>
    <cellStyle name="AeE­_ ºn¸nº° ¿uº°±a¼u  38 27" xfId="9123"/>
    <cellStyle name="ÅëÈ­_ ºñ¸ñº° ¿ùº°±â¼ú  38 27" xfId="9124"/>
    <cellStyle name="AeE­_ ºn¸nº° ¿uº°±a¼u  38 28" xfId="9125"/>
    <cellStyle name="ÅëÈ­_ ºñ¸ñº° ¿ùº°±â¼ú  38 28" xfId="9126"/>
    <cellStyle name="AeE­_ ºn¸nº° ¿uº°±a¼u  38 29" xfId="9127"/>
    <cellStyle name="ÅëÈ­_ ºñ¸ñº° ¿ùº°±â¼ú  38 29" xfId="9128"/>
    <cellStyle name="AeE­_ ºn¸nº° ¿uº°±a¼u  38 3" xfId="9129"/>
    <cellStyle name="ÅëÈ­_ ºñ¸ñº° ¿ùº°±â¼ú  38 3" xfId="9130"/>
    <cellStyle name="AeE­_ ºn¸nº° ¿uº°±a¼u  38 30" xfId="9131"/>
    <cellStyle name="ÅëÈ­_ ºñ¸ñº° ¿ùº°±â¼ú  38 30" xfId="9132"/>
    <cellStyle name="AeE­_ ºn¸nº° ¿uº°±a¼u  38 31" xfId="9133"/>
    <cellStyle name="ÅëÈ­_ ºñ¸ñº° ¿ùº°±â¼ú  38 31" xfId="9134"/>
    <cellStyle name="AeE­_ ºn¸nº° ¿uº°±a¼u  38 32" xfId="9135"/>
    <cellStyle name="ÅëÈ­_ ºñ¸ñº° ¿ùº°±â¼ú  38 32" xfId="9136"/>
    <cellStyle name="AeE­_ ºn¸nº° ¿uº°±a¼u  38 33" xfId="9137"/>
    <cellStyle name="ÅëÈ­_ ºñ¸ñº° ¿ùº°±â¼ú  38 33" xfId="9138"/>
    <cellStyle name="AeE­_ ºn¸nº° ¿uº°±a¼u  38 34" xfId="9139"/>
    <cellStyle name="ÅëÈ­_ ºñ¸ñº° ¿ùº°±â¼ú  38 34" xfId="9140"/>
    <cellStyle name="AeE­_ ºn¸nº° ¿uº°±a¼u  38 4" xfId="9141"/>
    <cellStyle name="ÅëÈ­_ ºñ¸ñº° ¿ùº°±â¼ú  38 4" xfId="9142"/>
    <cellStyle name="AeE­_ ºn¸nº° ¿uº°±a¼u  38 5" xfId="9143"/>
    <cellStyle name="ÅëÈ­_ ºñ¸ñº° ¿ùº°±â¼ú  38 5" xfId="9144"/>
    <cellStyle name="AeE­_ ºn¸nº° ¿uº°±a¼u  38 6" xfId="9145"/>
    <cellStyle name="ÅëÈ­_ ºñ¸ñº° ¿ùº°±â¼ú  38 6" xfId="9146"/>
    <cellStyle name="AeE­_ ºn¸nº° ¿uº°±a¼u  38 7" xfId="9147"/>
    <cellStyle name="ÅëÈ­_ ºñ¸ñº° ¿ùº°±â¼ú  38 7" xfId="9148"/>
    <cellStyle name="AeE­_ ºn¸nº° ¿uº°±a¼u  38 8" xfId="9149"/>
    <cellStyle name="ÅëÈ­_ ºñ¸ñº° ¿ùº°±â¼ú  38 8" xfId="9150"/>
    <cellStyle name="AeE­_ ºn¸nº° ¿uº°±a¼u  38 9" xfId="9151"/>
    <cellStyle name="ÅëÈ­_ ºñ¸ñº° ¿ùº°±â¼ú  38 9" xfId="9152"/>
    <cellStyle name="AeE­_ ºn¸nº° ¿uº°±a¼u  39" xfId="9153"/>
    <cellStyle name="ÅëÈ­_ ºñ¸ñº° ¿ùº°±â¼ú  39" xfId="9154"/>
    <cellStyle name="AeE­_ ºn¸nº° ¿uº°±a¼u  39 10" xfId="9155"/>
    <cellStyle name="ÅëÈ­_ ºñ¸ñº° ¿ùº°±â¼ú  39 10" xfId="9156"/>
    <cellStyle name="AeE­_ ºn¸nº° ¿uº°±a¼u  39 11" xfId="9157"/>
    <cellStyle name="ÅëÈ­_ ºñ¸ñº° ¿ùº°±â¼ú  39 11" xfId="9158"/>
    <cellStyle name="AeE­_ ºn¸nº° ¿uº°±a¼u  39 12" xfId="9159"/>
    <cellStyle name="ÅëÈ­_ ºñ¸ñº° ¿ùº°±â¼ú  39 12" xfId="9160"/>
    <cellStyle name="AeE­_ ºn¸nº° ¿uº°±a¼u  39 13" xfId="9161"/>
    <cellStyle name="ÅëÈ­_ ºñ¸ñº° ¿ùº°±â¼ú  39 13" xfId="9162"/>
    <cellStyle name="AeE­_ ºn¸nº° ¿uº°±a¼u  39 14" xfId="9163"/>
    <cellStyle name="ÅëÈ­_ ºñ¸ñº° ¿ùº°±â¼ú  39 14" xfId="9164"/>
    <cellStyle name="AeE­_ ºn¸nº° ¿uº°±a¼u  39 15" xfId="9165"/>
    <cellStyle name="ÅëÈ­_ ºñ¸ñº° ¿ùº°±â¼ú  39 15" xfId="9166"/>
    <cellStyle name="AeE­_ ºn¸nº° ¿uº°±a¼u  39 16" xfId="9167"/>
    <cellStyle name="ÅëÈ­_ ºñ¸ñº° ¿ùº°±â¼ú  39 16" xfId="9168"/>
    <cellStyle name="AeE­_ ºn¸nº° ¿uº°±a¼u  39 17" xfId="9169"/>
    <cellStyle name="ÅëÈ­_ ºñ¸ñº° ¿ùº°±â¼ú  39 17" xfId="9170"/>
    <cellStyle name="AeE­_ ºn¸nº° ¿uº°±a¼u  39 18" xfId="9171"/>
    <cellStyle name="ÅëÈ­_ ºñ¸ñº° ¿ùº°±â¼ú  39 18" xfId="9172"/>
    <cellStyle name="AeE­_ ºn¸nº° ¿uº°±a¼u  39 19" xfId="9173"/>
    <cellStyle name="ÅëÈ­_ ºñ¸ñº° ¿ùº°±â¼ú  39 19" xfId="9174"/>
    <cellStyle name="AeE­_ ºn¸nº° ¿uº°±a¼u  39 2" xfId="9175"/>
    <cellStyle name="ÅëÈ­_ ºñ¸ñº° ¿ùº°±â¼ú  39 2" xfId="9176"/>
    <cellStyle name="AeE­_ ºn¸nº° ¿uº°±a¼u  39 20" xfId="9177"/>
    <cellStyle name="ÅëÈ­_ ºñ¸ñº° ¿ùº°±â¼ú  39 20" xfId="9178"/>
    <cellStyle name="AeE­_ ºn¸nº° ¿uº°±a¼u  39 21" xfId="9179"/>
    <cellStyle name="ÅëÈ­_ ºñ¸ñº° ¿ùº°±â¼ú  39 21" xfId="9180"/>
    <cellStyle name="AeE­_ ºn¸nº° ¿uº°±a¼u  39 22" xfId="9181"/>
    <cellStyle name="ÅëÈ­_ ºñ¸ñº° ¿ùº°±â¼ú  39 22" xfId="9182"/>
    <cellStyle name="AeE­_ ºn¸nº° ¿uº°±a¼u  39 23" xfId="9183"/>
    <cellStyle name="ÅëÈ­_ ºñ¸ñº° ¿ùº°±â¼ú  39 23" xfId="9184"/>
    <cellStyle name="AeE­_ ºn¸nº° ¿uº°±a¼u  39 24" xfId="9185"/>
    <cellStyle name="ÅëÈ­_ ºñ¸ñº° ¿ùº°±â¼ú  39 24" xfId="9186"/>
    <cellStyle name="AeE­_ ºn¸nº° ¿uº°±a¼u  39 25" xfId="9187"/>
    <cellStyle name="ÅëÈ­_ ºñ¸ñº° ¿ùº°±â¼ú  39 25" xfId="9188"/>
    <cellStyle name="AeE­_ ºn¸nº° ¿uº°±a¼u  39 26" xfId="9189"/>
    <cellStyle name="ÅëÈ­_ ºñ¸ñº° ¿ùº°±â¼ú  39 26" xfId="9190"/>
    <cellStyle name="AeE­_ ºn¸nº° ¿uº°±a¼u  39 27" xfId="9191"/>
    <cellStyle name="ÅëÈ­_ ºñ¸ñº° ¿ùº°±â¼ú  39 27" xfId="9192"/>
    <cellStyle name="AeE­_ ºn¸nº° ¿uº°±a¼u  39 28" xfId="9193"/>
    <cellStyle name="ÅëÈ­_ ºñ¸ñº° ¿ùº°±â¼ú  39 28" xfId="9194"/>
    <cellStyle name="AeE­_ ºn¸nº° ¿uº°±a¼u  39 29" xfId="9195"/>
    <cellStyle name="ÅëÈ­_ ºñ¸ñº° ¿ùº°±â¼ú  39 29" xfId="9196"/>
    <cellStyle name="AeE­_ ºn¸nº° ¿uº°±a¼u  39 3" xfId="9197"/>
    <cellStyle name="ÅëÈ­_ ºñ¸ñº° ¿ùº°±â¼ú  39 3" xfId="9198"/>
    <cellStyle name="AeE­_ ºn¸nº° ¿uº°±a¼u  39 30" xfId="9199"/>
    <cellStyle name="ÅëÈ­_ ºñ¸ñº° ¿ùº°±â¼ú  39 30" xfId="9200"/>
    <cellStyle name="AeE­_ ºn¸nº° ¿uº°±a¼u  39 31" xfId="9201"/>
    <cellStyle name="ÅëÈ­_ ºñ¸ñº° ¿ùº°±â¼ú  39 31" xfId="9202"/>
    <cellStyle name="AeE­_ ºn¸nº° ¿uº°±a¼u  39 32" xfId="9203"/>
    <cellStyle name="ÅëÈ­_ ºñ¸ñº° ¿ùº°±â¼ú  39 32" xfId="9204"/>
    <cellStyle name="AeE­_ ºn¸nº° ¿uº°±a¼u  39 33" xfId="9205"/>
    <cellStyle name="ÅëÈ­_ ºñ¸ñº° ¿ùº°±â¼ú  39 33" xfId="9206"/>
    <cellStyle name="AeE­_ ºn¸nº° ¿uº°±a¼u  39 34" xfId="9207"/>
    <cellStyle name="ÅëÈ­_ ºñ¸ñº° ¿ùº°±â¼ú  39 34" xfId="9208"/>
    <cellStyle name="AeE­_ ºn¸nº° ¿uº°±a¼u  39 4" xfId="9209"/>
    <cellStyle name="ÅëÈ­_ ºñ¸ñº° ¿ùº°±â¼ú  39 4" xfId="9210"/>
    <cellStyle name="AeE­_ ºn¸nº° ¿uº°±a¼u  39 5" xfId="9211"/>
    <cellStyle name="ÅëÈ­_ ºñ¸ñº° ¿ùº°±â¼ú  39 5" xfId="9212"/>
    <cellStyle name="AeE­_ ºn¸nº° ¿uº°±a¼u  39 6" xfId="9213"/>
    <cellStyle name="ÅëÈ­_ ºñ¸ñº° ¿ùº°±â¼ú  39 6" xfId="9214"/>
    <cellStyle name="AeE­_ ºn¸nº° ¿uº°±a¼u  39 7" xfId="9215"/>
    <cellStyle name="ÅëÈ­_ ºñ¸ñº° ¿ùº°±â¼ú  39 7" xfId="9216"/>
    <cellStyle name="AeE­_ ºn¸nº° ¿uº°±a¼u  39 8" xfId="9217"/>
    <cellStyle name="ÅëÈ­_ ºñ¸ñº° ¿ùº°±â¼ú  39 8" xfId="9218"/>
    <cellStyle name="AeE­_ ºn¸nº° ¿uº°±a¼u  39 9" xfId="9219"/>
    <cellStyle name="ÅëÈ­_ ºñ¸ñº° ¿ùº°±â¼ú  39 9" xfId="9220"/>
    <cellStyle name="AeE­_ ºn¸nº° ¿uº°±a¼u  4" xfId="9221"/>
    <cellStyle name="ÅëÈ­_ ºñ¸ñº° ¿ùº°±â¼ú  4" xfId="9222"/>
    <cellStyle name="AeE­_ ºn¸nº° ¿uº°±a¼u  4 10" xfId="9223"/>
    <cellStyle name="ÅëÈ­_ ºñ¸ñº° ¿ùº°±â¼ú  4 10" xfId="9224"/>
    <cellStyle name="AeE­_ ºn¸nº° ¿uº°±a¼u  4 11" xfId="9225"/>
    <cellStyle name="ÅëÈ­_ ºñ¸ñº° ¿ùº°±â¼ú  4 11" xfId="9226"/>
    <cellStyle name="AeE­_ ºn¸nº° ¿uº°±a¼u  4 12" xfId="9227"/>
    <cellStyle name="ÅëÈ­_ ºñ¸ñº° ¿ùº°±â¼ú  4 12" xfId="9228"/>
    <cellStyle name="AeE­_ ºn¸nº° ¿uº°±a¼u  4 13" xfId="9229"/>
    <cellStyle name="ÅëÈ­_ ºñ¸ñº° ¿ùº°±â¼ú  4 13" xfId="9230"/>
    <cellStyle name="AeE­_ ºn¸nº° ¿uº°±a¼u  4 14" xfId="9231"/>
    <cellStyle name="ÅëÈ­_ ºñ¸ñº° ¿ùº°±â¼ú  4 14" xfId="9232"/>
    <cellStyle name="AeE­_ ºn¸nº° ¿uº°±a¼u  4 15" xfId="9233"/>
    <cellStyle name="ÅëÈ­_ ºñ¸ñº° ¿ùº°±â¼ú  4 15" xfId="9234"/>
    <cellStyle name="AeE­_ ºn¸nº° ¿uº°±a¼u  4 16" xfId="9235"/>
    <cellStyle name="ÅëÈ­_ ºñ¸ñº° ¿ùº°±â¼ú  4 16" xfId="9236"/>
    <cellStyle name="AeE­_ ºn¸nº° ¿uº°±a¼u  4 17" xfId="9237"/>
    <cellStyle name="ÅëÈ­_ ºñ¸ñº° ¿ùº°±â¼ú  4 17" xfId="9238"/>
    <cellStyle name="AeE­_ ºn¸nº° ¿uº°±a¼u  4 18" xfId="9239"/>
    <cellStyle name="ÅëÈ­_ ºñ¸ñº° ¿ùº°±â¼ú  4 18" xfId="9240"/>
    <cellStyle name="AeE­_ ºn¸nº° ¿uº°±a¼u  4 19" xfId="9241"/>
    <cellStyle name="ÅëÈ­_ ºñ¸ñº° ¿ùº°±â¼ú  4 19" xfId="9242"/>
    <cellStyle name="AeE­_ ºn¸nº° ¿uº°±a¼u  4 2" xfId="9243"/>
    <cellStyle name="ÅëÈ­_ ºñ¸ñº° ¿ùº°±â¼ú  4 2" xfId="9244"/>
    <cellStyle name="AeE­_ ºn¸nº° ¿uº°±a¼u  4 20" xfId="9245"/>
    <cellStyle name="ÅëÈ­_ ºñ¸ñº° ¿ùº°±â¼ú  4 20" xfId="9246"/>
    <cellStyle name="AeE­_ ºn¸nº° ¿uº°±a¼u  4 21" xfId="9247"/>
    <cellStyle name="ÅëÈ­_ ºñ¸ñº° ¿ùº°±â¼ú  4 21" xfId="9248"/>
    <cellStyle name="AeE­_ ºn¸nº° ¿uº°±a¼u  4 22" xfId="9249"/>
    <cellStyle name="ÅëÈ­_ ºñ¸ñº° ¿ùº°±â¼ú  4 22" xfId="9250"/>
    <cellStyle name="AeE­_ ºn¸nº° ¿uº°±a¼u  4 23" xfId="9251"/>
    <cellStyle name="ÅëÈ­_ ºñ¸ñº° ¿ùº°±â¼ú  4 23" xfId="9252"/>
    <cellStyle name="AeE­_ ºn¸nº° ¿uº°±a¼u  4 24" xfId="9253"/>
    <cellStyle name="ÅëÈ­_ ºñ¸ñº° ¿ùº°±â¼ú  4 24" xfId="9254"/>
    <cellStyle name="AeE­_ ºn¸nº° ¿uº°±a¼u  4 25" xfId="9255"/>
    <cellStyle name="ÅëÈ­_ ºñ¸ñº° ¿ùº°±â¼ú  4 25" xfId="9256"/>
    <cellStyle name="AeE­_ ºn¸nº° ¿uº°±a¼u  4 26" xfId="9257"/>
    <cellStyle name="ÅëÈ­_ ºñ¸ñº° ¿ùº°±â¼ú  4 26" xfId="9258"/>
    <cellStyle name="AeE­_ ºn¸nº° ¿uº°±a¼u  4 27" xfId="9259"/>
    <cellStyle name="ÅëÈ­_ ºñ¸ñº° ¿ùº°±â¼ú  4 27" xfId="9260"/>
    <cellStyle name="AeE­_ ºn¸nº° ¿uº°±a¼u  4 28" xfId="9261"/>
    <cellStyle name="ÅëÈ­_ ºñ¸ñº° ¿ùº°±â¼ú  4 28" xfId="9262"/>
    <cellStyle name="AeE­_ ºn¸nº° ¿uº°±a¼u  4 29" xfId="9263"/>
    <cellStyle name="ÅëÈ­_ ºñ¸ñº° ¿ùº°±â¼ú  4 29" xfId="9264"/>
    <cellStyle name="AeE­_ ºn¸nº° ¿uº°±a¼u  4 3" xfId="9265"/>
    <cellStyle name="ÅëÈ­_ ºñ¸ñº° ¿ùº°±â¼ú  4 3" xfId="9266"/>
    <cellStyle name="AeE­_ ºn¸nº° ¿uº°±a¼u  4 30" xfId="9267"/>
    <cellStyle name="ÅëÈ­_ ºñ¸ñº° ¿ùº°±â¼ú  4 30" xfId="9268"/>
    <cellStyle name="AeE­_ ºn¸nº° ¿uº°±a¼u  4 31" xfId="9269"/>
    <cellStyle name="ÅëÈ­_ ºñ¸ñº° ¿ùº°±â¼ú  4 31" xfId="9270"/>
    <cellStyle name="AeE­_ ºn¸nº° ¿uº°±a¼u  4 32" xfId="9271"/>
    <cellStyle name="ÅëÈ­_ ºñ¸ñº° ¿ùº°±â¼ú  4 32" xfId="9272"/>
    <cellStyle name="AeE­_ ºn¸nº° ¿uº°±a¼u  4 33" xfId="9273"/>
    <cellStyle name="ÅëÈ­_ ºñ¸ñº° ¿ùº°±â¼ú  4 33" xfId="9274"/>
    <cellStyle name="AeE­_ ºn¸nº° ¿uº°±a¼u  4 34" xfId="9275"/>
    <cellStyle name="ÅëÈ­_ ºñ¸ñº° ¿ùº°±â¼ú  4 34" xfId="9276"/>
    <cellStyle name="AeE­_ ºn¸nº° ¿uº°±a¼u  4 4" xfId="9277"/>
    <cellStyle name="ÅëÈ­_ ºñ¸ñº° ¿ùº°±â¼ú  4 4" xfId="9278"/>
    <cellStyle name="AeE­_ ºn¸nº° ¿uº°±a¼u  4 5" xfId="9279"/>
    <cellStyle name="ÅëÈ­_ ºñ¸ñº° ¿ùº°±â¼ú  4 5" xfId="9280"/>
    <cellStyle name="AeE­_ ºn¸nº° ¿uº°±a¼u  4 6" xfId="9281"/>
    <cellStyle name="ÅëÈ­_ ºñ¸ñº° ¿ùº°±â¼ú  4 6" xfId="9282"/>
    <cellStyle name="AeE­_ ºn¸nº° ¿uº°±a¼u  4 7" xfId="9283"/>
    <cellStyle name="ÅëÈ­_ ºñ¸ñº° ¿ùº°±â¼ú  4 7" xfId="9284"/>
    <cellStyle name="AeE­_ ºn¸nº° ¿uº°±a¼u  4 8" xfId="9285"/>
    <cellStyle name="ÅëÈ­_ ºñ¸ñº° ¿ùº°±â¼ú  4 8" xfId="9286"/>
    <cellStyle name="AeE­_ ºn¸nº° ¿uº°±a¼u  4 9" xfId="9287"/>
    <cellStyle name="ÅëÈ­_ ºñ¸ñº° ¿ùº°±â¼ú  4 9" xfId="9288"/>
    <cellStyle name="AeE­_ ºn¸nº° ¿uº°±a¼u  40" xfId="9289"/>
    <cellStyle name="ÅëÈ­_ ºñ¸ñº° ¿ùº°±â¼ú  40" xfId="9290"/>
    <cellStyle name="AeE­_ ºn¸nº° ¿uº°±a¼u  40 10" xfId="9291"/>
    <cellStyle name="ÅëÈ­_ ºñ¸ñº° ¿ùº°±â¼ú  40 10" xfId="9292"/>
    <cellStyle name="AeE­_ ºn¸nº° ¿uº°±a¼u  40 11" xfId="9293"/>
    <cellStyle name="ÅëÈ­_ ºñ¸ñº° ¿ùº°±â¼ú  40 11" xfId="9294"/>
    <cellStyle name="AeE­_ ºn¸nº° ¿uº°±a¼u  40 12" xfId="9295"/>
    <cellStyle name="ÅëÈ­_ ºñ¸ñº° ¿ùº°±â¼ú  40 12" xfId="9296"/>
    <cellStyle name="AeE­_ ºn¸nº° ¿uº°±a¼u  40 13" xfId="9297"/>
    <cellStyle name="ÅëÈ­_ ºñ¸ñº° ¿ùº°±â¼ú  40 13" xfId="9298"/>
    <cellStyle name="AeE­_ ºn¸nº° ¿uº°±a¼u  40 14" xfId="9299"/>
    <cellStyle name="ÅëÈ­_ ºñ¸ñº° ¿ùº°±â¼ú  40 14" xfId="9300"/>
    <cellStyle name="AeE­_ ºn¸nº° ¿uº°±a¼u  40 15" xfId="9301"/>
    <cellStyle name="ÅëÈ­_ ºñ¸ñº° ¿ùº°±â¼ú  40 15" xfId="9302"/>
    <cellStyle name="AeE­_ ºn¸nº° ¿uº°±a¼u  40 16" xfId="9303"/>
    <cellStyle name="ÅëÈ­_ ºñ¸ñº° ¿ùº°±â¼ú  40 16" xfId="9304"/>
    <cellStyle name="AeE­_ ºn¸nº° ¿uº°±a¼u  40 17" xfId="9305"/>
    <cellStyle name="ÅëÈ­_ ºñ¸ñº° ¿ùº°±â¼ú  40 17" xfId="9306"/>
    <cellStyle name="AeE­_ ºn¸nº° ¿uº°±a¼u  40 18" xfId="9307"/>
    <cellStyle name="ÅëÈ­_ ºñ¸ñº° ¿ùº°±â¼ú  40 18" xfId="9308"/>
    <cellStyle name="AeE­_ ºn¸nº° ¿uº°±a¼u  40 19" xfId="9309"/>
    <cellStyle name="ÅëÈ­_ ºñ¸ñº° ¿ùº°±â¼ú  40 19" xfId="9310"/>
    <cellStyle name="AeE­_ ºn¸nº° ¿uº°±a¼u  40 2" xfId="9311"/>
    <cellStyle name="ÅëÈ­_ ºñ¸ñº° ¿ùº°±â¼ú  40 2" xfId="9312"/>
    <cellStyle name="AeE­_ ºn¸nº° ¿uº°±a¼u  40 20" xfId="9313"/>
    <cellStyle name="ÅëÈ­_ ºñ¸ñº° ¿ùº°±â¼ú  40 20" xfId="9314"/>
    <cellStyle name="AeE­_ ºn¸nº° ¿uº°±a¼u  40 21" xfId="9315"/>
    <cellStyle name="ÅëÈ­_ ºñ¸ñº° ¿ùº°±â¼ú  40 21" xfId="9316"/>
    <cellStyle name="AeE­_ ºn¸nº° ¿uº°±a¼u  40 22" xfId="9317"/>
    <cellStyle name="ÅëÈ­_ ºñ¸ñº° ¿ùº°±â¼ú  40 22" xfId="9318"/>
    <cellStyle name="AeE­_ ºn¸nº° ¿uº°±a¼u  40 23" xfId="9319"/>
    <cellStyle name="ÅëÈ­_ ºñ¸ñº° ¿ùº°±â¼ú  40 23" xfId="9320"/>
    <cellStyle name="AeE­_ ºn¸nº° ¿uº°±a¼u  40 24" xfId="9321"/>
    <cellStyle name="ÅëÈ­_ ºñ¸ñº° ¿ùº°±â¼ú  40 24" xfId="9322"/>
    <cellStyle name="AeE­_ ºn¸nº° ¿uº°±a¼u  40 25" xfId="9323"/>
    <cellStyle name="ÅëÈ­_ ºñ¸ñº° ¿ùº°±â¼ú  40 25" xfId="9324"/>
    <cellStyle name="AeE­_ ºn¸nº° ¿uº°±a¼u  40 26" xfId="9325"/>
    <cellStyle name="ÅëÈ­_ ºñ¸ñº° ¿ùº°±â¼ú  40 26" xfId="9326"/>
    <cellStyle name="AeE­_ ºn¸nº° ¿uº°±a¼u  40 27" xfId="9327"/>
    <cellStyle name="ÅëÈ­_ ºñ¸ñº° ¿ùº°±â¼ú  40 27" xfId="9328"/>
    <cellStyle name="AeE­_ ºn¸nº° ¿uº°±a¼u  40 28" xfId="9329"/>
    <cellStyle name="ÅëÈ­_ ºñ¸ñº° ¿ùº°±â¼ú  40 28" xfId="9330"/>
    <cellStyle name="AeE­_ ºn¸nº° ¿uº°±a¼u  40 29" xfId="9331"/>
    <cellStyle name="ÅëÈ­_ ºñ¸ñº° ¿ùº°±â¼ú  40 29" xfId="9332"/>
    <cellStyle name="AeE­_ ºn¸nº° ¿uº°±a¼u  40 3" xfId="9333"/>
    <cellStyle name="ÅëÈ­_ ºñ¸ñº° ¿ùº°±â¼ú  40 3" xfId="9334"/>
    <cellStyle name="AeE­_ ºn¸nº° ¿uº°±a¼u  40 30" xfId="9335"/>
    <cellStyle name="ÅëÈ­_ ºñ¸ñº° ¿ùº°±â¼ú  40 30" xfId="9336"/>
    <cellStyle name="AeE­_ ºn¸nº° ¿uº°±a¼u  40 31" xfId="9337"/>
    <cellStyle name="ÅëÈ­_ ºñ¸ñº° ¿ùº°±â¼ú  40 31" xfId="9338"/>
    <cellStyle name="AeE­_ ºn¸nº° ¿uº°±a¼u  40 32" xfId="9339"/>
    <cellStyle name="ÅëÈ­_ ºñ¸ñº° ¿ùº°±â¼ú  40 32" xfId="9340"/>
    <cellStyle name="AeE­_ ºn¸nº° ¿uº°±a¼u  40 33" xfId="9341"/>
    <cellStyle name="ÅëÈ­_ ºñ¸ñº° ¿ùº°±â¼ú  40 33" xfId="9342"/>
    <cellStyle name="AeE­_ ºn¸nº° ¿uº°±a¼u  40 34" xfId="9343"/>
    <cellStyle name="ÅëÈ­_ ºñ¸ñº° ¿ùº°±â¼ú  40 34" xfId="9344"/>
    <cellStyle name="AeE­_ ºn¸nº° ¿uº°±a¼u  40 4" xfId="9345"/>
    <cellStyle name="ÅëÈ­_ ºñ¸ñº° ¿ùº°±â¼ú  40 4" xfId="9346"/>
    <cellStyle name="AeE­_ ºn¸nº° ¿uº°±a¼u  40 5" xfId="9347"/>
    <cellStyle name="ÅëÈ­_ ºñ¸ñº° ¿ùº°±â¼ú  40 5" xfId="9348"/>
    <cellStyle name="AeE­_ ºn¸nº° ¿uº°±a¼u  40 6" xfId="9349"/>
    <cellStyle name="ÅëÈ­_ ºñ¸ñº° ¿ùº°±â¼ú  40 6" xfId="9350"/>
    <cellStyle name="AeE­_ ºn¸nº° ¿uº°±a¼u  40 7" xfId="9351"/>
    <cellStyle name="ÅëÈ­_ ºñ¸ñº° ¿ùº°±â¼ú  40 7" xfId="9352"/>
    <cellStyle name="AeE­_ ºn¸nº° ¿uº°±a¼u  40 8" xfId="9353"/>
    <cellStyle name="ÅëÈ­_ ºñ¸ñº° ¿ùº°±â¼ú  40 8" xfId="9354"/>
    <cellStyle name="AeE­_ ºn¸nº° ¿uº°±a¼u  40 9" xfId="9355"/>
    <cellStyle name="ÅëÈ­_ ºñ¸ñº° ¿ùº°±â¼ú  40 9" xfId="9356"/>
    <cellStyle name="AeE­_ ºn¸nº° ¿uº°±a¼u  41" xfId="9357"/>
    <cellStyle name="ÅëÈ­_ ºñ¸ñº° ¿ùº°±â¼ú  41" xfId="9358"/>
    <cellStyle name="AeE­_ ºn¸nº° ¿uº°±a¼u  41 10" xfId="9359"/>
    <cellStyle name="ÅëÈ­_ ºñ¸ñº° ¿ùº°±â¼ú  41 10" xfId="9360"/>
    <cellStyle name="AeE­_ ºn¸nº° ¿uº°±a¼u  41 11" xfId="9361"/>
    <cellStyle name="ÅëÈ­_ ºñ¸ñº° ¿ùº°±â¼ú  41 11" xfId="9362"/>
    <cellStyle name="AeE­_ ºn¸nº° ¿uº°±a¼u  41 12" xfId="9363"/>
    <cellStyle name="ÅëÈ­_ ºñ¸ñº° ¿ùº°±â¼ú  41 12" xfId="9364"/>
    <cellStyle name="AeE­_ ºn¸nº° ¿uº°±a¼u  41 13" xfId="9365"/>
    <cellStyle name="ÅëÈ­_ ºñ¸ñº° ¿ùº°±â¼ú  41 13" xfId="9366"/>
    <cellStyle name="AeE­_ ºn¸nº° ¿uº°±a¼u  41 14" xfId="9367"/>
    <cellStyle name="ÅëÈ­_ ºñ¸ñº° ¿ùº°±â¼ú  41 14" xfId="9368"/>
    <cellStyle name="AeE­_ ºn¸nº° ¿uº°±a¼u  41 15" xfId="9369"/>
    <cellStyle name="ÅëÈ­_ ºñ¸ñº° ¿ùº°±â¼ú  41 15" xfId="9370"/>
    <cellStyle name="AeE­_ ºn¸nº° ¿uº°±a¼u  41 16" xfId="9371"/>
    <cellStyle name="ÅëÈ­_ ºñ¸ñº° ¿ùº°±â¼ú  41 16" xfId="9372"/>
    <cellStyle name="AeE­_ ºn¸nº° ¿uº°±a¼u  41 17" xfId="9373"/>
    <cellStyle name="ÅëÈ­_ ºñ¸ñº° ¿ùº°±â¼ú  41 17" xfId="9374"/>
    <cellStyle name="AeE­_ ºn¸nº° ¿uº°±a¼u  41 18" xfId="9375"/>
    <cellStyle name="ÅëÈ­_ ºñ¸ñº° ¿ùº°±â¼ú  41 18" xfId="9376"/>
    <cellStyle name="AeE­_ ºn¸nº° ¿uº°±a¼u  41 19" xfId="9377"/>
    <cellStyle name="ÅëÈ­_ ºñ¸ñº° ¿ùº°±â¼ú  41 19" xfId="9378"/>
    <cellStyle name="AeE­_ ºn¸nº° ¿uº°±a¼u  41 2" xfId="9379"/>
    <cellStyle name="ÅëÈ­_ ºñ¸ñº° ¿ùº°±â¼ú  41 2" xfId="9380"/>
    <cellStyle name="AeE­_ ºn¸nº° ¿uº°±a¼u  41 20" xfId="9381"/>
    <cellStyle name="ÅëÈ­_ ºñ¸ñº° ¿ùº°±â¼ú  41 20" xfId="9382"/>
    <cellStyle name="AeE­_ ºn¸nº° ¿uº°±a¼u  41 21" xfId="9383"/>
    <cellStyle name="ÅëÈ­_ ºñ¸ñº° ¿ùº°±â¼ú  41 21" xfId="9384"/>
    <cellStyle name="AeE­_ ºn¸nº° ¿uº°±a¼u  41 22" xfId="9385"/>
    <cellStyle name="ÅëÈ­_ ºñ¸ñº° ¿ùº°±â¼ú  41 22" xfId="9386"/>
    <cellStyle name="AeE­_ ºn¸nº° ¿uº°±a¼u  41 23" xfId="9387"/>
    <cellStyle name="ÅëÈ­_ ºñ¸ñº° ¿ùº°±â¼ú  41 23" xfId="9388"/>
    <cellStyle name="AeE­_ ºn¸nº° ¿uº°±a¼u  41 24" xfId="9389"/>
    <cellStyle name="ÅëÈ­_ ºñ¸ñº° ¿ùº°±â¼ú  41 24" xfId="9390"/>
    <cellStyle name="AeE­_ ºn¸nº° ¿uº°±a¼u  41 25" xfId="9391"/>
    <cellStyle name="ÅëÈ­_ ºñ¸ñº° ¿ùº°±â¼ú  41 25" xfId="9392"/>
    <cellStyle name="AeE­_ ºn¸nº° ¿uº°±a¼u  41 26" xfId="9393"/>
    <cellStyle name="ÅëÈ­_ ºñ¸ñº° ¿ùº°±â¼ú  41 26" xfId="9394"/>
    <cellStyle name="AeE­_ ºn¸nº° ¿uº°±a¼u  41 27" xfId="9395"/>
    <cellStyle name="ÅëÈ­_ ºñ¸ñº° ¿ùº°±â¼ú  41 27" xfId="9396"/>
    <cellStyle name="AeE­_ ºn¸nº° ¿uº°±a¼u  41 28" xfId="9397"/>
    <cellStyle name="ÅëÈ­_ ºñ¸ñº° ¿ùº°±â¼ú  41 28" xfId="9398"/>
    <cellStyle name="AeE­_ ºn¸nº° ¿uº°±a¼u  41 29" xfId="9399"/>
    <cellStyle name="ÅëÈ­_ ºñ¸ñº° ¿ùº°±â¼ú  41 29" xfId="9400"/>
    <cellStyle name="AeE­_ ºn¸nº° ¿uº°±a¼u  41 3" xfId="9401"/>
    <cellStyle name="ÅëÈ­_ ºñ¸ñº° ¿ùº°±â¼ú  41 3" xfId="9402"/>
    <cellStyle name="AeE­_ ºn¸nº° ¿uº°±a¼u  41 30" xfId="9403"/>
    <cellStyle name="ÅëÈ­_ ºñ¸ñº° ¿ùº°±â¼ú  41 30" xfId="9404"/>
    <cellStyle name="AeE­_ ºn¸nº° ¿uº°±a¼u  41 31" xfId="9405"/>
    <cellStyle name="ÅëÈ­_ ºñ¸ñº° ¿ùº°±â¼ú  41 31" xfId="9406"/>
    <cellStyle name="AeE­_ ºn¸nº° ¿uº°±a¼u  41 32" xfId="9407"/>
    <cellStyle name="ÅëÈ­_ ºñ¸ñº° ¿ùº°±â¼ú  41 32" xfId="9408"/>
    <cellStyle name="AeE­_ ºn¸nº° ¿uº°±a¼u  41 33" xfId="9409"/>
    <cellStyle name="ÅëÈ­_ ºñ¸ñº° ¿ùº°±â¼ú  41 33" xfId="9410"/>
    <cellStyle name="AeE­_ ºn¸nº° ¿uº°±a¼u  41 34" xfId="9411"/>
    <cellStyle name="ÅëÈ­_ ºñ¸ñº° ¿ùº°±â¼ú  41 34" xfId="9412"/>
    <cellStyle name="AeE­_ ºn¸nº° ¿uº°±a¼u  41 4" xfId="9413"/>
    <cellStyle name="ÅëÈ­_ ºñ¸ñº° ¿ùº°±â¼ú  41 4" xfId="9414"/>
    <cellStyle name="AeE­_ ºn¸nº° ¿uº°±a¼u  41 5" xfId="9415"/>
    <cellStyle name="ÅëÈ­_ ºñ¸ñº° ¿ùº°±â¼ú  41 5" xfId="9416"/>
    <cellStyle name="AeE­_ ºn¸nº° ¿uº°±a¼u  41 6" xfId="9417"/>
    <cellStyle name="ÅëÈ­_ ºñ¸ñº° ¿ùº°±â¼ú  41 6" xfId="9418"/>
    <cellStyle name="AeE­_ ºn¸nº° ¿uº°±a¼u  41 7" xfId="9419"/>
    <cellStyle name="ÅëÈ­_ ºñ¸ñº° ¿ùº°±â¼ú  41 7" xfId="9420"/>
    <cellStyle name="AeE­_ ºn¸nº° ¿uº°±a¼u  41 8" xfId="9421"/>
    <cellStyle name="ÅëÈ­_ ºñ¸ñº° ¿ùº°±â¼ú  41 8" xfId="9422"/>
    <cellStyle name="AeE­_ ºn¸nº° ¿uº°±a¼u  41 9" xfId="9423"/>
    <cellStyle name="ÅëÈ­_ ºñ¸ñº° ¿ùº°±â¼ú  41 9" xfId="9424"/>
    <cellStyle name="AeE­_ ºn¸nº° ¿uº°±a¼u  42" xfId="9425"/>
    <cellStyle name="ÅëÈ­_ ºñ¸ñº° ¿ùº°±â¼ú  42" xfId="9426"/>
    <cellStyle name="AeE­_ ºn¸nº° ¿uº°±a¼u  42 10" xfId="9427"/>
    <cellStyle name="ÅëÈ­_ ºñ¸ñº° ¿ùº°±â¼ú  42 10" xfId="9428"/>
    <cellStyle name="AeE­_ ºn¸nº° ¿uº°±a¼u  42 11" xfId="9429"/>
    <cellStyle name="ÅëÈ­_ ºñ¸ñº° ¿ùº°±â¼ú  42 11" xfId="9430"/>
    <cellStyle name="AeE­_ ºn¸nº° ¿uº°±a¼u  42 12" xfId="9431"/>
    <cellStyle name="ÅëÈ­_ ºñ¸ñº° ¿ùº°±â¼ú  42 12" xfId="9432"/>
    <cellStyle name="AeE­_ ºn¸nº° ¿uº°±a¼u  42 13" xfId="9433"/>
    <cellStyle name="ÅëÈ­_ ºñ¸ñº° ¿ùº°±â¼ú  42 13" xfId="9434"/>
    <cellStyle name="AeE­_ ºn¸nº° ¿uº°±a¼u  42 14" xfId="9435"/>
    <cellStyle name="ÅëÈ­_ ºñ¸ñº° ¿ùº°±â¼ú  42 14" xfId="9436"/>
    <cellStyle name="AeE­_ ºn¸nº° ¿uº°±a¼u  42 15" xfId="9437"/>
    <cellStyle name="ÅëÈ­_ ºñ¸ñº° ¿ùº°±â¼ú  42 15" xfId="9438"/>
    <cellStyle name="AeE­_ ºn¸nº° ¿uº°±a¼u  42 16" xfId="9439"/>
    <cellStyle name="ÅëÈ­_ ºñ¸ñº° ¿ùº°±â¼ú  42 16" xfId="9440"/>
    <cellStyle name="AeE­_ ºn¸nº° ¿uº°±a¼u  42 17" xfId="9441"/>
    <cellStyle name="ÅëÈ­_ ºñ¸ñº° ¿ùº°±â¼ú  42 17" xfId="9442"/>
    <cellStyle name="AeE­_ ºn¸nº° ¿uº°±a¼u  42 18" xfId="9443"/>
    <cellStyle name="ÅëÈ­_ ºñ¸ñº° ¿ùº°±â¼ú  42 18" xfId="9444"/>
    <cellStyle name="AeE­_ ºn¸nº° ¿uº°±a¼u  42 19" xfId="9445"/>
    <cellStyle name="ÅëÈ­_ ºñ¸ñº° ¿ùº°±â¼ú  42 19" xfId="9446"/>
    <cellStyle name="AeE­_ ºn¸nº° ¿uº°±a¼u  42 2" xfId="9447"/>
    <cellStyle name="ÅëÈ­_ ºñ¸ñº° ¿ùº°±â¼ú  42 2" xfId="9448"/>
    <cellStyle name="AeE­_ ºn¸nº° ¿uº°±a¼u  42 20" xfId="9449"/>
    <cellStyle name="ÅëÈ­_ ºñ¸ñº° ¿ùº°±â¼ú  42 20" xfId="9450"/>
    <cellStyle name="AeE­_ ºn¸nº° ¿uº°±a¼u  42 21" xfId="9451"/>
    <cellStyle name="ÅëÈ­_ ºñ¸ñº° ¿ùº°±â¼ú  42 21" xfId="9452"/>
    <cellStyle name="AeE­_ ºn¸nº° ¿uº°±a¼u  42 22" xfId="9453"/>
    <cellStyle name="ÅëÈ­_ ºñ¸ñº° ¿ùº°±â¼ú  42 22" xfId="9454"/>
    <cellStyle name="AeE­_ ºn¸nº° ¿uº°±a¼u  42 23" xfId="9455"/>
    <cellStyle name="ÅëÈ­_ ºñ¸ñº° ¿ùº°±â¼ú  42 23" xfId="9456"/>
    <cellStyle name="AeE­_ ºn¸nº° ¿uº°±a¼u  42 24" xfId="9457"/>
    <cellStyle name="ÅëÈ­_ ºñ¸ñº° ¿ùº°±â¼ú  42 24" xfId="9458"/>
    <cellStyle name="AeE­_ ºn¸nº° ¿uº°±a¼u  42 25" xfId="9459"/>
    <cellStyle name="ÅëÈ­_ ºñ¸ñº° ¿ùº°±â¼ú  42 25" xfId="9460"/>
    <cellStyle name="AeE­_ ºn¸nº° ¿uº°±a¼u  42 26" xfId="9461"/>
    <cellStyle name="ÅëÈ­_ ºñ¸ñº° ¿ùº°±â¼ú  42 26" xfId="9462"/>
    <cellStyle name="AeE­_ ºn¸nº° ¿uº°±a¼u  42 27" xfId="9463"/>
    <cellStyle name="ÅëÈ­_ ºñ¸ñº° ¿ùº°±â¼ú  42 27" xfId="9464"/>
    <cellStyle name="AeE­_ ºn¸nº° ¿uº°±a¼u  42 28" xfId="9465"/>
    <cellStyle name="ÅëÈ­_ ºñ¸ñº° ¿ùº°±â¼ú  42 28" xfId="9466"/>
    <cellStyle name="AeE­_ ºn¸nº° ¿uº°±a¼u  42 29" xfId="9467"/>
    <cellStyle name="ÅëÈ­_ ºñ¸ñº° ¿ùº°±â¼ú  42 29" xfId="9468"/>
    <cellStyle name="AeE­_ ºn¸nº° ¿uº°±a¼u  42 3" xfId="9469"/>
    <cellStyle name="ÅëÈ­_ ºñ¸ñº° ¿ùº°±â¼ú  42 3" xfId="9470"/>
    <cellStyle name="AeE­_ ºn¸nº° ¿uº°±a¼u  42 30" xfId="9471"/>
    <cellStyle name="ÅëÈ­_ ºñ¸ñº° ¿ùº°±â¼ú  42 30" xfId="9472"/>
    <cellStyle name="AeE­_ ºn¸nº° ¿uº°±a¼u  42 31" xfId="9473"/>
    <cellStyle name="ÅëÈ­_ ºñ¸ñº° ¿ùº°±â¼ú  42 31" xfId="9474"/>
    <cellStyle name="AeE­_ ºn¸nº° ¿uº°±a¼u  42 32" xfId="9475"/>
    <cellStyle name="ÅëÈ­_ ºñ¸ñº° ¿ùº°±â¼ú  42 32" xfId="9476"/>
    <cellStyle name="AeE­_ ºn¸nº° ¿uº°±a¼u  42 33" xfId="9477"/>
    <cellStyle name="ÅëÈ­_ ºñ¸ñº° ¿ùº°±â¼ú  42 33" xfId="9478"/>
    <cellStyle name="AeE­_ ºn¸nº° ¿uº°±a¼u  42 34" xfId="9479"/>
    <cellStyle name="ÅëÈ­_ ºñ¸ñº° ¿ùº°±â¼ú  42 34" xfId="9480"/>
    <cellStyle name="AeE­_ ºn¸nº° ¿uº°±a¼u  42 4" xfId="9481"/>
    <cellStyle name="ÅëÈ­_ ºñ¸ñº° ¿ùº°±â¼ú  42 4" xfId="9482"/>
    <cellStyle name="AeE­_ ºn¸nº° ¿uº°±a¼u  42 5" xfId="9483"/>
    <cellStyle name="ÅëÈ­_ ºñ¸ñº° ¿ùº°±â¼ú  42 5" xfId="9484"/>
    <cellStyle name="AeE­_ ºn¸nº° ¿uº°±a¼u  42 6" xfId="9485"/>
    <cellStyle name="ÅëÈ­_ ºñ¸ñº° ¿ùº°±â¼ú  42 6" xfId="9486"/>
    <cellStyle name="AeE­_ ºn¸nº° ¿uº°±a¼u  42 7" xfId="9487"/>
    <cellStyle name="ÅëÈ­_ ºñ¸ñº° ¿ùº°±â¼ú  42 7" xfId="9488"/>
    <cellStyle name="AeE­_ ºn¸nº° ¿uº°±a¼u  42 8" xfId="9489"/>
    <cellStyle name="ÅëÈ­_ ºñ¸ñº° ¿ùº°±â¼ú  42 8" xfId="9490"/>
    <cellStyle name="AeE­_ ºn¸nº° ¿uº°±a¼u  42 9" xfId="9491"/>
    <cellStyle name="ÅëÈ­_ ºñ¸ñº° ¿ùº°±â¼ú  42 9" xfId="9492"/>
    <cellStyle name="AeE­_ ºn¸nº° ¿uº°±a¼u  43" xfId="9493"/>
    <cellStyle name="ÅëÈ­_ ºñ¸ñº° ¿ùº°±â¼ú  43" xfId="9494"/>
    <cellStyle name="AeE­_ ºn¸nº° ¿uº°±a¼u  43 10" xfId="9495"/>
    <cellStyle name="ÅëÈ­_ ºñ¸ñº° ¿ùº°±â¼ú  43 10" xfId="9496"/>
    <cellStyle name="AeE­_ ºn¸nº° ¿uº°±a¼u  43 11" xfId="9497"/>
    <cellStyle name="ÅëÈ­_ ºñ¸ñº° ¿ùº°±â¼ú  43 11" xfId="9498"/>
    <cellStyle name="AeE­_ ºn¸nº° ¿uº°±a¼u  43 12" xfId="9499"/>
    <cellStyle name="ÅëÈ­_ ºñ¸ñº° ¿ùº°±â¼ú  43 12" xfId="9500"/>
    <cellStyle name="AeE­_ ºn¸nº° ¿uº°±a¼u  43 13" xfId="9501"/>
    <cellStyle name="ÅëÈ­_ ºñ¸ñº° ¿ùº°±â¼ú  43 13" xfId="9502"/>
    <cellStyle name="AeE­_ ºn¸nº° ¿uº°±a¼u  43 14" xfId="9503"/>
    <cellStyle name="ÅëÈ­_ ºñ¸ñº° ¿ùº°±â¼ú  43 14" xfId="9504"/>
    <cellStyle name="AeE­_ ºn¸nº° ¿uº°±a¼u  43 15" xfId="9505"/>
    <cellStyle name="ÅëÈ­_ ºñ¸ñº° ¿ùº°±â¼ú  43 15" xfId="9506"/>
    <cellStyle name="AeE­_ ºn¸nº° ¿uº°±a¼u  43 16" xfId="9507"/>
    <cellStyle name="ÅëÈ­_ ºñ¸ñº° ¿ùº°±â¼ú  43 16" xfId="9508"/>
    <cellStyle name="AeE­_ ºn¸nº° ¿uº°±a¼u  43 17" xfId="9509"/>
    <cellStyle name="ÅëÈ­_ ºñ¸ñº° ¿ùº°±â¼ú  43 17" xfId="9510"/>
    <cellStyle name="AeE­_ ºn¸nº° ¿uº°±a¼u  43 18" xfId="9511"/>
    <cellStyle name="ÅëÈ­_ ºñ¸ñº° ¿ùº°±â¼ú  43 18" xfId="9512"/>
    <cellStyle name="AeE­_ ºn¸nº° ¿uº°±a¼u  43 19" xfId="9513"/>
    <cellStyle name="ÅëÈ­_ ºñ¸ñº° ¿ùº°±â¼ú  43 19" xfId="9514"/>
    <cellStyle name="AeE­_ ºn¸nº° ¿uº°±a¼u  43 2" xfId="9515"/>
    <cellStyle name="ÅëÈ­_ ºñ¸ñº° ¿ùº°±â¼ú  43 2" xfId="9516"/>
    <cellStyle name="AeE­_ ºn¸nº° ¿uº°±a¼u  43 20" xfId="9517"/>
    <cellStyle name="ÅëÈ­_ ºñ¸ñº° ¿ùº°±â¼ú  43 20" xfId="9518"/>
    <cellStyle name="AeE­_ ºn¸nº° ¿uº°±a¼u  43 21" xfId="9519"/>
    <cellStyle name="ÅëÈ­_ ºñ¸ñº° ¿ùº°±â¼ú  43 21" xfId="9520"/>
    <cellStyle name="AeE­_ ºn¸nº° ¿uº°±a¼u  43 22" xfId="9521"/>
    <cellStyle name="ÅëÈ­_ ºñ¸ñº° ¿ùº°±â¼ú  43 22" xfId="9522"/>
    <cellStyle name="AeE­_ ºn¸nº° ¿uº°±a¼u  43 23" xfId="9523"/>
    <cellStyle name="ÅëÈ­_ ºñ¸ñº° ¿ùº°±â¼ú  43 23" xfId="9524"/>
    <cellStyle name="AeE­_ ºn¸nº° ¿uº°±a¼u  43 24" xfId="9525"/>
    <cellStyle name="ÅëÈ­_ ºñ¸ñº° ¿ùº°±â¼ú  43 24" xfId="9526"/>
    <cellStyle name="AeE­_ ºn¸nº° ¿uº°±a¼u  43 25" xfId="9527"/>
    <cellStyle name="ÅëÈ­_ ºñ¸ñº° ¿ùº°±â¼ú  43 25" xfId="9528"/>
    <cellStyle name="AeE­_ ºn¸nº° ¿uº°±a¼u  43 26" xfId="9529"/>
    <cellStyle name="ÅëÈ­_ ºñ¸ñº° ¿ùº°±â¼ú  43 26" xfId="9530"/>
    <cellStyle name="AeE­_ ºn¸nº° ¿uº°±a¼u  43 27" xfId="9531"/>
    <cellStyle name="ÅëÈ­_ ºñ¸ñº° ¿ùº°±â¼ú  43 27" xfId="9532"/>
    <cellStyle name="AeE­_ ºn¸nº° ¿uº°±a¼u  43 28" xfId="9533"/>
    <cellStyle name="ÅëÈ­_ ºñ¸ñº° ¿ùº°±â¼ú  43 28" xfId="9534"/>
    <cellStyle name="AeE­_ ºn¸nº° ¿uº°±a¼u  43 29" xfId="9535"/>
    <cellStyle name="ÅëÈ­_ ºñ¸ñº° ¿ùº°±â¼ú  43 29" xfId="9536"/>
    <cellStyle name="AeE­_ ºn¸nº° ¿uº°±a¼u  43 3" xfId="9537"/>
    <cellStyle name="ÅëÈ­_ ºñ¸ñº° ¿ùº°±â¼ú  43 3" xfId="9538"/>
    <cellStyle name="AeE­_ ºn¸nº° ¿uº°±a¼u  43 30" xfId="9539"/>
    <cellStyle name="ÅëÈ­_ ºñ¸ñº° ¿ùº°±â¼ú  43 30" xfId="9540"/>
    <cellStyle name="AeE­_ ºn¸nº° ¿uº°±a¼u  43 31" xfId="9541"/>
    <cellStyle name="ÅëÈ­_ ºñ¸ñº° ¿ùº°±â¼ú  43 31" xfId="9542"/>
    <cellStyle name="AeE­_ ºn¸nº° ¿uº°±a¼u  43 32" xfId="9543"/>
    <cellStyle name="ÅëÈ­_ ºñ¸ñº° ¿ùº°±â¼ú  43 32" xfId="9544"/>
    <cellStyle name="AeE­_ ºn¸nº° ¿uº°±a¼u  43 33" xfId="9545"/>
    <cellStyle name="ÅëÈ­_ ºñ¸ñº° ¿ùº°±â¼ú  43 33" xfId="9546"/>
    <cellStyle name="AeE­_ ºn¸nº° ¿uº°±a¼u  43 34" xfId="9547"/>
    <cellStyle name="ÅëÈ­_ ºñ¸ñº° ¿ùº°±â¼ú  43 34" xfId="9548"/>
    <cellStyle name="AeE­_ ºn¸nº° ¿uº°±a¼u  43 4" xfId="9549"/>
    <cellStyle name="ÅëÈ­_ ºñ¸ñº° ¿ùº°±â¼ú  43 4" xfId="9550"/>
    <cellStyle name="AeE­_ ºn¸nº° ¿uº°±a¼u  43 5" xfId="9551"/>
    <cellStyle name="ÅëÈ­_ ºñ¸ñº° ¿ùº°±â¼ú  43 5" xfId="9552"/>
    <cellStyle name="AeE­_ ºn¸nº° ¿uº°±a¼u  43 6" xfId="9553"/>
    <cellStyle name="ÅëÈ­_ ºñ¸ñº° ¿ùº°±â¼ú  43 6" xfId="9554"/>
    <cellStyle name="AeE­_ ºn¸nº° ¿uº°±a¼u  43 7" xfId="9555"/>
    <cellStyle name="ÅëÈ­_ ºñ¸ñº° ¿ùº°±â¼ú  43 7" xfId="9556"/>
    <cellStyle name="AeE­_ ºn¸nº° ¿uº°±a¼u  43 8" xfId="9557"/>
    <cellStyle name="ÅëÈ­_ ºñ¸ñº° ¿ùº°±â¼ú  43 8" xfId="9558"/>
    <cellStyle name="AeE­_ ºn¸nº° ¿uº°±a¼u  43 9" xfId="9559"/>
    <cellStyle name="ÅëÈ­_ ºñ¸ñº° ¿ùº°±â¼ú  43 9" xfId="9560"/>
    <cellStyle name="AeE­_ ºn¸nº° ¿uº°±a¼u  5" xfId="9561"/>
    <cellStyle name="ÅëÈ­_ ºñ¸ñº° ¿ùº°±â¼ú  5" xfId="9562"/>
    <cellStyle name="AeE­_ ºn¸nº° ¿uº°±a¼u  5 10" xfId="9563"/>
    <cellStyle name="ÅëÈ­_ ºñ¸ñº° ¿ùº°±â¼ú  5 10" xfId="9564"/>
    <cellStyle name="AeE­_ ºn¸nº° ¿uº°±a¼u  5 11" xfId="9565"/>
    <cellStyle name="ÅëÈ­_ ºñ¸ñº° ¿ùº°±â¼ú  5 11" xfId="9566"/>
    <cellStyle name="AeE­_ ºn¸nº° ¿uº°±a¼u  5 12" xfId="9567"/>
    <cellStyle name="ÅëÈ­_ ºñ¸ñº° ¿ùº°±â¼ú  5 12" xfId="9568"/>
    <cellStyle name="AeE­_ ºn¸nº° ¿uº°±a¼u  5 13" xfId="9569"/>
    <cellStyle name="ÅëÈ­_ ºñ¸ñº° ¿ùº°±â¼ú  5 13" xfId="9570"/>
    <cellStyle name="AeE­_ ºn¸nº° ¿uº°±a¼u  5 14" xfId="9571"/>
    <cellStyle name="ÅëÈ­_ ºñ¸ñº° ¿ùº°±â¼ú  5 14" xfId="9572"/>
    <cellStyle name="AeE­_ ºn¸nº° ¿uº°±a¼u  5 15" xfId="9573"/>
    <cellStyle name="ÅëÈ­_ ºñ¸ñº° ¿ùº°±â¼ú  5 15" xfId="9574"/>
    <cellStyle name="AeE­_ ºn¸nº° ¿uº°±a¼u  5 16" xfId="9575"/>
    <cellStyle name="ÅëÈ­_ ºñ¸ñº° ¿ùº°±â¼ú  5 16" xfId="9576"/>
    <cellStyle name="AeE­_ ºn¸nº° ¿uº°±a¼u  5 17" xfId="9577"/>
    <cellStyle name="ÅëÈ­_ ºñ¸ñº° ¿ùº°±â¼ú  5 17" xfId="9578"/>
    <cellStyle name="AeE­_ ºn¸nº° ¿uº°±a¼u  5 18" xfId="9579"/>
    <cellStyle name="ÅëÈ­_ ºñ¸ñº° ¿ùº°±â¼ú  5 18" xfId="9580"/>
    <cellStyle name="AeE­_ ºn¸nº° ¿uº°±a¼u  5 19" xfId="9581"/>
    <cellStyle name="ÅëÈ­_ ºñ¸ñº° ¿ùº°±â¼ú  5 19" xfId="9582"/>
    <cellStyle name="AeE­_ ºn¸nº° ¿uº°±a¼u  5 2" xfId="9583"/>
    <cellStyle name="ÅëÈ­_ ºñ¸ñº° ¿ùº°±â¼ú  5 2" xfId="9584"/>
    <cellStyle name="AeE­_ ºn¸nº° ¿uº°±a¼u  5 20" xfId="9585"/>
    <cellStyle name="ÅëÈ­_ ºñ¸ñº° ¿ùº°±â¼ú  5 20" xfId="9586"/>
    <cellStyle name="AeE­_ ºn¸nº° ¿uº°±a¼u  5 21" xfId="9587"/>
    <cellStyle name="ÅëÈ­_ ºñ¸ñº° ¿ùº°±â¼ú  5 21" xfId="9588"/>
    <cellStyle name="AeE­_ ºn¸nº° ¿uº°±a¼u  5 22" xfId="9589"/>
    <cellStyle name="ÅëÈ­_ ºñ¸ñº° ¿ùº°±â¼ú  5 22" xfId="9590"/>
    <cellStyle name="AeE­_ ºn¸nº° ¿uº°±a¼u  5 23" xfId="9591"/>
    <cellStyle name="ÅëÈ­_ ºñ¸ñº° ¿ùº°±â¼ú  5 23" xfId="9592"/>
    <cellStyle name="AeE­_ ºn¸nº° ¿uº°±a¼u  5 24" xfId="9593"/>
    <cellStyle name="ÅëÈ­_ ºñ¸ñº° ¿ùº°±â¼ú  5 24" xfId="9594"/>
    <cellStyle name="AeE­_ ºn¸nº° ¿uº°±a¼u  5 25" xfId="9595"/>
    <cellStyle name="ÅëÈ­_ ºñ¸ñº° ¿ùº°±â¼ú  5 25" xfId="9596"/>
    <cellStyle name="AeE­_ ºn¸nº° ¿uº°±a¼u  5 26" xfId="9597"/>
    <cellStyle name="ÅëÈ­_ ºñ¸ñº° ¿ùº°±â¼ú  5 26" xfId="9598"/>
    <cellStyle name="AeE­_ ºn¸nº° ¿uº°±a¼u  5 27" xfId="9599"/>
    <cellStyle name="ÅëÈ­_ ºñ¸ñº° ¿ùº°±â¼ú  5 27" xfId="9600"/>
    <cellStyle name="AeE­_ ºn¸nº° ¿uº°±a¼u  5 28" xfId="9601"/>
    <cellStyle name="ÅëÈ­_ ºñ¸ñº° ¿ùº°±â¼ú  5 28" xfId="9602"/>
    <cellStyle name="AeE­_ ºn¸nº° ¿uº°±a¼u  5 29" xfId="9603"/>
    <cellStyle name="ÅëÈ­_ ºñ¸ñº° ¿ùº°±â¼ú  5 29" xfId="9604"/>
    <cellStyle name="AeE­_ ºn¸nº° ¿uº°±a¼u  5 3" xfId="9605"/>
    <cellStyle name="ÅëÈ­_ ºñ¸ñº° ¿ùº°±â¼ú  5 3" xfId="9606"/>
    <cellStyle name="AeE­_ ºn¸nº° ¿uº°±a¼u  5 30" xfId="9607"/>
    <cellStyle name="ÅëÈ­_ ºñ¸ñº° ¿ùº°±â¼ú  5 30" xfId="9608"/>
    <cellStyle name="AeE­_ ºn¸nº° ¿uº°±a¼u  5 31" xfId="9609"/>
    <cellStyle name="ÅëÈ­_ ºñ¸ñº° ¿ùº°±â¼ú  5 31" xfId="9610"/>
    <cellStyle name="AeE­_ ºn¸nº° ¿uº°±a¼u  5 32" xfId="9611"/>
    <cellStyle name="ÅëÈ­_ ºñ¸ñº° ¿ùº°±â¼ú  5 32" xfId="9612"/>
    <cellStyle name="AeE­_ ºn¸nº° ¿uº°±a¼u  5 33" xfId="9613"/>
    <cellStyle name="ÅëÈ­_ ºñ¸ñº° ¿ùº°±â¼ú  5 33" xfId="9614"/>
    <cellStyle name="AeE­_ ºn¸nº° ¿uº°±a¼u  5 34" xfId="9615"/>
    <cellStyle name="ÅëÈ­_ ºñ¸ñº° ¿ùº°±â¼ú  5 34" xfId="9616"/>
    <cellStyle name="AeE­_ ºn¸nº° ¿uº°±a¼u  5 4" xfId="9617"/>
    <cellStyle name="ÅëÈ­_ ºñ¸ñº° ¿ùº°±â¼ú  5 4" xfId="9618"/>
    <cellStyle name="AeE­_ ºn¸nº° ¿uº°±a¼u  5 5" xfId="9619"/>
    <cellStyle name="ÅëÈ­_ ºñ¸ñº° ¿ùº°±â¼ú  5 5" xfId="9620"/>
    <cellStyle name="AeE­_ ºn¸nº° ¿uº°±a¼u  5 6" xfId="9621"/>
    <cellStyle name="ÅëÈ­_ ºñ¸ñº° ¿ùº°±â¼ú  5 6" xfId="9622"/>
    <cellStyle name="AeE­_ ºn¸nº° ¿uº°±a¼u  5 7" xfId="9623"/>
    <cellStyle name="ÅëÈ­_ ºñ¸ñº° ¿ùº°±â¼ú  5 7" xfId="9624"/>
    <cellStyle name="AeE­_ ºn¸nº° ¿uº°±a¼u  5 8" xfId="9625"/>
    <cellStyle name="ÅëÈ­_ ºñ¸ñº° ¿ùº°±â¼ú  5 8" xfId="9626"/>
    <cellStyle name="AeE­_ ºn¸nº° ¿uº°±a¼u  5 9" xfId="9627"/>
    <cellStyle name="ÅëÈ­_ ºñ¸ñº° ¿ùº°±â¼ú  5 9" xfId="9628"/>
    <cellStyle name="AeE­_ ºn¸nº° ¿uº°±a¼u  6" xfId="9629"/>
    <cellStyle name="ÅëÈ­_ ºñ¸ñº° ¿ùº°±â¼ú  6" xfId="9630"/>
    <cellStyle name="AeE­_ ºn¸nº° ¿uº°±a¼u  6 10" xfId="9631"/>
    <cellStyle name="ÅëÈ­_ ºñ¸ñº° ¿ùº°±â¼ú  6 10" xfId="9632"/>
    <cellStyle name="AeE­_ ºn¸nº° ¿uº°±a¼u  6 11" xfId="9633"/>
    <cellStyle name="ÅëÈ­_ ºñ¸ñº° ¿ùº°±â¼ú  6 11" xfId="9634"/>
    <cellStyle name="AeE­_ ºn¸nº° ¿uº°±a¼u  6 12" xfId="9635"/>
    <cellStyle name="ÅëÈ­_ ºñ¸ñº° ¿ùº°±â¼ú  6 12" xfId="9636"/>
    <cellStyle name="AeE­_ ºn¸nº° ¿uº°±a¼u  6 13" xfId="9637"/>
    <cellStyle name="ÅëÈ­_ ºñ¸ñº° ¿ùº°±â¼ú  6 13" xfId="9638"/>
    <cellStyle name="AeE­_ ºn¸nº° ¿uº°±a¼u  6 14" xfId="9639"/>
    <cellStyle name="ÅëÈ­_ ºñ¸ñº° ¿ùº°±â¼ú  6 14" xfId="9640"/>
    <cellStyle name="AeE­_ ºn¸nº° ¿uº°±a¼u  6 15" xfId="9641"/>
    <cellStyle name="ÅëÈ­_ ºñ¸ñº° ¿ùº°±â¼ú  6 15" xfId="9642"/>
    <cellStyle name="AeE­_ ºn¸nº° ¿uº°±a¼u  6 16" xfId="9643"/>
    <cellStyle name="ÅëÈ­_ ºñ¸ñº° ¿ùº°±â¼ú  6 16" xfId="9644"/>
    <cellStyle name="AeE­_ ºn¸nº° ¿uº°±a¼u  6 17" xfId="9645"/>
    <cellStyle name="ÅëÈ­_ ºñ¸ñº° ¿ùº°±â¼ú  6 17" xfId="9646"/>
    <cellStyle name="AeE­_ ºn¸nº° ¿uº°±a¼u  6 18" xfId="9647"/>
    <cellStyle name="ÅëÈ­_ ºñ¸ñº° ¿ùº°±â¼ú  6 18" xfId="9648"/>
    <cellStyle name="AeE­_ ºn¸nº° ¿uº°±a¼u  6 19" xfId="9649"/>
    <cellStyle name="ÅëÈ­_ ºñ¸ñº° ¿ùº°±â¼ú  6 19" xfId="9650"/>
    <cellStyle name="AeE­_ ºn¸nº° ¿uº°±a¼u  6 2" xfId="9651"/>
    <cellStyle name="ÅëÈ­_ ºñ¸ñº° ¿ùº°±â¼ú  6 2" xfId="9652"/>
    <cellStyle name="AeE­_ ºn¸nº° ¿uº°±a¼u  6 20" xfId="9653"/>
    <cellStyle name="ÅëÈ­_ ºñ¸ñº° ¿ùº°±â¼ú  6 20" xfId="9654"/>
    <cellStyle name="AeE­_ ºn¸nº° ¿uº°±a¼u  6 21" xfId="9655"/>
    <cellStyle name="ÅëÈ­_ ºñ¸ñº° ¿ùº°±â¼ú  6 21" xfId="9656"/>
    <cellStyle name="AeE­_ ºn¸nº° ¿uº°±a¼u  6 22" xfId="9657"/>
    <cellStyle name="ÅëÈ­_ ºñ¸ñº° ¿ùº°±â¼ú  6 22" xfId="9658"/>
    <cellStyle name="AeE­_ ºn¸nº° ¿uº°±a¼u  6 23" xfId="9659"/>
    <cellStyle name="ÅëÈ­_ ºñ¸ñº° ¿ùº°±â¼ú  6 23" xfId="9660"/>
    <cellStyle name="AeE­_ ºn¸nº° ¿uº°±a¼u  6 24" xfId="9661"/>
    <cellStyle name="ÅëÈ­_ ºñ¸ñº° ¿ùº°±â¼ú  6 24" xfId="9662"/>
    <cellStyle name="AeE­_ ºn¸nº° ¿uº°±a¼u  6 25" xfId="9663"/>
    <cellStyle name="ÅëÈ­_ ºñ¸ñº° ¿ùº°±â¼ú  6 25" xfId="9664"/>
    <cellStyle name="AeE­_ ºn¸nº° ¿uº°±a¼u  6 26" xfId="9665"/>
    <cellStyle name="ÅëÈ­_ ºñ¸ñº° ¿ùº°±â¼ú  6 26" xfId="9666"/>
    <cellStyle name="AeE­_ ºn¸nº° ¿uº°±a¼u  6 27" xfId="9667"/>
    <cellStyle name="ÅëÈ­_ ºñ¸ñº° ¿ùº°±â¼ú  6 27" xfId="9668"/>
    <cellStyle name="AeE­_ ºn¸nº° ¿uº°±a¼u  6 28" xfId="9669"/>
    <cellStyle name="ÅëÈ­_ ºñ¸ñº° ¿ùº°±â¼ú  6 28" xfId="9670"/>
    <cellStyle name="AeE­_ ºn¸nº° ¿uº°±a¼u  6 29" xfId="9671"/>
    <cellStyle name="ÅëÈ­_ ºñ¸ñº° ¿ùº°±â¼ú  6 29" xfId="9672"/>
    <cellStyle name="AeE­_ ºn¸nº° ¿uº°±a¼u  6 3" xfId="9673"/>
    <cellStyle name="ÅëÈ­_ ºñ¸ñº° ¿ùº°±â¼ú  6 3" xfId="9674"/>
    <cellStyle name="AeE­_ ºn¸nº° ¿uº°±a¼u  6 30" xfId="9675"/>
    <cellStyle name="ÅëÈ­_ ºñ¸ñº° ¿ùº°±â¼ú  6 30" xfId="9676"/>
    <cellStyle name="AeE­_ ºn¸nº° ¿uº°±a¼u  6 31" xfId="9677"/>
    <cellStyle name="ÅëÈ­_ ºñ¸ñº° ¿ùº°±â¼ú  6 31" xfId="9678"/>
    <cellStyle name="AeE­_ ºn¸nº° ¿uº°±a¼u  6 32" xfId="9679"/>
    <cellStyle name="ÅëÈ­_ ºñ¸ñº° ¿ùº°±â¼ú  6 32" xfId="9680"/>
    <cellStyle name="AeE­_ ºn¸nº° ¿uº°±a¼u  6 33" xfId="9681"/>
    <cellStyle name="ÅëÈ­_ ºñ¸ñº° ¿ùº°±â¼ú  6 33" xfId="9682"/>
    <cellStyle name="AeE­_ ºn¸nº° ¿uº°±a¼u  6 34" xfId="9683"/>
    <cellStyle name="ÅëÈ­_ ºñ¸ñº° ¿ùº°±â¼ú  6 34" xfId="9684"/>
    <cellStyle name="AeE­_ ºn¸nº° ¿uº°±a¼u  6 4" xfId="9685"/>
    <cellStyle name="ÅëÈ­_ ºñ¸ñº° ¿ùº°±â¼ú  6 4" xfId="9686"/>
    <cellStyle name="AeE­_ ºn¸nº° ¿uº°±a¼u  6 5" xfId="9687"/>
    <cellStyle name="ÅëÈ­_ ºñ¸ñº° ¿ùº°±â¼ú  6 5" xfId="9688"/>
    <cellStyle name="AeE­_ ºn¸nº° ¿uº°±a¼u  6 6" xfId="9689"/>
    <cellStyle name="ÅëÈ­_ ºñ¸ñº° ¿ùº°±â¼ú  6 6" xfId="9690"/>
    <cellStyle name="AeE­_ ºn¸nº° ¿uº°±a¼u  6 7" xfId="9691"/>
    <cellStyle name="ÅëÈ­_ ºñ¸ñº° ¿ùº°±â¼ú  6 7" xfId="9692"/>
    <cellStyle name="AeE­_ ºn¸nº° ¿uº°±a¼u  6 8" xfId="9693"/>
    <cellStyle name="ÅëÈ­_ ºñ¸ñº° ¿ùº°±â¼ú  6 8" xfId="9694"/>
    <cellStyle name="AeE­_ ºn¸nº° ¿uº°±a¼u  6 9" xfId="9695"/>
    <cellStyle name="ÅëÈ­_ ºñ¸ñº° ¿ùº°±â¼ú  6 9" xfId="9696"/>
    <cellStyle name="AeE­_ ºn¸nº° ¿uº°±a¼u  7" xfId="9697"/>
    <cellStyle name="ÅëÈ­_ ºñ¸ñº° ¿ùº°±â¼ú  7" xfId="9698"/>
    <cellStyle name="AeE­_ ºn¸nº° ¿uº°±a¼u  7 10" xfId="9699"/>
    <cellStyle name="ÅëÈ­_ ºñ¸ñº° ¿ùº°±â¼ú  7 10" xfId="9700"/>
    <cellStyle name="AeE­_ ºn¸nº° ¿uº°±a¼u  7 11" xfId="9701"/>
    <cellStyle name="ÅëÈ­_ ºñ¸ñº° ¿ùº°±â¼ú  7 11" xfId="9702"/>
    <cellStyle name="AeE­_ ºn¸nº° ¿uº°±a¼u  7 12" xfId="9703"/>
    <cellStyle name="ÅëÈ­_ ºñ¸ñº° ¿ùº°±â¼ú  7 12" xfId="9704"/>
    <cellStyle name="AeE­_ ºn¸nº° ¿uº°±a¼u  7 13" xfId="9705"/>
    <cellStyle name="ÅëÈ­_ ºñ¸ñº° ¿ùº°±â¼ú  7 13" xfId="9706"/>
    <cellStyle name="AeE­_ ºn¸nº° ¿uº°±a¼u  7 14" xfId="9707"/>
    <cellStyle name="ÅëÈ­_ ºñ¸ñº° ¿ùº°±â¼ú  7 14" xfId="9708"/>
    <cellStyle name="AeE­_ ºn¸nº° ¿uº°±a¼u  7 15" xfId="9709"/>
    <cellStyle name="ÅëÈ­_ ºñ¸ñº° ¿ùº°±â¼ú  7 15" xfId="9710"/>
    <cellStyle name="AeE­_ ºn¸nº° ¿uº°±a¼u  7 16" xfId="9711"/>
    <cellStyle name="ÅëÈ­_ ºñ¸ñº° ¿ùº°±â¼ú  7 16" xfId="9712"/>
    <cellStyle name="AeE­_ ºn¸nº° ¿uº°±a¼u  7 17" xfId="9713"/>
    <cellStyle name="ÅëÈ­_ ºñ¸ñº° ¿ùº°±â¼ú  7 17" xfId="9714"/>
    <cellStyle name="AeE­_ ºn¸nº° ¿uº°±a¼u  7 18" xfId="9715"/>
    <cellStyle name="ÅëÈ­_ ºñ¸ñº° ¿ùº°±â¼ú  7 18" xfId="9716"/>
    <cellStyle name="AeE­_ ºn¸nº° ¿uº°±a¼u  7 19" xfId="9717"/>
    <cellStyle name="ÅëÈ­_ ºñ¸ñº° ¿ùº°±â¼ú  7 19" xfId="9718"/>
    <cellStyle name="AeE­_ ºn¸nº° ¿uº°±a¼u  7 2" xfId="9719"/>
    <cellStyle name="ÅëÈ­_ ºñ¸ñº° ¿ùº°±â¼ú  7 2" xfId="9720"/>
    <cellStyle name="AeE­_ ºn¸nº° ¿uº°±a¼u  7 20" xfId="9721"/>
    <cellStyle name="ÅëÈ­_ ºñ¸ñº° ¿ùº°±â¼ú  7 20" xfId="9722"/>
    <cellStyle name="AeE­_ ºn¸nº° ¿uº°±a¼u  7 21" xfId="9723"/>
    <cellStyle name="ÅëÈ­_ ºñ¸ñº° ¿ùº°±â¼ú  7 21" xfId="9724"/>
    <cellStyle name="AeE­_ ºn¸nº° ¿uº°±a¼u  7 22" xfId="9725"/>
    <cellStyle name="ÅëÈ­_ ºñ¸ñº° ¿ùº°±â¼ú  7 22" xfId="9726"/>
    <cellStyle name="AeE­_ ºn¸nº° ¿uº°±a¼u  7 23" xfId="9727"/>
    <cellStyle name="ÅëÈ­_ ºñ¸ñº° ¿ùº°±â¼ú  7 23" xfId="9728"/>
    <cellStyle name="AeE­_ ºn¸nº° ¿uº°±a¼u  7 24" xfId="9729"/>
    <cellStyle name="ÅëÈ­_ ºñ¸ñº° ¿ùº°±â¼ú  7 24" xfId="9730"/>
    <cellStyle name="AeE­_ ºn¸nº° ¿uº°±a¼u  7 25" xfId="9731"/>
    <cellStyle name="ÅëÈ­_ ºñ¸ñº° ¿ùº°±â¼ú  7 25" xfId="9732"/>
    <cellStyle name="AeE­_ ºn¸nº° ¿uº°±a¼u  7 26" xfId="9733"/>
    <cellStyle name="ÅëÈ­_ ºñ¸ñº° ¿ùº°±â¼ú  7 26" xfId="9734"/>
    <cellStyle name="AeE­_ ºn¸nº° ¿uº°±a¼u  7 27" xfId="9735"/>
    <cellStyle name="ÅëÈ­_ ºñ¸ñº° ¿ùº°±â¼ú  7 27" xfId="9736"/>
    <cellStyle name="AeE­_ ºn¸nº° ¿uº°±a¼u  7 28" xfId="9737"/>
    <cellStyle name="ÅëÈ­_ ºñ¸ñº° ¿ùº°±â¼ú  7 28" xfId="9738"/>
    <cellStyle name="AeE­_ ºn¸nº° ¿uº°±a¼u  7 29" xfId="9739"/>
    <cellStyle name="ÅëÈ­_ ºñ¸ñº° ¿ùº°±â¼ú  7 29" xfId="9740"/>
    <cellStyle name="AeE­_ ºn¸nº° ¿uº°±a¼u  7 3" xfId="9741"/>
    <cellStyle name="ÅëÈ­_ ºñ¸ñº° ¿ùº°±â¼ú  7 3" xfId="9742"/>
    <cellStyle name="AeE­_ ºn¸nº° ¿uº°±a¼u  7 30" xfId="9743"/>
    <cellStyle name="ÅëÈ­_ ºñ¸ñº° ¿ùº°±â¼ú  7 30" xfId="9744"/>
    <cellStyle name="AeE­_ ºn¸nº° ¿uº°±a¼u  7 31" xfId="9745"/>
    <cellStyle name="ÅëÈ­_ ºñ¸ñº° ¿ùº°±â¼ú  7 31" xfId="9746"/>
    <cellStyle name="AeE­_ ºn¸nº° ¿uº°±a¼u  7 32" xfId="9747"/>
    <cellStyle name="ÅëÈ­_ ºñ¸ñº° ¿ùº°±â¼ú  7 32" xfId="9748"/>
    <cellStyle name="AeE­_ ºn¸nº° ¿uº°±a¼u  7 33" xfId="9749"/>
    <cellStyle name="ÅëÈ­_ ºñ¸ñº° ¿ùº°±â¼ú  7 33" xfId="9750"/>
    <cellStyle name="AeE­_ ºn¸nº° ¿uº°±a¼u  7 34" xfId="9751"/>
    <cellStyle name="ÅëÈ­_ ºñ¸ñº° ¿ùº°±â¼ú  7 34" xfId="9752"/>
    <cellStyle name="AeE­_ ºn¸nº° ¿uº°±a¼u  7 4" xfId="9753"/>
    <cellStyle name="ÅëÈ­_ ºñ¸ñº° ¿ùº°±â¼ú  7 4" xfId="9754"/>
    <cellStyle name="AeE­_ ºn¸nº° ¿uº°±a¼u  7 5" xfId="9755"/>
    <cellStyle name="ÅëÈ­_ ºñ¸ñº° ¿ùº°±â¼ú  7 5" xfId="9756"/>
    <cellStyle name="AeE­_ ºn¸nº° ¿uº°±a¼u  7 6" xfId="9757"/>
    <cellStyle name="ÅëÈ­_ ºñ¸ñº° ¿ùº°±â¼ú  7 6" xfId="9758"/>
    <cellStyle name="AeE­_ ºn¸nº° ¿uº°±a¼u  7 7" xfId="9759"/>
    <cellStyle name="ÅëÈ­_ ºñ¸ñº° ¿ùº°±â¼ú  7 7" xfId="9760"/>
    <cellStyle name="AeE­_ ºn¸nº° ¿uº°±a¼u  7 8" xfId="9761"/>
    <cellStyle name="ÅëÈ­_ ºñ¸ñº° ¿ùº°±â¼ú  7 8" xfId="9762"/>
    <cellStyle name="AeE­_ ºn¸nº° ¿uº°±a¼u  7 9" xfId="9763"/>
    <cellStyle name="ÅëÈ­_ ºñ¸ñº° ¿ùº°±â¼ú  7 9" xfId="9764"/>
    <cellStyle name="AeE­_ ºn¸nº° ¿uº°±a¼u  8" xfId="9765"/>
    <cellStyle name="ÅëÈ­_ ºñ¸ñº° ¿ùº°±â¼ú  8" xfId="9766"/>
    <cellStyle name="AeE­_ ºn¸nº° ¿uº°±a¼u  8 10" xfId="9767"/>
    <cellStyle name="ÅëÈ­_ ºñ¸ñº° ¿ùº°±â¼ú  8 10" xfId="9768"/>
    <cellStyle name="AeE­_ ºn¸nº° ¿uº°±a¼u  8 11" xfId="9769"/>
    <cellStyle name="ÅëÈ­_ ºñ¸ñº° ¿ùº°±â¼ú  8 11" xfId="9770"/>
    <cellStyle name="AeE­_ ºn¸nº° ¿uº°±a¼u  8 12" xfId="9771"/>
    <cellStyle name="ÅëÈ­_ ºñ¸ñº° ¿ùº°±â¼ú  8 12" xfId="9772"/>
    <cellStyle name="AeE­_ ºn¸nº° ¿uº°±a¼u  8 13" xfId="9773"/>
    <cellStyle name="ÅëÈ­_ ºñ¸ñº° ¿ùº°±â¼ú  8 13" xfId="9774"/>
    <cellStyle name="AeE­_ ºn¸nº° ¿uº°±a¼u  8 14" xfId="9775"/>
    <cellStyle name="ÅëÈ­_ ºñ¸ñº° ¿ùº°±â¼ú  8 14" xfId="9776"/>
    <cellStyle name="AeE­_ ºn¸nº° ¿uº°±a¼u  8 15" xfId="9777"/>
    <cellStyle name="ÅëÈ­_ ºñ¸ñº° ¿ùº°±â¼ú  8 15" xfId="9778"/>
    <cellStyle name="AeE­_ ºn¸nº° ¿uº°±a¼u  8 16" xfId="9779"/>
    <cellStyle name="ÅëÈ­_ ºñ¸ñº° ¿ùº°±â¼ú  8 16" xfId="9780"/>
    <cellStyle name="AeE­_ ºn¸nº° ¿uº°±a¼u  8 17" xfId="9781"/>
    <cellStyle name="ÅëÈ­_ ºñ¸ñº° ¿ùº°±â¼ú  8 17" xfId="9782"/>
    <cellStyle name="AeE­_ ºn¸nº° ¿uº°±a¼u  8 18" xfId="9783"/>
    <cellStyle name="ÅëÈ­_ ºñ¸ñº° ¿ùº°±â¼ú  8 18" xfId="9784"/>
    <cellStyle name="AeE­_ ºn¸nº° ¿uº°±a¼u  8 19" xfId="9785"/>
    <cellStyle name="ÅëÈ­_ ºñ¸ñº° ¿ùº°±â¼ú  8 19" xfId="9786"/>
    <cellStyle name="AeE­_ ºn¸nº° ¿uº°±a¼u  8 2" xfId="9787"/>
    <cellStyle name="ÅëÈ­_ ºñ¸ñº° ¿ùº°±â¼ú  8 2" xfId="9788"/>
    <cellStyle name="AeE­_ ºn¸nº° ¿uº°±a¼u  8 20" xfId="9789"/>
    <cellStyle name="ÅëÈ­_ ºñ¸ñº° ¿ùº°±â¼ú  8 20" xfId="9790"/>
    <cellStyle name="AeE­_ ºn¸nº° ¿uº°±a¼u  8 21" xfId="9791"/>
    <cellStyle name="ÅëÈ­_ ºñ¸ñº° ¿ùº°±â¼ú  8 21" xfId="9792"/>
    <cellStyle name="AeE­_ ºn¸nº° ¿uº°±a¼u  8 22" xfId="9793"/>
    <cellStyle name="ÅëÈ­_ ºñ¸ñº° ¿ùº°±â¼ú  8 22" xfId="9794"/>
    <cellStyle name="AeE­_ ºn¸nº° ¿uº°±a¼u  8 23" xfId="9795"/>
    <cellStyle name="ÅëÈ­_ ºñ¸ñº° ¿ùº°±â¼ú  8 23" xfId="9796"/>
    <cellStyle name="AeE­_ ºn¸nº° ¿uº°±a¼u  8 24" xfId="9797"/>
    <cellStyle name="ÅëÈ­_ ºñ¸ñº° ¿ùº°±â¼ú  8 24" xfId="9798"/>
    <cellStyle name="AeE­_ ºn¸nº° ¿uº°±a¼u  8 25" xfId="9799"/>
    <cellStyle name="ÅëÈ­_ ºñ¸ñº° ¿ùº°±â¼ú  8 25" xfId="9800"/>
    <cellStyle name="AeE­_ ºn¸nº° ¿uº°±a¼u  8 26" xfId="9801"/>
    <cellStyle name="ÅëÈ­_ ºñ¸ñº° ¿ùº°±â¼ú  8 26" xfId="9802"/>
    <cellStyle name="AeE­_ ºn¸nº° ¿uº°±a¼u  8 27" xfId="9803"/>
    <cellStyle name="ÅëÈ­_ ºñ¸ñº° ¿ùº°±â¼ú  8 27" xfId="9804"/>
    <cellStyle name="AeE­_ ºn¸nº° ¿uº°±a¼u  8 28" xfId="9805"/>
    <cellStyle name="ÅëÈ­_ ºñ¸ñº° ¿ùº°±â¼ú  8 28" xfId="9806"/>
    <cellStyle name="AeE­_ ºn¸nº° ¿uº°±a¼u  8 29" xfId="9807"/>
    <cellStyle name="ÅëÈ­_ ºñ¸ñº° ¿ùº°±â¼ú  8 29" xfId="9808"/>
    <cellStyle name="AeE­_ ºn¸nº° ¿uº°±a¼u  8 3" xfId="9809"/>
    <cellStyle name="ÅëÈ­_ ºñ¸ñº° ¿ùº°±â¼ú  8 3" xfId="9810"/>
    <cellStyle name="AeE­_ ºn¸nº° ¿uº°±a¼u  8 30" xfId="9811"/>
    <cellStyle name="ÅëÈ­_ ºñ¸ñº° ¿ùº°±â¼ú  8 30" xfId="9812"/>
    <cellStyle name="AeE­_ ºn¸nº° ¿uº°±a¼u  8 31" xfId="9813"/>
    <cellStyle name="ÅëÈ­_ ºñ¸ñº° ¿ùº°±â¼ú  8 31" xfId="9814"/>
    <cellStyle name="AeE­_ ºn¸nº° ¿uº°±a¼u  8 32" xfId="9815"/>
    <cellStyle name="ÅëÈ­_ ºñ¸ñº° ¿ùº°±â¼ú  8 32" xfId="9816"/>
    <cellStyle name="AeE­_ ºn¸nº° ¿uº°±a¼u  8 33" xfId="9817"/>
    <cellStyle name="ÅëÈ­_ ºñ¸ñº° ¿ùº°±â¼ú  8 33" xfId="9818"/>
    <cellStyle name="AeE­_ ºn¸nº° ¿uº°±a¼u  8 34" xfId="9819"/>
    <cellStyle name="ÅëÈ­_ ºñ¸ñº° ¿ùº°±â¼ú  8 34" xfId="9820"/>
    <cellStyle name="AeE­_ ºn¸nº° ¿uº°±a¼u  8 4" xfId="9821"/>
    <cellStyle name="ÅëÈ­_ ºñ¸ñº° ¿ùº°±â¼ú  8 4" xfId="9822"/>
    <cellStyle name="AeE­_ ºn¸nº° ¿uº°±a¼u  8 5" xfId="9823"/>
    <cellStyle name="ÅëÈ­_ ºñ¸ñº° ¿ùº°±â¼ú  8 5" xfId="9824"/>
    <cellStyle name="AeE­_ ºn¸nº° ¿uº°±a¼u  8 6" xfId="9825"/>
    <cellStyle name="ÅëÈ­_ ºñ¸ñº° ¿ùº°±â¼ú  8 6" xfId="9826"/>
    <cellStyle name="AeE­_ ºn¸nº° ¿uº°±a¼u  8 7" xfId="9827"/>
    <cellStyle name="ÅëÈ­_ ºñ¸ñº° ¿ùº°±â¼ú  8 7" xfId="9828"/>
    <cellStyle name="AeE­_ ºn¸nº° ¿uº°±a¼u  8 8" xfId="9829"/>
    <cellStyle name="ÅëÈ­_ ºñ¸ñº° ¿ùº°±â¼ú  8 8" xfId="9830"/>
    <cellStyle name="AeE­_ ºn¸nº° ¿uº°±a¼u  8 9" xfId="9831"/>
    <cellStyle name="ÅëÈ­_ ºñ¸ñº° ¿ùº°±â¼ú  8 9" xfId="9832"/>
    <cellStyle name="AeE­_ ºn¸nº° ¿uº°±a¼u  9" xfId="9833"/>
    <cellStyle name="ÅëÈ­_ ºñ¸ñº° ¿ùº°±â¼ú  9" xfId="9834"/>
    <cellStyle name="AeE­_ ºn¸nº° ¿uº°±a¼u  9 10" xfId="9835"/>
    <cellStyle name="ÅëÈ­_ ºñ¸ñº° ¿ùº°±â¼ú  9 10" xfId="9836"/>
    <cellStyle name="AeE­_ ºn¸nº° ¿uº°±a¼u  9 11" xfId="9837"/>
    <cellStyle name="ÅëÈ­_ ºñ¸ñº° ¿ùº°±â¼ú  9 11" xfId="9838"/>
    <cellStyle name="AeE­_ ºn¸nº° ¿uº°±a¼u  9 12" xfId="9839"/>
    <cellStyle name="ÅëÈ­_ ºñ¸ñº° ¿ùº°±â¼ú  9 12" xfId="9840"/>
    <cellStyle name="AeE­_ ºn¸nº° ¿uº°±a¼u  9 13" xfId="9841"/>
    <cellStyle name="ÅëÈ­_ ºñ¸ñº° ¿ùº°±â¼ú  9 13" xfId="9842"/>
    <cellStyle name="AeE­_ ºn¸nº° ¿uº°±a¼u  9 14" xfId="9843"/>
    <cellStyle name="ÅëÈ­_ ºñ¸ñº° ¿ùº°±â¼ú  9 14" xfId="9844"/>
    <cellStyle name="AeE­_ ºn¸nº° ¿uº°±a¼u  9 15" xfId="9845"/>
    <cellStyle name="ÅëÈ­_ ºñ¸ñº° ¿ùº°±â¼ú  9 15" xfId="9846"/>
    <cellStyle name="AeE­_ ºn¸nº° ¿uº°±a¼u  9 16" xfId="9847"/>
    <cellStyle name="ÅëÈ­_ ºñ¸ñº° ¿ùº°±â¼ú  9 16" xfId="9848"/>
    <cellStyle name="AeE­_ ºn¸nº° ¿uº°±a¼u  9 17" xfId="9849"/>
    <cellStyle name="ÅëÈ­_ ºñ¸ñº° ¿ùº°±â¼ú  9 17" xfId="9850"/>
    <cellStyle name="AeE­_ ºn¸nº° ¿uº°±a¼u  9 18" xfId="9851"/>
    <cellStyle name="ÅëÈ­_ ºñ¸ñº° ¿ùº°±â¼ú  9 18" xfId="9852"/>
    <cellStyle name="AeE­_ ºn¸nº° ¿uº°±a¼u  9 19" xfId="9853"/>
    <cellStyle name="ÅëÈ­_ ºñ¸ñº° ¿ùº°±â¼ú  9 19" xfId="9854"/>
    <cellStyle name="AeE­_ ºn¸nº° ¿uº°±a¼u  9 2" xfId="9855"/>
    <cellStyle name="ÅëÈ­_ ºñ¸ñº° ¿ùº°±â¼ú  9 2" xfId="9856"/>
    <cellStyle name="AeE­_ ºn¸nº° ¿uº°±a¼u  9 20" xfId="9857"/>
    <cellStyle name="ÅëÈ­_ ºñ¸ñº° ¿ùº°±â¼ú  9 20" xfId="9858"/>
    <cellStyle name="AeE­_ ºn¸nº° ¿uº°±a¼u  9 21" xfId="9859"/>
    <cellStyle name="ÅëÈ­_ ºñ¸ñº° ¿ùº°±â¼ú  9 21" xfId="9860"/>
    <cellStyle name="AeE­_ ºn¸nº° ¿uº°±a¼u  9 22" xfId="9861"/>
    <cellStyle name="ÅëÈ­_ ºñ¸ñº° ¿ùº°±â¼ú  9 22" xfId="9862"/>
    <cellStyle name="AeE­_ ºn¸nº° ¿uº°±a¼u  9 23" xfId="9863"/>
    <cellStyle name="ÅëÈ­_ ºñ¸ñº° ¿ùº°±â¼ú  9 23" xfId="9864"/>
    <cellStyle name="AeE­_ ºn¸nº° ¿uº°±a¼u  9 24" xfId="9865"/>
    <cellStyle name="ÅëÈ­_ ºñ¸ñº° ¿ùº°±â¼ú  9 24" xfId="9866"/>
    <cellStyle name="AeE­_ ºn¸nº° ¿uº°±a¼u  9 25" xfId="9867"/>
    <cellStyle name="ÅëÈ­_ ºñ¸ñº° ¿ùº°±â¼ú  9 25" xfId="9868"/>
    <cellStyle name="AeE­_ ºn¸nº° ¿uº°±a¼u  9 26" xfId="9869"/>
    <cellStyle name="ÅëÈ­_ ºñ¸ñº° ¿ùº°±â¼ú  9 26" xfId="9870"/>
    <cellStyle name="AeE­_ ºn¸nº° ¿uº°±a¼u  9 27" xfId="9871"/>
    <cellStyle name="ÅëÈ­_ ºñ¸ñº° ¿ùº°±â¼ú  9 27" xfId="9872"/>
    <cellStyle name="AeE­_ ºn¸nº° ¿uº°±a¼u  9 28" xfId="9873"/>
    <cellStyle name="ÅëÈ­_ ºñ¸ñº° ¿ùº°±â¼ú  9 28" xfId="9874"/>
    <cellStyle name="AeE­_ ºn¸nº° ¿uº°±a¼u  9 29" xfId="9875"/>
    <cellStyle name="ÅëÈ­_ ºñ¸ñº° ¿ùº°±â¼ú  9 29" xfId="9876"/>
    <cellStyle name="AeE­_ ºn¸nº° ¿uº°±a¼u  9 3" xfId="9877"/>
    <cellStyle name="ÅëÈ­_ ºñ¸ñº° ¿ùº°±â¼ú  9 3" xfId="9878"/>
    <cellStyle name="AeE­_ ºn¸nº° ¿uº°±a¼u  9 30" xfId="9879"/>
    <cellStyle name="ÅëÈ­_ ºñ¸ñº° ¿ùº°±â¼ú  9 30" xfId="9880"/>
    <cellStyle name="AeE­_ ºn¸nº° ¿uº°±a¼u  9 31" xfId="9881"/>
    <cellStyle name="ÅëÈ­_ ºñ¸ñº° ¿ùº°±â¼ú  9 31" xfId="9882"/>
    <cellStyle name="AeE­_ ºn¸nº° ¿uº°±a¼u  9 32" xfId="9883"/>
    <cellStyle name="ÅëÈ­_ ºñ¸ñº° ¿ùº°±â¼ú  9 32" xfId="9884"/>
    <cellStyle name="AeE­_ ºn¸nº° ¿uº°±a¼u  9 33" xfId="9885"/>
    <cellStyle name="ÅëÈ­_ ºñ¸ñº° ¿ùº°±â¼ú  9 33" xfId="9886"/>
    <cellStyle name="AeE­_ ºn¸nº° ¿uº°±a¼u  9 34" xfId="9887"/>
    <cellStyle name="ÅëÈ­_ ºñ¸ñº° ¿ùº°±â¼ú  9 34" xfId="9888"/>
    <cellStyle name="AeE­_ ºn¸nº° ¿uº°±a¼u  9 4" xfId="9889"/>
    <cellStyle name="ÅëÈ­_ ºñ¸ñº° ¿ùº°±â¼ú  9 4" xfId="9890"/>
    <cellStyle name="AeE­_ ºn¸nº° ¿uº°±a¼u  9 5" xfId="9891"/>
    <cellStyle name="ÅëÈ­_ ºñ¸ñº° ¿ùº°±â¼ú  9 5" xfId="9892"/>
    <cellStyle name="AeE­_ ºn¸nº° ¿uº°±a¼u  9 6" xfId="9893"/>
    <cellStyle name="ÅëÈ­_ ºñ¸ñº° ¿ùº°±â¼ú  9 6" xfId="9894"/>
    <cellStyle name="AeE­_ ºn¸nº° ¿uº°±a¼u  9 7" xfId="9895"/>
    <cellStyle name="ÅëÈ­_ ºñ¸ñº° ¿ùº°±â¼ú  9 7" xfId="9896"/>
    <cellStyle name="AeE­_ ºn¸nº° ¿uº°±a¼u  9 8" xfId="9897"/>
    <cellStyle name="ÅëÈ­_ ºñ¸ñº° ¿ùº°±â¼ú  9 8" xfId="9898"/>
    <cellStyle name="AeE­_ ºn¸nº° ¿uº°±a¼u  9 9" xfId="9899"/>
    <cellStyle name="ÅëÈ­_ ºñ¸ñº° ¿ùº°±â¼ú  9 9" xfId="9900"/>
    <cellStyle name="AeE­_´eAN°yC￥ " xfId="9901"/>
    <cellStyle name="ÅëÈ­_¸ÅÃâ" xfId="9902"/>
    <cellStyle name="AeE­_¸AAa¾×(3)" xfId="9903"/>
    <cellStyle name="ÅëÈ­_°ü¸®Ç×¸ñ_¾÷Á¾º° " xfId="9904"/>
    <cellStyle name="AeE­_¼oAa½CAu " xfId="9905"/>
    <cellStyle name="ÅëÈ­_INQUIRY ¿µ¾÷ÃßÁø " xfId="9906"/>
    <cellStyle name="AeE­_INQUIRY ¿μ¾÷AßAø " xfId="9907"/>
    <cellStyle name="AeE¡ⓒ [0]_¨uoAa¨oCAu " xfId="9908"/>
    <cellStyle name="AeE¡ⓒ_¨uoAa¨oCAu " xfId="9909"/>
    <cellStyle name="AeE¡ERERER¡ERER￠RER¡ER¡E?I [0]_INQUIRY ￠RERERE?￠RERERIi￠RERER¡ERER￠RER￠RE?u¡ERERERAA¡ERER￠RER¡ER¡E?I￠RERER¡ER￠R¡¿I￠RER￠R¡×IA¡ERER￠RER¡ER¡E?I¡ERER￠RER¡ER¡E?¡ERERI " xfId="9910"/>
    <cellStyle name="AeE¡ERERER¡ERER￠RER¡ER¡E?I_INQUIRY ￠RERERE?￠RERERIi￠RERER¡ERER￠RER￠RE?u¡ERERERAA¡ERER￠RER¡ER¡E?I￠RERER¡ER￠R¡¿I￠RER￠R¡×IA¡ERER￠RER¡ER¡E?I¡ERER￠RER¡ER¡E?¡ERERI " xfId="9911"/>
    <cellStyle name="AeE￠RERER￠RER¡ER￠R￠?I [0]_¡ERER￠RER¡ER¡E?uoA￠RER¡ER￠R￠?Io￠RERER￠RER¡ER￠R￠?¡EREReE￠RER¡ER￠R￠?Io " xfId="9912"/>
    <cellStyle name="AeE￠RERER￠RER¡ER￠R￠?I_¡ERER￠RER¡ER¡E?uoA￠RER¡ER￠R￠?Io￠RERER￠RER¡ER￠R￠?¡EREReE￠RER¡ER￠R￠?Io " xfId="9913"/>
    <cellStyle name="ALIGNMENT" xfId="9914"/>
    <cellStyle name="AoA¤μCAo ¾EA½" xfId="9915"/>
    <cellStyle name="ariel 7" xfId="9916"/>
    <cellStyle name="AÞ¸¶ [0]_ ºn¸nº° ¿uº°±a¼u " xfId="9917"/>
    <cellStyle name="ÄÞ¸¶ [0]_ ºñ¸ñº° ¿ùº°±â¼ú " xfId="9918"/>
    <cellStyle name="AÞ¸¶ [0]_ ºn¸nº° ¿uº°±a¼u  10" xfId="9919"/>
    <cellStyle name="ÄÞ¸¶ [0]_¸ÅÃâ" xfId="9920"/>
    <cellStyle name="AÞ¸¶ [0]_¿￢AO Eng'g CA·IA§ÆRÆA " xfId="9921"/>
    <cellStyle name="ÄÞ¸¶ [0]_¿ø°¡" xfId="9922"/>
    <cellStyle name="AÞ¸¶ [0]_¼oAa½CAu " xfId="9923"/>
    <cellStyle name="ÄÞ¸¶ [0]_INQUIRY ¿µ¾÷ÃßÁø " xfId="9924"/>
    <cellStyle name="AÞ¸¶ [0]_INQUIRY ¿μ¾÷AßAø " xfId="9925"/>
    <cellStyle name="AÞ¸¶_ ºn¸nº° ¿uº°±a¼u " xfId="9926"/>
    <cellStyle name="ÄÞ¸¶_ ºñ¸ñº° ¿ùº°±â¼ú " xfId="9927"/>
    <cellStyle name="AÞ¸¶_ ºn¸nº° ¿uº°±a¼u  10" xfId="9928"/>
    <cellStyle name="ÄÞ¸¶_ ºñ¸ñº° ¿ùº°±â¼ú  10" xfId="9929"/>
    <cellStyle name="AÞ¸¶_ ºn¸nº° ¿uº°±a¼u  10 10" xfId="9930"/>
    <cellStyle name="ÄÞ¸¶_ ºñ¸ñº° ¿ùº°±â¼ú  10 10" xfId="9931"/>
    <cellStyle name="AÞ¸¶_ ºn¸nº° ¿uº°±a¼u  10 11" xfId="9932"/>
    <cellStyle name="ÄÞ¸¶_ ºñ¸ñº° ¿ùº°±â¼ú  10 11" xfId="9933"/>
    <cellStyle name="AÞ¸¶_ ºn¸nº° ¿uº°±a¼u  10 12" xfId="9934"/>
    <cellStyle name="ÄÞ¸¶_ ºñ¸ñº° ¿ùº°±â¼ú  10 12" xfId="9935"/>
    <cellStyle name="AÞ¸¶_ ºn¸nº° ¿uº°±a¼u  10 13" xfId="9936"/>
    <cellStyle name="ÄÞ¸¶_ ºñ¸ñº° ¿ùº°±â¼ú  10 13" xfId="9937"/>
    <cellStyle name="AÞ¸¶_ ºn¸nº° ¿uº°±a¼u  10 14" xfId="9938"/>
    <cellStyle name="ÄÞ¸¶_ ºñ¸ñº° ¿ùº°±â¼ú  10 14" xfId="9939"/>
    <cellStyle name="AÞ¸¶_ ºn¸nº° ¿uº°±a¼u  10 15" xfId="9940"/>
    <cellStyle name="ÄÞ¸¶_ ºñ¸ñº° ¿ùº°±â¼ú  10 15" xfId="9941"/>
    <cellStyle name="AÞ¸¶_ ºn¸nº° ¿uº°±a¼u  10 16" xfId="9942"/>
    <cellStyle name="ÄÞ¸¶_ ºñ¸ñº° ¿ùº°±â¼ú  10 16" xfId="9943"/>
    <cellStyle name="AÞ¸¶_ ºn¸nº° ¿uº°±a¼u  10 17" xfId="9944"/>
    <cellStyle name="ÄÞ¸¶_ ºñ¸ñº° ¿ùº°±â¼ú  10 17" xfId="9945"/>
    <cellStyle name="AÞ¸¶_ ºn¸nº° ¿uº°±a¼u  10 18" xfId="9946"/>
    <cellStyle name="ÄÞ¸¶_ ºñ¸ñº° ¿ùº°±â¼ú  10 18" xfId="9947"/>
    <cellStyle name="AÞ¸¶_ ºn¸nº° ¿uº°±a¼u  10 19" xfId="9948"/>
    <cellStyle name="ÄÞ¸¶_ ºñ¸ñº° ¿ùº°±â¼ú  10 19" xfId="9949"/>
    <cellStyle name="AÞ¸¶_ ºn¸nº° ¿uº°±a¼u  10 2" xfId="9950"/>
    <cellStyle name="ÄÞ¸¶_ ºñ¸ñº° ¿ùº°±â¼ú  10 2" xfId="9951"/>
    <cellStyle name="AÞ¸¶_ ºn¸nº° ¿uº°±a¼u  10 20" xfId="9952"/>
    <cellStyle name="ÄÞ¸¶_ ºñ¸ñº° ¿ùº°±â¼ú  10 20" xfId="9953"/>
    <cellStyle name="AÞ¸¶_ ºn¸nº° ¿uº°±a¼u  10 21" xfId="9954"/>
    <cellStyle name="ÄÞ¸¶_ ºñ¸ñº° ¿ùº°±â¼ú  10 21" xfId="9955"/>
    <cellStyle name="AÞ¸¶_ ºn¸nº° ¿uº°±a¼u  10 22" xfId="9956"/>
    <cellStyle name="ÄÞ¸¶_ ºñ¸ñº° ¿ùº°±â¼ú  10 22" xfId="9957"/>
    <cellStyle name="AÞ¸¶_ ºn¸nº° ¿uº°±a¼u  10 23" xfId="9958"/>
    <cellStyle name="ÄÞ¸¶_ ºñ¸ñº° ¿ùº°±â¼ú  10 23" xfId="9959"/>
    <cellStyle name="AÞ¸¶_ ºn¸nº° ¿uº°±a¼u  10 24" xfId="9960"/>
    <cellStyle name="ÄÞ¸¶_ ºñ¸ñº° ¿ùº°±â¼ú  10 24" xfId="9961"/>
    <cellStyle name="AÞ¸¶_ ºn¸nº° ¿uº°±a¼u  10 25" xfId="9962"/>
    <cellStyle name="ÄÞ¸¶_ ºñ¸ñº° ¿ùº°±â¼ú  10 25" xfId="9963"/>
    <cellStyle name="AÞ¸¶_ ºn¸nº° ¿uº°±a¼u  10 26" xfId="9964"/>
    <cellStyle name="ÄÞ¸¶_ ºñ¸ñº° ¿ùº°±â¼ú  10 26" xfId="9965"/>
    <cellStyle name="AÞ¸¶_ ºn¸nº° ¿uº°±a¼u  10 27" xfId="9966"/>
    <cellStyle name="ÄÞ¸¶_ ºñ¸ñº° ¿ùº°±â¼ú  10 27" xfId="9967"/>
    <cellStyle name="AÞ¸¶_ ºn¸nº° ¿uº°±a¼u  10 28" xfId="9968"/>
    <cellStyle name="ÄÞ¸¶_ ºñ¸ñº° ¿ùº°±â¼ú  10 28" xfId="9969"/>
    <cellStyle name="AÞ¸¶_ ºn¸nº° ¿uº°±a¼u  10 29" xfId="9970"/>
    <cellStyle name="ÄÞ¸¶_ ºñ¸ñº° ¿ùº°±â¼ú  10 29" xfId="9971"/>
    <cellStyle name="AÞ¸¶_ ºn¸nº° ¿uº°±a¼u  10 3" xfId="9972"/>
    <cellStyle name="ÄÞ¸¶_ ºñ¸ñº° ¿ùº°±â¼ú  10 3" xfId="9973"/>
    <cellStyle name="AÞ¸¶_ ºn¸nº° ¿uº°±a¼u  10 30" xfId="9974"/>
    <cellStyle name="ÄÞ¸¶_ ºñ¸ñº° ¿ùº°±â¼ú  10 30" xfId="9975"/>
    <cellStyle name="AÞ¸¶_ ºn¸nº° ¿uº°±a¼u  10 31" xfId="9976"/>
    <cellStyle name="ÄÞ¸¶_ ºñ¸ñº° ¿ùº°±â¼ú  10 31" xfId="9977"/>
    <cellStyle name="AÞ¸¶_ ºn¸nº° ¿uº°±a¼u  10 32" xfId="9978"/>
    <cellStyle name="ÄÞ¸¶_ ºñ¸ñº° ¿ùº°±â¼ú  10 32" xfId="9979"/>
    <cellStyle name="AÞ¸¶_ ºn¸nº° ¿uº°±a¼u  10 33" xfId="9980"/>
    <cellStyle name="ÄÞ¸¶_ ºñ¸ñº° ¿ùº°±â¼ú  10 33" xfId="9981"/>
    <cellStyle name="AÞ¸¶_ ºn¸nº° ¿uº°±a¼u  10 34" xfId="9982"/>
    <cellStyle name="ÄÞ¸¶_ ºñ¸ñº° ¿ùº°±â¼ú  10 34" xfId="9983"/>
    <cellStyle name="AÞ¸¶_ ºn¸nº° ¿uº°±a¼u  10 4" xfId="9984"/>
    <cellStyle name="ÄÞ¸¶_ ºñ¸ñº° ¿ùº°±â¼ú  10 4" xfId="9985"/>
    <cellStyle name="AÞ¸¶_ ºn¸nº° ¿uº°±a¼u  10 5" xfId="9986"/>
    <cellStyle name="ÄÞ¸¶_ ºñ¸ñº° ¿ùº°±â¼ú  10 5" xfId="9987"/>
    <cellStyle name="AÞ¸¶_ ºn¸nº° ¿uº°±a¼u  10 6" xfId="9988"/>
    <cellStyle name="ÄÞ¸¶_ ºñ¸ñº° ¿ùº°±â¼ú  10 6" xfId="9989"/>
    <cellStyle name="AÞ¸¶_ ºn¸nº° ¿uº°±a¼u  10 7" xfId="9990"/>
    <cellStyle name="ÄÞ¸¶_ ºñ¸ñº° ¿ùº°±â¼ú  10 7" xfId="9991"/>
    <cellStyle name="AÞ¸¶_ ºn¸nº° ¿uº°±a¼u  10 8" xfId="9992"/>
    <cellStyle name="ÄÞ¸¶_ ºñ¸ñº° ¿ùº°±â¼ú  10 8" xfId="9993"/>
    <cellStyle name="AÞ¸¶_ ºn¸nº° ¿uº°±a¼u  10 9" xfId="9994"/>
    <cellStyle name="ÄÞ¸¶_ ºñ¸ñº° ¿ùº°±â¼ú  10 9" xfId="9995"/>
    <cellStyle name="AÞ¸¶_ ºn¸nº° ¿uº°±a¼u  11" xfId="9996"/>
    <cellStyle name="ÄÞ¸¶_ ºñ¸ñº° ¿ùº°±â¼ú  11" xfId="9997"/>
    <cellStyle name="AÞ¸¶_ ºn¸nº° ¿uº°±a¼u  11 10" xfId="9998"/>
    <cellStyle name="ÄÞ¸¶_ ºñ¸ñº° ¿ùº°±â¼ú  11 10" xfId="9999"/>
    <cellStyle name="AÞ¸¶_ ºn¸nº° ¿uº°±a¼u  11 11" xfId="10000"/>
    <cellStyle name="ÄÞ¸¶_ ºñ¸ñº° ¿ùº°±â¼ú  11 11" xfId="10001"/>
    <cellStyle name="AÞ¸¶_ ºn¸nº° ¿uº°±a¼u  11 12" xfId="10002"/>
    <cellStyle name="ÄÞ¸¶_ ºñ¸ñº° ¿ùº°±â¼ú  11 12" xfId="10003"/>
    <cellStyle name="AÞ¸¶_ ºn¸nº° ¿uº°±a¼u  11 13" xfId="10004"/>
    <cellStyle name="ÄÞ¸¶_ ºñ¸ñº° ¿ùº°±â¼ú  11 13" xfId="10005"/>
    <cellStyle name="AÞ¸¶_ ºn¸nº° ¿uº°±a¼u  11 14" xfId="10006"/>
    <cellStyle name="ÄÞ¸¶_ ºñ¸ñº° ¿ùº°±â¼ú  11 14" xfId="10007"/>
    <cellStyle name="AÞ¸¶_ ºn¸nº° ¿uº°±a¼u  11 15" xfId="10008"/>
    <cellStyle name="ÄÞ¸¶_ ºñ¸ñº° ¿ùº°±â¼ú  11 15" xfId="10009"/>
    <cellStyle name="AÞ¸¶_ ºn¸nº° ¿uº°±a¼u  11 16" xfId="10010"/>
    <cellStyle name="ÄÞ¸¶_ ºñ¸ñº° ¿ùº°±â¼ú  11 16" xfId="10011"/>
    <cellStyle name="AÞ¸¶_ ºn¸nº° ¿uº°±a¼u  11 17" xfId="10012"/>
    <cellStyle name="ÄÞ¸¶_ ºñ¸ñº° ¿ùº°±â¼ú  11 17" xfId="10013"/>
    <cellStyle name="AÞ¸¶_ ºn¸nº° ¿uº°±a¼u  11 18" xfId="10014"/>
    <cellStyle name="ÄÞ¸¶_ ºñ¸ñº° ¿ùº°±â¼ú  11 18" xfId="10015"/>
    <cellStyle name="AÞ¸¶_ ºn¸nº° ¿uº°±a¼u  11 19" xfId="10016"/>
    <cellStyle name="ÄÞ¸¶_ ºñ¸ñº° ¿ùº°±â¼ú  11 19" xfId="10017"/>
    <cellStyle name="AÞ¸¶_ ºn¸nº° ¿uº°±a¼u  11 2" xfId="10018"/>
    <cellStyle name="ÄÞ¸¶_ ºñ¸ñº° ¿ùº°±â¼ú  11 2" xfId="10019"/>
    <cellStyle name="AÞ¸¶_ ºn¸nº° ¿uº°±a¼u  11 20" xfId="10020"/>
    <cellStyle name="ÄÞ¸¶_ ºñ¸ñº° ¿ùº°±â¼ú  11 20" xfId="10021"/>
    <cellStyle name="AÞ¸¶_ ºn¸nº° ¿uº°±a¼u  11 21" xfId="10022"/>
    <cellStyle name="ÄÞ¸¶_ ºñ¸ñº° ¿ùº°±â¼ú  11 21" xfId="10023"/>
    <cellStyle name="AÞ¸¶_ ºn¸nº° ¿uº°±a¼u  11 22" xfId="10024"/>
    <cellStyle name="ÄÞ¸¶_ ºñ¸ñº° ¿ùº°±â¼ú  11 22" xfId="10025"/>
    <cellStyle name="AÞ¸¶_ ºn¸nº° ¿uº°±a¼u  11 23" xfId="10026"/>
    <cellStyle name="ÄÞ¸¶_ ºñ¸ñº° ¿ùº°±â¼ú  11 23" xfId="10027"/>
    <cellStyle name="AÞ¸¶_ ºn¸nº° ¿uº°±a¼u  11 24" xfId="10028"/>
    <cellStyle name="ÄÞ¸¶_ ºñ¸ñº° ¿ùº°±â¼ú  11 24" xfId="10029"/>
    <cellStyle name="AÞ¸¶_ ºn¸nº° ¿uº°±a¼u  11 25" xfId="10030"/>
    <cellStyle name="ÄÞ¸¶_ ºñ¸ñº° ¿ùº°±â¼ú  11 25" xfId="10031"/>
    <cellStyle name="AÞ¸¶_ ºn¸nº° ¿uº°±a¼u  11 26" xfId="10032"/>
    <cellStyle name="ÄÞ¸¶_ ºñ¸ñº° ¿ùº°±â¼ú  11 26" xfId="10033"/>
    <cellStyle name="AÞ¸¶_ ºn¸nº° ¿uº°±a¼u  11 27" xfId="10034"/>
    <cellStyle name="ÄÞ¸¶_ ºñ¸ñº° ¿ùº°±â¼ú  11 27" xfId="10035"/>
    <cellStyle name="AÞ¸¶_ ºn¸nº° ¿uº°±a¼u  11 28" xfId="10036"/>
    <cellStyle name="ÄÞ¸¶_ ºñ¸ñº° ¿ùº°±â¼ú  11 28" xfId="10037"/>
    <cellStyle name="AÞ¸¶_ ºn¸nº° ¿uº°±a¼u  11 29" xfId="10038"/>
    <cellStyle name="ÄÞ¸¶_ ºñ¸ñº° ¿ùº°±â¼ú  11 29" xfId="10039"/>
    <cellStyle name="AÞ¸¶_ ºn¸nº° ¿uº°±a¼u  11 3" xfId="10040"/>
    <cellStyle name="ÄÞ¸¶_ ºñ¸ñº° ¿ùº°±â¼ú  11 3" xfId="10041"/>
    <cellStyle name="AÞ¸¶_ ºn¸nº° ¿uº°±a¼u  11 30" xfId="10042"/>
    <cellStyle name="ÄÞ¸¶_ ºñ¸ñº° ¿ùº°±â¼ú  11 30" xfId="10043"/>
    <cellStyle name="AÞ¸¶_ ºn¸nº° ¿uº°±a¼u  11 31" xfId="10044"/>
    <cellStyle name="ÄÞ¸¶_ ºñ¸ñº° ¿ùº°±â¼ú  11 31" xfId="10045"/>
    <cellStyle name="AÞ¸¶_ ºn¸nº° ¿uº°±a¼u  11 32" xfId="10046"/>
    <cellStyle name="ÄÞ¸¶_ ºñ¸ñº° ¿ùº°±â¼ú  11 32" xfId="10047"/>
    <cellStyle name="AÞ¸¶_ ºn¸nº° ¿uº°±a¼u  11 33" xfId="10048"/>
    <cellStyle name="ÄÞ¸¶_ ºñ¸ñº° ¿ùº°±â¼ú  11 33" xfId="10049"/>
    <cellStyle name="AÞ¸¶_ ºn¸nº° ¿uº°±a¼u  11 34" xfId="10050"/>
    <cellStyle name="ÄÞ¸¶_ ºñ¸ñº° ¿ùº°±â¼ú  11 34" xfId="10051"/>
    <cellStyle name="AÞ¸¶_ ºn¸nº° ¿uº°±a¼u  11 4" xfId="10052"/>
    <cellStyle name="ÄÞ¸¶_ ºñ¸ñº° ¿ùº°±â¼ú  11 4" xfId="10053"/>
    <cellStyle name="AÞ¸¶_ ºn¸nº° ¿uº°±a¼u  11 5" xfId="10054"/>
    <cellStyle name="ÄÞ¸¶_ ºñ¸ñº° ¿ùº°±â¼ú  11 5" xfId="10055"/>
    <cellStyle name="AÞ¸¶_ ºn¸nº° ¿uº°±a¼u  11 6" xfId="10056"/>
    <cellStyle name="ÄÞ¸¶_ ºñ¸ñº° ¿ùº°±â¼ú  11 6" xfId="10057"/>
    <cellStyle name="AÞ¸¶_ ºn¸nº° ¿uº°±a¼u  11 7" xfId="10058"/>
    <cellStyle name="ÄÞ¸¶_ ºñ¸ñº° ¿ùº°±â¼ú  11 7" xfId="10059"/>
    <cellStyle name="AÞ¸¶_ ºn¸nº° ¿uº°±a¼u  11 8" xfId="10060"/>
    <cellStyle name="ÄÞ¸¶_ ºñ¸ñº° ¿ùº°±â¼ú  11 8" xfId="10061"/>
    <cellStyle name="AÞ¸¶_ ºn¸nº° ¿uº°±a¼u  11 9" xfId="10062"/>
    <cellStyle name="ÄÞ¸¶_ ºñ¸ñº° ¿ùº°±â¼ú  11 9" xfId="10063"/>
    <cellStyle name="AÞ¸¶_ ºn¸nº° ¿uº°±a¼u  12" xfId="10064"/>
    <cellStyle name="ÄÞ¸¶_ ºñ¸ñº° ¿ùº°±â¼ú  12" xfId="10065"/>
    <cellStyle name="AÞ¸¶_ ºn¸nº° ¿uº°±a¼u  12 10" xfId="10066"/>
    <cellStyle name="ÄÞ¸¶_ ºñ¸ñº° ¿ùº°±â¼ú  12 10" xfId="10067"/>
    <cellStyle name="AÞ¸¶_ ºn¸nº° ¿uº°±a¼u  12 11" xfId="10068"/>
    <cellStyle name="ÄÞ¸¶_ ºñ¸ñº° ¿ùº°±â¼ú  12 11" xfId="10069"/>
    <cellStyle name="AÞ¸¶_ ºn¸nº° ¿uº°±a¼u  12 12" xfId="10070"/>
    <cellStyle name="ÄÞ¸¶_ ºñ¸ñº° ¿ùº°±â¼ú  12 12" xfId="10071"/>
    <cellStyle name="AÞ¸¶_ ºn¸nº° ¿uº°±a¼u  12 13" xfId="10072"/>
    <cellStyle name="ÄÞ¸¶_ ºñ¸ñº° ¿ùº°±â¼ú  12 13" xfId="10073"/>
    <cellStyle name="AÞ¸¶_ ºn¸nº° ¿uº°±a¼u  12 14" xfId="10074"/>
    <cellStyle name="ÄÞ¸¶_ ºñ¸ñº° ¿ùº°±â¼ú  12 14" xfId="10075"/>
    <cellStyle name="AÞ¸¶_ ºn¸nº° ¿uº°±a¼u  12 15" xfId="10076"/>
    <cellStyle name="ÄÞ¸¶_ ºñ¸ñº° ¿ùº°±â¼ú  12 15" xfId="10077"/>
    <cellStyle name="AÞ¸¶_ ºn¸nº° ¿uº°±a¼u  12 16" xfId="10078"/>
    <cellStyle name="ÄÞ¸¶_ ºñ¸ñº° ¿ùº°±â¼ú  12 16" xfId="10079"/>
    <cellStyle name="AÞ¸¶_ ºn¸nº° ¿uº°±a¼u  12 17" xfId="10080"/>
    <cellStyle name="ÄÞ¸¶_ ºñ¸ñº° ¿ùº°±â¼ú  12 17" xfId="10081"/>
    <cellStyle name="AÞ¸¶_ ºn¸nº° ¿uº°±a¼u  12 18" xfId="10082"/>
    <cellStyle name="ÄÞ¸¶_ ºñ¸ñº° ¿ùº°±â¼ú  12 18" xfId="10083"/>
    <cellStyle name="AÞ¸¶_ ºn¸nº° ¿uº°±a¼u  12 19" xfId="10084"/>
    <cellStyle name="ÄÞ¸¶_ ºñ¸ñº° ¿ùº°±â¼ú  12 19" xfId="10085"/>
    <cellStyle name="AÞ¸¶_ ºn¸nº° ¿uº°±a¼u  12 2" xfId="10086"/>
    <cellStyle name="ÄÞ¸¶_ ºñ¸ñº° ¿ùº°±â¼ú  12 2" xfId="10087"/>
    <cellStyle name="AÞ¸¶_ ºn¸nº° ¿uº°±a¼u  12 20" xfId="10088"/>
    <cellStyle name="ÄÞ¸¶_ ºñ¸ñº° ¿ùº°±â¼ú  12 20" xfId="10089"/>
    <cellStyle name="AÞ¸¶_ ºn¸nº° ¿uº°±a¼u  12 21" xfId="10090"/>
    <cellStyle name="ÄÞ¸¶_ ºñ¸ñº° ¿ùº°±â¼ú  12 21" xfId="10091"/>
    <cellStyle name="AÞ¸¶_ ºn¸nº° ¿uº°±a¼u  12 22" xfId="10092"/>
    <cellStyle name="ÄÞ¸¶_ ºñ¸ñº° ¿ùº°±â¼ú  12 22" xfId="10093"/>
    <cellStyle name="AÞ¸¶_ ºn¸nº° ¿uº°±a¼u  12 23" xfId="10094"/>
    <cellStyle name="ÄÞ¸¶_ ºñ¸ñº° ¿ùº°±â¼ú  12 23" xfId="10095"/>
    <cellStyle name="AÞ¸¶_ ºn¸nº° ¿uº°±a¼u  12 24" xfId="10096"/>
    <cellStyle name="ÄÞ¸¶_ ºñ¸ñº° ¿ùº°±â¼ú  12 24" xfId="10097"/>
    <cellStyle name="AÞ¸¶_ ºn¸nº° ¿uº°±a¼u  12 25" xfId="10098"/>
    <cellStyle name="ÄÞ¸¶_ ºñ¸ñº° ¿ùº°±â¼ú  12 25" xfId="10099"/>
    <cellStyle name="AÞ¸¶_ ºn¸nº° ¿uº°±a¼u  12 26" xfId="10100"/>
    <cellStyle name="ÄÞ¸¶_ ºñ¸ñº° ¿ùº°±â¼ú  12 26" xfId="10101"/>
    <cellStyle name="AÞ¸¶_ ºn¸nº° ¿uº°±a¼u  12 27" xfId="10102"/>
    <cellStyle name="ÄÞ¸¶_ ºñ¸ñº° ¿ùº°±â¼ú  12 27" xfId="10103"/>
    <cellStyle name="AÞ¸¶_ ºn¸nº° ¿uº°±a¼u  12 28" xfId="10104"/>
    <cellStyle name="ÄÞ¸¶_ ºñ¸ñº° ¿ùº°±â¼ú  12 28" xfId="10105"/>
    <cellStyle name="AÞ¸¶_ ºn¸nº° ¿uº°±a¼u  12 29" xfId="10106"/>
    <cellStyle name="ÄÞ¸¶_ ºñ¸ñº° ¿ùº°±â¼ú  12 29" xfId="10107"/>
    <cellStyle name="AÞ¸¶_ ºn¸nº° ¿uº°±a¼u  12 3" xfId="10108"/>
    <cellStyle name="ÄÞ¸¶_ ºñ¸ñº° ¿ùº°±â¼ú  12 3" xfId="10109"/>
    <cellStyle name="AÞ¸¶_ ºn¸nº° ¿uº°±a¼u  12 30" xfId="10110"/>
    <cellStyle name="ÄÞ¸¶_ ºñ¸ñº° ¿ùº°±â¼ú  12 30" xfId="10111"/>
    <cellStyle name="AÞ¸¶_ ºn¸nº° ¿uº°±a¼u  12 31" xfId="10112"/>
    <cellStyle name="ÄÞ¸¶_ ºñ¸ñº° ¿ùº°±â¼ú  12 31" xfId="10113"/>
    <cellStyle name="AÞ¸¶_ ºn¸nº° ¿uº°±a¼u  12 32" xfId="10114"/>
    <cellStyle name="ÄÞ¸¶_ ºñ¸ñº° ¿ùº°±â¼ú  12 32" xfId="10115"/>
    <cellStyle name="AÞ¸¶_ ºn¸nº° ¿uº°±a¼u  12 33" xfId="10116"/>
    <cellStyle name="ÄÞ¸¶_ ºñ¸ñº° ¿ùº°±â¼ú  12 33" xfId="10117"/>
    <cellStyle name="AÞ¸¶_ ºn¸nº° ¿uº°±a¼u  12 34" xfId="10118"/>
    <cellStyle name="ÄÞ¸¶_ ºñ¸ñº° ¿ùº°±â¼ú  12 34" xfId="10119"/>
    <cellStyle name="AÞ¸¶_ ºn¸nº° ¿uº°±a¼u  12 4" xfId="10120"/>
    <cellStyle name="ÄÞ¸¶_ ºñ¸ñº° ¿ùº°±â¼ú  12 4" xfId="10121"/>
    <cellStyle name="AÞ¸¶_ ºn¸nº° ¿uº°±a¼u  12 5" xfId="10122"/>
    <cellStyle name="ÄÞ¸¶_ ºñ¸ñº° ¿ùº°±â¼ú  12 5" xfId="10123"/>
    <cellStyle name="AÞ¸¶_ ºn¸nº° ¿uº°±a¼u  12 6" xfId="10124"/>
    <cellStyle name="ÄÞ¸¶_ ºñ¸ñº° ¿ùº°±â¼ú  12 6" xfId="10125"/>
    <cellStyle name="AÞ¸¶_ ºn¸nº° ¿uº°±a¼u  12 7" xfId="10126"/>
    <cellStyle name="ÄÞ¸¶_ ºñ¸ñº° ¿ùº°±â¼ú  12 7" xfId="10127"/>
    <cellStyle name="AÞ¸¶_ ºn¸nº° ¿uº°±a¼u  12 8" xfId="10128"/>
    <cellStyle name="ÄÞ¸¶_ ºñ¸ñº° ¿ùº°±â¼ú  12 8" xfId="10129"/>
    <cellStyle name="AÞ¸¶_ ºn¸nº° ¿uº°±a¼u  12 9" xfId="10130"/>
    <cellStyle name="ÄÞ¸¶_ ºñ¸ñº° ¿ùº°±â¼ú  12 9" xfId="10131"/>
    <cellStyle name="AÞ¸¶_ ºn¸nº° ¿uº°±a¼u  13" xfId="10132"/>
    <cellStyle name="ÄÞ¸¶_ ºñ¸ñº° ¿ùº°±â¼ú  13" xfId="10133"/>
    <cellStyle name="AÞ¸¶_ ºn¸nº° ¿uº°±a¼u  13 10" xfId="10134"/>
    <cellStyle name="ÄÞ¸¶_ ºñ¸ñº° ¿ùº°±â¼ú  13 10" xfId="10135"/>
    <cellStyle name="AÞ¸¶_ ºn¸nº° ¿uº°±a¼u  13 11" xfId="10136"/>
    <cellStyle name="ÄÞ¸¶_ ºñ¸ñº° ¿ùº°±â¼ú  13 11" xfId="10137"/>
    <cellStyle name="AÞ¸¶_ ºn¸nº° ¿uº°±a¼u  13 12" xfId="10138"/>
    <cellStyle name="ÄÞ¸¶_ ºñ¸ñº° ¿ùº°±â¼ú  13 12" xfId="10139"/>
    <cellStyle name="AÞ¸¶_ ºn¸nº° ¿uº°±a¼u  13 13" xfId="10140"/>
    <cellStyle name="ÄÞ¸¶_ ºñ¸ñº° ¿ùº°±â¼ú  13 13" xfId="10141"/>
    <cellStyle name="AÞ¸¶_ ºn¸nº° ¿uº°±a¼u  13 14" xfId="10142"/>
    <cellStyle name="ÄÞ¸¶_ ºñ¸ñº° ¿ùº°±â¼ú  13 14" xfId="10143"/>
    <cellStyle name="AÞ¸¶_ ºn¸nº° ¿uº°±a¼u  13 15" xfId="10144"/>
    <cellStyle name="ÄÞ¸¶_ ºñ¸ñº° ¿ùº°±â¼ú  13 15" xfId="10145"/>
    <cellStyle name="AÞ¸¶_ ºn¸nº° ¿uº°±a¼u  13 16" xfId="10146"/>
    <cellStyle name="ÄÞ¸¶_ ºñ¸ñº° ¿ùº°±â¼ú  13 16" xfId="10147"/>
    <cellStyle name="AÞ¸¶_ ºn¸nº° ¿uº°±a¼u  13 17" xfId="10148"/>
    <cellStyle name="ÄÞ¸¶_ ºñ¸ñº° ¿ùº°±â¼ú  13 17" xfId="10149"/>
    <cellStyle name="AÞ¸¶_ ºn¸nº° ¿uº°±a¼u  13 18" xfId="10150"/>
    <cellStyle name="ÄÞ¸¶_ ºñ¸ñº° ¿ùº°±â¼ú  13 18" xfId="10151"/>
    <cellStyle name="AÞ¸¶_ ºn¸nº° ¿uº°±a¼u  13 19" xfId="10152"/>
    <cellStyle name="ÄÞ¸¶_ ºñ¸ñº° ¿ùº°±â¼ú  13 19" xfId="10153"/>
    <cellStyle name="AÞ¸¶_ ºn¸nº° ¿uº°±a¼u  13 2" xfId="10154"/>
    <cellStyle name="ÄÞ¸¶_ ºñ¸ñº° ¿ùº°±â¼ú  13 2" xfId="10155"/>
    <cellStyle name="AÞ¸¶_ ºn¸nº° ¿uº°±a¼u  13 20" xfId="10156"/>
    <cellStyle name="ÄÞ¸¶_ ºñ¸ñº° ¿ùº°±â¼ú  13 20" xfId="10157"/>
    <cellStyle name="AÞ¸¶_ ºn¸nº° ¿uº°±a¼u  13 21" xfId="10158"/>
    <cellStyle name="ÄÞ¸¶_ ºñ¸ñº° ¿ùº°±â¼ú  13 21" xfId="10159"/>
    <cellStyle name="AÞ¸¶_ ºn¸nº° ¿uº°±a¼u  13 22" xfId="10160"/>
    <cellStyle name="ÄÞ¸¶_ ºñ¸ñº° ¿ùº°±â¼ú  13 22" xfId="10161"/>
    <cellStyle name="AÞ¸¶_ ºn¸nº° ¿uº°±a¼u  13 23" xfId="10162"/>
    <cellStyle name="ÄÞ¸¶_ ºñ¸ñº° ¿ùº°±â¼ú  13 23" xfId="10163"/>
    <cellStyle name="AÞ¸¶_ ºn¸nº° ¿uº°±a¼u  13 24" xfId="10164"/>
    <cellStyle name="ÄÞ¸¶_ ºñ¸ñº° ¿ùº°±â¼ú  13 24" xfId="10165"/>
    <cellStyle name="AÞ¸¶_ ºn¸nº° ¿uº°±a¼u  13 25" xfId="10166"/>
    <cellStyle name="ÄÞ¸¶_ ºñ¸ñº° ¿ùº°±â¼ú  13 25" xfId="10167"/>
    <cellStyle name="AÞ¸¶_ ºn¸nº° ¿uº°±a¼u  13 26" xfId="10168"/>
    <cellStyle name="ÄÞ¸¶_ ºñ¸ñº° ¿ùº°±â¼ú  13 26" xfId="10169"/>
    <cellStyle name="AÞ¸¶_ ºn¸nº° ¿uº°±a¼u  13 27" xfId="10170"/>
    <cellStyle name="ÄÞ¸¶_ ºñ¸ñº° ¿ùº°±â¼ú  13 27" xfId="10171"/>
    <cellStyle name="AÞ¸¶_ ºn¸nº° ¿uº°±a¼u  13 28" xfId="10172"/>
    <cellStyle name="ÄÞ¸¶_ ºñ¸ñº° ¿ùº°±â¼ú  13 28" xfId="10173"/>
    <cellStyle name="AÞ¸¶_ ºn¸nº° ¿uº°±a¼u  13 29" xfId="10174"/>
    <cellStyle name="ÄÞ¸¶_ ºñ¸ñº° ¿ùº°±â¼ú  13 29" xfId="10175"/>
    <cellStyle name="AÞ¸¶_ ºn¸nº° ¿uº°±a¼u  13 3" xfId="10176"/>
    <cellStyle name="ÄÞ¸¶_ ºñ¸ñº° ¿ùº°±â¼ú  13 3" xfId="10177"/>
    <cellStyle name="AÞ¸¶_ ºn¸nº° ¿uº°±a¼u  13 30" xfId="10178"/>
    <cellStyle name="ÄÞ¸¶_ ºñ¸ñº° ¿ùº°±â¼ú  13 30" xfId="10179"/>
    <cellStyle name="AÞ¸¶_ ºn¸nº° ¿uº°±a¼u  13 31" xfId="10180"/>
    <cellStyle name="ÄÞ¸¶_ ºñ¸ñº° ¿ùº°±â¼ú  13 31" xfId="10181"/>
    <cellStyle name="AÞ¸¶_ ºn¸nº° ¿uº°±a¼u  13 32" xfId="10182"/>
    <cellStyle name="ÄÞ¸¶_ ºñ¸ñº° ¿ùº°±â¼ú  13 32" xfId="10183"/>
    <cellStyle name="AÞ¸¶_ ºn¸nº° ¿uº°±a¼u  13 33" xfId="10184"/>
    <cellStyle name="ÄÞ¸¶_ ºñ¸ñº° ¿ùº°±â¼ú  13 33" xfId="10185"/>
    <cellStyle name="AÞ¸¶_ ºn¸nº° ¿uº°±a¼u  13 34" xfId="10186"/>
    <cellStyle name="ÄÞ¸¶_ ºñ¸ñº° ¿ùº°±â¼ú  13 34" xfId="10187"/>
    <cellStyle name="AÞ¸¶_ ºn¸nº° ¿uº°±a¼u  13 4" xfId="10188"/>
    <cellStyle name="ÄÞ¸¶_ ºñ¸ñº° ¿ùº°±â¼ú  13 4" xfId="10189"/>
    <cellStyle name="AÞ¸¶_ ºn¸nº° ¿uº°±a¼u  13 5" xfId="10190"/>
    <cellStyle name="ÄÞ¸¶_ ºñ¸ñº° ¿ùº°±â¼ú  13 5" xfId="10191"/>
    <cellStyle name="AÞ¸¶_ ºn¸nº° ¿uº°±a¼u  13 6" xfId="10192"/>
    <cellStyle name="ÄÞ¸¶_ ºñ¸ñº° ¿ùº°±â¼ú  13 6" xfId="10193"/>
    <cellStyle name="AÞ¸¶_ ºn¸nº° ¿uº°±a¼u  13 7" xfId="10194"/>
    <cellStyle name="ÄÞ¸¶_ ºñ¸ñº° ¿ùº°±â¼ú  13 7" xfId="10195"/>
    <cellStyle name="AÞ¸¶_ ºn¸nº° ¿uº°±a¼u  13 8" xfId="10196"/>
    <cellStyle name="ÄÞ¸¶_ ºñ¸ñº° ¿ùº°±â¼ú  13 8" xfId="10197"/>
    <cellStyle name="AÞ¸¶_ ºn¸nº° ¿uº°±a¼u  13 9" xfId="10198"/>
    <cellStyle name="ÄÞ¸¶_ ºñ¸ñº° ¿ùº°±â¼ú  13 9" xfId="10199"/>
    <cellStyle name="AÞ¸¶_ ºn¸nº° ¿uº°±a¼u  14" xfId="10200"/>
    <cellStyle name="ÄÞ¸¶_ ºñ¸ñº° ¿ùº°±â¼ú  14" xfId="10201"/>
    <cellStyle name="AÞ¸¶_ ºn¸nº° ¿uº°±a¼u  14 10" xfId="10202"/>
    <cellStyle name="ÄÞ¸¶_ ºñ¸ñº° ¿ùº°±â¼ú  14 10" xfId="10203"/>
    <cellStyle name="AÞ¸¶_ ºn¸nº° ¿uº°±a¼u  14 11" xfId="10204"/>
    <cellStyle name="ÄÞ¸¶_ ºñ¸ñº° ¿ùº°±â¼ú  14 11" xfId="10205"/>
    <cellStyle name="AÞ¸¶_ ºn¸nº° ¿uº°±a¼u  14 12" xfId="10206"/>
    <cellStyle name="ÄÞ¸¶_ ºñ¸ñº° ¿ùº°±â¼ú  14 12" xfId="10207"/>
    <cellStyle name="AÞ¸¶_ ºn¸nº° ¿uº°±a¼u  14 13" xfId="10208"/>
    <cellStyle name="ÄÞ¸¶_ ºñ¸ñº° ¿ùº°±â¼ú  14 13" xfId="10209"/>
    <cellStyle name="AÞ¸¶_ ºn¸nº° ¿uº°±a¼u  14 14" xfId="10210"/>
    <cellStyle name="ÄÞ¸¶_ ºñ¸ñº° ¿ùº°±â¼ú  14 14" xfId="10211"/>
    <cellStyle name="AÞ¸¶_ ºn¸nº° ¿uº°±a¼u  14 15" xfId="10212"/>
    <cellStyle name="ÄÞ¸¶_ ºñ¸ñº° ¿ùº°±â¼ú  14 15" xfId="10213"/>
    <cellStyle name="AÞ¸¶_ ºn¸nº° ¿uº°±a¼u  14 16" xfId="10214"/>
    <cellStyle name="ÄÞ¸¶_ ºñ¸ñº° ¿ùº°±â¼ú  14 16" xfId="10215"/>
    <cellStyle name="AÞ¸¶_ ºn¸nº° ¿uº°±a¼u  14 17" xfId="10216"/>
    <cellStyle name="ÄÞ¸¶_ ºñ¸ñº° ¿ùº°±â¼ú  14 17" xfId="10217"/>
    <cellStyle name="AÞ¸¶_ ºn¸nº° ¿uº°±a¼u  14 18" xfId="10218"/>
    <cellStyle name="ÄÞ¸¶_ ºñ¸ñº° ¿ùº°±â¼ú  14 18" xfId="10219"/>
    <cellStyle name="AÞ¸¶_ ºn¸nº° ¿uº°±a¼u  14 19" xfId="10220"/>
    <cellStyle name="ÄÞ¸¶_ ºñ¸ñº° ¿ùº°±â¼ú  14 19" xfId="10221"/>
    <cellStyle name="AÞ¸¶_ ºn¸nº° ¿uº°±a¼u  14 2" xfId="10222"/>
    <cellStyle name="ÄÞ¸¶_ ºñ¸ñº° ¿ùº°±â¼ú  14 2" xfId="10223"/>
    <cellStyle name="AÞ¸¶_ ºn¸nº° ¿uº°±a¼u  14 20" xfId="10224"/>
    <cellStyle name="ÄÞ¸¶_ ºñ¸ñº° ¿ùº°±â¼ú  14 20" xfId="10225"/>
    <cellStyle name="AÞ¸¶_ ºn¸nº° ¿uº°±a¼u  14 21" xfId="10226"/>
    <cellStyle name="ÄÞ¸¶_ ºñ¸ñº° ¿ùº°±â¼ú  14 21" xfId="10227"/>
    <cellStyle name="AÞ¸¶_ ºn¸nº° ¿uº°±a¼u  14 22" xfId="10228"/>
    <cellStyle name="ÄÞ¸¶_ ºñ¸ñº° ¿ùº°±â¼ú  14 22" xfId="10229"/>
    <cellStyle name="AÞ¸¶_ ºn¸nº° ¿uº°±a¼u  14 23" xfId="10230"/>
    <cellStyle name="ÄÞ¸¶_ ºñ¸ñº° ¿ùº°±â¼ú  14 23" xfId="10231"/>
    <cellStyle name="AÞ¸¶_ ºn¸nº° ¿uº°±a¼u  14 24" xfId="10232"/>
    <cellStyle name="ÄÞ¸¶_ ºñ¸ñº° ¿ùº°±â¼ú  14 24" xfId="10233"/>
    <cellStyle name="AÞ¸¶_ ºn¸nº° ¿uº°±a¼u  14 25" xfId="10234"/>
    <cellStyle name="ÄÞ¸¶_ ºñ¸ñº° ¿ùº°±â¼ú  14 25" xfId="10235"/>
    <cellStyle name="AÞ¸¶_ ºn¸nº° ¿uº°±a¼u  14 26" xfId="10236"/>
    <cellStyle name="ÄÞ¸¶_ ºñ¸ñº° ¿ùº°±â¼ú  14 26" xfId="10237"/>
    <cellStyle name="AÞ¸¶_ ºn¸nº° ¿uº°±a¼u  14 27" xfId="10238"/>
    <cellStyle name="ÄÞ¸¶_ ºñ¸ñº° ¿ùº°±â¼ú  14 27" xfId="10239"/>
    <cellStyle name="AÞ¸¶_ ºn¸nº° ¿uº°±a¼u  14 28" xfId="10240"/>
    <cellStyle name="ÄÞ¸¶_ ºñ¸ñº° ¿ùº°±â¼ú  14 28" xfId="10241"/>
    <cellStyle name="AÞ¸¶_ ºn¸nº° ¿uº°±a¼u  14 29" xfId="10242"/>
    <cellStyle name="ÄÞ¸¶_ ºñ¸ñº° ¿ùº°±â¼ú  14 29" xfId="10243"/>
    <cellStyle name="AÞ¸¶_ ºn¸nº° ¿uº°±a¼u  14 3" xfId="10244"/>
    <cellStyle name="ÄÞ¸¶_ ºñ¸ñº° ¿ùº°±â¼ú  14 3" xfId="10245"/>
    <cellStyle name="AÞ¸¶_ ºn¸nº° ¿uº°±a¼u  14 30" xfId="10246"/>
    <cellStyle name="ÄÞ¸¶_ ºñ¸ñº° ¿ùº°±â¼ú  14 30" xfId="10247"/>
    <cellStyle name="AÞ¸¶_ ºn¸nº° ¿uº°±a¼u  14 31" xfId="10248"/>
    <cellStyle name="ÄÞ¸¶_ ºñ¸ñº° ¿ùº°±â¼ú  14 31" xfId="10249"/>
    <cellStyle name="AÞ¸¶_ ºn¸nº° ¿uº°±a¼u  14 32" xfId="10250"/>
    <cellStyle name="ÄÞ¸¶_ ºñ¸ñº° ¿ùº°±â¼ú  14 32" xfId="10251"/>
    <cellStyle name="AÞ¸¶_ ºn¸nº° ¿uº°±a¼u  14 33" xfId="10252"/>
    <cellStyle name="ÄÞ¸¶_ ºñ¸ñº° ¿ùº°±â¼ú  14 33" xfId="10253"/>
    <cellStyle name="AÞ¸¶_ ºn¸nº° ¿uº°±a¼u  14 34" xfId="10254"/>
    <cellStyle name="ÄÞ¸¶_ ºñ¸ñº° ¿ùº°±â¼ú  14 34" xfId="10255"/>
    <cellStyle name="AÞ¸¶_ ºn¸nº° ¿uº°±a¼u  14 4" xfId="10256"/>
    <cellStyle name="ÄÞ¸¶_ ºñ¸ñº° ¿ùº°±â¼ú  14 4" xfId="10257"/>
    <cellStyle name="AÞ¸¶_ ºn¸nº° ¿uº°±a¼u  14 5" xfId="10258"/>
    <cellStyle name="ÄÞ¸¶_ ºñ¸ñº° ¿ùº°±â¼ú  14 5" xfId="10259"/>
    <cellStyle name="AÞ¸¶_ ºn¸nº° ¿uº°±a¼u  14 6" xfId="10260"/>
    <cellStyle name="ÄÞ¸¶_ ºñ¸ñº° ¿ùº°±â¼ú  14 6" xfId="10261"/>
    <cellStyle name="AÞ¸¶_ ºn¸nº° ¿uº°±a¼u  14 7" xfId="10262"/>
    <cellStyle name="ÄÞ¸¶_ ºñ¸ñº° ¿ùº°±â¼ú  14 7" xfId="10263"/>
    <cellStyle name="AÞ¸¶_ ºn¸nº° ¿uº°±a¼u  14 8" xfId="10264"/>
    <cellStyle name="ÄÞ¸¶_ ºñ¸ñº° ¿ùº°±â¼ú  14 8" xfId="10265"/>
    <cellStyle name="AÞ¸¶_ ºn¸nº° ¿uº°±a¼u  14 9" xfId="10266"/>
    <cellStyle name="ÄÞ¸¶_ ºñ¸ñº° ¿ùº°±â¼ú  14 9" xfId="10267"/>
    <cellStyle name="AÞ¸¶_ ºn¸nº° ¿uº°±a¼u  15" xfId="10268"/>
    <cellStyle name="ÄÞ¸¶_ ºñ¸ñº° ¿ùº°±â¼ú  15" xfId="10269"/>
    <cellStyle name="AÞ¸¶_ ºn¸nº° ¿uº°±a¼u  15 10" xfId="10270"/>
    <cellStyle name="ÄÞ¸¶_ ºñ¸ñº° ¿ùº°±â¼ú  15 10" xfId="10271"/>
    <cellStyle name="AÞ¸¶_ ºn¸nº° ¿uº°±a¼u  15 11" xfId="10272"/>
    <cellStyle name="ÄÞ¸¶_ ºñ¸ñº° ¿ùº°±â¼ú  15 11" xfId="10273"/>
    <cellStyle name="AÞ¸¶_ ºn¸nº° ¿uº°±a¼u  15 12" xfId="10274"/>
    <cellStyle name="ÄÞ¸¶_ ºñ¸ñº° ¿ùº°±â¼ú  15 12" xfId="10275"/>
    <cellStyle name="AÞ¸¶_ ºn¸nº° ¿uº°±a¼u  15 13" xfId="10276"/>
    <cellStyle name="ÄÞ¸¶_ ºñ¸ñº° ¿ùº°±â¼ú  15 13" xfId="10277"/>
    <cellStyle name="AÞ¸¶_ ºn¸nº° ¿uº°±a¼u  15 14" xfId="10278"/>
    <cellStyle name="ÄÞ¸¶_ ºñ¸ñº° ¿ùº°±â¼ú  15 14" xfId="10279"/>
    <cellStyle name="AÞ¸¶_ ºn¸nº° ¿uº°±a¼u  15 15" xfId="10280"/>
    <cellStyle name="ÄÞ¸¶_ ºñ¸ñº° ¿ùº°±â¼ú  15 15" xfId="10281"/>
    <cellStyle name="AÞ¸¶_ ºn¸nº° ¿uº°±a¼u  15 16" xfId="10282"/>
    <cellStyle name="ÄÞ¸¶_ ºñ¸ñº° ¿ùº°±â¼ú  15 16" xfId="10283"/>
    <cellStyle name="AÞ¸¶_ ºn¸nº° ¿uº°±a¼u  15 17" xfId="10284"/>
    <cellStyle name="ÄÞ¸¶_ ºñ¸ñº° ¿ùº°±â¼ú  15 17" xfId="10285"/>
    <cellStyle name="AÞ¸¶_ ºn¸nº° ¿uº°±a¼u  15 18" xfId="10286"/>
    <cellStyle name="ÄÞ¸¶_ ºñ¸ñº° ¿ùº°±â¼ú  15 18" xfId="10287"/>
    <cellStyle name="AÞ¸¶_ ºn¸nº° ¿uº°±a¼u  15 19" xfId="10288"/>
    <cellStyle name="ÄÞ¸¶_ ºñ¸ñº° ¿ùº°±â¼ú  15 19" xfId="10289"/>
    <cellStyle name="AÞ¸¶_ ºn¸nº° ¿uº°±a¼u  15 2" xfId="10290"/>
    <cellStyle name="ÄÞ¸¶_ ºñ¸ñº° ¿ùº°±â¼ú  15 2" xfId="10291"/>
    <cellStyle name="AÞ¸¶_ ºn¸nº° ¿uº°±a¼u  15 20" xfId="10292"/>
    <cellStyle name="ÄÞ¸¶_ ºñ¸ñº° ¿ùº°±â¼ú  15 20" xfId="10293"/>
    <cellStyle name="AÞ¸¶_ ºn¸nº° ¿uº°±a¼u  15 21" xfId="10294"/>
    <cellStyle name="ÄÞ¸¶_ ºñ¸ñº° ¿ùº°±â¼ú  15 21" xfId="10295"/>
    <cellStyle name="AÞ¸¶_ ºn¸nº° ¿uº°±a¼u  15 22" xfId="10296"/>
    <cellStyle name="ÄÞ¸¶_ ºñ¸ñº° ¿ùº°±â¼ú  15 22" xfId="10297"/>
    <cellStyle name="AÞ¸¶_ ºn¸nº° ¿uº°±a¼u  15 23" xfId="10298"/>
    <cellStyle name="ÄÞ¸¶_ ºñ¸ñº° ¿ùº°±â¼ú  15 23" xfId="10299"/>
    <cellStyle name="AÞ¸¶_ ºn¸nº° ¿uº°±a¼u  15 24" xfId="10300"/>
    <cellStyle name="ÄÞ¸¶_ ºñ¸ñº° ¿ùº°±â¼ú  15 24" xfId="10301"/>
    <cellStyle name="AÞ¸¶_ ºn¸nº° ¿uº°±a¼u  15 25" xfId="10302"/>
    <cellStyle name="ÄÞ¸¶_ ºñ¸ñº° ¿ùº°±â¼ú  15 25" xfId="10303"/>
    <cellStyle name="AÞ¸¶_ ºn¸nº° ¿uº°±a¼u  15 26" xfId="10304"/>
    <cellStyle name="ÄÞ¸¶_ ºñ¸ñº° ¿ùº°±â¼ú  15 26" xfId="10305"/>
    <cellStyle name="AÞ¸¶_ ºn¸nº° ¿uº°±a¼u  15 27" xfId="10306"/>
    <cellStyle name="ÄÞ¸¶_ ºñ¸ñº° ¿ùº°±â¼ú  15 27" xfId="10307"/>
    <cellStyle name="AÞ¸¶_ ºn¸nº° ¿uº°±a¼u  15 28" xfId="10308"/>
    <cellStyle name="ÄÞ¸¶_ ºñ¸ñº° ¿ùº°±â¼ú  15 28" xfId="10309"/>
    <cellStyle name="AÞ¸¶_ ºn¸nº° ¿uº°±a¼u  15 29" xfId="10310"/>
    <cellStyle name="ÄÞ¸¶_ ºñ¸ñº° ¿ùº°±â¼ú  15 29" xfId="10311"/>
    <cellStyle name="AÞ¸¶_ ºn¸nº° ¿uº°±a¼u  15 3" xfId="10312"/>
    <cellStyle name="ÄÞ¸¶_ ºñ¸ñº° ¿ùº°±â¼ú  15 3" xfId="10313"/>
    <cellStyle name="AÞ¸¶_ ºn¸nº° ¿uº°±a¼u  15 30" xfId="10314"/>
    <cellStyle name="ÄÞ¸¶_ ºñ¸ñº° ¿ùº°±â¼ú  15 30" xfId="10315"/>
    <cellStyle name="AÞ¸¶_ ºn¸nº° ¿uº°±a¼u  15 31" xfId="10316"/>
    <cellStyle name="ÄÞ¸¶_ ºñ¸ñº° ¿ùº°±â¼ú  15 31" xfId="10317"/>
    <cellStyle name="AÞ¸¶_ ºn¸nº° ¿uº°±a¼u  15 32" xfId="10318"/>
    <cellStyle name="ÄÞ¸¶_ ºñ¸ñº° ¿ùº°±â¼ú  15 32" xfId="10319"/>
    <cellStyle name="AÞ¸¶_ ºn¸nº° ¿uº°±a¼u  15 33" xfId="10320"/>
    <cellStyle name="ÄÞ¸¶_ ºñ¸ñº° ¿ùº°±â¼ú  15 33" xfId="10321"/>
    <cellStyle name="AÞ¸¶_ ºn¸nº° ¿uº°±a¼u  15 34" xfId="10322"/>
    <cellStyle name="ÄÞ¸¶_ ºñ¸ñº° ¿ùº°±â¼ú  15 34" xfId="10323"/>
    <cellStyle name="AÞ¸¶_ ºn¸nº° ¿uº°±a¼u  15 4" xfId="10324"/>
    <cellStyle name="ÄÞ¸¶_ ºñ¸ñº° ¿ùº°±â¼ú  15 4" xfId="10325"/>
    <cellStyle name="AÞ¸¶_ ºn¸nº° ¿uº°±a¼u  15 5" xfId="10326"/>
    <cellStyle name="ÄÞ¸¶_ ºñ¸ñº° ¿ùº°±â¼ú  15 5" xfId="10327"/>
    <cellStyle name="AÞ¸¶_ ºn¸nº° ¿uº°±a¼u  15 6" xfId="10328"/>
    <cellStyle name="ÄÞ¸¶_ ºñ¸ñº° ¿ùº°±â¼ú  15 6" xfId="10329"/>
    <cellStyle name="AÞ¸¶_ ºn¸nº° ¿uº°±a¼u  15 7" xfId="10330"/>
    <cellStyle name="ÄÞ¸¶_ ºñ¸ñº° ¿ùº°±â¼ú  15 7" xfId="10331"/>
    <cellStyle name="AÞ¸¶_ ºn¸nº° ¿uº°±a¼u  15 8" xfId="10332"/>
    <cellStyle name="ÄÞ¸¶_ ºñ¸ñº° ¿ùº°±â¼ú  15 8" xfId="10333"/>
    <cellStyle name="AÞ¸¶_ ºn¸nº° ¿uº°±a¼u  15 9" xfId="10334"/>
    <cellStyle name="ÄÞ¸¶_ ºñ¸ñº° ¿ùº°±â¼ú  15 9" xfId="10335"/>
    <cellStyle name="AÞ¸¶_ ºn¸nº° ¿uº°±a¼u  16" xfId="10336"/>
    <cellStyle name="ÄÞ¸¶_ ºñ¸ñº° ¿ùº°±â¼ú  16" xfId="10337"/>
    <cellStyle name="AÞ¸¶_ ºn¸nº° ¿uº°±a¼u  16 10" xfId="10338"/>
    <cellStyle name="ÄÞ¸¶_ ºñ¸ñº° ¿ùº°±â¼ú  16 10" xfId="10339"/>
    <cellStyle name="AÞ¸¶_ ºn¸nº° ¿uº°±a¼u  16 11" xfId="10340"/>
    <cellStyle name="ÄÞ¸¶_ ºñ¸ñº° ¿ùº°±â¼ú  16 11" xfId="10341"/>
    <cellStyle name="AÞ¸¶_ ºn¸nº° ¿uº°±a¼u  16 12" xfId="10342"/>
    <cellStyle name="ÄÞ¸¶_ ºñ¸ñº° ¿ùº°±â¼ú  16 12" xfId="10343"/>
    <cellStyle name="AÞ¸¶_ ºn¸nº° ¿uº°±a¼u  16 13" xfId="10344"/>
    <cellStyle name="ÄÞ¸¶_ ºñ¸ñº° ¿ùº°±â¼ú  16 13" xfId="10345"/>
    <cellStyle name="AÞ¸¶_ ºn¸nº° ¿uº°±a¼u  16 14" xfId="10346"/>
    <cellStyle name="ÄÞ¸¶_ ºñ¸ñº° ¿ùº°±â¼ú  16 14" xfId="10347"/>
    <cellStyle name="AÞ¸¶_ ºn¸nº° ¿uº°±a¼u  16 15" xfId="10348"/>
    <cellStyle name="ÄÞ¸¶_ ºñ¸ñº° ¿ùº°±â¼ú  16 15" xfId="10349"/>
    <cellStyle name="AÞ¸¶_ ºn¸nº° ¿uº°±a¼u  16 16" xfId="10350"/>
    <cellStyle name="ÄÞ¸¶_ ºñ¸ñº° ¿ùº°±â¼ú  16 16" xfId="10351"/>
    <cellStyle name="AÞ¸¶_ ºn¸nº° ¿uº°±a¼u  16 17" xfId="10352"/>
    <cellStyle name="ÄÞ¸¶_ ºñ¸ñº° ¿ùº°±â¼ú  16 17" xfId="10353"/>
    <cellStyle name="AÞ¸¶_ ºn¸nº° ¿uº°±a¼u  16 18" xfId="10354"/>
    <cellStyle name="ÄÞ¸¶_ ºñ¸ñº° ¿ùº°±â¼ú  16 18" xfId="10355"/>
    <cellStyle name="AÞ¸¶_ ºn¸nº° ¿uº°±a¼u  16 19" xfId="10356"/>
    <cellStyle name="ÄÞ¸¶_ ºñ¸ñº° ¿ùº°±â¼ú  16 19" xfId="10357"/>
    <cellStyle name="AÞ¸¶_ ºn¸nº° ¿uº°±a¼u  16 2" xfId="10358"/>
    <cellStyle name="ÄÞ¸¶_ ºñ¸ñº° ¿ùº°±â¼ú  16 2" xfId="10359"/>
    <cellStyle name="AÞ¸¶_ ºn¸nº° ¿uº°±a¼u  16 20" xfId="10360"/>
    <cellStyle name="ÄÞ¸¶_ ºñ¸ñº° ¿ùº°±â¼ú  16 20" xfId="10361"/>
    <cellStyle name="AÞ¸¶_ ºn¸nº° ¿uº°±a¼u  16 21" xfId="10362"/>
    <cellStyle name="ÄÞ¸¶_ ºñ¸ñº° ¿ùº°±â¼ú  16 21" xfId="10363"/>
    <cellStyle name="AÞ¸¶_ ºn¸nº° ¿uº°±a¼u  16 22" xfId="10364"/>
    <cellStyle name="ÄÞ¸¶_ ºñ¸ñº° ¿ùº°±â¼ú  16 22" xfId="10365"/>
    <cellStyle name="AÞ¸¶_ ºn¸nº° ¿uº°±a¼u  16 23" xfId="10366"/>
    <cellStyle name="ÄÞ¸¶_ ºñ¸ñº° ¿ùº°±â¼ú  16 23" xfId="10367"/>
    <cellStyle name="AÞ¸¶_ ºn¸nº° ¿uº°±a¼u  16 24" xfId="10368"/>
    <cellStyle name="ÄÞ¸¶_ ºñ¸ñº° ¿ùº°±â¼ú  16 24" xfId="10369"/>
    <cellStyle name="AÞ¸¶_ ºn¸nº° ¿uº°±a¼u  16 25" xfId="10370"/>
    <cellStyle name="ÄÞ¸¶_ ºñ¸ñº° ¿ùº°±â¼ú  16 25" xfId="10371"/>
    <cellStyle name="AÞ¸¶_ ºn¸nº° ¿uº°±a¼u  16 26" xfId="10372"/>
    <cellStyle name="ÄÞ¸¶_ ºñ¸ñº° ¿ùº°±â¼ú  16 26" xfId="10373"/>
    <cellStyle name="AÞ¸¶_ ºn¸nº° ¿uº°±a¼u  16 27" xfId="10374"/>
    <cellStyle name="ÄÞ¸¶_ ºñ¸ñº° ¿ùº°±â¼ú  16 27" xfId="10375"/>
    <cellStyle name="AÞ¸¶_ ºn¸nº° ¿uº°±a¼u  16 28" xfId="10376"/>
    <cellStyle name="ÄÞ¸¶_ ºñ¸ñº° ¿ùº°±â¼ú  16 28" xfId="10377"/>
    <cellStyle name="AÞ¸¶_ ºn¸nº° ¿uº°±a¼u  16 29" xfId="10378"/>
    <cellStyle name="ÄÞ¸¶_ ºñ¸ñº° ¿ùº°±â¼ú  16 29" xfId="10379"/>
    <cellStyle name="AÞ¸¶_ ºn¸nº° ¿uº°±a¼u  16 3" xfId="10380"/>
    <cellStyle name="ÄÞ¸¶_ ºñ¸ñº° ¿ùº°±â¼ú  16 3" xfId="10381"/>
    <cellStyle name="AÞ¸¶_ ºn¸nº° ¿uº°±a¼u  16 30" xfId="10382"/>
    <cellStyle name="ÄÞ¸¶_ ºñ¸ñº° ¿ùº°±â¼ú  16 30" xfId="10383"/>
    <cellStyle name="AÞ¸¶_ ºn¸nº° ¿uº°±a¼u  16 31" xfId="10384"/>
    <cellStyle name="ÄÞ¸¶_ ºñ¸ñº° ¿ùº°±â¼ú  16 31" xfId="10385"/>
    <cellStyle name="AÞ¸¶_ ºn¸nº° ¿uº°±a¼u  16 32" xfId="10386"/>
    <cellStyle name="ÄÞ¸¶_ ºñ¸ñº° ¿ùº°±â¼ú  16 32" xfId="10387"/>
    <cellStyle name="AÞ¸¶_ ºn¸nº° ¿uº°±a¼u  16 33" xfId="10388"/>
    <cellStyle name="ÄÞ¸¶_ ºñ¸ñº° ¿ùº°±â¼ú  16 33" xfId="10389"/>
    <cellStyle name="AÞ¸¶_ ºn¸nº° ¿uº°±a¼u  16 34" xfId="10390"/>
    <cellStyle name="ÄÞ¸¶_ ºñ¸ñº° ¿ùº°±â¼ú  16 34" xfId="10391"/>
    <cellStyle name="AÞ¸¶_ ºn¸nº° ¿uº°±a¼u  16 4" xfId="10392"/>
    <cellStyle name="ÄÞ¸¶_ ºñ¸ñº° ¿ùº°±â¼ú  16 4" xfId="10393"/>
    <cellStyle name="AÞ¸¶_ ºn¸nº° ¿uº°±a¼u  16 5" xfId="10394"/>
    <cellStyle name="ÄÞ¸¶_ ºñ¸ñº° ¿ùº°±â¼ú  16 5" xfId="10395"/>
    <cellStyle name="AÞ¸¶_ ºn¸nº° ¿uº°±a¼u  16 6" xfId="10396"/>
    <cellStyle name="ÄÞ¸¶_ ºñ¸ñº° ¿ùº°±â¼ú  16 6" xfId="10397"/>
    <cellStyle name="AÞ¸¶_ ºn¸nº° ¿uº°±a¼u  16 7" xfId="10398"/>
    <cellStyle name="ÄÞ¸¶_ ºñ¸ñº° ¿ùº°±â¼ú  16 7" xfId="10399"/>
    <cellStyle name="AÞ¸¶_ ºn¸nº° ¿uº°±a¼u  16 8" xfId="10400"/>
    <cellStyle name="ÄÞ¸¶_ ºñ¸ñº° ¿ùº°±â¼ú  16 8" xfId="10401"/>
    <cellStyle name="AÞ¸¶_ ºn¸nº° ¿uº°±a¼u  16 9" xfId="10402"/>
    <cellStyle name="ÄÞ¸¶_ ºñ¸ñº° ¿ùº°±â¼ú  16 9" xfId="10403"/>
    <cellStyle name="AÞ¸¶_ ºn¸nº° ¿uº°±a¼u  17" xfId="10404"/>
    <cellStyle name="ÄÞ¸¶_ ºñ¸ñº° ¿ùº°±â¼ú  17" xfId="10405"/>
    <cellStyle name="AÞ¸¶_ ºn¸nº° ¿uº°±a¼u  17 10" xfId="10406"/>
    <cellStyle name="ÄÞ¸¶_ ºñ¸ñº° ¿ùº°±â¼ú  17 10" xfId="10407"/>
    <cellStyle name="AÞ¸¶_ ºn¸nº° ¿uº°±a¼u  17 11" xfId="10408"/>
    <cellStyle name="ÄÞ¸¶_ ºñ¸ñº° ¿ùº°±â¼ú  17 11" xfId="10409"/>
    <cellStyle name="AÞ¸¶_ ºn¸nº° ¿uº°±a¼u  17 12" xfId="10410"/>
    <cellStyle name="ÄÞ¸¶_ ºñ¸ñº° ¿ùº°±â¼ú  17 12" xfId="10411"/>
    <cellStyle name="AÞ¸¶_ ºn¸nº° ¿uº°±a¼u  17 13" xfId="10412"/>
    <cellStyle name="ÄÞ¸¶_ ºñ¸ñº° ¿ùº°±â¼ú  17 13" xfId="10413"/>
    <cellStyle name="AÞ¸¶_ ºn¸nº° ¿uº°±a¼u  17 14" xfId="10414"/>
    <cellStyle name="ÄÞ¸¶_ ºñ¸ñº° ¿ùº°±â¼ú  17 14" xfId="10415"/>
    <cellStyle name="AÞ¸¶_ ºn¸nº° ¿uº°±a¼u  17 15" xfId="10416"/>
    <cellStyle name="ÄÞ¸¶_ ºñ¸ñº° ¿ùº°±â¼ú  17 15" xfId="10417"/>
    <cellStyle name="AÞ¸¶_ ºn¸nº° ¿uº°±a¼u  17 16" xfId="10418"/>
    <cellStyle name="ÄÞ¸¶_ ºñ¸ñº° ¿ùº°±â¼ú  17 16" xfId="10419"/>
    <cellStyle name="AÞ¸¶_ ºn¸nº° ¿uº°±a¼u  17 17" xfId="10420"/>
    <cellStyle name="ÄÞ¸¶_ ºñ¸ñº° ¿ùº°±â¼ú  17 17" xfId="10421"/>
    <cellStyle name="AÞ¸¶_ ºn¸nº° ¿uº°±a¼u  17 18" xfId="10422"/>
    <cellStyle name="ÄÞ¸¶_ ºñ¸ñº° ¿ùº°±â¼ú  17 18" xfId="10423"/>
    <cellStyle name="AÞ¸¶_ ºn¸nº° ¿uº°±a¼u  17 19" xfId="10424"/>
    <cellStyle name="ÄÞ¸¶_ ºñ¸ñº° ¿ùº°±â¼ú  17 19" xfId="10425"/>
    <cellStyle name="AÞ¸¶_ ºn¸nº° ¿uº°±a¼u  17 2" xfId="10426"/>
    <cellStyle name="ÄÞ¸¶_ ºñ¸ñº° ¿ùº°±â¼ú  17 2" xfId="10427"/>
    <cellStyle name="AÞ¸¶_ ºn¸nº° ¿uº°±a¼u  17 20" xfId="10428"/>
    <cellStyle name="ÄÞ¸¶_ ºñ¸ñº° ¿ùº°±â¼ú  17 20" xfId="10429"/>
    <cellStyle name="AÞ¸¶_ ºn¸nº° ¿uº°±a¼u  17 21" xfId="10430"/>
    <cellStyle name="ÄÞ¸¶_ ºñ¸ñº° ¿ùº°±â¼ú  17 21" xfId="10431"/>
    <cellStyle name="AÞ¸¶_ ºn¸nº° ¿uº°±a¼u  17 22" xfId="10432"/>
    <cellStyle name="ÄÞ¸¶_ ºñ¸ñº° ¿ùº°±â¼ú  17 22" xfId="10433"/>
    <cellStyle name="AÞ¸¶_ ºn¸nº° ¿uº°±a¼u  17 23" xfId="10434"/>
    <cellStyle name="ÄÞ¸¶_ ºñ¸ñº° ¿ùº°±â¼ú  17 23" xfId="10435"/>
    <cellStyle name="AÞ¸¶_ ºn¸nº° ¿uº°±a¼u  17 24" xfId="10436"/>
    <cellStyle name="ÄÞ¸¶_ ºñ¸ñº° ¿ùº°±â¼ú  17 24" xfId="10437"/>
    <cellStyle name="AÞ¸¶_ ºn¸nº° ¿uº°±a¼u  17 25" xfId="10438"/>
    <cellStyle name="ÄÞ¸¶_ ºñ¸ñº° ¿ùº°±â¼ú  17 25" xfId="10439"/>
    <cellStyle name="AÞ¸¶_ ºn¸nº° ¿uº°±a¼u  17 26" xfId="10440"/>
    <cellStyle name="ÄÞ¸¶_ ºñ¸ñº° ¿ùº°±â¼ú  17 26" xfId="10441"/>
    <cellStyle name="AÞ¸¶_ ºn¸nº° ¿uº°±a¼u  17 27" xfId="10442"/>
    <cellStyle name="ÄÞ¸¶_ ºñ¸ñº° ¿ùº°±â¼ú  17 27" xfId="10443"/>
    <cellStyle name="AÞ¸¶_ ºn¸nº° ¿uº°±a¼u  17 28" xfId="10444"/>
    <cellStyle name="ÄÞ¸¶_ ºñ¸ñº° ¿ùº°±â¼ú  17 28" xfId="10445"/>
    <cellStyle name="AÞ¸¶_ ºn¸nº° ¿uº°±a¼u  17 29" xfId="10446"/>
    <cellStyle name="ÄÞ¸¶_ ºñ¸ñº° ¿ùº°±â¼ú  17 29" xfId="10447"/>
    <cellStyle name="AÞ¸¶_ ºn¸nº° ¿uº°±a¼u  17 3" xfId="10448"/>
    <cellStyle name="ÄÞ¸¶_ ºñ¸ñº° ¿ùº°±â¼ú  17 3" xfId="10449"/>
    <cellStyle name="AÞ¸¶_ ºn¸nº° ¿uº°±a¼u  17 30" xfId="10450"/>
    <cellStyle name="ÄÞ¸¶_ ºñ¸ñº° ¿ùº°±â¼ú  17 30" xfId="10451"/>
    <cellStyle name="AÞ¸¶_ ºn¸nº° ¿uº°±a¼u  17 31" xfId="10452"/>
    <cellStyle name="ÄÞ¸¶_ ºñ¸ñº° ¿ùº°±â¼ú  17 31" xfId="10453"/>
    <cellStyle name="AÞ¸¶_ ºn¸nº° ¿uº°±a¼u  17 32" xfId="10454"/>
    <cellStyle name="ÄÞ¸¶_ ºñ¸ñº° ¿ùº°±â¼ú  17 32" xfId="10455"/>
    <cellStyle name="AÞ¸¶_ ºn¸nº° ¿uº°±a¼u  17 33" xfId="10456"/>
    <cellStyle name="ÄÞ¸¶_ ºñ¸ñº° ¿ùº°±â¼ú  17 33" xfId="10457"/>
    <cellStyle name="AÞ¸¶_ ºn¸nº° ¿uº°±a¼u  17 34" xfId="10458"/>
    <cellStyle name="ÄÞ¸¶_ ºñ¸ñº° ¿ùº°±â¼ú  17 34" xfId="10459"/>
    <cellStyle name="AÞ¸¶_ ºn¸nº° ¿uº°±a¼u  17 4" xfId="10460"/>
    <cellStyle name="ÄÞ¸¶_ ºñ¸ñº° ¿ùº°±â¼ú  17 4" xfId="10461"/>
    <cellStyle name="AÞ¸¶_ ºn¸nº° ¿uº°±a¼u  17 5" xfId="10462"/>
    <cellStyle name="ÄÞ¸¶_ ºñ¸ñº° ¿ùº°±â¼ú  17 5" xfId="10463"/>
    <cellStyle name="AÞ¸¶_ ºn¸nº° ¿uº°±a¼u  17 6" xfId="10464"/>
    <cellStyle name="ÄÞ¸¶_ ºñ¸ñº° ¿ùº°±â¼ú  17 6" xfId="10465"/>
    <cellStyle name="AÞ¸¶_ ºn¸nº° ¿uº°±a¼u  17 7" xfId="10466"/>
    <cellStyle name="ÄÞ¸¶_ ºñ¸ñº° ¿ùº°±â¼ú  17 7" xfId="10467"/>
    <cellStyle name="AÞ¸¶_ ºn¸nº° ¿uº°±a¼u  17 8" xfId="10468"/>
    <cellStyle name="ÄÞ¸¶_ ºñ¸ñº° ¿ùº°±â¼ú  17 8" xfId="10469"/>
    <cellStyle name="AÞ¸¶_ ºn¸nº° ¿uº°±a¼u  17 9" xfId="10470"/>
    <cellStyle name="ÄÞ¸¶_ ºñ¸ñº° ¿ùº°±â¼ú  17 9" xfId="10471"/>
    <cellStyle name="AÞ¸¶_ ºn¸nº° ¿uº°±a¼u  18" xfId="10472"/>
    <cellStyle name="ÄÞ¸¶_ ºñ¸ñº° ¿ùº°±â¼ú  18" xfId="10473"/>
    <cellStyle name="AÞ¸¶_ ºn¸nº° ¿uº°±a¼u  18 10" xfId="10474"/>
    <cellStyle name="ÄÞ¸¶_ ºñ¸ñº° ¿ùº°±â¼ú  18 10" xfId="10475"/>
    <cellStyle name="AÞ¸¶_ ºn¸nº° ¿uº°±a¼u  18 11" xfId="10476"/>
    <cellStyle name="ÄÞ¸¶_ ºñ¸ñº° ¿ùº°±â¼ú  18 11" xfId="10477"/>
    <cellStyle name="AÞ¸¶_ ºn¸nº° ¿uº°±a¼u  18 12" xfId="10478"/>
    <cellStyle name="ÄÞ¸¶_ ºñ¸ñº° ¿ùº°±â¼ú  18 12" xfId="10479"/>
    <cellStyle name="AÞ¸¶_ ºn¸nº° ¿uº°±a¼u  18 13" xfId="10480"/>
    <cellStyle name="ÄÞ¸¶_ ºñ¸ñº° ¿ùº°±â¼ú  18 13" xfId="10481"/>
    <cellStyle name="AÞ¸¶_ ºn¸nº° ¿uº°±a¼u  18 14" xfId="10482"/>
    <cellStyle name="ÄÞ¸¶_ ºñ¸ñº° ¿ùº°±â¼ú  18 14" xfId="10483"/>
    <cellStyle name="AÞ¸¶_ ºn¸nº° ¿uº°±a¼u  18 15" xfId="10484"/>
    <cellStyle name="ÄÞ¸¶_ ºñ¸ñº° ¿ùº°±â¼ú  18 15" xfId="10485"/>
    <cellStyle name="AÞ¸¶_ ºn¸nº° ¿uº°±a¼u  18 16" xfId="10486"/>
    <cellStyle name="ÄÞ¸¶_ ºñ¸ñº° ¿ùº°±â¼ú  18 16" xfId="10487"/>
    <cellStyle name="AÞ¸¶_ ºn¸nº° ¿uº°±a¼u  18 17" xfId="10488"/>
    <cellStyle name="ÄÞ¸¶_ ºñ¸ñº° ¿ùº°±â¼ú  18 17" xfId="10489"/>
    <cellStyle name="AÞ¸¶_ ºn¸nº° ¿uº°±a¼u  18 18" xfId="10490"/>
    <cellStyle name="ÄÞ¸¶_ ºñ¸ñº° ¿ùº°±â¼ú  18 18" xfId="10491"/>
    <cellStyle name="AÞ¸¶_ ºn¸nº° ¿uº°±a¼u  18 19" xfId="10492"/>
    <cellStyle name="ÄÞ¸¶_ ºñ¸ñº° ¿ùº°±â¼ú  18 19" xfId="10493"/>
    <cellStyle name="AÞ¸¶_ ºn¸nº° ¿uº°±a¼u  18 2" xfId="10494"/>
    <cellStyle name="ÄÞ¸¶_ ºñ¸ñº° ¿ùº°±â¼ú  18 2" xfId="10495"/>
    <cellStyle name="AÞ¸¶_ ºn¸nº° ¿uº°±a¼u  18 20" xfId="10496"/>
    <cellStyle name="ÄÞ¸¶_ ºñ¸ñº° ¿ùº°±â¼ú  18 20" xfId="10497"/>
    <cellStyle name="AÞ¸¶_ ºn¸nº° ¿uº°±a¼u  18 21" xfId="10498"/>
    <cellStyle name="ÄÞ¸¶_ ºñ¸ñº° ¿ùº°±â¼ú  18 21" xfId="10499"/>
    <cellStyle name="AÞ¸¶_ ºn¸nº° ¿uº°±a¼u  18 22" xfId="10500"/>
    <cellStyle name="ÄÞ¸¶_ ºñ¸ñº° ¿ùº°±â¼ú  18 22" xfId="10501"/>
    <cellStyle name="AÞ¸¶_ ºn¸nº° ¿uº°±a¼u  18 23" xfId="10502"/>
    <cellStyle name="ÄÞ¸¶_ ºñ¸ñº° ¿ùº°±â¼ú  18 23" xfId="10503"/>
    <cellStyle name="AÞ¸¶_ ºn¸nº° ¿uº°±a¼u  18 24" xfId="10504"/>
    <cellStyle name="ÄÞ¸¶_ ºñ¸ñº° ¿ùº°±â¼ú  18 24" xfId="10505"/>
    <cellStyle name="AÞ¸¶_ ºn¸nº° ¿uº°±a¼u  18 25" xfId="10506"/>
    <cellStyle name="ÄÞ¸¶_ ºñ¸ñº° ¿ùº°±â¼ú  18 25" xfId="10507"/>
    <cellStyle name="AÞ¸¶_ ºn¸nº° ¿uº°±a¼u  18 26" xfId="10508"/>
    <cellStyle name="ÄÞ¸¶_ ºñ¸ñº° ¿ùº°±â¼ú  18 26" xfId="10509"/>
    <cellStyle name="AÞ¸¶_ ºn¸nº° ¿uº°±a¼u  18 27" xfId="10510"/>
    <cellStyle name="ÄÞ¸¶_ ºñ¸ñº° ¿ùº°±â¼ú  18 27" xfId="10511"/>
    <cellStyle name="AÞ¸¶_ ºn¸nº° ¿uº°±a¼u  18 28" xfId="10512"/>
    <cellStyle name="ÄÞ¸¶_ ºñ¸ñº° ¿ùº°±â¼ú  18 28" xfId="10513"/>
    <cellStyle name="AÞ¸¶_ ºn¸nº° ¿uº°±a¼u  18 29" xfId="10514"/>
    <cellStyle name="ÄÞ¸¶_ ºñ¸ñº° ¿ùº°±â¼ú  18 29" xfId="10515"/>
    <cellStyle name="AÞ¸¶_ ºn¸nº° ¿uº°±a¼u  18 3" xfId="10516"/>
    <cellStyle name="ÄÞ¸¶_ ºñ¸ñº° ¿ùº°±â¼ú  18 3" xfId="10517"/>
    <cellStyle name="AÞ¸¶_ ºn¸nº° ¿uº°±a¼u  18 30" xfId="10518"/>
    <cellStyle name="ÄÞ¸¶_ ºñ¸ñº° ¿ùº°±â¼ú  18 30" xfId="10519"/>
    <cellStyle name="AÞ¸¶_ ºn¸nº° ¿uº°±a¼u  18 31" xfId="10520"/>
    <cellStyle name="ÄÞ¸¶_ ºñ¸ñº° ¿ùº°±â¼ú  18 31" xfId="10521"/>
    <cellStyle name="AÞ¸¶_ ºn¸nº° ¿uº°±a¼u  18 32" xfId="10522"/>
    <cellStyle name="ÄÞ¸¶_ ºñ¸ñº° ¿ùº°±â¼ú  18 32" xfId="10523"/>
    <cellStyle name="AÞ¸¶_ ºn¸nº° ¿uº°±a¼u  18 33" xfId="10524"/>
    <cellStyle name="ÄÞ¸¶_ ºñ¸ñº° ¿ùº°±â¼ú  18 33" xfId="10525"/>
    <cellStyle name="AÞ¸¶_ ºn¸nº° ¿uº°±a¼u  18 34" xfId="10526"/>
    <cellStyle name="ÄÞ¸¶_ ºñ¸ñº° ¿ùº°±â¼ú  18 34" xfId="10527"/>
    <cellStyle name="AÞ¸¶_ ºn¸nº° ¿uº°±a¼u  18 4" xfId="10528"/>
    <cellStyle name="ÄÞ¸¶_ ºñ¸ñº° ¿ùº°±â¼ú  18 4" xfId="10529"/>
    <cellStyle name="AÞ¸¶_ ºn¸nº° ¿uº°±a¼u  18 5" xfId="10530"/>
    <cellStyle name="ÄÞ¸¶_ ºñ¸ñº° ¿ùº°±â¼ú  18 5" xfId="10531"/>
    <cellStyle name="AÞ¸¶_ ºn¸nº° ¿uº°±a¼u  18 6" xfId="10532"/>
    <cellStyle name="ÄÞ¸¶_ ºñ¸ñº° ¿ùº°±â¼ú  18 6" xfId="10533"/>
    <cellStyle name="AÞ¸¶_ ºn¸nº° ¿uº°±a¼u  18 7" xfId="10534"/>
    <cellStyle name="ÄÞ¸¶_ ºñ¸ñº° ¿ùº°±â¼ú  18 7" xfId="10535"/>
    <cellStyle name="AÞ¸¶_ ºn¸nº° ¿uº°±a¼u  18 8" xfId="10536"/>
    <cellStyle name="ÄÞ¸¶_ ºñ¸ñº° ¿ùº°±â¼ú  18 8" xfId="10537"/>
    <cellStyle name="AÞ¸¶_ ºn¸nº° ¿uº°±a¼u  18 9" xfId="10538"/>
    <cellStyle name="ÄÞ¸¶_ ºñ¸ñº° ¿ùº°±â¼ú  18 9" xfId="10539"/>
    <cellStyle name="AÞ¸¶_ ºn¸nº° ¿uº°±a¼u  19" xfId="10540"/>
    <cellStyle name="ÄÞ¸¶_ ºñ¸ñº° ¿ùº°±â¼ú  19" xfId="10541"/>
    <cellStyle name="AÞ¸¶_ ºn¸nº° ¿uº°±a¼u  19 10" xfId="10542"/>
    <cellStyle name="ÄÞ¸¶_ ºñ¸ñº° ¿ùº°±â¼ú  19 10" xfId="10543"/>
    <cellStyle name="AÞ¸¶_ ºn¸nº° ¿uº°±a¼u  19 11" xfId="10544"/>
    <cellStyle name="ÄÞ¸¶_ ºñ¸ñº° ¿ùº°±â¼ú  19 11" xfId="10545"/>
    <cellStyle name="AÞ¸¶_ ºn¸nº° ¿uº°±a¼u  19 12" xfId="10546"/>
    <cellStyle name="ÄÞ¸¶_ ºñ¸ñº° ¿ùº°±â¼ú  19 12" xfId="10547"/>
    <cellStyle name="AÞ¸¶_ ºn¸nº° ¿uº°±a¼u  19 13" xfId="10548"/>
    <cellStyle name="ÄÞ¸¶_ ºñ¸ñº° ¿ùº°±â¼ú  19 13" xfId="10549"/>
    <cellStyle name="AÞ¸¶_ ºn¸nº° ¿uº°±a¼u  19 14" xfId="10550"/>
    <cellStyle name="ÄÞ¸¶_ ºñ¸ñº° ¿ùº°±â¼ú  19 14" xfId="10551"/>
    <cellStyle name="AÞ¸¶_ ºn¸nº° ¿uº°±a¼u  19 15" xfId="10552"/>
    <cellStyle name="ÄÞ¸¶_ ºñ¸ñº° ¿ùº°±â¼ú  19 15" xfId="10553"/>
    <cellStyle name="AÞ¸¶_ ºn¸nº° ¿uº°±a¼u  19 16" xfId="10554"/>
    <cellStyle name="ÄÞ¸¶_ ºñ¸ñº° ¿ùº°±â¼ú  19 16" xfId="10555"/>
    <cellStyle name="AÞ¸¶_ ºn¸nº° ¿uº°±a¼u  19 17" xfId="10556"/>
    <cellStyle name="ÄÞ¸¶_ ºñ¸ñº° ¿ùº°±â¼ú  19 17" xfId="10557"/>
    <cellStyle name="AÞ¸¶_ ºn¸nº° ¿uº°±a¼u  19 18" xfId="10558"/>
    <cellStyle name="ÄÞ¸¶_ ºñ¸ñº° ¿ùº°±â¼ú  19 18" xfId="10559"/>
    <cellStyle name="AÞ¸¶_ ºn¸nº° ¿uº°±a¼u  19 19" xfId="10560"/>
    <cellStyle name="ÄÞ¸¶_ ºñ¸ñº° ¿ùº°±â¼ú  19 19" xfId="10561"/>
    <cellStyle name="AÞ¸¶_ ºn¸nº° ¿uº°±a¼u  19 2" xfId="10562"/>
    <cellStyle name="ÄÞ¸¶_ ºñ¸ñº° ¿ùº°±â¼ú  19 2" xfId="10563"/>
    <cellStyle name="AÞ¸¶_ ºn¸nº° ¿uº°±a¼u  19 20" xfId="10564"/>
    <cellStyle name="ÄÞ¸¶_ ºñ¸ñº° ¿ùº°±â¼ú  19 20" xfId="10565"/>
    <cellStyle name="AÞ¸¶_ ºn¸nº° ¿uº°±a¼u  19 21" xfId="10566"/>
    <cellStyle name="ÄÞ¸¶_ ºñ¸ñº° ¿ùº°±â¼ú  19 21" xfId="10567"/>
    <cellStyle name="AÞ¸¶_ ºn¸nº° ¿uº°±a¼u  19 22" xfId="10568"/>
    <cellStyle name="ÄÞ¸¶_ ºñ¸ñº° ¿ùº°±â¼ú  19 22" xfId="10569"/>
    <cellStyle name="AÞ¸¶_ ºn¸nº° ¿uº°±a¼u  19 23" xfId="10570"/>
    <cellStyle name="ÄÞ¸¶_ ºñ¸ñº° ¿ùº°±â¼ú  19 23" xfId="10571"/>
    <cellStyle name="AÞ¸¶_ ºn¸nº° ¿uº°±a¼u  19 24" xfId="10572"/>
    <cellStyle name="ÄÞ¸¶_ ºñ¸ñº° ¿ùº°±â¼ú  19 24" xfId="10573"/>
    <cellStyle name="AÞ¸¶_ ºn¸nº° ¿uº°±a¼u  19 25" xfId="10574"/>
    <cellStyle name="ÄÞ¸¶_ ºñ¸ñº° ¿ùº°±â¼ú  19 25" xfId="10575"/>
    <cellStyle name="AÞ¸¶_ ºn¸nº° ¿uº°±a¼u  19 26" xfId="10576"/>
    <cellStyle name="ÄÞ¸¶_ ºñ¸ñº° ¿ùº°±â¼ú  19 26" xfId="10577"/>
    <cellStyle name="AÞ¸¶_ ºn¸nº° ¿uº°±a¼u  19 27" xfId="10578"/>
    <cellStyle name="ÄÞ¸¶_ ºñ¸ñº° ¿ùº°±â¼ú  19 27" xfId="10579"/>
    <cellStyle name="AÞ¸¶_ ºn¸nº° ¿uº°±a¼u  19 28" xfId="10580"/>
    <cellStyle name="ÄÞ¸¶_ ºñ¸ñº° ¿ùº°±â¼ú  19 28" xfId="10581"/>
    <cellStyle name="AÞ¸¶_ ºn¸nº° ¿uº°±a¼u  19 29" xfId="10582"/>
    <cellStyle name="ÄÞ¸¶_ ºñ¸ñº° ¿ùº°±â¼ú  19 29" xfId="10583"/>
    <cellStyle name="AÞ¸¶_ ºn¸nº° ¿uº°±a¼u  19 3" xfId="10584"/>
    <cellStyle name="ÄÞ¸¶_ ºñ¸ñº° ¿ùº°±â¼ú  19 3" xfId="10585"/>
    <cellStyle name="AÞ¸¶_ ºn¸nº° ¿uº°±a¼u  19 30" xfId="10586"/>
    <cellStyle name="ÄÞ¸¶_ ºñ¸ñº° ¿ùº°±â¼ú  19 30" xfId="10587"/>
    <cellStyle name="AÞ¸¶_ ºn¸nº° ¿uº°±a¼u  19 31" xfId="10588"/>
    <cellStyle name="ÄÞ¸¶_ ºñ¸ñº° ¿ùº°±â¼ú  19 31" xfId="10589"/>
    <cellStyle name="AÞ¸¶_ ºn¸nº° ¿uº°±a¼u  19 32" xfId="10590"/>
    <cellStyle name="ÄÞ¸¶_ ºñ¸ñº° ¿ùº°±â¼ú  19 32" xfId="10591"/>
    <cellStyle name="AÞ¸¶_ ºn¸nº° ¿uº°±a¼u  19 33" xfId="10592"/>
    <cellStyle name="ÄÞ¸¶_ ºñ¸ñº° ¿ùº°±â¼ú  19 33" xfId="10593"/>
    <cellStyle name="AÞ¸¶_ ºn¸nº° ¿uº°±a¼u  19 34" xfId="10594"/>
    <cellStyle name="ÄÞ¸¶_ ºñ¸ñº° ¿ùº°±â¼ú  19 34" xfId="10595"/>
    <cellStyle name="AÞ¸¶_ ºn¸nº° ¿uº°±a¼u  19 4" xfId="10596"/>
    <cellStyle name="ÄÞ¸¶_ ºñ¸ñº° ¿ùº°±â¼ú  19 4" xfId="10597"/>
    <cellStyle name="AÞ¸¶_ ºn¸nº° ¿uº°±a¼u  19 5" xfId="10598"/>
    <cellStyle name="ÄÞ¸¶_ ºñ¸ñº° ¿ùº°±â¼ú  19 5" xfId="10599"/>
    <cellStyle name="AÞ¸¶_ ºn¸nº° ¿uº°±a¼u  19 6" xfId="10600"/>
    <cellStyle name="ÄÞ¸¶_ ºñ¸ñº° ¿ùº°±â¼ú  19 6" xfId="10601"/>
    <cellStyle name="AÞ¸¶_ ºn¸nº° ¿uº°±a¼u  19 7" xfId="10602"/>
    <cellStyle name="ÄÞ¸¶_ ºñ¸ñº° ¿ùº°±â¼ú  19 7" xfId="10603"/>
    <cellStyle name="AÞ¸¶_ ºn¸nº° ¿uº°±a¼u  19 8" xfId="10604"/>
    <cellStyle name="ÄÞ¸¶_ ºñ¸ñº° ¿ùº°±â¼ú  19 8" xfId="10605"/>
    <cellStyle name="AÞ¸¶_ ºn¸nº° ¿uº°±a¼u  19 9" xfId="10606"/>
    <cellStyle name="ÄÞ¸¶_ ºñ¸ñº° ¿ùº°±â¼ú  19 9" xfId="10607"/>
    <cellStyle name="AÞ¸¶_ ºn¸nº° ¿uº°±a¼u  2" xfId="10608"/>
    <cellStyle name="ÄÞ¸¶_ ºñ¸ñº° ¿ùº°±â¼ú  2" xfId="10609"/>
    <cellStyle name="AÞ¸¶_ ºn¸nº° ¿uº°±a¼u  2 10" xfId="10610"/>
    <cellStyle name="ÄÞ¸¶_ ºñ¸ñº° ¿ùº°±â¼ú  2 10" xfId="10611"/>
    <cellStyle name="AÞ¸¶_ ºn¸nº° ¿uº°±a¼u  2 11" xfId="10612"/>
    <cellStyle name="ÄÞ¸¶_ ºñ¸ñº° ¿ùº°±â¼ú  2 11" xfId="10613"/>
    <cellStyle name="AÞ¸¶_ ºn¸nº° ¿uº°±a¼u  2 12" xfId="10614"/>
    <cellStyle name="ÄÞ¸¶_ ºñ¸ñº° ¿ùº°±â¼ú  2 12" xfId="10615"/>
    <cellStyle name="AÞ¸¶_ ºn¸nº° ¿uº°±a¼u  2 13" xfId="10616"/>
    <cellStyle name="ÄÞ¸¶_ ºñ¸ñº° ¿ùº°±â¼ú  2 13" xfId="10617"/>
    <cellStyle name="AÞ¸¶_ ºn¸nº° ¿uº°±a¼u  2 14" xfId="10618"/>
    <cellStyle name="ÄÞ¸¶_ ºñ¸ñº° ¿ùº°±â¼ú  2 14" xfId="10619"/>
    <cellStyle name="AÞ¸¶_ ºn¸nº° ¿uº°±a¼u  2 15" xfId="10620"/>
    <cellStyle name="ÄÞ¸¶_ ºñ¸ñº° ¿ùº°±â¼ú  2 15" xfId="10621"/>
    <cellStyle name="AÞ¸¶_ ºn¸nº° ¿uº°±a¼u  2 16" xfId="10622"/>
    <cellStyle name="ÄÞ¸¶_ ºñ¸ñº° ¿ùº°±â¼ú  2 16" xfId="10623"/>
    <cellStyle name="AÞ¸¶_ ºn¸nº° ¿uº°±a¼u  2 17" xfId="10624"/>
    <cellStyle name="ÄÞ¸¶_ ºñ¸ñº° ¿ùº°±â¼ú  2 17" xfId="10625"/>
    <cellStyle name="AÞ¸¶_ ºn¸nº° ¿uº°±a¼u  2 18" xfId="10626"/>
    <cellStyle name="ÄÞ¸¶_ ºñ¸ñº° ¿ùº°±â¼ú  2 18" xfId="10627"/>
    <cellStyle name="AÞ¸¶_ ºn¸nº° ¿uº°±a¼u  2 19" xfId="10628"/>
    <cellStyle name="ÄÞ¸¶_ ºñ¸ñº° ¿ùº°±â¼ú  2 19" xfId="10629"/>
    <cellStyle name="AÞ¸¶_ ºn¸nº° ¿uº°±a¼u  2 2" xfId="10630"/>
    <cellStyle name="ÄÞ¸¶_ ºñ¸ñº° ¿ùº°±â¼ú  2 2" xfId="10631"/>
    <cellStyle name="AÞ¸¶_ ºn¸nº° ¿uº°±a¼u  2 20" xfId="10632"/>
    <cellStyle name="ÄÞ¸¶_ ºñ¸ñº° ¿ùº°±â¼ú  2 20" xfId="10633"/>
    <cellStyle name="AÞ¸¶_ ºn¸nº° ¿uº°±a¼u  2 21" xfId="10634"/>
    <cellStyle name="ÄÞ¸¶_ ºñ¸ñº° ¿ùº°±â¼ú  2 21" xfId="10635"/>
    <cellStyle name="AÞ¸¶_ ºn¸nº° ¿uº°±a¼u  2 22" xfId="10636"/>
    <cellStyle name="ÄÞ¸¶_ ºñ¸ñº° ¿ùº°±â¼ú  2 22" xfId="10637"/>
    <cellStyle name="AÞ¸¶_ ºn¸nº° ¿uº°±a¼u  2 23" xfId="10638"/>
    <cellStyle name="ÄÞ¸¶_ ºñ¸ñº° ¿ùº°±â¼ú  2 23" xfId="10639"/>
    <cellStyle name="AÞ¸¶_ ºn¸nº° ¿uº°±a¼u  2 24" xfId="10640"/>
    <cellStyle name="ÄÞ¸¶_ ºñ¸ñº° ¿ùº°±â¼ú  2 24" xfId="10641"/>
    <cellStyle name="AÞ¸¶_ ºn¸nº° ¿uº°±a¼u  2 25" xfId="10642"/>
    <cellStyle name="ÄÞ¸¶_ ºñ¸ñº° ¿ùº°±â¼ú  2 25" xfId="10643"/>
    <cellStyle name="AÞ¸¶_ ºn¸nº° ¿uº°±a¼u  2 26" xfId="10644"/>
    <cellStyle name="ÄÞ¸¶_ ºñ¸ñº° ¿ùº°±â¼ú  2 26" xfId="10645"/>
    <cellStyle name="AÞ¸¶_ ºn¸nº° ¿uº°±a¼u  2 27" xfId="10646"/>
    <cellStyle name="ÄÞ¸¶_ ºñ¸ñº° ¿ùº°±â¼ú  2 27" xfId="10647"/>
    <cellStyle name="AÞ¸¶_ ºn¸nº° ¿uº°±a¼u  2 28" xfId="10648"/>
    <cellStyle name="ÄÞ¸¶_ ºñ¸ñº° ¿ùº°±â¼ú  2 28" xfId="10649"/>
    <cellStyle name="AÞ¸¶_ ºn¸nº° ¿uº°±a¼u  2 29" xfId="10650"/>
    <cellStyle name="ÄÞ¸¶_ ºñ¸ñº° ¿ùº°±â¼ú  2 29" xfId="10651"/>
    <cellStyle name="AÞ¸¶_ ºn¸nº° ¿uº°±a¼u  2 3" xfId="10652"/>
    <cellStyle name="ÄÞ¸¶_ ºñ¸ñº° ¿ùº°±â¼ú  2 3" xfId="10653"/>
    <cellStyle name="AÞ¸¶_ ºn¸nº° ¿uº°±a¼u  2 30" xfId="10654"/>
    <cellStyle name="ÄÞ¸¶_ ºñ¸ñº° ¿ùº°±â¼ú  2 30" xfId="10655"/>
    <cellStyle name="AÞ¸¶_ ºn¸nº° ¿uº°±a¼u  2 31" xfId="10656"/>
    <cellStyle name="ÄÞ¸¶_ ºñ¸ñº° ¿ùº°±â¼ú  2 31" xfId="10657"/>
    <cellStyle name="AÞ¸¶_ ºn¸nº° ¿uº°±a¼u  2 32" xfId="10658"/>
    <cellStyle name="ÄÞ¸¶_ ºñ¸ñº° ¿ùº°±â¼ú  2 32" xfId="10659"/>
    <cellStyle name="AÞ¸¶_ ºn¸nº° ¿uº°±a¼u  2 33" xfId="10660"/>
    <cellStyle name="ÄÞ¸¶_ ºñ¸ñº° ¿ùº°±â¼ú  2 33" xfId="10661"/>
    <cellStyle name="AÞ¸¶_ ºn¸nº° ¿uº°±a¼u  2 34" xfId="10662"/>
    <cellStyle name="ÄÞ¸¶_ ºñ¸ñº° ¿ùº°±â¼ú  2 34" xfId="10663"/>
    <cellStyle name="AÞ¸¶_ ºn¸nº° ¿uº°±a¼u  2 4" xfId="10664"/>
    <cellStyle name="ÄÞ¸¶_ ºñ¸ñº° ¿ùº°±â¼ú  2 4" xfId="10665"/>
    <cellStyle name="AÞ¸¶_ ºn¸nº° ¿uº°±a¼u  2 5" xfId="10666"/>
    <cellStyle name="ÄÞ¸¶_ ºñ¸ñº° ¿ùº°±â¼ú  2 5" xfId="10667"/>
    <cellStyle name="AÞ¸¶_ ºn¸nº° ¿uº°±a¼u  2 6" xfId="10668"/>
    <cellStyle name="ÄÞ¸¶_ ºñ¸ñº° ¿ùº°±â¼ú  2 6" xfId="10669"/>
    <cellStyle name="AÞ¸¶_ ºn¸nº° ¿uº°±a¼u  2 7" xfId="10670"/>
    <cellStyle name="ÄÞ¸¶_ ºñ¸ñº° ¿ùº°±â¼ú  2 7" xfId="10671"/>
    <cellStyle name="AÞ¸¶_ ºn¸nº° ¿uº°±a¼u  2 8" xfId="10672"/>
    <cellStyle name="ÄÞ¸¶_ ºñ¸ñº° ¿ùº°±â¼ú  2 8" xfId="10673"/>
    <cellStyle name="AÞ¸¶_ ºn¸nº° ¿uº°±a¼u  2 9" xfId="10674"/>
    <cellStyle name="ÄÞ¸¶_ ºñ¸ñº° ¿ùº°±â¼ú  2 9" xfId="10675"/>
    <cellStyle name="AÞ¸¶_ ºn¸nº° ¿uº°±a¼u  20" xfId="10676"/>
    <cellStyle name="ÄÞ¸¶_ ºñ¸ñº° ¿ùº°±â¼ú  20" xfId="10677"/>
    <cellStyle name="AÞ¸¶_ ºn¸nº° ¿uº°±a¼u  20 10" xfId="10678"/>
    <cellStyle name="ÄÞ¸¶_ ºñ¸ñº° ¿ùº°±â¼ú  20 10" xfId="10679"/>
    <cellStyle name="AÞ¸¶_ ºn¸nº° ¿uº°±a¼u  20 11" xfId="10680"/>
    <cellStyle name="ÄÞ¸¶_ ºñ¸ñº° ¿ùº°±â¼ú  20 11" xfId="10681"/>
    <cellStyle name="AÞ¸¶_ ºn¸nº° ¿uº°±a¼u  20 12" xfId="10682"/>
    <cellStyle name="ÄÞ¸¶_ ºñ¸ñº° ¿ùº°±â¼ú  20 12" xfId="10683"/>
    <cellStyle name="AÞ¸¶_ ºn¸nº° ¿uº°±a¼u  20 13" xfId="10684"/>
    <cellStyle name="ÄÞ¸¶_ ºñ¸ñº° ¿ùº°±â¼ú  20 13" xfId="10685"/>
    <cellStyle name="AÞ¸¶_ ºn¸nº° ¿uº°±a¼u  20 14" xfId="10686"/>
    <cellStyle name="ÄÞ¸¶_ ºñ¸ñº° ¿ùº°±â¼ú  20 14" xfId="10687"/>
    <cellStyle name="AÞ¸¶_ ºn¸nº° ¿uº°±a¼u  20 15" xfId="10688"/>
    <cellStyle name="ÄÞ¸¶_ ºñ¸ñº° ¿ùº°±â¼ú  20 15" xfId="10689"/>
    <cellStyle name="AÞ¸¶_ ºn¸nº° ¿uº°±a¼u  20 16" xfId="10690"/>
    <cellStyle name="ÄÞ¸¶_ ºñ¸ñº° ¿ùº°±â¼ú  20 16" xfId="10691"/>
    <cellStyle name="AÞ¸¶_ ºn¸nº° ¿uº°±a¼u  20 17" xfId="10692"/>
    <cellStyle name="ÄÞ¸¶_ ºñ¸ñº° ¿ùº°±â¼ú  20 17" xfId="10693"/>
    <cellStyle name="AÞ¸¶_ ºn¸nº° ¿uº°±a¼u  20 18" xfId="10694"/>
    <cellStyle name="ÄÞ¸¶_ ºñ¸ñº° ¿ùº°±â¼ú  20 18" xfId="10695"/>
    <cellStyle name="AÞ¸¶_ ºn¸nº° ¿uº°±a¼u  20 19" xfId="10696"/>
    <cellStyle name="ÄÞ¸¶_ ºñ¸ñº° ¿ùº°±â¼ú  20 19" xfId="10697"/>
    <cellStyle name="AÞ¸¶_ ºn¸nº° ¿uº°±a¼u  20 2" xfId="10698"/>
    <cellStyle name="ÄÞ¸¶_ ºñ¸ñº° ¿ùº°±â¼ú  20 2" xfId="10699"/>
    <cellStyle name="AÞ¸¶_ ºn¸nº° ¿uº°±a¼u  20 20" xfId="10700"/>
    <cellStyle name="ÄÞ¸¶_ ºñ¸ñº° ¿ùº°±â¼ú  20 20" xfId="10701"/>
    <cellStyle name="AÞ¸¶_ ºn¸nº° ¿uº°±a¼u  20 21" xfId="10702"/>
    <cellStyle name="ÄÞ¸¶_ ºñ¸ñº° ¿ùº°±â¼ú  20 21" xfId="10703"/>
    <cellStyle name="AÞ¸¶_ ºn¸nº° ¿uº°±a¼u  20 22" xfId="10704"/>
    <cellStyle name="ÄÞ¸¶_ ºñ¸ñº° ¿ùº°±â¼ú  20 22" xfId="10705"/>
    <cellStyle name="AÞ¸¶_ ºn¸nº° ¿uº°±a¼u  20 23" xfId="10706"/>
    <cellStyle name="ÄÞ¸¶_ ºñ¸ñº° ¿ùº°±â¼ú  20 23" xfId="10707"/>
    <cellStyle name="AÞ¸¶_ ºn¸nº° ¿uº°±a¼u  20 24" xfId="10708"/>
    <cellStyle name="ÄÞ¸¶_ ºñ¸ñº° ¿ùº°±â¼ú  20 24" xfId="10709"/>
    <cellStyle name="AÞ¸¶_ ºn¸nº° ¿uº°±a¼u  20 25" xfId="10710"/>
    <cellStyle name="ÄÞ¸¶_ ºñ¸ñº° ¿ùº°±â¼ú  20 25" xfId="10711"/>
    <cellStyle name="AÞ¸¶_ ºn¸nº° ¿uº°±a¼u  20 26" xfId="10712"/>
    <cellStyle name="ÄÞ¸¶_ ºñ¸ñº° ¿ùº°±â¼ú  20 26" xfId="10713"/>
    <cellStyle name="AÞ¸¶_ ºn¸nº° ¿uº°±a¼u  20 27" xfId="10714"/>
    <cellStyle name="ÄÞ¸¶_ ºñ¸ñº° ¿ùº°±â¼ú  20 27" xfId="10715"/>
    <cellStyle name="AÞ¸¶_ ºn¸nº° ¿uº°±a¼u  20 28" xfId="10716"/>
    <cellStyle name="ÄÞ¸¶_ ºñ¸ñº° ¿ùº°±â¼ú  20 28" xfId="10717"/>
    <cellStyle name="AÞ¸¶_ ºn¸nº° ¿uº°±a¼u  20 29" xfId="10718"/>
    <cellStyle name="ÄÞ¸¶_ ºñ¸ñº° ¿ùº°±â¼ú  20 29" xfId="10719"/>
    <cellStyle name="AÞ¸¶_ ºn¸nº° ¿uº°±a¼u  20 3" xfId="10720"/>
    <cellStyle name="ÄÞ¸¶_ ºñ¸ñº° ¿ùº°±â¼ú  20 3" xfId="10721"/>
    <cellStyle name="AÞ¸¶_ ºn¸nº° ¿uº°±a¼u  20 30" xfId="10722"/>
    <cellStyle name="ÄÞ¸¶_ ºñ¸ñº° ¿ùº°±â¼ú  20 30" xfId="10723"/>
    <cellStyle name="AÞ¸¶_ ºn¸nº° ¿uº°±a¼u  20 31" xfId="10724"/>
    <cellStyle name="ÄÞ¸¶_ ºñ¸ñº° ¿ùº°±â¼ú  20 31" xfId="10725"/>
    <cellStyle name="AÞ¸¶_ ºn¸nº° ¿uº°±a¼u  20 32" xfId="10726"/>
    <cellStyle name="ÄÞ¸¶_ ºñ¸ñº° ¿ùº°±â¼ú  20 32" xfId="10727"/>
    <cellStyle name="AÞ¸¶_ ºn¸nº° ¿uº°±a¼u  20 33" xfId="10728"/>
    <cellStyle name="ÄÞ¸¶_ ºñ¸ñº° ¿ùº°±â¼ú  20 33" xfId="10729"/>
    <cellStyle name="AÞ¸¶_ ºn¸nº° ¿uº°±a¼u  20 34" xfId="10730"/>
    <cellStyle name="ÄÞ¸¶_ ºñ¸ñº° ¿ùº°±â¼ú  20 34" xfId="10731"/>
    <cellStyle name="AÞ¸¶_ ºn¸nº° ¿uº°±a¼u  20 4" xfId="10732"/>
    <cellStyle name="ÄÞ¸¶_ ºñ¸ñº° ¿ùº°±â¼ú  20 4" xfId="10733"/>
    <cellStyle name="AÞ¸¶_ ºn¸nº° ¿uº°±a¼u  20 5" xfId="10734"/>
    <cellStyle name="ÄÞ¸¶_ ºñ¸ñº° ¿ùº°±â¼ú  20 5" xfId="10735"/>
    <cellStyle name="AÞ¸¶_ ºn¸nº° ¿uº°±a¼u  20 6" xfId="10736"/>
    <cellStyle name="ÄÞ¸¶_ ºñ¸ñº° ¿ùº°±â¼ú  20 6" xfId="10737"/>
    <cellStyle name="AÞ¸¶_ ºn¸nº° ¿uº°±a¼u  20 7" xfId="10738"/>
    <cellStyle name="ÄÞ¸¶_ ºñ¸ñº° ¿ùº°±â¼ú  20 7" xfId="10739"/>
    <cellStyle name="AÞ¸¶_ ºn¸nº° ¿uº°±a¼u  20 8" xfId="10740"/>
    <cellStyle name="ÄÞ¸¶_ ºñ¸ñº° ¿ùº°±â¼ú  20 8" xfId="10741"/>
    <cellStyle name="AÞ¸¶_ ºn¸nº° ¿uº°±a¼u  20 9" xfId="10742"/>
    <cellStyle name="ÄÞ¸¶_ ºñ¸ñº° ¿ùº°±â¼ú  20 9" xfId="10743"/>
    <cellStyle name="AÞ¸¶_ ºn¸nº° ¿uº°±a¼u  21" xfId="10744"/>
    <cellStyle name="ÄÞ¸¶_ ºñ¸ñº° ¿ùº°±â¼ú  21" xfId="10745"/>
    <cellStyle name="AÞ¸¶_ ºn¸nº° ¿uº°±a¼u  21 10" xfId="10746"/>
    <cellStyle name="ÄÞ¸¶_ ºñ¸ñº° ¿ùº°±â¼ú  21 10" xfId="10747"/>
    <cellStyle name="AÞ¸¶_ ºn¸nº° ¿uº°±a¼u  21 11" xfId="10748"/>
    <cellStyle name="ÄÞ¸¶_ ºñ¸ñº° ¿ùº°±â¼ú  21 11" xfId="10749"/>
    <cellStyle name="AÞ¸¶_ ºn¸nº° ¿uº°±a¼u  21 12" xfId="10750"/>
    <cellStyle name="ÄÞ¸¶_ ºñ¸ñº° ¿ùº°±â¼ú  21 12" xfId="10751"/>
    <cellStyle name="AÞ¸¶_ ºn¸nº° ¿uº°±a¼u  21 13" xfId="10752"/>
    <cellStyle name="ÄÞ¸¶_ ºñ¸ñº° ¿ùº°±â¼ú  21 13" xfId="10753"/>
    <cellStyle name="AÞ¸¶_ ºn¸nº° ¿uº°±a¼u  21 14" xfId="10754"/>
    <cellStyle name="ÄÞ¸¶_ ºñ¸ñº° ¿ùº°±â¼ú  21 14" xfId="10755"/>
    <cellStyle name="AÞ¸¶_ ºn¸nº° ¿uº°±a¼u  21 15" xfId="10756"/>
    <cellStyle name="ÄÞ¸¶_ ºñ¸ñº° ¿ùº°±â¼ú  21 15" xfId="10757"/>
    <cellStyle name="AÞ¸¶_ ºn¸nº° ¿uº°±a¼u  21 16" xfId="10758"/>
    <cellStyle name="ÄÞ¸¶_ ºñ¸ñº° ¿ùº°±â¼ú  21 16" xfId="10759"/>
    <cellStyle name="AÞ¸¶_ ºn¸nº° ¿uº°±a¼u  21 17" xfId="10760"/>
    <cellStyle name="ÄÞ¸¶_ ºñ¸ñº° ¿ùº°±â¼ú  21 17" xfId="10761"/>
    <cellStyle name="AÞ¸¶_ ºn¸nº° ¿uº°±a¼u  21 18" xfId="10762"/>
    <cellStyle name="ÄÞ¸¶_ ºñ¸ñº° ¿ùº°±â¼ú  21 18" xfId="10763"/>
    <cellStyle name="AÞ¸¶_ ºn¸nº° ¿uº°±a¼u  21 19" xfId="10764"/>
    <cellStyle name="ÄÞ¸¶_ ºñ¸ñº° ¿ùº°±â¼ú  21 19" xfId="10765"/>
    <cellStyle name="AÞ¸¶_ ºn¸nº° ¿uº°±a¼u  21 2" xfId="10766"/>
    <cellStyle name="ÄÞ¸¶_ ºñ¸ñº° ¿ùº°±â¼ú  21 2" xfId="10767"/>
    <cellStyle name="AÞ¸¶_ ºn¸nº° ¿uº°±a¼u  21 20" xfId="10768"/>
    <cellStyle name="ÄÞ¸¶_ ºñ¸ñº° ¿ùº°±â¼ú  21 20" xfId="10769"/>
    <cellStyle name="AÞ¸¶_ ºn¸nº° ¿uº°±a¼u  21 21" xfId="10770"/>
    <cellStyle name="ÄÞ¸¶_ ºñ¸ñº° ¿ùº°±â¼ú  21 21" xfId="10771"/>
    <cellStyle name="AÞ¸¶_ ºn¸nº° ¿uº°±a¼u  21 22" xfId="10772"/>
    <cellStyle name="ÄÞ¸¶_ ºñ¸ñº° ¿ùº°±â¼ú  21 22" xfId="10773"/>
    <cellStyle name="AÞ¸¶_ ºn¸nº° ¿uº°±a¼u  21 23" xfId="10774"/>
    <cellStyle name="ÄÞ¸¶_ ºñ¸ñº° ¿ùº°±â¼ú  21 23" xfId="10775"/>
    <cellStyle name="AÞ¸¶_ ºn¸nº° ¿uº°±a¼u  21 24" xfId="10776"/>
    <cellStyle name="ÄÞ¸¶_ ºñ¸ñº° ¿ùº°±â¼ú  21 24" xfId="10777"/>
    <cellStyle name="AÞ¸¶_ ºn¸nº° ¿uº°±a¼u  21 25" xfId="10778"/>
    <cellStyle name="ÄÞ¸¶_ ºñ¸ñº° ¿ùº°±â¼ú  21 25" xfId="10779"/>
    <cellStyle name="AÞ¸¶_ ºn¸nº° ¿uº°±a¼u  21 26" xfId="10780"/>
    <cellStyle name="ÄÞ¸¶_ ºñ¸ñº° ¿ùº°±â¼ú  21 26" xfId="10781"/>
    <cellStyle name="AÞ¸¶_ ºn¸nº° ¿uº°±a¼u  21 27" xfId="10782"/>
    <cellStyle name="ÄÞ¸¶_ ºñ¸ñº° ¿ùº°±â¼ú  21 27" xfId="10783"/>
    <cellStyle name="AÞ¸¶_ ºn¸nº° ¿uº°±a¼u  21 28" xfId="10784"/>
    <cellStyle name="ÄÞ¸¶_ ºñ¸ñº° ¿ùº°±â¼ú  21 28" xfId="10785"/>
    <cellStyle name="AÞ¸¶_ ºn¸nº° ¿uº°±a¼u  21 29" xfId="10786"/>
    <cellStyle name="ÄÞ¸¶_ ºñ¸ñº° ¿ùº°±â¼ú  21 29" xfId="10787"/>
    <cellStyle name="AÞ¸¶_ ºn¸nº° ¿uº°±a¼u  21 3" xfId="10788"/>
    <cellStyle name="ÄÞ¸¶_ ºñ¸ñº° ¿ùº°±â¼ú  21 3" xfId="10789"/>
    <cellStyle name="AÞ¸¶_ ºn¸nº° ¿uº°±a¼u  21 30" xfId="10790"/>
    <cellStyle name="ÄÞ¸¶_ ºñ¸ñº° ¿ùº°±â¼ú  21 30" xfId="10791"/>
    <cellStyle name="AÞ¸¶_ ºn¸nº° ¿uº°±a¼u  21 31" xfId="10792"/>
    <cellStyle name="ÄÞ¸¶_ ºñ¸ñº° ¿ùº°±â¼ú  21 31" xfId="10793"/>
    <cellStyle name="AÞ¸¶_ ºn¸nº° ¿uº°±a¼u  21 32" xfId="10794"/>
    <cellStyle name="ÄÞ¸¶_ ºñ¸ñº° ¿ùº°±â¼ú  21 32" xfId="10795"/>
    <cellStyle name="AÞ¸¶_ ºn¸nº° ¿uº°±a¼u  21 33" xfId="10796"/>
    <cellStyle name="ÄÞ¸¶_ ºñ¸ñº° ¿ùº°±â¼ú  21 33" xfId="10797"/>
    <cellStyle name="AÞ¸¶_ ºn¸nº° ¿uº°±a¼u  21 34" xfId="10798"/>
    <cellStyle name="ÄÞ¸¶_ ºñ¸ñº° ¿ùº°±â¼ú  21 34" xfId="10799"/>
    <cellStyle name="AÞ¸¶_ ºn¸nº° ¿uº°±a¼u  21 4" xfId="10800"/>
    <cellStyle name="ÄÞ¸¶_ ºñ¸ñº° ¿ùº°±â¼ú  21 4" xfId="10801"/>
    <cellStyle name="AÞ¸¶_ ºn¸nº° ¿uº°±a¼u  21 5" xfId="10802"/>
    <cellStyle name="ÄÞ¸¶_ ºñ¸ñº° ¿ùº°±â¼ú  21 5" xfId="10803"/>
    <cellStyle name="AÞ¸¶_ ºn¸nº° ¿uº°±a¼u  21 6" xfId="10804"/>
    <cellStyle name="ÄÞ¸¶_ ºñ¸ñº° ¿ùº°±â¼ú  21 6" xfId="10805"/>
    <cellStyle name="AÞ¸¶_ ºn¸nº° ¿uº°±a¼u  21 7" xfId="10806"/>
    <cellStyle name="ÄÞ¸¶_ ºñ¸ñº° ¿ùº°±â¼ú  21 7" xfId="10807"/>
    <cellStyle name="AÞ¸¶_ ºn¸nº° ¿uº°±a¼u  21 8" xfId="10808"/>
    <cellStyle name="ÄÞ¸¶_ ºñ¸ñº° ¿ùº°±â¼ú  21 8" xfId="10809"/>
    <cellStyle name="AÞ¸¶_ ºn¸nº° ¿uº°±a¼u  21 9" xfId="10810"/>
    <cellStyle name="ÄÞ¸¶_ ºñ¸ñº° ¿ùº°±â¼ú  21 9" xfId="10811"/>
    <cellStyle name="AÞ¸¶_ ºn¸nº° ¿uº°±a¼u  22" xfId="10812"/>
    <cellStyle name="ÄÞ¸¶_ ºñ¸ñº° ¿ùº°±â¼ú  22" xfId="10813"/>
    <cellStyle name="AÞ¸¶_ ºn¸nº° ¿uº°±a¼u  22 10" xfId="10814"/>
    <cellStyle name="ÄÞ¸¶_ ºñ¸ñº° ¿ùº°±â¼ú  22 10" xfId="10815"/>
    <cellStyle name="AÞ¸¶_ ºn¸nº° ¿uº°±a¼u  22 11" xfId="10816"/>
    <cellStyle name="ÄÞ¸¶_ ºñ¸ñº° ¿ùº°±â¼ú  22 11" xfId="10817"/>
    <cellStyle name="AÞ¸¶_ ºn¸nº° ¿uº°±a¼u  22 12" xfId="10818"/>
    <cellStyle name="ÄÞ¸¶_ ºñ¸ñº° ¿ùº°±â¼ú  22 12" xfId="10819"/>
    <cellStyle name="AÞ¸¶_ ºn¸nº° ¿uº°±a¼u  22 13" xfId="10820"/>
    <cellStyle name="ÄÞ¸¶_ ºñ¸ñº° ¿ùº°±â¼ú  22 13" xfId="10821"/>
    <cellStyle name="AÞ¸¶_ ºn¸nº° ¿uº°±a¼u  22 14" xfId="10822"/>
    <cellStyle name="ÄÞ¸¶_ ºñ¸ñº° ¿ùº°±â¼ú  22 14" xfId="10823"/>
    <cellStyle name="AÞ¸¶_ ºn¸nº° ¿uº°±a¼u  22 15" xfId="10824"/>
    <cellStyle name="ÄÞ¸¶_ ºñ¸ñº° ¿ùº°±â¼ú  22 15" xfId="10825"/>
    <cellStyle name="AÞ¸¶_ ºn¸nº° ¿uº°±a¼u  22 16" xfId="10826"/>
    <cellStyle name="ÄÞ¸¶_ ºñ¸ñº° ¿ùº°±â¼ú  22 16" xfId="10827"/>
    <cellStyle name="AÞ¸¶_ ºn¸nº° ¿uº°±a¼u  22 17" xfId="10828"/>
    <cellStyle name="ÄÞ¸¶_ ºñ¸ñº° ¿ùº°±â¼ú  22 17" xfId="10829"/>
    <cellStyle name="AÞ¸¶_ ºn¸nº° ¿uº°±a¼u  22 18" xfId="10830"/>
    <cellStyle name="ÄÞ¸¶_ ºñ¸ñº° ¿ùº°±â¼ú  22 18" xfId="10831"/>
    <cellStyle name="AÞ¸¶_ ºn¸nº° ¿uº°±a¼u  22 19" xfId="10832"/>
    <cellStyle name="ÄÞ¸¶_ ºñ¸ñº° ¿ùº°±â¼ú  22 19" xfId="10833"/>
    <cellStyle name="AÞ¸¶_ ºn¸nº° ¿uº°±a¼u  22 2" xfId="10834"/>
    <cellStyle name="ÄÞ¸¶_ ºñ¸ñº° ¿ùº°±â¼ú  22 2" xfId="10835"/>
    <cellStyle name="AÞ¸¶_ ºn¸nº° ¿uº°±a¼u  22 20" xfId="10836"/>
    <cellStyle name="ÄÞ¸¶_ ºñ¸ñº° ¿ùº°±â¼ú  22 20" xfId="10837"/>
    <cellStyle name="AÞ¸¶_ ºn¸nº° ¿uº°±a¼u  22 21" xfId="10838"/>
    <cellStyle name="ÄÞ¸¶_ ºñ¸ñº° ¿ùº°±â¼ú  22 21" xfId="10839"/>
    <cellStyle name="AÞ¸¶_ ºn¸nº° ¿uº°±a¼u  22 22" xfId="10840"/>
    <cellStyle name="ÄÞ¸¶_ ºñ¸ñº° ¿ùº°±â¼ú  22 22" xfId="10841"/>
    <cellStyle name="AÞ¸¶_ ºn¸nº° ¿uº°±a¼u  22 23" xfId="10842"/>
    <cellStyle name="ÄÞ¸¶_ ºñ¸ñº° ¿ùº°±â¼ú  22 23" xfId="10843"/>
    <cellStyle name="AÞ¸¶_ ºn¸nº° ¿uº°±a¼u  22 24" xfId="10844"/>
    <cellStyle name="ÄÞ¸¶_ ºñ¸ñº° ¿ùº°±â¼ú  22 24" xfId="10845"/>
    <cellStyle name="AÞ¸¶_ ºn¸nº° ¿uº°±a¼u  22 25" xfId="10846"/>
    <cellStyle name="ÄÞ¸¶_ ºñ¸ñº° ¿ùº°±â¼ú  22 25" xfId="10847"/>
    <cellStyle name="AÞ¸¶_ ºn¸nº° ¿uº°±a¼u  22 26" xfId="10848"/>
    <cellStyle name="ÄÞ¸¶_ ºñ¸ñº° ¿ùº°±â¼ú  22 26" xfId="10849"/>
    <cellStyle name="AÞ¸¶_ ºn¸nº° ¿uº°±a¼u  22 27" xfId="10850"/>
    <cellStyle name="ÄÞ¸¶_ ºñ¸ñº° ¿ùº°±â¼ú  22 27" xfId="10851"/>
    <cellStyle name="AÞ¸¶_ ºn¸nº° ¿uº°±a¼u  22 28" xfId="10852"/>
    <cellStyle name="ÄÞ¸¶_ ºñ¸ñº° ¿ùº°±â¼ú  22 28" xfId="10853"/>
    <cellStyle name="AÞ¸¶_ ºn¸nº° ¿uº°±a¼u  22 29" xfId="10854"/>
    <cellStyle name="ÄÞ¸¶_ ºñ¸ñº° ¿ùº°±â¼ú  22 29" xfId="10855"/>
    <cellStyle name="AÞ¸¶_ ºn¸nº° ¿uº°±a¼u  22 3" xfId="10856"/>
    <cellStyle name="ÄÞ¸¶_ ºñ¸ñº° ¿ùº°±â¼ú  22 3" xfId="10857"/>
    <cellStyle name="AÞ¸¶_ ºn¸nº° ¿uº°±a¼u  22 30" xfId="10858"/>
    <cellStyle name="ÄÞ¸¶_ ºñ¸ñº° ¿ùº°±â¼ú  22 30" xfId="10859"/>
    <cellStyle name="AÞ¸¶_ ºn¸nº° ¿uº°±a¼u  22 31" xfId="10860"/>
    <cellStyle name="ÄÞ¸¶_ ºñ¸ñº° ¿ùº°±â¼ú  22 31" xfId="10861"/>
    <cellStyle name="AÞ¸¶_ ºn¸nº° ¿uº°±a¼u  22 32" xfId="10862"/>
    <cellStyle name="ÄÞ¸¶_ ºñ¸ñº° ¿ùº°±â¼ú  22 32" xfId="10863"/>
    <cellStyle name="AÞ¸¶_ ºn¸nº° ¿uº°±a¼u  22 33" xfId="10864"/>
    <cellStyle name="ÄÞ¸¶_ ºñ¸ñº° ¿ùº°±â¼ú  22 33" xfId="10865"/>
    <cellStyle name="AÞ¸¶_ ºn¸nº° ¿uº°±a¼u  22 34" xfId="10866"/>
    <cellStyle name="ÄÞ¸¶_ ºñ¸ñº° ¿ùº°±â¼ú  22 34" xfId="10867"/>
    <cellStyle name="AÞ¸¶_ ºn¸nº° ¿uº°±a¼u  22 4" xfId="10868"/>
    <cellStyle name="ÄÞ¸¶_ ºñ¸ñº° ¿ùº°±â¼ú  22 4" xfId="10869"/>
    <cellStyle name="AÞ¸¶_ ºn¸nº° ¿uº°±a¼u  22 5" xfId="10870"/>
    <cellStyle name="ÄÞ¸¶_ ºñ¸ñº° ¿ùº°±â¼ú  22 5" xfId="10871"/>
    <cellStyle name="AÞ¸¶_ ºn¸nº° ¿uº°±a¼u  22 6" xfId="10872"/>
    <cellStyle name="ÄÞ¸¶_ ºñ¸ñº° ¿ùº°±â¼ú  22 6" xfId="10873"/>
    <cellStyle name="AÞ¸¶_ ºn¸nº° ¿uº°±a¼u  22 7" xfId="10874"/>
    <cellStyle name="ÄÞ¸¶_ ºñ¸ñº° ¿ùº°±â¼ú  22 7" xfId="10875"/>
    <cellStyle name="AÞ¸¶_ ºn¸nº° ¿uº°±a¼u  22 8" xfId="10876"/>
    <cellStyle name="ÄÞ¸¶_ ºñ¸ñº° ¿ùº°±â¼ú  22 8" xfId="10877"/>
    <cellStyle name="AÞ¸¶_ ºn¸nº° ¿uº°±a¼u  22 9" xfId="10878"/>
    <cellStyle name="ÄÞ¸¶_ ºñ¸ñº° ¿ùº°±â¼ú  22 9" xfId="10879"/>
    <cellStyle name="AÞ¸¶_ ºn¸nº° ¿uº°±a¼u  23" xfId="10880"/>
    <cellStyle name="ÄÞ¸¶_ ºñ¸ñº° ¿ùº°±â¼ú  23" xfId="10881"/>
    <cellStyle name="AÞ¸¶_ ºn¸nº° ¿uº°±a¼u  23 10" xfId="10882"/>
    <cellStyle name="ÄÞ¸¶_ ºñ¸ñº° ¿ùº°±â¼ú  23 10" xfId="10883"/>
    <cellStyle name="AÞ¸¶_ ºn¸nº° ¿uº°±a¼u  23 11" xfId="10884"/>
    <cellStyle name="ÄÞ¸¶_ ºñ¸ñº° ¿ùº°±â¼ú  23 11" xfId="10885"/>
    <cellStyle name="AÞ¸¶_ ºn¸nº° ¿uº°±a¼u  23 12" xfId="10886"/>
    <cellStyle name="ÄÞ¸¶_ ºñ¸ñº° ¿ùº°±â¼ú  23 12" xfId="10887"/>
    <cellStyle name="AÞ¸¶_ ºn¸nº° ¿uº°±a¼u  23 13" xfId="10888"/>
    <cellStyle name="ÄÞ¸¶_ ºñ¸ñº° ¿ùº°±â¼ú  23 13" xfId="10889"/>
    <cellStyle name="AÞ¸¶_ ºn¸nº° ¿uº°±a¼u  23 14" xfId="10890"/>
    <cellStyle name="ÄÞ¸¶_ ºñ¸ñº° ¿ùº°±â¼ú  23 14" xfId="10891"/>
    <cellStyle name="AÞ¸¶_ ºn¸nº° ¿uº°±a¼u  23 15" xfId="10892"/>
    <cellStyle name="ÄÞ¸¶_ ºñ¸ñº° ¿ùº°±â¼ú  23 15" xfId="10893"/>
    <cellStyle name="AÞ¸¶_ ºn¸nº° ¿uº°±a¼u  23 16" xfId="10894"/>
    <cellStyle name="ÄÞ¸¶_ ºñ¸ñº° ¿ùº°±â¼ú  23 16" xfId="10895"/>
    <cellStyle name="AÞ¸¶_ ºn¸nº° ¿uº°±a¼u  23 17" xfId="10896"/>
    <cellStyle name="ÄÞ¸¶_ ºñ¸ñº° ¿ùº°±â¼ú  23 17" xfId="10897"/>
    <cellStyle name="AÞ¸¶_ ºn¸nº° ¿uº°±a¼u  23 18" xfId="10898"/>
    <cellStyle name="ÄÞ¸¶_ ºñ¸ñº° ¿ùº°±â¼ú  23 18" xfId="10899"/>
    <cellStyle name="AÞ¸¶_ ºn¸nº° ¿uº°±a¼u  23 19" xfId="10900"/>
    <cellStyle name="ÄÞ¸¶_ ºñ¸ñº° ¿ùº°±â¼ú  23 19" xfId="10901"/>
    <cellStyle name="AÞ¸¶_ ºn¸nº° ¿uº°±a¼u  23 2" xfId="10902"/>
    <cellStyle name="ÄÞ¸¶_ ºñ¸ñº° ¿ùº°±â¼ú  23 2" xfId="10903"/>
    <cellStyle name="AÞ¸¶_ ºn¸nº° ¿uº°±a¼u  23 20" xfId="10904"/>
    <cellStyle name="ÄÞ¸¶_ ºñ¸ñº° ¿ùº°±â¼ú  23 20" xfId="10905"/>
    <cellStyle name="AÞ¸¶_ ºn¸nº° ¿uº°±a¼u  23 21" xfId="10906"/>
    <cellStyle name="ÄÞ¸¶_ ºñ¸ñº° ¿ùº°±â¼ú  23 21" xfId="10907"/>
    <cellStyle name="AÞ¸¶_ ºn¸nº° ¿uº°±a¼u  23 22" xfId="10908"/>
    <cellStyle name="ÄÞ¸¶_ ºñ¸ñº° ¿ùº°±â¼ú  23 22" xfId="10909"/>
    <cellStyle name="AÞ¸¶_ ºn¸nº° ¿uº°±a¼u  23 23" xfId="10910"/>
    <cellStyle name="ÄÞ¸¶_ ºñ¸ñº° ¿ùº°±â¼ú  23 23" xfId="10911"/>
    <cellStyle name="AÞ¸¶_ ºn¸nº° ¿uº°±a¼u  23 24" xfId="10912"/>
    <cellStyle name="ÄÞ¸¶_ ºñ¸ñº° ¿ùº°±â¼ú  23 24" xfId="10913"/>
    <cellStyle name="AÞ¸¶_ ºn¸nº° ¿uº°±a¼u  23 25" xfId="10914"/>
    <cellStyle name="ÄÞ¸¶_ ºñ¸ñº° ¿ùº°±â¼ú  23 25" xfId="10915"/>
    <cellStyle name="AÞ¸¶_ ºn¸nº° ¿uº°±a¼u  23 26" xfId="10916"/>
    <cellStyle name="ÄÞ¸¶_ ºñ¸ñº° ¿ùº°±â¼ú  23 26" xfId="10917"/>
    <cellStyle name="AÞ¸¶_ ºn¸nº° ¿uº°±a¼u  23 27" xfId="10918"/>
    <cellStyle name="ÄÞ¸¶_ ºñ¸ñº° ¿ùº°±â¼ú  23 27" xfId="10919"/>
    <cellStyle name="AÞ¸¶_ ºn¸nº° ¿uº°±a¼u  23 28" xfId="10920"/>
    <cellStyle name="ÄÞ¸¶_ ºñ¸ñº° ¿ùº°±â¼ú  23 28" xfId="10921"/>
    <cellStyle name="AÞ¸¶_ ºn¸nº° ¿uº°±a¼u  23 29" xfId="10922"/>
    <cellStyle name="ÄÞ¸¶_ ºñ¸ñº° ¿ùº°±â¼ú  23 29" xfId="10923"/>
    <cellStyle name="AÞ¸¶_ ºn¸nº° ¿uº°±a¼u  23 3" xfId="10924"/>
    <cellStyle name="ÄÞ¸¶_ ºñ¸ñº° ¿ùº°±â¼ú  23 3" xfId="10925"/>
    <cellStyle name="AÞ¸¶_ ºn¸nº° ¿uº°±a¼u  23 30" xfId="10926"/>
    <cellStyle name="ÄÞ¸¶_ ºñ¸ñº° ¿ùº°±â¼ú  23 30" xfId="10927"/>
    <cellStyle name="AÞ¸¶_ ºn¸nº° ¿uº°±a¼u  23 31" xfId="10928"/>
    <cellStyle name="ÄÞ¸¶_ ºñ¸ñº° ¿ùº°±â¼ú  23 31" xfId="10929"/>
    <cellStyle name="AÞ¸¶_ ºn¸nº° ¿uº°±a¼u  23 32" xfId="10930"/>
    <cellStyle name="ÄÞ¸¶_ ºñ¸ñº° ¿ùº°±â¼ú  23 32" xfId="10931"/>
    <cellStyle name="AÞ¸¶_ ºn¸nº° ¿uº°±a¼u  23 33" xfId="10932"/>
    <cellStyle name="ÄÞ¸¶_ ºñ¸ñº° ¿ùº°±â¼ú  23 33" xfId="10933"/>
    <cellStyle name="AÞ¸¶_ ºn¸nº° ¿uº°±a¼u  23 34" xfId="10934"/>
    <cellStyle name="ÄÞ¸¶_ ºñ¸ñº° ¿ùº°±â¼ú  23 34" xfId="10935"/>
    <cellStyle name="AÞ¸¶_ ºn¸nº° ¿uº°±a¼u  23 4" xfId="10936"/>
    <cellStyle name="ÄÞ¸¶_ ºñ¸ñº° ¿ùº°±â¼ú  23 4" xfId="10937"/>
    <cellStyle name="AÞ¸¶_ ºn¸nº° ¿uº°±a¼u  23 5" xfId="10938"/>
    <cellStyle name="ÄÞ¸¶_ ºñ¸ñº° ¿ùº°±â¼ú  23 5" xfId="10939"/>
    <cellStyle name="AÞ¸¶_ ºn¸nº° ¿uº°±a¼u  23 6" xfId="10940"/>
    <cellStyle name="ÄÞ¸¶_ ºñ¸ñº° ¿ùº°±â¼ú  23 6" xfId="10941"/>
    <cellStyle name="AÞ¸¶_ ºn¸nº° ¿uº°±a¼u  23 7" xfId="10942"/>
    <cellStyle name="ÄÞ¸¶_ ºñ¸ñº° ¿ùº°±â¼ú  23 7" xfId="10943"/>
    <cellStyle name="AÞ¸¶_ ºn¸nº° ¿uº°±a¼u  23 8" xfId="10944"/>
    <cellStyle name="ÄÞ¸¶_ ºñ¸ñº° ¿ùº°±â¼ú  23 8" xfId="10945"/>
    <cellStyle name="AÞ¸¶_ ºn¸nº° ¿uº°±a¼u  23 9" xfId="10946"/>
    <cellStyle name="ÄÞ¸¶_ ºñ¸ñº° ¿ùº°±â¼ú  23 9" xfId="10947"/>
    <cellStyle name="AÞ¸¶_ ºn¸nº° ¿uº°±a¼u  24" xfId="10948"/>
    <cellStyle name="ÄÞ¸¶_ ºñ¸ñº° ¿ùº°±â¼ú  24" xfId="10949"/>
    <cellStyle name="AÞ¸¶_ ºn¸nº° ¿uº°±a¼u  24 10" xfId="10950"/>
    <cellStyle name="ÄÞ¸¶_ ºñ¸ñº° ¿ùº°±â¼ú  24 10" xfId="10951"/>
    <cellStyle name="AÞ¸¶_ ºn¸nº° ¿uº°±a¼u  24 11" xfId="10952"/>
    <cellStyle name="ÄÞ¸¶_ ºñ¸ñº° ¿ùº°±â¼ú  24 11" xfId="10953"/>
    <cellStyle name="AÞ¸¶_ ºn¸nº° ¿uº°±a¼u  24 12" xfId="10954"/>
    <cellStyle name="ÄÞ¸¶_ ºñ¸ñº° ¿ùº°±â¼ú  24 12" xfId="10955"/>
    <cellStyle name="AÞ¸¶_ ºn¸nº° ¿uº°±a¼u  24 13" xfId="10956"/>
    <cellStyle name="ÄÞ¸¶_ ºñ¸ñº° ¿ùº°±â¼ú  24 13" xfId="10957"/>
    <cellStyle name="AÞ¸¶_ ºn¸nº° ¿uº°±a¼u  24 14" xfId="10958"/>
    <cellStyle name="ÄÞ¸¶_ ºñ¸ñº° ¿ùº°±â¼ú  24 14" xfId="10959"/>
    <cellStyle name="AÞ¸¶_ ºn¸nº° ¿uº°±a¼u  24 15" xfId="10960"/>
    <cellStyle name="ÄÞ¸¶_ ºñ¸ñº° ¿ùº°±â¼ú  24 15" xfId="10961"/>
    <cellStyle name="AÞ¸¶_ ºn¸nº° ¿uº°±a¼u  24 16" xfId="10962"/>
    <cellStyle name="ÄÞ¸¶_ ºñ¸ñº° ¿ùº°±â¼ú  24 16" xfId="10963"/>
    <cellStyle name="AÞ¸¶_ ºn¸nº° ¿uº°±a¼u  24 17" xfId="10964"/>
    <cellStyle name="ÄÞ¸¶_ ºñ¸ñº° ¿ùº°±â¼ú  24 17" xfId="10965"/>
    <cellStyle name="AÞ¸¶_ ºn¸nº° ¿uº°±a¼u  24 18" xfId="10966"/>
    <cellStyle name="ÄÞ¸¶_ ºñ¸ñº° ¿ùº°±â¼ú  24 18" xfId="10967"/>
    <cellStyle name="AÞ¸¶_ ºn¸nº° ¿uº°±a¼u  24 19" xfId="10968"/>
    <cellStyle name="ÄÞ¸¶_ ºñ¸ñº° ¿ùº°±â¼ú  24 19" xfId="10969"/>
    <cellStyle name="AÞ¸¶_ ºn¸nº° ¿uº°±a¼u  24 2" xfId="10970"/>
    <cellStyle name="ÄÞ¸¶_ ºñ¸ñº° ¿ùº°±â¼ú  24 2" xfId="10971"/>
    <cellStyle name="AÞ¸¶_ ºn¸nº° ¿uº°±a¼u  24 20" xfId="10972"/>
    <cellStyle name="ÄÞ¸¶_ ºñ¸ñº° ¿ùº°±â¼ú  24 20" xfId="10973"/>
    <cellStyle name="AÞ¸¶_ ºn¸nº° ¿uº°±a¼u  24 21" xfId="10974"/>
    <cellStyle name="ÄÞ¸¶_ ºñ¸ñº° ¿ùº°±â¼ú  24 21" xfId="10975"/>
    <cellStyle name="AÞ¸¶_ ºn¸nº° ¿uº°±a¼u  24 22" xfId="10976"/>
    <cellStyle name="ÄÞ¸¶_ ºñ¸ñº° ¿ùº°±â¼ú  24 22" xfId="10977"/>
    <cellStyle name="AÞ¸¶_ ºn¸nº° ¿uº°±a¼u  24 23" xfId="10978"/>
    <cellStyle name="ÄÞ¸¶_ ºñ¸ñº° ¿ùº°±â¼ú  24 23" xfId="10979"/>
    <cellStyle name="AÞ¸¶_ ºn¸nº° ¿uº°±a¼u  24 24" xfId="10980"/>
    <cellStyle name="ÄÞ¸¶_ ºñ¸ñº° ¿ùº°±â¼ú  24 24" xfId="10981"/>
    <cellStyle name="AÞ¸¶_ ºn¸nº° ¿uº°±a¼u  24 25" xfId="10982"/>
    <cellStyle name="ÄÞ¸¶_ ºñ¸ñº° ¿ùº°±â¼ú  24 25" xfId="10983"/>
    <cellStyle name="AÞ¸¶_ ºn¸nº° ¿uº°±a¼u  24 26" xfId="10984"/>
    <cellStyle name="ÄÞ¸¶_ ºñ¸ñº° ¿ùº°±â¼ú  24 26" xfId="10985"/>
    <cellStyle name="AÞ¸¶_ ºn¸nº° ¿uº°±a¼u  24 27" xfId="10986"/>
    <cellStyle name="ÄÞ¸¶_ ºñ¸ñº° ¿ùº°±â¼ú  24 27" xfId="10987"/>
    <cellStyle name="AÞ¸¶_ ºn¸nº° ¿uº°±a¼u  24 28" xfId="10988"/>
    <cellStyle name="ÄÞ¸¶_ ºñ¸ñº° ¿ùº°±â¼ú  24 28" xfId="10989"/>
    <cellStyle name="AÞ¸¶_ ºn¸nº° ¿uº°±a¼u  24 29" xfId="10990"/>
    <cellStyle name="ÄÞ¸¶_ ºñ¸ñº° ¿ùº°±â¼ú  24 29" xfId="10991"/>
    <cellStyle name="AÞ¸¶_ ºn¸nº° ¿uº°±a¼u  24 3" xfId="10992"/>
    <cellStyle name="ÄÞ¸¶_ ºñ¸ñº° ¿ùº°±â¼ú  24 3" xfId="10993"/>
    <cellStyle name="AÞ¸¶_ ºn¸nº° ¿uº°±a¼u  24 30" xfId="10994"/>
    <cellStyle name="ÄÞ¸¶_ ºñ¸ñº° ¿ùº°±â¼ú  24 30" xfId="10995"/>
    <cellStyle name="AÞ¸¶_ ºn¸nº° ¿uº°±a¼u  24 31" xfId="10996"/>
    <cellStyle name="ÄÞ¸¶_ ºñ¸ñº° ¿ùº°±â¼ú  24 31" xfId="10997"/>
    <cellStyle name="AÞ¸¶_ ºn¸nº° ¿uº°±a¼u  24 32" xfId="10998"/>
    <cellStyle name="ÄÞ¸¶_ ºñ¸ñº° ¿ùº°±â¼ú  24 32" xfId="10999"/>
    <cellStyle name="AÞ¸¶_ ºn¸nº° ¿uº°±a¼u  24 33" xfId="11000"/>
    <cellStyle name="ÄÞ¸¶_ ºñ¸ñº° ¿ùº°±â¼ú  24 33" xfId="11001"/>
    <cellStyle name="AÞ¸¶_ ºn¸nº° ¿uº°±a¼u  24 34" xfId="11002"/>
    <cellStyle name="ÄÞ¸¶_ ºñ¸ñº° ¿ùº°±â¼ú  24 34" xfId="11003"/>
    <cellStyle name="AÞ¸¶_ ºn¸nº° ¿uº°±a¼u  24 4" xfId="11004"/>
    <cellStyle name="ÄÞ¸¶_ ºñ¸ñº° ¿ùº°±â¼ú  24 4" xfId="11005"/>
    <cellStyle name="AÞ¸¶_ ºn¸nº° ¿uº°±a¼u  24 5" xfId="11006"/>
    <cellStyle name="ÄÞ¸¶_ ºñ¸ñº° ¿ùº°±â¼ú  24 5" xfId="11007"/>
    <cellStyle name="AÞ¸¶_ ºn¸nº° ¿uº°±a¼u  24 6" xfId="11008"/>
    <cellStyle name="ÄÞ¸¶_ ºñ¸ñº° ¿ùº°±â¼ú  24 6" xfId="11009"/>
    <cellStyle name="AÞ¸¶_ ºn¸nº° ¿uº°±a¼u  24 7" xfId="11010"/>
    <cellStyle name="ÄÞ¸¶_ ºñ¸ñº° ¿ùº°±â¼ú  24 7" xfId="11011"/>
    <cellStyle name="AÞ¸¶_ ºn¸nº° ¿uº°±a¼u  24 8" xfId="11012"/>
    <cellStyle name="ÄÞ¸¶_ ºñ¸ñº° ¿ùº°±â¼ú  24 8" xfId="11013"/>
    <cellStyle name="AÞ¸¶_ ºn¸nº° ¿uº°±a¼u  24 9" xfId="11014"/>
    <cellStyle name="ÄÞ¸¶_ ºñ¸ñº° ¿ùº°±â¼ú  24 9" xfId="11015"/>
    <cellStyle name="AÞ¸¶_ ºn¸nº° ¿uº°±a¼u  25" xfId="11016"/>
    <cellStyle name="ÄÞ¸¶_ ºñ¸ñº° ¿ùº°±â¼ú  25" xfId="11017"/>
    <cellStyle name="AÞ¸¶_ ºn¸nº° ¿uº°±a¼u  25 10" xfId="11018"/>
    <cellStyle name="ÄÞ¸¶_ ºñ¸ñº° ¿ùº°±â¼ú  25 10" xfId="11019"/>
    <cellStyle name="AÞ¸¶_ ºn¸nº° ¿uº°±a¼u  25 11" xfId="11020"/>
    <cellStyle name="ÄÞ¸¶_ ºñ¸ñº° ¿ùº°±â¼ú  25 11" xfId="11021"/>
    <cellStyle name="AÞ¸¶_ ºn¸nº° ¿uº°±a¼u  25 12" xfId="11022"/>
    <cellStyle name="ÄÞ¸¶_ ºñ¸ñº° ¿ùº°±â¼ú  25 12" xfId="11023"/>
    <cellStyle name="AÞ¸¶_ ºn¸nº° ¿uº°±a¼u  25 13" xfId="11024"/>
    <cellStyle name="ÄÞ¸¶_ ºñ¸ñº° ¿ùº°±â¼ú  25 13" xfId="11025"/>
    <cellStyle name="AÞ¸¶_ ºn¸nº° ¿uº°±a¼u  25 14" xfId="11026"/>
    <cellStyle name="ÄÞ¸¶_ ºñ¸ñº° ¿ùº°±â¼ú  25 14" xfId="11027"/>
    <cellStyle name="AÞ¸¶_ ºn¸nº° ¿uº°±a¼u  25 15" xfId="11028"/>
    <cellStyle name="ÄÞ¸¶_ ºñ¸ñº° ¿ùº°±â¼ú  25 15" xfId="11029"/>
    <cellStyle name="AÞ¸¶_ ºn¸nº° ¿uº°±a¼u  25 16" xfId="11030"/>
    <cellStyle name="ÄÞ¸¶_ ºñ¸ñº° ¿ùº°±â¼ú  25 16" xfId="11031"/>
    <cellStyle name="AÞ¸¶_ ºn¸nº° ¿uº°±a¼u  25 17" xfId="11032"/>
    <cellStyle name="ÄÞ¸¶_ ºñ¸ñº° ¿ùº°±â¼ú  25 17" xfId="11033"/>
    <cellStyle name="AÞ¸¶_ ºn¸nº° ¿uº°±a¼u  25 18" xfId="11034"/>
    <cellStyle name="ÄÞ¸¶_ ºñ¸ñº° ¿ùº°±â¼ú  25 18" xfId="11035"/>
    <cellStyle name="AÞ¸¶_ ºn¸nº° ¿uº°±a¼u  25 19" xfId="11036"/>
    <cellStyle name="ÄÞ¸¶_ ºñ¸ñº° ¿ùº°±â¼ú  25 19" xfId="11037"/>
    <cellStyle name="AÞ¸¶_ ºn¸nº° ¿uº°±a¼u  25 2" xfId="11038"/>
    <cellStyle name="ÄÞ¸¶_ ºñ¸ñº° ¿ùº°±â¼ú  25 2" xfId="11039"/>
    <cellStyle name="AÞ¸¶_ ºn¸nº° ¿uº°±a¼u  25 20" xfId="11040"/>
    <cellStyle name="ÄÞ¸¶_ ºñ¸ñº° ¿ùº°±â¼ú  25 20" xfId="11041"/>
    <cellStyle name="AÞ¸¶_ ºn¸nº° ¿uº°±a¼u  25 21" xfId="11042"/>
    <cellStyle name="ÄÞ¸¶_ ºñ¸ñº° ¿ùº°±â¼ú  25 21" xfId="11043"/>
    <cellStyle name="AÞ¸¶_ ºn¸nº° ¿uº°±a¼u  25 22" xfId="11044"/>
    <cellStyle name="ÄÞ¸¶_ ºñ¸ñº° ¿ùº°±â¼ú  25 22" xfId="11045"/>
    <cellStyle name="AÞ¸¶_ ºn¸nº° ¿uº°±a¼u  25 23" xfId="11046"/>
    <cellStyle name="ÄÞ¸¶_ ºñ¸ñº° ¿ùº°±â¼ú  25 23" xfId="11047"/>
    <cellStyle name="AÞ¸¶_ ºn¸nº° ¿uº°±a¼u  25 24" xfId="11048"/>
    <cellStyle name="ÄÞ¸¶_ ºñ¸ñº° ¿ùº°±â¼ú  25 24" xfId="11049"/>
    <cellStyle name="AÞ¸¶_ ºn¸nº° ¿uº°±a¼u  25 25" xfId="11050"/>
    <cellStyle name="ÄÞ¸¶_ ºñ¸ñº° ¿ùº°±â¼ú  25 25" xfId="11051"/>
    <cellStyle name="AÞ¸¶_ ºn¸nº° ¿uº°±a¼u  25 26" xfId="11052"/>
    <cellStyle name="ÄÞ¸¶_ ºñ¸ñº° ¿ùº°±â¼ú  25 26" xfId="11053"/>
    <cellStyle name="AÞ¸¶_ ºn¸nº° ¿uº°±a¼u  25 27" xfId="11054"/>
    <cellStyle name="ÄÞ¸¶_ ºñ¸ñº° ¿ùº°±â¼ú  25 27" xfId="11055"/>
    <cellStyle name="AÞ¸¶_ ºn¸nº° ¿uº°±a¼u  25 28" xfId="11056"/>
    <cellStyle name="ÄÞ¸¶_ ºñ¸ñº° ¿ùº°±â¼ú  25 28" xfId="11057"/>
    <cellStyle name="AÞ¸¶_ ºn¸nº° ¿uº°±a¼u  25 29" xfId="11058"/>
    <cellStyle name="ÄÞ¸¶_ ºñ¸ñº° ¿ùº°±â¼ú  25 29" xfId="11059"/>
    <cellStyle name="AÞ¸¶_ ºn¸nº° ¿uº°±a¼u  25 3" xfId="11060"/>
    <cellStyle name="ÄÞ¸¶_ ºñ¸ñº° ¿ùº°±â¼ú  25 3" xfId="11061"/>
    <cellStyle name="AÞ¸¶_ ºn¸nº° ¿uº°±a¼u  25 30" xfId="11062"/>
    <cellStyle name="ÄÞ¸¶_ ºñ¸ñº° ¿ùº°±â¼ú  25 30" xfId="11063"/>
    <cellStyle name="AÞ¸¶_ ºn¸nº° ¿uº°±a¼u  25 31" xfId="11064"/>
    <cellStyle name="ÄÞ¸¶_ ºñ¸ñº° ¿ùº°±â¼ú  25 31" xfId="11065"/>
    <cellStyle name="AÞ¸¶_ ºn¸nº° ¿uº°±a¼u  25 32" xfId="11066"/>
    <cellStyle name="ÄÞ¸¶_ ºñ¸ñº° ¿ùº°±â¼ú  25 32" xfId="11067"/>
    <cellStyle name="AÞ¸¶_ ºn¸nº° ¿uº°±a¼u  25 33" xfId="11068"/>
    <cellStyle name="ÄÞ¸¶_ ºñ¸ñº° ¿ùº°±â¼ú  25 33" xfId="11069"/>
    <cellStyle name="AÞ¸¶_ ºn¸nº° ¿uº°±a¼u  25 34" xfId="11070"/>
    <cellStyle name="ÄÞ¸¶_ ºñ¸ñº° ¿ùº°±â¼ú  25 34" xfId="11071"/>
    <cellStyle name="AÞ¸¶_ ºn¸nº° ¿uº°±a¼u  25 4" xfId="11072"/>
    <cellStyle name="ÄÞ¸¶_ ºñ¸ñº° ¿ùº°±â¼ú  25 4" xfId="11073"/>
    <cellStyle name="AÞ¸¶_ ºn¸nº° ¿uº°±a¼u  25 5" xfId="11074"/>
    <cellStyle name="ÄÞ¸¶_ ºñ¸ñº° ¿ùº°±â¼ú  25 5" xfId="11075"/>
    <cellStyle name="AÞ¸¶_ ºn¸nº° ¿uº°±a¼u  25 6" xfId="11076"/>
    <cellStyle name="ÄÞ¸¶_ ºñ¸ñº° ¿ùº°±â¼ú  25 6" xfId="11077"/>
    <cellStyle name="AÞ¸¶_ ºn¸nº° ¿uº°±a¼u  25 7" xfId="11078"/>
    <cellStyle name="ÄÞ¸¶_ ºñ¸ñº° ¿ùº°±â¼ú  25 7" xfId="11079"/>
    <cellStyle name="AÞ¸¶_ ºn¸nº° ¿uº°±a¼u  25 8" xfId="11080"/>
    <cellStyle name="ÄÞ¸¶_ ºñ¸ñº° ¿ùº°±â¼ú  25 8" xfId="11081"/>
    <cellStyle name="AÞ¸¶_ ºn¸nº° ¿uº°±a¼u  25 9" xfId="11082"/>
    <cellStyle name="ÄÞ¸¶_ ºñ¸ñº° ¿ùº°±â¼ú  25 9" xfId="11083"/>
    <cellStyle name="AÞ¸¶_ ºn¸nº° ¿uº°±a¼u  26" xfId="11084"/>
    <cellStyle name="ÄÞ¸¶_ ºñ¸ñº° ¿ùº°±â¼ú  26" xfId="11085"/>
    <cellStyle name="AÞ¸¶_ ºn¸nº° ¿uº°±a¼u  26 10" xfId="11086"/>
    <cellStyle name="ÄÞ¸¶_ ºñ¸ñº° ¿ùº°±â¼ú  26 10" xfId="11087"/>
    <cellStyle name="AÞ¸¶_ ºn¸nº° ¿uº°±a¼u  26 11" xfId="11088"/>
    <cellStyle name="ÄÞ¸¶_ ºñ¸ñº° ¿ùº°±â¼ú  26 11" xfId="11089"/>
    <cellStyle name="AÞ¸¶_ ºn¸nº° ¿uº°±a¼u  26 12" xfId="11090"/>
    <cellStyle name="ÄÞ¸¶_ ºñ¸ñº° ¿ùº°±â¼ú  26 12" xfId="11091"/>
    <cellStyle name="AÞ¸¶_ ºn¸nº° ¿uº°±a¼u  26 13" xfId="11092"/>
    <cellStyle name="ÄÞ¸¶_ ºñ¸ñº° ¿ùº°±â¼ú  26 13" xfId="11093"/>
    <cellStyle name="AÞ¸¶_ ºn¸nº° ¿uº°±a¼u  26 14" xfId="11094"/>
    <cellStyle name="ÄÞ¸¶_ ºñ¸ñº° ¿ùº°±â¼ú  26 14" xfId="11095"/>
    <cellStyle name="AÞ¸¶_ ºn¸nº° ¿uº°±a¼u  26 15" xfId="11096"/>
    <cellStyle name="ÄÞ¸¶_ ºñ¸ñº° ¿ùº°±â¼ú  26 15" xfId="11097"/>
    <cellStyle name="AÞ¸¶_ ºn¸nº° ¿uº°±a¼u  26 16" xfId="11098"/>
    <cellStyle name="ÄÞ¸¶_ ºñ¸ñº° ¿ùº°±â¼ú  26 16" xfId="11099"/>
    <cellStyle name="AÞ¸¶_ ºn¸nº° ¿uº°±a¼u  26 17" xfId="11100"/>
    <cellStyle name="ÄÞ¸¶_ ºñ¸ñº° ¿ùº°±â¼ú  26 17" xfId="11101"/>
    <cellStyle name="AÞ¸¶_ ºn¸nº° ¿uº°±a¼u  26 18" xfId="11102"/>
    <cellStyle name="ÄÞ¸¶_ ºñ¸ñº° ¿ùº°±â¼ú  26 18" xfId="11103"/>
    <cellStyle name="AÞ¸¶_ ºn¸nº° ¿uº°±a¼u  26 19" xfId="11104"/>
    <cellStyle name="ÄÞ¸¶_ ºñ¸ñº° ¿ùº°±â¼ú  26 19" xfId="11105"/>
    <cellStyle name="AÞ¸¶_ ºn¸nº° ¿uº°±a¼u  26 2" xfId="11106"/>
    <cellStyle name="ÄÞ¸¶_ ºñ¸ñº° ¿ùº°±â¼ú  26 2" xfId="11107"/>
    <cellStyle name="AÞ¸¶_ ºn¸nº° ¿uº°±a¼u  26 20" xfId="11108"/>
    <cellStyle name="ÄÞ¸¶_ ºñ¸ñº° ¿ùº°±â¼ú  26 20" xfId="11109"/>
    <cellStyle name="AÞ¸¶_ ºn¸nº° ¿uº°±a¼u  26 21" xfId="11110"/>
    <cellStyle name="ÄÞ¸¶_ ºñ¸ñº° ¿ùº°±â¼ú  26 21" xfId="11111"/>
    <cellStyle name="AÞ¸¶_ ºn¸nº° ¿uº°±a¼u  26 22" xfId="11112"/>
    <cellStyle name="ÄÞ¸¶_ ºñ¸ñº° ¿ùº°±â¼ú  26 22" xfId="11113"/>
    <cellStyle name="AÞ¸¶_ ºn¸nº° ¿uº°±a¼u  26 23" xfId="11114"/>
    <cellStyle name="ÄÞ¸¶_ ºñ¸ñº° ¿ùº°±â¼ú  26 23" xfId="11115"/>
    <cellStyle name="AÞ¸¶_ ºn¸nº° ¿uº°±a¼u  26 24" xfId="11116"/>
    <cellStyle name="ÄÞ¸¶_ ºñ¸ñº° ¿ùº°±â¼ú  26 24" xfId="11117"/>
    <cellStyle name="AÞ¸¶_ ºn¸nº° ¿uº°±a¼u  26 25" xfId="11118"/>
    <cellStyle name="ÄÞ¸¶_ ºñ¸ñº° ¿ùº°±â¼ú  26 25" xfId="11119"/>
    <cellStyle name="AÞ¸¶_ ºn¸nº° ¿uº°±a¼u  26 26" xfId="11120"/>
    <cellStyle name="ÄÞ¸¶_ ºñ¸ñº° ¿ùº°±â¼ú  26 26" xfId="11121"/>
    <cellStyle name="AÞ¸¶_ ºn¸nº° ¿uº°±a¼u  26 27" xfId="11122"/>
    <cellStyle name="ÄÞ¸¶_ ºñ¸ñº° ¿ùº°±â¼ú  26 27" xfId="11123"/>
    <cellStyle name="AÞ¸¶_ ºn¸nº° ¿uº°±a¼u  26 28" xfId="11124"/>
    <cellStyle name="ÄÞ¸¶_ ºñ¸ñº° ¿ùº°±â¼ú  26 28" xfId="11125"/>
    <cellStyle name="AÞ¸¶_ ºn¸nº° ¿uº°±a¼u  26 29" xfId="11126"/>
    <cellStyle name="ÄÞ¸¶_ ºñ¸ñº° ¿ùº°±â¼ú  26 29" xfId="11127"/>
    <cellStyle name="AÞ¸¶_ ºn¸nº° ¿uº°±a¼u  26 3" xfId="11128"/>
    <cellStyle name="ÄÞ¸¶_ ºñ¸ñº° ¿ùº°±â¼ú  26 3" xfId="11129"/>
    <cellStyle name="AÞ¸¶_ ºn¸nº° ¿uº°±a¼u  26 30" xfId="11130"/>
    <cellStyle name="ÄÞ¸¶_ ºñ¸ñº° ¿ùº°±â¼ú  26 30" xfId="11131"/>
    <cellStyle name="AÞ¸¶_ ºn¸nº° ¿uº°±a¼u  26 31" xfId="11132"/>
    <cellStyle name="ÄÞ¸¶_ ºñ¸ñº° ¿ùº°±â¼ú  26 31" xfId="11133"/>
    <cellStyle name="AÞ¸¶_ ºn¸nº° ¿uº°±a¼u  26 32" xfId="11134"/>
    <cellStyle name="ÄÞ¸¶_ ºñ¸ñº° ¿ùº°±â¼ú  26 32" xfId="11135"/>
    <cellStyle name="AÞ¸¶_ ºn¸nº° ¿uº°±a¼u  26 33" xfId="11136"/>
    <cellStyle name="ÄÞ¸¶_ ºñ¸ñº° ¿ùº°±â¼ú  26 33" xfId="11137"/>
    <cellStyle name="AÞ¸¶_ ºn¸nº° ¿uº°±a¼u  26 34" xfId="11138"/>
    <cellStyle name="ÄÞ¸¶_ ºñ¸ñº° ¿ùº°±â¼ú  26 34" xfId="11139"/>
    <cellStyle name="AÞ¸¶_ ºn¸nº° ¿uº°±a¼u  26 4" xfId="11140"/>
    <cellStyle name="ÄÞ¸¶_ ºñ¸ñº° ¿ùº°±â¼ú  26 4" xfId="11141"/>
    <cellStyle name="AÞ¸¶_ ºn¸nº° ¿uº°±a¼u  26 5" xfId="11142"/>
    <cellStyle name="ÄÞ¸¶_ ºñ¸ñº° ¿ùº°±â¼ú  26 5" xfId="11143"/>
    <cellStyle name="AÞ¸¶_ ºn¸nº° ¿uº°±a¼u  26 6" xfId="11144"/>
    <cellStyle name="ÄÞ¸¶_ ºñ¸ñº° ¿ùº°±â¼ú  26 6" xfId="11145"/>
    <cellStyle name="AÞ¸¶_ ºn¸nº° ¿uº°±a¼u  26 7" xfId="11146"/>
    <cellStyle name="ÄÞ¸¶_ ºñ¸ñº° ¿ùº°±â¼ú  26 7" xfId="11147"/>
    <cellStyle name="AÞ¸¶_ ºn¸nº° ¿uº°±a¼u  26 8" xfId="11148"/>
    <cellStyle name="ÄÞ¸¶_ ºñ¸ñº° ¿ùº°±â¼ú  26 8" xfId="11149"/>
    <cellStyle name="AÞ¸¶_ ºn¸nº° ¿uº°±a¼u  26 9" xfId="11150"/>
    <cellStyle name="ÄÞ¸¶_ ºñ¸ñº° ¿ùº°±â¼ú  26 9" xfId="11151"/>
    <cellStyle name="AÞ¸¶_ ºn¸nº° ¿uº°±a¼u  27" xfId="11152"/>
    <cellStyle name="ÄÞ¸¶_ ºñ¸ñº° ¿ùº°±â¼ú  27" xfId="11153"/>
    <cellStyle name="AÞ¸¶_ ºn¸nº° ¿uº°±a¼u  27 10" xfId="11154"/>
    <cellStyle name="ÄÞ¸¶_ ºñ¸ñº° ¿ùº°±â¼ú  27 10" xfId="11155"/>
    <cellStyle name="AÞ¸¶_ ºn¸nº° ¿uº°±a¼u  27 11" xfId="11156"/>
    <cellStyle name="ÄÞ¸¶_ ºñ¸ñº° ¿ùº°±â¼ú  27 11" xfId="11157"/>
    <cellStyle name="AÞ¸¶_ ºn¸nº° ¿uº°±a¼u  27 12" xfId="11158"/>
    <cellStyle name="ÄÞ¸¶_ ºñ¸ñº° ¿ùº°±â¼ú  27 12" xfId="11159"/>
    <cellStyle name="AÞ¸¶_ ºn¸nº° ¿uº°±a¼u  27 13" xfId="11160"/>
    <cellStyle name="ÄÞ¸¶_ ºñ¸ñº° ¿ùº°±â¼ú  27 13" xfId="11161"/>
    <cellStyle name="AÞ¸¶_ ºn¸nº° ¿uº°±a¼u  27 14" xfId="11162"/>
    <cellStyle name="ÄÞ¸¶_ ºñ¸ñº° ¿ùº°±â¼ú  27 14" xfId="11163"/>
    <cellStyle name="AÞ¸¶_ ºn¸nº° ¿uº°±a¼u  27 15" xfId="11164"/>
    <cellStyle name="ÄÞ¸¶_ ºñ¸ñº° ¿ùº°±â¼ú  27 15" xfId="11165"/>
    <cellStyle name="AÞ¸¶_ ºn¸nº° ¿uº°±a¼u  27 16" xfId="11166"/>
    <cellStyle name="ÄÞ¸¶_ ºñ¸ñº° ¿ùº°±â¼ú  27 16" xfId="11167"/>
    <cellStyle name="AÞ¸¶_ ºn¸nº° ¿uº°±a¼u  27 17" xfId="11168"/>
    <cellStyle name="ÄÞ¸¶_ ºñ¸ñº° ¿ùº°±â¼ú  27 17" xfId="11169"/>
    <cellStyle name="AÞ¸¶_ ºn¸nº° ¿uº°±a¼u  27 18" xfId="11170"/>
    <cellStyle name="ÄÞ¸¶_ ºñ¸ñº° ¿ùº°±â¼ú  27 18" xfId="11171"/>
    <cellStyle name="AÞ¸¶_ ºn¸nº° ¿uº°±a¼u  27 19" xfId="11172"/>
    <cellStyle name="ÄÞ¸¶_ ºñ¸ñº° ¿ùº°±â¼ú  27 19" xfId="11173"/>
    <cellStyle name="AÞ¸¶_ ºn¸nº° ¿uº°±a¼u  27 2" xfId="11174"/>
    <cellStyle name="ÄÞ¸¶_ ºñ¸ñº° ¿ùº°±â¼ú  27 2" xfId="11175"/>
    <cellStyle name="AÞ¸¶_ ºn¸nº° ¿uº°±a¼u  27 20" xfId="11176"/>
    <cellStyle name="ÄÞ¸¶_ ºñ¸ñº° ¿ùº°±â¼ú  27 20" xfId="11177"/>
    <cellStyle name="AÞ¸¶_ ºn¸nº° ¿uº°±a¼u  27 21" xfId="11178"/>
    <cellStyle name="ÄÞ¸¶_ ºñ¸ñº° ¿ùº°±â¼ú  27 21" xfId="11179"/>
    <cellStyle name="AÞ¸¶_ ºn¸nº° ¿uº°±a¼u  27 22" xfId="11180"/>
    <cellStyle name="ÄÞ¸¶_ ºñ¸ñº° ¿ùº°±â¼ú  27 22" xfId="11181"/>
    <cellStyle name="AÞ¸¶_ ºn¸nº° ¿uº°±a¼u  27 23" xfId="11182"/>
    <cellStyle name="ÄÞ¸¶_ ºñ¸ñº° ¿ùº°±â¼ú  27 23" xfId="11183"/>
    <cellStyle name="AÞ¸¶_ ºn¸nº° ¿uº°±a¼u  27 24" xfId="11184"/>
    <cellStyle name="ÄÞ¸¶_ ºñ¸ñº° ¿ùº°±â¼ú  27 24" xfId="11185"/>
    <cellStyle name="AÞ¸¶_ ºn¸nº° ¿uº°±a¼u  27 25" xfId="11186"/>
    <cellStyle name="ÄÞ¸¶_ ºñ¸ñº° ¿ùº°±â¼ú  27 25" xfId="11187"/>
    <cellStyle name="AÞ¸¶_ ºn¸nº° ¿uº°±a¼u  27 26" xfId="11188"/>
    <cellStyle name="ÄÞ¸¶_ ºñ¸ñº° ¿ùº°±â¼ú  27 26" xfId="11189"/>
    <cellStyle name="AÞ¸¶_ ºn¸nº° ¿uº°±a¼u  27 27" xfId="11190"/>
    <cellStyle name="ÄÞ¸¶_ ºñ¸ñº° ¿ùº°±â¼ú  27 27" xfId="11191"/>
    <cellStyle name="AÞ¸¶_ ºn¸nº° ¿uº°±a¼u  27 28" xfId="11192"/>
    <cellStyle name="ÄÞ¸¶_ ºñ¸ñº° ¿ùº°±â¼ú  27 28" xfId="11193"/>
    <cellStyle name="AÞ¸¶_ ºn¸nº° ¿uº°±a¼u  27 29" xfId="11194"/>
    <cellStyle name="ÄÞ¸¶_ ºñ¸ñº° ¿ùº°±â¼ú  27 29" xfId="11195"/>
    <cellStyle name="AÞ¸¶_ ºn¸nº° ¿uº°±a¼u  27 3" xfId="11196"/>
    <cellStyle name="ÄÞ¸¶_ ºñ¸ñº° ¿ùº°±â¼ú  27 3" xfId="11197"/>
    <cellStyle name="AÞ¸¶_ ºn¸nº° ¿uº°±a¼u  27 30" xfId="11198"/>
    <cellStyle name="ÄÞ¸¶_ ºñ¸ñº° ¿ùº°±â¼ú  27 30" xfId="11199"/>
    <cellStyle name="AÞ¸¶_ ºn¸nº° ¿uº°±a¼u  27 31" xfId="11200"/>
    <cellStyle name="ÄÞ¸¶_ ºñ¸ñº° ¿ùº°±â¼ú  27 31" xfId="11201"/>
    <cellStyle name="AÞ¸¶_ ºn¸nº° ¿uº°±a¼u  27 32" xfId="11202"/>
    <cellStyle name="ÄÞ¸¶_ ºñ¸ñº° ¿ùº°±â¼ú  27 32" xfId="11203"/>
    <cellStyle name="AÞ¸¶_ ºn¸nº° ¿uº°±a¼u  27 33" xfId="11204"/>
    <cellStyle name="ÄÞ¸¶_ ºñ¸ñº° ¿ùº°±â¼ú  27 33" xfId="11205"/>
    <cellStyle name="AÞ¸¶_ ºn¸nº° ¿uº°±a¼u  27 34" xfId="11206"/>
    <cellStyle name="ÄÞ¸¶_ ºñ¸ñº° ¿ùº°±â¼ú  27 34" xfId="11207"/>
    <cellStyle name="AÞ¸¶_ ºn¸nº° ¿uº°±a¼u  27 4" xfId="11208"/>
    <cellStyle name="ÄÞ¸¶_ ºñ¸ñº° ¿ùº°±â¼ú  27 4" xfId="11209"/>
    <cellStyle name="AÞ¸¶_ ºn¸nº° ¿uº°±a¼u  27 5" xfId="11210"/>
    <cellStyle name="ÄÞ¸¶_ ºñ¸ñº° ¿ùº°±â¼ú  27 5" xfId="11211"/>
    <cellStyle name="AÞ¸¶_ ºn¸nº° ¿uº°±a¼u  27 6" xfId="11212"/>
    <cellStyle name="ÄÞ¸¶_ ºñ¸ñº° ¿ùº°±â¼ú  27 6" xfId="11213"/>
    <cellStyle name="AÞ¸¶_ ºn¸nº° ¿uº°±a¼u  27 7" xfId="11214"/>
    <cellStyle name="ÄÞ¸¶_ ºñ¸ñº° ¿ùº°±â¼ú  27 7" xfId="11215"/>
    <cellStyle name="AÞ¸¶_ ºn¸nº° ¿uº°±a¼u  27 8" xfId="11216"/>
    <cellStyle name="ÄÞ¸¶_ ºñ¸ñº° ¿ùº°±â¼ú  27 8" xfId="11217"/>
    <cellStyle name="AÞ¸¶_ ºn¸nº° ¿uº°±a¼u  27 9" xfId="11218"/>
    <cellStyle name="ÄÞ¸¶_ ºñ¸ñº° ¿ùº°±â¼ú  27 9" xfId="11219"/>
    <cellStyle name="AÞ¸¶_ ºn¸nº° ¿uº°±a¼u  28" xfId="11220"/>
    <cellStyle name="ÄÞ¸¶_ ºñ¸ñº° ¿ùº°±â¼ú  28" xfId="11221"/>
    <cellStyle name="AÞ¸¶_ ºn¸nº° ¿uº°±a¼u  28 10" xfId="11222"/>
    <cellStyle name="ÄÞ¸¶_ ºñ¸ñº° ¿ùº°±â¼ú  28 10" xfId="11223"/>
    <cellStyle name="AÞ¸¶_ ºn¸nº° ¿uº°±a¼u  28 11" xfId="11224"/>
    <cellStyle name="ÄÞ¸¶_ ºñ¸ñº° ¿ùº°±â¼ú  28 11" xfId="11225"/>
    <cellStyle name="AÞ¸¶_ ºn¸nº° ¿uº°±a¼u  28 12" xfId="11226"/>
    <cellStyle name="ÄÞ¸¶_ ºñ¸ñº° ¿ùº°±â¼ú  28 12" xfId="11227"/>
    <cellStyle name="AÞ¸¶_ ºn¸nº° ¿uº°±a¼u  28 13" xfId="11228"/>
    <cellStyle name="ÄÞ¸¶_ ºñ¸ñº° ¿ùº°±â¼ú  28 13" xfId="11229"/>
    <cellStyle name="AÞ¸¶_ ºn¸nº° ¿uº°±a¼u  28 14" xfId="11230"/>
    <cellStyle name="ÄÞ¸¶_ ºñ¸ñº° ¿ùº°±â¼ú  28 14" xfId="11231"/>
    <cellStyle name="AÞ¸¶_ ºn¸nº° ¿uº°±a¼u  28 15" xfId="11232"/>
    <cellStyle name="ÄÞ¸¶_ ºñ¸ñº° ¿ùº°±â¼ú  28 15" xfId="11233"/>
    <cellStyle name="AÞ¸¶_ ºn¸nº° ¿uº°±a¼u  28 16" xfId="11234"/>
    <cellStyle name="ÄÞ¸¶_ ºñ¸ñº° ¿ùº°±â¼ú  28 16" xfId="11235"/>
    <cellStyle name="AÞ¸¶_ ºn¸nº° ¿uº°±a¼u  28 17" xfId="11236"/>
    <cellStyle name="ÄÞ¸¶_ ºñ¸ñº° ¿ùº°±â¼ú  28 17" xfId="11237"/>
    <cellStyle name="AÞ¸¶_ ºn¸nº° ¿uº°±a¼u  28 18" xfId="11238"/>
    <cellStyle name="ÄÞ¸¶_ ºñ¸ñº° ¿ùº°±â¼ú  28 18" xfId="11239"/>
    <cellStyle name="AÞ¸¶_ ºn¸nº° ¿uº°±a¼u  28 19" xfId="11240"/>
    <cellStyle name="ÄÞ¸¶_ ºñ¸ñº° ¿ùº°±â¼ú  28 19" xfId="11241"/>
    <cellStyle name="AÞ¸¶_ ºn¸nº° ¿uº°±a¼u  28 2" xfId="11242"/>
    <cellStyle name="ÄÞ¸¶_ ºñ¸ñº° ¿ùº°±â¼ú  28 2" xfId="11243"/>
    <cellStyle name="AÞ¸¶_ ºn¸nº° ¿uº°±a¼u  28 20" xfId="11244"/>
    <cellStyle name="ÄÞ¸¶_ ºñ¸ñº° ¿ùº°±â¼ú  28 20" xfId="11245"/>
    <cellStyle name="AÞ¸¶_ ºn¸nº° ¿uº°±a¼u  28 21" xfId="11246"/>
    <cellStyle name="ÄÞ¸¶_ ºñ¸ñº° ¿ùº°±â¼ú  28 21" xfId="11247"/>
    <cellStyle name="AÞ¸¶_ ºn¸nº° ¿uº°±a¼u  28 22" xfId="11248"/>
    <cellStyle name="ÄÞ¸¶_ ºñ¸ñº° ¿ùº°±â¼ú  28 22" xfId="11249"/>
    <cellStyle name="AÞ¸¶_ ºn¸nº° ¿uº°±a¼u  28 23" xfId="11250"/>
    <cellStyle name="ÄÞ¸¶_ ºñ¸ñº° ¿ùº°±â¼ú  28 23" xfId="11251"/>
    <cellStyle name="AÞ¸¶_ ºn¸nº° ¿uº°±a¼u  28 24" xfId="11252"/>
    <cellStyle name="ÄÞ¸¶_ ºñ¸ñº° ¿ùº°±â¼ú  28 24" xfId="11253"/>
    <cellStyle name="AÞ¸¶_ ºn¸nº° ¿uº°±a¼u  28 25" xfId="11254"/>
    <cellStyle name="ÄÞ¸¶_ ºñ¸ñº° ¿ùº°±â¼ú  28 25" xfId="11255"/>
    <cellStyle name="AÞ¸¶_ ºn¸nº° ¿uº°±a¼u  28 26" xfId="11256"/>
    <cellStyle name="ÄÞ¸¶_ ºñ¸ñº° ¿ùº°±â¼ú  28 26" xfId="11257"/>
    <cellStyle name="AÞ¸¶_ ºn¸nº° ¿uº°±a¼u  28 27" xfId="11258"/>
    <cellStyle name="ÄÞ¸¶_ ºñ¸ñº° ¿ùº°±â¼ú  28 27" xfId="11259"/>
    <cellStyle name="AÞ¸¶_ ºn¸nº° ¿uº°±a¼u  28 28" xfId="11260"/>
    <cellStyle name="ÄÞ¸¶_ ºñ¸ñº° ¿ùº°±â¼ú  28 28" xfId="11261"/>
    <cellStyle name="AÞ¸¶_ ºn¸nº° ¿uº°±a¼u  28 29" xfId="11262"/>
    <cellStyle name="ÄÞ¸¶_ ºñ¸ñº° ¿ùº°±â¼ú  28 29" xfId="11263"/>
    <cellStyle name="AÞ¸¶_ ºn¸nº° ¿uº°±a¼u  28 3" xfId="11264"/>
    <cellStyle name="ÄÞ¸¶_ ºñ¸ñº° ¿ùº°±â¼ú  28 3" xfId="11265"/>
    <cellStyle name="AÞ¸¶_ ºn¸nº° ¿uº°±a¼u  28 30" xfId="11266"/>
    <cellStyle name="ÄÞ¸¶_ ºñ¸ñº° ¿ùº°±â¼ú  28 30" xfId="11267"/>
    <cellStyle name="AÞ¸¶_ ºn¸nº° ¿uº°±a¼u  28 31" xfId="11268"/>
    <cellStyle name="ÄÞ¸¶_ ºñ¸ñº° ¿ùº°±â¼ú  28 31" xfId="11269"/>
    <cellStyle name="AÞ¸¶_ ºn¸nº° ¿uº°±a¼u  28 32" xfId="11270"/>
    <cellStyle name="ÄÞ¸¶_ ºñ¸ñº° ¿ùº°±â¼ú  28 32" xfId="11271"/>
    <cellStyle name="AÞ¸¶_ ºn¸nº° ¿uº°±a¼u  28 33" xfId="11272"/>
    <cellStyle name="ÄÞ¸¶_ ºñ¸ñº° ¿ùº°±â¼ú  28 33" xfId="11273"/>
    <cellStyle name="AÞ¸¶_ ºn¸nº° ¿uº°±a¼u  28 34" xfId="11274"/>
    <cellStyle name="ÄÞ¸¶_ ºñ¸ñº° ¿ùº°±â¼ú  28 34" xfId="11275"/>
    <cellStyle name="AÞ¸¶_ ºn¸nº° ¿uº°±a¼u  28 4" xfId="11276"/>
    <cellStyle name="ÄÞ¸¶_ ºñ¸ñº° ¿ùº°±â¼ú  28 4" xfId="11277"/>
    <cellStyle name="AÞ¸¶_ ºn¸nº° ¿uº°±a¼u  28 5" xfId="11278"/>
    <cellStyle name="ÄÞ¸¶_ ºñ¸ñº° ¿ùº°±â¼ú  28 5" xfId="11279"/>
    <cellStyle name="AÞ¸¶_ ºn¸nº° ¿uº°±a¼u  28 6" xfId="11280"/>
    <cellStyle name="ÄÞ¸¶_ ºñ¸ñº° ¿ùº°±â¼ú  28 6" xfId="11281"/>
    <cellStyle name="AÞ¸¶_ ºn¸nº° ¿uº°±a¼u  28 7" xfId="11282"/>
    <cellStyle name="ÄÞ¸¶_ ºñ¸ñº° ¿ùº°±â¼ú  28 7" xfId="11283"/>
    <cellStyle name="AÞ¸¶_ ºn¸nº° ¿uº°±a¼u  28 8" xfId="11284"/>
    <cellStyle name="ÄÞ¸¶_ ºñ¸ñº° ¿ùº°±â¼ú  28 8" xfId="11285"/>
    <cellStyle name="AÞ¸¶_ ºn¸nº° ¿uº°±a¼u  28 9" xfId="11286"/>
    <cellStyle name="ÄÞ¸¶_ ºñ¸ñº° ¿ùº°±â¼ú  28 9" xfId="11287"/>
    <cellStyle name="AÞ¸¶_ ºn¸nº° ¿uº°±a¼u  29" xfId="11288"/>
    <cellStyle name="ÄÞ¸¶_ ºñ¸ñº° ¿ùº°±â¼ú  29" xfId="11289"/>
    <cellStyle name="AÞ¸¶_ ºn¸nº° ¿uº°±a¼u  29 10" xfId="11290"/>
    <cellStyle name="ÄÞ¸¶_ ºñ¸ñº° ¿ùº°±â¼ú  29 10" xfId="11291"/>
    <cellStyle name="AÞ¸¶_ ºn¸nº° ¿uº°±a¼u  29 11" xfId="11292"/>
    <cellStyle name="ÄÞ¸¶_ ºñ¸ñº° ¿ùº°±â¼ú  29 11" xfId="11293"/>
    <cellStyle name="AÞ¸¶_ ºn¸nº° ¿uº°±a¼u  29 12" xfId="11294"/>
    <cellStyle name="ÄÞ¸¶_ ºñ¸ñº° ¿ùº°±â¼ú  29 12" xfId="11295"/>
    <cellStyle name="AÞ¸¶_ ºn¸nº° ¿uº°±a¼u  29 13" xfId="11296"/>
    <cellStyle name="ÄÞ¸¶_ ºñ¸ñº° ¿ùº°±â¼ú  29 13" xfId="11297"/>
    <cellStyle name="AÞ¸¶_ ºn¸nº° ¿uº°±a¼u  29 14" xfId="11298"/>
    <cellStyle name="ÄÞ¸¶_ ºñ¸ñº° ¿ùº°±â¼ú  29 14" xfId="11299"/>
    <cellStyle name="AÞ¸¶_ ºn¸nº° ¿uº°±a¼u  29 15" xfId="11300"/>
    <cellStyle name="ÄÞ¸¶_ ºñ¸ñº° ¿ùº°±â¼ú  29 15" xfId="11301"/>
    <cellStyle name="AÞ¸¶_ ºn¸nº° ¿uº°±a¼u  29 16" xfId="11302"/>
    <cellStyle name="ÄÞ¸¶_ ºñ¸ñº° ¿ùº°±â¼ú  29 16" xfId="11303"/>
    <cellStyle name="AÞ¸¶_ ºn¸nº° ¿uº°±a¼u  29 17" xfId="11304"/>
    <cellStyle name="ÄÞ¸¶_ ºñ¸ñº° ¿ùº°±â¼ú  29 17" xfId="11305"/>
    <cellStyle name="AÞ¸¶_ ºn¸nº° ¿uº°±a¼u  29 18" xfId="11306"/>
    <cellStyle name="ÄÞ¸¶_ ºñ¸ñº° ¿ùº°±â¼ú  29 18" xfId="11307"/>
    <cellStyle name="AÞ¸¶_ ºn¸nº° ¿uº°±a¼u  29 19" xfId="11308"/>
    <cellStyle name="ÄÞ¸¶_ ºñ¸ñº° ¿ùº°±â¼ú  29 19" xfId="11309"/>
    <cellStyle name="AÞ¸¶_ ºn¸nº° ¿uº°±a¼u  29 2" xfId="11310"/>
    <cellStyle name="ÄÞ¸¶_ ºñ¸ñº° ¿ùº°±â¼ú  29 2" xfId="11311"/>
    <cellStyle name="AÞ¸¶_ ºn¸nº° ¿uº°±a¼u  29 20" xfId="11312"/>
    <cellStyle name="ÄÞ¸¶_ ºñ¸ñº° ¿ùº°±â¼ú  29 20" xfId="11313"/>
    <cellStyle name="AÞ¸¶_ ºn¸nº° ¿uº°±a¼u  29 21" xfId="11314"/>
    <cellStyle name="ÄÞ¸¶_ ºñ¸ñº° ¿ùº°±â¼ú  29 21" xfId="11315"/>
    <cellStyle name="AÞ¸¶_ ºn¸nº° ¿uº°±a¼u  29 22" xfId="11316"/>
    <cellStyle name="ÄÞ¸¶_ ºñ¸ñº° ¿ùº°±â¼ú  29 22" xfId="11317"/>
    <cellStyle name="AÞ¸¶_ ºn¸nº° ¿uº°±a¼u  29 23" xfId="11318"/>
    <cellStyle name="ÄÞ¸¶_ ºñ¸ñº° ¿ùº°±â¼ú  29 23" xfId="11319"/>
    <cellStyle name="AÞ¸¶_ ºn¸nº° ¿uº°±a¼u  29 24" xfId="11320"/>
    <cellStyle name="ÄÞ¸¶_ ºñ¸ñº° ¿ùº°±â¼ú  29 24" xfId="11321"/>
    <cellStyle name="AÞ¸¶_ ºn¸nº° ¿uº°±a¼u  29 25" xfId="11322"/>
    <cellStyle name="ÄÞ¸¶_ ºñ¸ñº° ¿ùº°±â¼ú  29 25" xfId="11323"/>
    <cellStyle name="AÞ¸¶_ ºn¸nº° ¿uº°±a¼u  29 26" xfId="11324"/>
    <cellStyle name="ÄÞ¸¶_ ºñ¸ñº° ¿ùº°±â¼ú  29 26" xfId="11325"/>
    <cellStyle name="AÞ¸¶_ ºn¸nº° ¿uº°±a¼u  29 27" xfId="11326"/>
    <cellStyle name="ÄÞ¸¶_ ºñ¸ñº° ¿ùº°±â¼ú  29 27" xfId="11327"/>
    <cellStyle name="AÞ¸¶_ ºn¸nº° ¿uº°±a¼u  29 28" xfId="11328"/>
    <cellStyle name="ÄÞ¸¶_ ºñ¸ñº° ¿ùº°±â¼ú  29 28" xfId="11329"/>
    <cellStyle name="AÞ¸¶_ ºn¸nº° ¿uº°±a¼u  29 29" xfId="11330"/>
    <cellStyle name="ÄÞ¸¶_ ºñ¸ñº° ¿ùº°±â¼ú  29 29" xfId="11331"/>
    <cellStyle name="AÞ¸¶_ ºn¸nº° ¿uº°±a¼u  29 3" xfId="11332"/>
    <cellStyle name="ÄÞ¸¶_ ºñ¸ñº° ¿ùº°±â¼ú  29 3" xfId="11333"/>
    <cellStyle name="AÞ¸¶_ ºn¸nº° ¿uº°±a¼u  29 30" xfId="11334"/>
    <cellStyle name="ÄÞ¸¶_ ºñ¸ñº° ¿ùº°±â¼ú  29 30" xfId="11335"/>
    <cellStyle name="AÞ¸¶_ ºn¸nº° ¿uº°±a¼u  29 31" xfId="11336"/>
    <cellStyle name="ÄÞ¸¶_ ºñ¸ñº° ¿ùº°±â¼ú  29 31" xfId="11337"/>
    <cellStyle name="AÞ¸¶_ ºn¸nº° ¿uº°±a¼u  29 32" xfId="11338"/>
    <cellStyle name="ÄÞ¸¶_ ºñ¸ñº° ¿ùº°±â¼ú  29 32" xfId="11339"/>
    <cellStyle name="AÞ¸¶_ ºn¸nº° ¿uº°±a¼u  29 33" xfId="11340"/>
    <cellStyle name="ÄÞ¸¶_ ºñ¸ñº° ¿ùº°±â¼ú  29 33" xfId="11341"/>
    <cellStyle name="AÞ¸¶_ ºn¸nº° ¿uº°±a¼u  29 34" xfId="11342"/>
    <cellStyle name="ÄÞ¸¶_ ºñ¸ñº° ¿ùº°±â¼ú  29 34" xfId="11343"/>
    <cellStyle name="AÞ¸¶_ ºn¸nº° ¿uº°±a¼u  29 4" xfId="11344"/>
    <cellStyle name="ÄÞ¸¶_ ºñ¸ñº° ¿ùº°±â¼ú  29 4" xfId="11345"/>
    <cellStyle name="AÞ¸¶_ ºn¸nº° ¿uº°±a¼u  29 5" xfId="11346"/>
    <cellStyle name="ÄÞ¸¶_ ºñ¸ñº° ¿ùº°±â¼ú  29 5" xfId="11347"/>
    <cellStyle name="AÞ¸¶_ ºn¸nº° ¿uº°±a¼u  29 6" xfId="11348"/>
    <cellStyle name="ÄÞ¸¶_ ºñ¸ñº° ¿ùº°±â¼ú  29 6" xfId="11349"/>
    <cellStyle name="AÞ¸¶_ ºn¸nº° ¿uº°±a¼u  29 7" xfId="11350"/>
    <cellStyle name="ÄÞ¸¶_ ºñ¸ñº° ¿ùº°±â¼ú  29 7" xfId="11351"/>
    <cellStyle name="AÞ¸¶_ ºn¸nº° ¿uº°±a¼u  29 8" xfId="11352"/>
    <cellStyle name="ÄÞ¸¶_ ºñ¸ñº° ¿ùº°±â¼ú  29 8" xfId="11353"/>
    <cellStyle name="AÞ¸¶_ ºn¸nº° ¿uº°±a¼u  29 9" xfId="11354"/>
    <cellStyle name="ÄÞ¸¶_ ºñ¸ñº° ¿ùº°±â¼ú  29 9" xfId="11355"/>
    <cellStyle name="AÞ¸¶_ ºn¸nº° ¿uº°±a¼u  3" xfId="11356"/>
    <cellStyle name="ÄÞ¸¶_ ºñ¸ñº° ¿ùº°±â¼ú  3" xfId="11357"/>
    <cellStyle name="AÞ¸¶_ ºn¸nº° ¿uº°±a¼u  3 10" xfId="11358"/>
    <cellStyle name="ÄÞ¸¶_ ºñ¸ñº° ¿ùº°±â¼ú  3 10" xfId="11359"/>
    <cellStyle name="AÞ¸¶_ ºn¸nº° ¿uº°±a¼u  3 11" xfId="11360"/>
    <cellStyle name="ÄÞ¸¶_ ºñ¸ñº° ¿ùº°±â¼ú  3 11" xfId="11361"/>
    <cellStyle name="AÞ¸¶_ ºn¸nº° ¿uº°±a¼u  3 12" xfId="11362"/>
    <cellStyle name="ÄÞ¸¶_ ºñ¸ñº° ¿ùº°±â¼ú  3 12" xfId="11363"/>
    <cellStyle name="AÞ¸¶_ ºn¸nº° ¿uº°±a¼u  3 13" xfId="11364"/>
    <cellStyle name="ÄÞ¸¶_ ºñ¸ñº° ¿ùº°±â¼ú  3 13" xfId="11365"/>
    <cellStyle name="AÞ¸¶_ ºn¸nº° ¿uº°±a¼u  3 14" xfId="11366"/>
    <cellStyle name="ÄÞ¸¶_ ºñ¸ñº° ¿ùº°±â¼ú  3 14" xfId="11367"/>
    <cellStyle name="AÞ¸¶_ ºn¸nº° ¿uº°±a¼u  3 15" xfId="11368"/>
    <cellStyle name="ÄÞ¸¶_ ºñ¸ñº° ¿ùº°±â¼ú  3 15" xfId="11369"/>
    <cellStyle name="AÞ¸¶_ ºn¸nº° ¿uº°±a¼u  3 16" xfId="11370"/>
    <cellStyle name="ÄÞ¸¶_ ºñ¸ñº° ¿ùº°±â¼ú  3 16" xfId="11371"/>
    <cellStyle name="AÞ¸¶_ ºn¸nº° ¿uº°±a¼u  3 17" xfId="11372"/>
    <cellStyle name="ÄÞ¸¶_ ºñ¸ñº° ¿ùº°±â¼ú  3 17" xfId="11373"/>
    <cellStyle name="AÞ¸¶_ ºn¸nº° ¿uº°±a¼u  3 18" xfId="11374"/>
    <cellStyle name="ÄÞ¸¶_ ºñ¸ñº° ¿ùº°±â¼ú  3 18" xfId="11375"/>
    <cellStyle name="AÞ¸¶_ ºn¸nº° ¿uº°±a¼u  3 19" xfId="11376"/>
    <cellStyle name="ÄÞ¸¶_ ºñ¸ñº° ¿ùº°±â¼ú  3 19" xfId="11377"/>
    <cellStyle name="AÞ¸¶_ ºn¸nº° ¿uº°±a¼u  3 2" xfId="11378"/>
    <cellStyle name="ÄÞ¸¶_ ºñ¸ñº° ¿ùº°±â¼ú  3 2" xfId="11379"/>
    <cellStyle name="AÞ¸¶_ ºn¸nº° ¿uº°±a¼u  3 20" xfId="11380"/>
    <cellStyle name="ÄÞ¸¶_ ºñ¸ñº° ¿ùº°±â¼ú  3 20" xfId="11381"/>
    <cellStyle name="AÞ¸¶_ ºn¸nº° ¿uº°±a¼u  3 21" xfId="11382"/>
    <cellStyle name="ÄÞ¸¶_ ºñ¸ñº° ¿ùº°±â¼ú  3 21" xfId="11383"/>
    <cellStyle name="AÞ¸¶_ ºn¸nº° ¿uº°±a¼u  3 22" xfId="11384"/>
    <cellStyle name="ÄÞ¸¶_ ºñ¸ñº° ¿ùº°±â¼ú  3 22" xfId="11385"/>
    <cellStyle name="AÞ¸¶_ ºn¸nº° ¿uº°±a¼u  3 23" xfId="11386"/>
    <cellStyle name="ÄÞ¸¶_ ºñ¸ñº° ¿ùº°±â¼ú  3 23" xfId="11387"/>
    <cellStyle name="AÞ¸¶_ ºn¸nº° ¿uº°±a¼u  3 24" xfId="11388"/>
    <cellStyle name="ÄÞ¸¶_ ºñ¸ñº° ¿ùº°±â¼ú  3 24" xfId="11389"/>
    <cellStyle name="AÞ¸¶_ ºn¸nº° ¿uº°±a¼u  3 25" xfId="11390"/>
    <cellStyle name="ÄÞ¸¶_ ºñ¸ñº° ¿ùº°±â¼ú  3 25" xfId="11391"/>
    <cellStyle name="AÞ¸¶_ ºn¸nº° ¿uº°±a¼u  3 26" xfId="11392"/>
    <cellStyle name="ÄÞ¸¶_ ºñ¸ñº° ¿ùº°±â¼ú  3 26" xfId="11393"/>
    <cellStyle name="AÞ¸¶_ ºn¸nº° ¿uº°±a¼u  3 27" xfId="11394"/>
    <cellStyle name="ÄÞ¸¶_ ºñ¸ñº° ¿ùº°±â¼ú  3 27" xfId="11395"/>
    <cellStyle name="AÞ¸¶_ ºn¸nº° ¿uº°±a¼u  3 28" xfId="11396"/>
    <cellStyle name="ÄÞ¸¶_ ºñ¸ñº° ¿ùº°±â¼ú  3 28" xfId="11397"/>
    <cellStyle name="AÞ¸¶_ ºn¸nº° ¿uº°±a¼u  3 29" xfId="11398"/>
    <cellStyle name="ÄÞ¸¶_ ºñ¸ñº° ¿ùº°±â¼ú  3 29" xfId="11399"/>
    <cellStyle name="AÞ¸¶_ ºn¸nº° ¿uº°±a¼u  3 3" xfId="11400"/>
    <cellStyle name="ÄÞ¸¶_ ºñ¸ñº° ¿ùº°±â¼ú  3 3" xfId="11401"/>
    <cellStyle name="AÞ¸¶_ ºn¸nº° ¿uº°±a¼u  3 30" xfId="11402"/>
    <cellStyle name="ÄÞ¸¶_ ºñ¸ñº° ¿ùº°±â¼ú  3 30" xfId="11403"/>
    <cellStyle name="AÞ¸¶_ ºn¸nº° ¿uº°±a¼u  3 31" xfId="11404"/>
    <cellStyle name="ÄÞ¸¶_ ºñ¸ñº° ¿ùº°±â¼ú  3 31" xfId="11405"/>
    <cellStyle name="AÞ¸¶_ ºn¸nº° ¿uº°±a¼u  3 32" xfId="11406"/>
    <cellStyle name="ÄÞ¸¶_ ºñ¸ñº° ¿ùº°±â¼ú  3 32" xfId="11407"/>
    <cellStyle name="AÞ¸¶_ ºn¸nº° ¿uº°±a¼u  3 33" xfId="11408"/>
    <cellStyle name="ÄÞ¸¶_ ºñ¸ñº° ¿ùº°±â¼ú  3 33" xfId="11409"/>
    <cellStyle name="AÞ¸¶_ ºn¸nº° ¿uº°±a¼u  3 34" xfId="11410"/>
    <cellStyle name="ÄÞ¸¶_ ºñ¸ñº° ¿ùº°±â¼ú  3 34" xfId="11411"/>
    <cellStyle name="AÞ¸¶_ ºn¸nº° ¿uº°±a¼u  3 4" xfId="11412"/>
    <cellStyle name="ÄÞ¸¶_ ºñ¸ñº° ¿ùº°±â¼ú  3 4" xfId="11413"/>
    <cellStyle name="AÞ¸¶_ ºn¸nº° ¿uº°±a¼u  3 5" xfId="11414"/>
    <cellStyle name="ÄÞ¸¶_ ºñ¸ñº° ¿ùº°±â¼ú  3 5" xfId="11415"/>
    <cellStyle name="AÞ¸¶_ ºn¸nº° ¿uº°±a¼u  3 6" xfId="11416"/>
    <cellStyle name="ÄÞ¸¶_ ºñ¸ñº° ¿ùº°±â¼ú  3 6" xfId="11417"/>
    <cellStyle name="AÞ¸¶_ ºn¸nº° ¿uº°±a¼u  3 7" xfId="11418"/>
    <cellStyle name="ÄÞ¸¶_ ºñ¸ñº° ¿ùº°±â¼ú  3 7" xfId="11419"/>
    <cellStyle name="AÞ¸¶_ ºn¸nº° ¿uº°±a¼u  3 8" xfId="11420"/>
    <cellStyle name="ÄÞ¸¶_ ºñ¸ñº° ¿ùº°±â¼ú  3 8" xfId="11421"/>
    <cellStyle name="AÞ¸¶_ ºn¸nº° ¿uº°±a¼u  3 9" xfId="11422"/>
    <cellStyle name="ÄÞ¸¶_ ºñ¸ñº° ¿ùº°±â¼ú  3 9" xfId="11423"/>
    <cellStyle name="AÞ¸¶_ ºn¸nº° ¿uº°±a¼u  30" xfId="11424"/>
    <cellStyle name="ÄÞ¸¶_ ºñ¸ñº° ¿ùº°±â¼ú  30" xfId="11425"/>
    <cellStyle name="AÞ¸¶_ ºn¸nº° ¿uº°±a¼u  30 10" xfId="11426"/>
    <cellStyle name="ÄÞ¸¶_ ºñ¸ñº° ¿ùº°±â¼ú  30 10" xfId="11427"/>
    <cellStyle name="AÞ¸¶_ ºn¸nº° ¿uº°±a¼u  30 11" xfId="11428"/>
    <cellStyle name="ÄÞ¸¶_ ºñ¸ñº° ¿ùº°±â¼ú  30 11" xfId="11429"/>
    <cellStyle name="AÞ¸¶_ ºn¸nº° ¿uº°±a¼u  30 12" xfId="11430"/>
    <cellStyle name="ÄÞ¸¶_ ºñ¸ñº° ¿ùº°±â¼ú  30 12" xfId="11431"/>
    <cellStyle name="AÞ¸¶_ ºn¸nº° ¿uº°±a¼u  30 13" xfId="11432"/>
    <cellStyle name="ÄÞ¸¶_ ºñ¸ñº° ¿ùº°±â¼ú  30 13" xfId="11433"/>
    <cellStyle name="AÞ¸¶_ ºn¸nº° ¿uº°±a¼u  30 14" xfId="11434"/>
    <cellStyle name="ÄÞ¸¶_ ºñ¸ñº° ¿ùº°±â¼ú  30 14" xfId="11435"/>
    <cellStyle name="AÞ¸¶_ ºn¸nº° ¿uº°±a¼u  30 15" xfId="11436"/>
    <cellStyle name="ÄÞ¸¶_ ºñ¸ñº° ¿ùº°±â¼ú  30 15" xfId="11437"/>
    <cellStyle name="AÞ¸¶_ ºn¸nº° ¿uº°±a¼u  30 16" xfId="11438"/>
    <cellStyle name="ÄÞ¸¶_ ºñ¸ñº° ¿ùº°±â¼ú  30 16" xfId="11439"/>
    <cellStyle name="AÞ¸¶_ ºn¸nº° ¿uº°±a¼u  30 17" xfId="11440"/>
    <cellStyle name="ÄÞ¸¶_ ºñ¸ñº° ¿ùº°±â¼ú  30 17" xfId="11441"/>
    <cellStyle name="AÞ¸¶_ ºn¸nº° ¿uº°±a¼u  30 18" xfId="11442"/>
    <cellStyle name="ÄÞ¸¶_ ºñ¸ñº° ¿ùº°±â¼ú  30 18" xfId="11443"/>
    <cellStyle name="AÞ¸¶_ ºn¸nº° ¿uº°±a¼u  30 19" xfId="11444"/>
    <cellStyle name="ÄÞ¸¶_ ºñ¸ñº° ¿ùº°±â¼ú  30 19" xfId="11445"/>
    <cellStyle name="AÞ¸¶_ ºn¸nº° ¿uº°±a¼u  30 2" xfId="11446"/>
    <cellStyle name="ÄÞ¸¶_ ºñ¸ñº° ¿ùº°±â¼ú  30 2" xfId="11447"/>
    <cellStyle name="AÞ¸¶_ ºn¸nº° ¿uº°±a¼u  30 20" xfId="11448"/>
    <cellStyle name="ÄÞ¸¶_ ºñ¸ñº° ¿ùº°±â¼ú  30 20" xfId="11449"/>
    <cellStyle name="AÞ¸¶_ ºn¸nº° ¿uº°±a¼u  30 21" xfId="11450"/>
    <cellStyle name="ÄÞ¸¶_ ºñ¸ñº° ¿ùº°±â¼ú  30 21" xfId="11451"/>
    <cellStyle name="AÞ¸¶_ ºn¸nº° ¿uº°±a¼u  30 22" xfId="11452"/>
    <cellStyle name="ÄÞ¸¶_ ºñ¸ñº° ¿ùº°±â¼ú  30 22" xfId="11453"/>
    <cellStyle name="AÞ¸¶_ ºn¸nº° ¿uº°±a¼u  30 23" xfId="11454"/>
    <cellStyle name="ÄÞ¸¶_ ºñ¸ñº° ¿ùº°±â¼ú  30 23" xfId="11455"/>
    <cellStyle name="AÞ¸¶_ ºn¸nº° ¿uº°±a¼u  30 24" xfId="11456"/>
    <cellStyle name="ÄÞ¸¶_ ºñ¸ñº° ¿ùº°±â¼ú  30 24" xfId="11457"/>
    <cellStyle name="AÞ¸¶_ ºn¸nº° ¿uº°±a¼u  30 25" xfId="11458"/>
    <cellStyle name="ÄÞ¸¶_ ºñ¸ñº° ¿ùº°±â¼ú  30 25" xfId="11459"/>
    <cellStyle name="AÞ¸¶_ ºn¸nº° ¿uº°±a¼u  30 26" xfId="11460"/>
    <cellStyle name="ÄÞ¸¶_ ºñ¸ñº° ¿ùº°±â¼ú  30 26" xfId="11461"/>
    <cellStyle name="AÞ¸¶_ ºn¸nº° ¿uº°±a¼u  30 27" xfId="11462"/>
    <cellStyle name="ÄÞ¸¶_ ºñ¸ñº° ¿ùº°±â¼ú  30 27" xfId="11463"/>
    <cellStyle name="AÞ¸¶_ ºn¸nº° ¿uº°±a¼u  30 28" xfId="11464"/>
    <cellStyle name="ÄÞ¸¶_ ºñ¸ñº° ¿ùº°±â¼ú  30 28" xfId="11465"/>
    <cellStyle name="AÞ¸¶_ ºn¸nº° ¿uº°±a¼u  30 29" xfId="11466"/>
    <cellStyle name="ÄÞ¸¶_ ºñ¸ñº° ¿ùº°±â¼ú  30 29" xfId="11467"/>
    <cellStyle name="AÞ¸¶_ ºn¸nº° ¿uº°±a¼u  30 3" xfId="11468"/>
    <cellStyle name="ÄÞ¸¶_ ºñ¸ñº° ¿ùº°±â¼ú  30 3" xfId="11469"/>
    <cellStyle name="AÞ¸¶_ ºn¸nº° ¿uº°±a¼u  30 30" xfId="11470"/>
    <cellStyle name="ÄÞ¸¶_ ºñ¸ñº° ¿ùº°±â¼ú  30 30" xfId="11471"/>
    <cellStyle name="AÞ¸¶_ ºn¸nº° ¿uº°±a¼u  30 31" xfId="11472"/>
    <cellStyle name="ÄÞ¸¶_ ºñ¸ñº° ¿ùº°±â¼ú  30 31" xfId="11473"/>
    <cellStyle name="AÞ¸¶_ ºn¸nº° ¿uº°±a¼u  30 32" xfId="11474"/>
    <cellStyle name="ÄÞ¸¶_ ºñ¸ñº° ¿ùº°±â¼ú  30 32" xfId="11475"/>
    <cellStyle name="AÞ¸¶_ ºn¸nº° ¿uº°±a¼u  30 33" xfId="11476"/>
    <cellStyle name="ÄÞ¸¶_ ºñ¸ñº° ¿ùº°±â¼ú  30 33" xfId="11477"/>
    <cellStyle name="AÞ¸¶_ ºn¸nº° ¿uº°±a¼u  30 34" xfId="11478"/>
    <cellStyle name="ÄÞ¸¶_ ºñ¸ñº° ¿ùº°±â¼ú  30 34" xfId="11479"/>
    <cellStyle name="AÞ¸¶_ ºn¸nº° ¿uº°±a¼u  30 4" xfId="11480"/>
    <cellStyle name="ÄÞ¸¶_ ºñ¸ñº° ¿ùº°±â¼ú  30 4" xfId="11481"/>
    <cellStyle name="AÞ¸¶_ ºn¸nº° ¿uº°±a¼u  30 5" xfId="11482"/>
    <cellStyle name="ÄÞ¸¶_ ºñ¸ñº° ¿ùº°±â¼ú  30 5" xfId="11483"/>
    <cellStyle name="AÞ¸¶_ ºn¸nº° ¿uº°±a¼u  30 6" xfId="11484"/>
    <cellStyle name="ÄÞ¸¶_ ºñ¸ñº° ¿ùº°±â¼ú  30 6" xfId="11485"/>
    <cellStyle name="AÞ¸¶_ ºn¸nº° ¿uº°±a¼u  30 7" xfId="11486"/>
    <cellStyle name="ÄÞ¸¶_ ºñ¸ñº° ¿ùº°±â¼ú  30 7" xfId="11487"/>
    <cellStyle name="AÞ¸¶_ ºn¸nº° ¿uº°±a¼u  30 8" xfId="11488"/>
    <cellStyle name="ÄÞ¸¶_ ºñ¸ñº° ¿ùº°±â¼ú  30 8" xfId="11489"/>
    <cellStyle name="AÞ¸¶_ ºn¸nº° ¿uº°±a¼u  30 9" xfId="11490"/>
    <cellStyle name="ÄÞ¸¶_ ºñ¸ñº° ¿ùº°±â¼ú  30 9" xfId="11491"/>
    <cellStyle name="AÞ¸¶_ ºn¸nº° ¿uº°±a¼u  31" xfId="11492"/>
    <cellStyle name="ÄÞ¸¶_ ºñ¸ñº° ¿ùº°±â¼ú  31" xfId="11493"/>
    <cellStyle name="AÞ¸¶_ ºn¸nº° ¿uº°±a¼u  31 10" xfId="11494"/>
    <cellStyle name="ÄÞ¸¶_ ºñ¸ñº° ¿ùº°±â¼ú  31 10" xfId="11495"/>
    <cellStyle name="AÞ¸¶_ ºn¸nº° ¿uº°±a¼u  31 11" xfId="11496"/>
    <cellStyle name="ÄÞ¸¶_ ºñ¸ñº° ¿ùº°±â¼ú  31 11" xfId="11497"/>
    <cellStyle name="AÞ¸¶_ ºn¸nº° ¿uº°±a¼u  31 12" xfId="11498"/>
    <cellStyle name="ÄÞ¸¶_ ºñ¸ñº° ¿ùº°±â¼ú  31 12" xfId="11499"/>
    <cellStyle name="AÞ¸¶_ ºn¸nº° ¿uº°±a¼u  31 13" xfId="11500"/>
    <cellStyle name="ÄÞ¸¶_ ºñ¸ñº° ¿ùº°±â¼ú  31 13" xfId="11501"/>
    <cellStyle name="AÞ¸¶_ ºn¸nº° ¿uº°±a¼u  31 14" xfId="11502"/>
    <cellStyle name="ÄÞ¸¶_ ºñ¸ñº° ¿ùº°±â¼ú  31 14" xfId="11503"/>
    <cellStyle name="AÞ¸¶_ ºn¸nº° ¿uº°±a¼u  31 15" xfId="11504"/>
    <cellStyle name="ÄÞ¸¶_ ºñ¸ñº° ¿ùº°±â¼ú  31 15" xfId="11505"/>
    <cellStyle name="AÞ¸¶_ ºn¸nº° ¿uº°±a¼u  31 16" xfId="11506"/>
    <cellStyle name="ÄÞ¸¶_ ºñ¸ñº° ¿ùº°±â¼ú  31 16" xfId="11507"/>
    <cellStyle name="AÞ¸¶_ ºn¸nº° ¿uº°±a¼u  31 17" xfId="11508"/>
    <cellStyle name="ÄÞ¸¶_ ºñ¸ñº° ¿ùº°±â¼ú  31 17" xfId="11509"/>
    <cellStyle name="AÞ¸¶_ ºn¸nº° ¿uº°±a¼u  31 18" xfId="11510"/>
    <cellStyle name="ÄÞ¸¶_ ºñ¸ñº° ¿ùº°±â¼ú  31 18" xfId="11511"/>
    <cellStyle name="AÞ¸¶_ ºn¸nº° ¿uº°±a¼u  31 19" xfId="11512"/>
    <cellStyle name="ÄÞ¸¶_ ºñ¸ñº° ¿ùº°±â¼ú  31 19" xfId="11513"/>
    <cellStyle name="AÞ¸¶_ ºn¸nº° ¿uº°±a¼u  31 2" xfId="11514"/>
    <cellStyle name="ÄÞ¸¶_ ºñ¸ñº° ¿ùº°±â¼ú  31 2" xfId="11515"/>
    <cellStyle name="AÞ¸¶_ ºn¸nº° ¿uº°±a¼u  31 20" xfId="11516"/>
    <cellStyle name="ÄÞ¸¶_ ºñ¸ñº° ¿ùº°±â¼ú  31 20" xfId="11517"/>
    <cellStyle name="AÞ¸¶_ ºn¸nº° ¿uº°±a¼u  31 21" xfId="11518"/>
    <cellStyle name="ÄÞ¸¶_ ºñ¸ñº° ¿ùº°±â¼ú  31 21" xfId="11519"/>
    <cellStyle name="AÞ¸¶_ ºn¸nº° ¿uº°±a¼u  31 22" xfId="11520"/>
    <cellStyle name="ÄÞ¸¶_ ºñ¸ñº° ¿ùº°±â¼ú  31 22" xfId="11521"/>
    <cellStyle name="AÞ¸¶_ ºn¸nº° ¿uº°±a¼u  31 23" xfId="11522"/>
    <cellStyle name="ÄÞ¸¶_ ºñ¸ñº° ¿ùº°±â¼ú  31 23" xfId="11523"/>
    <cellStyle name="AÞ¸¶_ ºn¸nº° ¿uº°±a¼u  31 24" xfId="11524"/>
    <cellStyle name="ÄÞ¸¶_ ºñ¸ñº° ¿ùº°±â¼ú  31 24" xfId="11525"/>
    <cellStyle name="AÞ¸¶_ ºn¸nº° ¿uº°±a¼u  31 25" xfId="11526"/>
    <cellStyle name="ÄÞ¸¶_ ºñ¸ñº° ¿ùº°±â¼ú  31 25" xfId="11527"/>
    <cellStyle name="AÞ¸¶_ ºn¸nº° ¿uº°±a¼u  31 26" xfId="11528"/>
    <cellStyle name="ÄÞ¸¶_ ºñ¸ñº° ¿ùº°±â¼ú  31 26" xfId="11529"/>
    <cellStyle name="AÞ¸¶_ ºn¸nº° ¿uº°±a¼u  31 27" xfId="11530"/>
    <cellStyle name="ÄÞ¸¶_ ºñ¸ñº° ¿ùº°±â¼ú  31 27" xfId="11531"/>
    <cellStyle name="AÞ¸¶_ ºn¸nº° ¿uº°±a¼u  31 28" xfId="11532"/>
    <cellStyle name="ÄÞ¸¶_ ºñ¸ñº° ¿ùº°±â¼ú  31 28" xfId="11533"/>
    <cellStyle name="AÞ¸¶_ ºn¸nº° ¿uº°±a¼u  31 29" xfId="11534"/>
    <cellStyle name="ÄÞ¸¶_ ºñ¸ñº° ¿ùº°±â¼ú  31 29" xfId="11535"/>
    <cellStyle name="AÞ¸¶_ ºn¸nº° ¿uº°±a¼u  31 3" xfId="11536"/>
    <cellStyle name="ÄÞ¸¶_ ºñ¸ñº° ¿ùº°±â¼ú  31 3" xfId="11537"/>
    <cellStyle name="AÞ¸¶_ ºn¸nº° ¿uº°±a¼u  31 30" xfId="11538"/>
    <cellStyle name="ÄÞ¸¶_ ºñ¸ñº° ¿ùº°±â¼ú  31 30" xfId="11539"/>
    <cellStyle name="AÞ¸¶_ ºn¸nº° ¿uº°±a¼u  31 31" xfId="11540"/>
    <cellStyle name="ÄÞ¸¶_ ºñ¸ñº° ¿ùº°±â¼ú  31 31" xfId="11541"/>
    <cellStyle name="AÞ¸¶_ ºn¸nº° ¿uº°±a¼u  31 32" xfId="11542"/>
    <cellStyle name="ÄÞ¸¶_ ºñ¸ñº° ¿ùº°±â¼ú  31 32" xfId="11543"/>
    <cellStyle name="AÞ¸¶_ ºn¸nº° ¿uº°±a¼u  31 33" xfId="11544"/>
    <cellStyle name="ÄÞ¸¶_ ºñ¸ñº° ¿ùº°±â¼ú  31 33" xfId="11545"/>
    <cellStyle name="AÞ¸¶_ ºn¸nº° ¿uº°±a¼u  31 34" xfId="11546"/>
    <cellStyle name="ÄÞ¸¶_ ºñ¸ñº° ¿ùº°±â¼ú  31 34" xfId="11547"/>
    <cellStyle name="AÞ¸¶_ ºn¸nº° ¿uº°±a¼u  31 4" xfId="11548"/>
    <cellStyle name="ÄÞ¸¶_ ºñ¸ñº° ¿ùº°±â¼ú  31 4" xfId="11549"/>
    <cellStyle name="AÞ¸¶_ ºn¸nº° ¿uº°±a¼u  31 5" xfId="11550"/>
    <cellStyle name="ÄÞ¸¶_ ºñ¸ñº° ¿ùº°±â¼ú  31 5" xfId="11551"/>
    <cellStyle name="AÞ¸¶_ ºn¸nº° ¿uº°±a¼u  31 6" xfId="11552"/>
    <cellStyle name="ÄÞ¸¶_ ºñ¸ñº° ¿ùº°±â¼ú  31 6" xfId="11553"/>
    <cellStyle name="AÞ¸¶_ ºn¸nº° ¿uº°±a¼u  31 7" xfId="11554"/>
    <cellStyle name="ÄÞ¸¶_ ºñ¸ñº° ¿ùº°±â¼ú  31 7" xfId="11555"/>
    <cellStyle name="AÞ¸¶_ ºn¸nº° ¿uº°±a¼u  31 8" xfId="11556"/>
    <cellStyle name="ÄÞ¸¶_ ºñ¸ñº° ¿ùº°±â¼ú  31 8" xfId="11557"/>
    <cellStyle name="AÞ¸¶_ ºn¸nº° ¿uº°±a¼u  31 9" xfId="11558"/>
    <cellStyle name="ÄÞ¸¶_ ºñ¸ñº° ¿ùº°±â¼ú  31 9" xfId="11559"/>
    <cellStyle name="AÞ¸¶_ ºn¸nº° ¿uº°±a¼u  32" xfId="11560"/>
    <cellStyle name="ÄÞ¸¶_ ºñ¸ñº° ¿ùº°±â¼ú  32" xfId="11561"/>
    <cellStyle name="AÞ¸¶_ ºn¸nº° ¿uº°±a¼u  32 10" xfId="11562"/>
    <cellStyle name="ÄÞ¸¶_ ºñ¸ñº° ¿ùº°±â¼ú  32 10" xfId="11563"/>
    <cellStyle name="AÞ¸¶_ ºn¸nº° ¿uº°±a¼u  32 11" xfId="11564"/>
    <cellStyle name="ÄÞ¸¶_ ºñ¸ñº° ¿ùº°±â¼ú  32 11" xfId="11565"/>
    <cellStyle name="AÞ¸¶_ ºn¸nº° ¿uº°±a¼u  32 12" xfId="11566"/>
    <cellStyle name="ÄÞ¸¶_ ºñ¸ñº° ¿ùº°±â¼ú  32 12" xfId="11567"/>
    <cellStyle name="AÞ¸¶_ ºn¸nº° ¿uº°±a¼u  32 13" xfId="11568"/>
    <cellStyle name="ÄÞ¸¶_ ºñ¸ñº° ¿ùº°±â¼ú  32 13" xfId="11569"/>
    <cellStyle name="AÞ¸¶_ ºn¸nº° ¿uº°±a¼u  32 14" xfId="11570"/>
    <cellStyle name="ÄÞ¸¶_ ºñ¸ñº° ¿ùº°±â¼ú  32 14" xfId="11571"/>
    <cellStyle name="AÞ¸¶_ ºn¸nº° ¿uº°±a¼u  32 15" xfId="11572"/>
    <cellStyle name="ÄÞ¸¶_ ºñ¸ñº° ¿ùº°±â¼ú  32 15" xfId="11573"/>
    <cellStyle name="AÞ¸¶_ ºn¸nº° ¿uº°±a¼u  32 16" xfId="11574"/>
    <cellStyle name="ÄÞ¸¶_ ºñ¸ñº° ¿ùº°±â¼ú  32 16" xfId="11575"/>
    <cellStyle name="AÞ¸¶_ ºn¸nº° ¿uº°±a¼u  32 17" xfId="11576"/>
    <cellStyle name="ÄÞ¸¶_ ºñ¸ñº° ¿ùº°±â¼ú  32 17" xfId="11577"/>
    <cellStyle name="AÞ¸¶_ ºn¸nº° ¿uº°±a¼u  32 18" xfId="11578"/>
    <cellStyle name="ÄÞ¸¶_ ºñ¸ñº° ¿ùº°±â¼ú  32 18" xfId="11579"/>
    <cellStyle name="AÞ¸¶_ ºn¸nº° ¿uº°±a¼u  32 19" xfId="11580"/>
    <cellStyle name="ÄÞ¸¶_ ºñ¸ñº° ¿ùº°±â¼ú  32 19" xfId="11581"/>
    <cellStyle name="AÞ¸¶_ ºn¸nº° ¿uº°±a¼u  32 2" xfId="11582"/>
    <cellStyle name="ÄÞ¸¶_ ºñ¸ñº° ¿ùº°±â¼ú  32 2" xfId="11583"/>
    <cellStyle name="AÞ¸¶_ ºn¸nº° ¿uº°±a¼u  32 20" xfId="11584"/>
    <cellStyle name="ÄÞ¸¶_ ºñ¸ñº° ¿ùº°±â¼ú  32 20" xfId="11585"/>
    <cellStyle name="AÞ¸¶_ ºn¸nº° ¿uº°±a¼u  32 21" xfId="11586"/>
    <cellStyle name="ÄÞ¸¶_ ºñ¸ñº° ¿ùº°±â¼ú  32 21" xfId="11587"/>
    <cellStyle name="AÞ¸¶_ ºn¸nº° ¿uº°±a¼u  32 22" xfId="11588"/>
    <cellStyle name="ÄÞ¸¶_ ºñ¸ñº° ¿ùº°±â¼ú  32 22" xfId="11589"/>
    <cellStyle name="AÞ¸¶_ ºn¸nº° ¿uº°±a¼u  32 23" xfId="11590"/>
    <cellStyle name="ÄÞ¸¶_ ºñ¸ñº° ¿ùº°±â¼ú  32 23" xfId="11591"/>
    <cellStyle name="AÞ¸¶_ ºn¸nº° ¿uº°±a¼u  32 24" xfId="11592"/>
    <cellStyle name="ÄÞ¸¶_ ºñ¸ñº° ¿ùº°±â¼ú  32 24" xfId="11593"/>
    <cellStyle name="AÞ¸¶_ ºn¸nº° ¿uº°±a¼u  32 25" xfId="11594"/>
    <cellStyle name="ÄÞ¸¶_ ºñ¸ñº° ¿ùº°±â¼ú  32 25" xfId="11595"/>
    <cellStyle name="AÞ¸¶_ ºn¸nº° ¿uº°±a¼u  32 26" xfId="11596"/>
    <cellStyle name="ÄÞ¸¶_ ºñ¸ñº° ¿ùº°±â¼ú  32 26" xfId="11597"/>
    <cellStyle name="AÞ¸¶_ ºn¸nº° ¿uº°±a¼u  32 27" xfId="11598"/>
    <cellStyle name="ÄÞ¸¶_ ºñ¸ñº° ¿ùº°±â¼ú  32 27" xfId="11599"/>
    <cellStyle name="AÞ¸¶_ ºn¸nº° ¿uº°±a¼u  32 28" xfId="11600"/>
    <cellStyle name="ÄÞ¸¶_ ºñ¸ñº° ¿ùº°±â¼ú  32 28" xfId="11601"/>
    <cellStyle name="AÞ¸¶_ ºn¸nº° ¿uº°±a¼u  32 29" xfId="11602"/>
    <cellStyle name="ÄÞ¸¶_ ºñ¸ñº° ¿ùº°±â¼ú  32 29" xfId="11603"/>
    <cellStyle name="AÞ¸¶_ ºn¸nº° ¿uº°±a¼u  32 3" xfId="11604"/>
    <cellStyle name="ÄÞ¸¶_ ºñ¸ñº° ¿ùº°±â¼ú  32 3" xfId="11605"/>
    <cellStyle name="AÞ¸¶_ ºn¸nº° ¿uº°±a¼u  32 30" xfId="11606"/>
    <cellStyle name="ÄÞ¸¶_ ºñ¸ñº° ¿ùº°±â¼ú  32 30" xfId="11607"/>
    <cellStyle name="AÞ¸¶_ ºn¸nº° ¿uº°±a¼u  32 31" xfId="11608"/>
    <cellStyle name="ÄÞ¸¶_ ºñ¸ñº° ¿ùº°±â¼ú  32 31" xfId="11609"/>
    <cellStyle name="AÞ¸¶_ ºn¸nº° ¿uº°±a¼u  32 32" xfId="11610"/>
    <cellStyle name="ÄÞ¸¶_ ºñ¸ñº° ¿ùº°±â¼ú  32 32" xfId="11611"/>
    <cellStyle name="AÞ¸¶_ ºn¸nº° ¿uº°±a¼u  32 33" xfId="11612"/>
    <cellStyle name="ÄÞ¸¶_ ºñ¸ñº° ¿ùº°±â¼ú  32 33" xfId="11613"/>
    <cellStyle name="AÞ¸¶_ ºn¸nº° ¿uº°±a¼u  32 34" xfId="11614"/>
    <cellStyle name="ÄÞ¸¶_ ºñ¸ñº° ¿ùº°±â¼ú  32 34" xfId="11615"/>
    <cellStyle name="AÞ¸¶_ ºn¸nº° ¿uº°±a¼u  32 4" xfId="11616"/>
    <cellStyle name="ÄÞ¸¶_ ºñ¸ñº° ¿ùº°±â¼ú  32 4" xfId="11617"/>
    <cellStyle name="AÞ¸¶_ ºn¸nº° ¿uº°±a¼u  32 5" xfId="11618"/>
    <cellStyle name="ÄÞ¸¶_ ºñ¸ñº° ¿ùº°±â¼ú  32 5" xfId="11619"/>
    <cellStyle name="AÞ¸¶_ ºn¸nº° ¿uº°±a¼u  32 6" xfId="11620"/>
    <cellStyle name="ÄÞ¸¶_ ºñ¸ñº° ¿ùº°±â¼ú  32 6" xfId="11621"/>
    <cellStyle name="AÞ¸¶_ ºn¸nº° ¿uº°±a¼u  32 7" xfId="11622"/>
    <cellStyle name="ÄÞ¸¶_ ºñ¸ñº° ¿ùº°±â¼ú  32 7" xfId="11623"/>
    <cellStyle name="AÞ¸¶_ ºn¸nº° ¿uº°±a¼u  32 8" xfId="11624"/>
    <cellStyle name="ÄÞ¸¶_ ºñ¸ñº° ¿ùº°±â¼ú  32 8" xfId="11625"/>
    <cellStyle name="AÞ¸¶_ ºn¸nº° ¿uº°±a¼u  32 9" xfId="11626"/>
    <cellStyle name="ÄÞ¸¶_ ºñ¸ñº° ¿ùº°±â¼ú  32 9" xfId="11627"/>
    <cellStyle name="AÞ¸¶_ ºn¸nº° ¿uº°±a¼u  33" xfId="11628"/>
    <cellStyle name="ÄÞ¸¶_ ºñ¸ñº° ¿ùº°±â¼ú  33" xfId="11629"/>
    <cellStyle name="AÞ¸¶_ ºn¸nº° ¿uº°±a¼u  33 10" xfId="11630"/>
    <cellStyle name="ÄÞ¸¶_ ºñ¸ñº° ¿ùº°±â¼ú  33 10" xfId="11631"/>
    <cellStyle name="AÞ¸¶_ ºn¸nº° ¿uº°±a¼u  33 11" xfId="11632"/>
    <cellStyle name="ÄÞ¸¶_ ºñ¸ñº° ¿ùº°±â¼ú  33 11" xfId="11633"/>
    <cellStyle name="AÞ¸¶_ ºn¸nº° ¿uº°±a¼u  33 12" xfId="11634"/>
    <cellStyle name="ÄÞ¸¶_ ºñ¸ñº° ¿ùº°±â¼ú  33 12" xfId="11635"/>
    <cellStyle name="AÞ¸¶_ ºn¸nº° ¿uº°±a¼u  33 13" xfId="11636"/>
    <cellStyle name="ÄÞ¸¶_ ºñ¸ñº° ¿ùº°±â¼ú  33 13" xfId="11637"/>
    <cellStyle name="AÞ¸¶_ ºn¸nº° ¿uº°±a¼u  33 14" xfId="11638"/>
    <cellStyle name="ÄÞ¸¶_ ºñ¸ñº° ¿ùº°±â¼ú  33 14" xfId="11639"/>
    <cellStyle name="AÞ¸¶_ ºn¸nº° ¿uº°±a¼u  33 15" xfId="11640"/>
    <cellStyle name="ÄÞ¸¶_ ºñ¸ñº° ¿ùº°±â¼ú  33 15" xfId="11641"/>
    <cellStyle name="AÞ¸¶_ ºn¸nº° ¿uº°±a¼u  33 16" xfId="11642"/>
    <cellStyle name="ÄÞ¸¶_ ºñ¸ñº° ¿ùº°±â¼ú  33 16" xfId="11643"/>
    <cellStyle name="AÞ¸¶_ ºn¸nº° ¿uº°±a¼u  33 17" xfId="11644"/>
    <cellStyle name="ÄÞ¸¶_ ºñ¸ñº° ¿ùº°±â¼ú  33 17" xfId="11645"/>
    <cellStyle name="AÞ¸¶_ ºn¸nº° ¿uº°±a¼u  33 18" xfId="11646"/>
    <cellStyle name="ÄÞ¸¶_ ºñ¸ñº° ¿ùº°±â¼ú  33 18" xfId="11647"/>
    <cellStyle name="AÞ¸¶_ ºn¸nº° ¿uº°±a¼u  33 19" xfId="11648"/>
    <cellStyle name="ÄÞ¸¶_ ºñ¸ñº° ¿ùº°±â¼ú  33 19" xfId="11649"/>
    <cellStyle name="AÞ¸¶_ ºn¸nº° ¿uº°±a¼u  33 2" xfId="11650"/>
    <cellStyle name="ÄÞ¸¶_ ºñ¸ñº° ¿ùº°±â¼ú  33 2" xfId="11651"/>
    <cellStyle name="AÞ¸¶_ ºn¸nº° ¿uº°±a¼u  33 20" xfId="11652"/>
    <cellStyle name="ÄÞ¸¶_ ºñ¸ñº° ¿ùº°±â¼ú  33 20" xfId="11653"/>
    <cellStyle name="AÞ¸¶_ ºn¸nº° ¿uº°±a¼u  33 21" xfId="11654"/>
    <cellStyle name="ÄÞ¸¶_ ºñ¸ñº° ¿ùº°±â¼ú  33 21" xfId="11655"/>
    <cellStyle name="AÞ¸¶_ ºn¸nº° ¿uº°±a¼u  33 22" xfId="11656"/>
    <cellStyle name="ÄÞ¸¶_ ºñ¸ñº° ¿ùº°±â¼ú  33 22" xfId="11657"/>
    <cellStyle name="AÞ¸¶_ ºn¸nº° ¿uº°±a¼u  33 23" xfId="11658"/>
    <cellStyle name="ÄÞ¸¶_ ºñ¸ñº° ¿ùº°±â¼ú  33 23" xfId="11659"/>
    <cellStyle name="AÞ¸¶_ ºn¸nº° ¿uº°±a¼u  33 24" xfId="11660"/>
    <cellStyle name="ÄÞ¸¶_ ºñ¸ñº° ¿ùº°±â¼ú  33 24" xfId="11661"/>
    <cellStyle name="AÞ¸¶_ ºn¸nº° ¿uº°±a¼u  33 25" xfId="11662"/>
    <cellStyle name="ÄÞ¸¶_ ºñ¸ñº° ¿ùº°±â¼ú  33 25" xfId="11663"/>
    <cellStyle name="AÞ¸¶_ ºn¸nº° ¿uº°±a¼u  33 26" xfId="11664"/>
    <cellStyle name="ÄÞ¸¶_ ºñ¸ñº° ¿ùº°±â¼ú  33 26" xfId="11665"/>
    <cellStyle name="AÞ¸¶_ ºn¸nº° ¿uº°±a¼u  33 27" xfId="11666"/>
    <cellStyle name="ÄÞ¸¶_ ºñ¸ñº° ¿ùº°±â¼ú  33 27" xfId="11667"/>
    <cellStyle name="AÞ¸¶_ ºn¸nº° ¿uº°±a¼u  33 28" xfId="11668"/>
    <cellStyle name="ÄÞ¸¶_ ºñ¸ñº° ¿ùº°±â¼ú  33 28" xfId="11669"/>
    <cellStyle name="AÞ¸¶_ ºn¸nº° ¿uº°±a¼u  33 29" xfId="11670"/>
    <cellStyle name="ÄÞ¸¶_ ºñ¸ñº° ¿ùº°±â¼ú  33 29" xfId="11671"/>
    <cellStyle name="AÞ¸¶_ ºn¸nº° ¿uº°±a¼u  33 3" xfId="11672"/>
    <cellStyle name="ÄÞ¸¶_ ºñ¸ñº° ¿ùº°±â¼ú  33 3" xfId="11673"/>
    <cellStyle name="AÞ¸¶_ ºn¸nº° ¿uº°±a¼u  33 30" xfId="11674"/>
    <cellStyle name="ÄÞ¸¶_ ºñ¸ñº° ¿ùº°±â¼ú  33 30" xfId="11675"/>
    <cellStyle name="AÞ¸¶_ ºn¸nº° ¿uº°±a¼u  33 31" xfId="11676"/>
    <cellStyle name="ÄÞ¸¶_ ºñ¸ñº° ¿ùº°±â¼ú  33 31" xfId="11677"/>
    <cellStyle name="AÞ¸¶_ ºn¸nº° ¿uº°±a¼u  33 32" xfId="11678"/>
    <cellStyle name="ÄÞ¸¶_ ºñ¸ñº° ¿ùº°±â¼ú  33 32" xfId="11679"/>
    <cellStyle name="AÞ¸¶_ ºn¸nº° ¿uº°±a¼u  33 33" xfId="11680"/>
    <cellStyle name="ÄÞ¸¶_ ºñ¸ñº° ¿ùº°±â¼ú  33 33" xfId="11681"/>
    <cellStyle name="AÞ¸¶_ ºn¸nº° ¿uº°±a¼u  33 34" xfId="11682"/>
    <cellStyle name="ÄÞ¸¶_ ºñ¸ñº° ¿ùº°±â¼ú  33 34" xfId="11683"/>
    <cellStyle name="AÞ¸¶_ ºn¸nº° ¿uº°±a¼u  33 4" xfId="11684"/>
    <cellStyle name="ÄÞ¸¶_ ºñ¸ñº° ¿ùº°±â¼ú  33 4" xfId="11685"/>
    <cellStyle name="AÞ¸¶_ ºn¸nº° ¿uº°±a¼u  33 5" xfId="11686"/>
    <cellStyle name="ÄÞ¸¶_ ºñ¸ñº° ¿ùº°±â¼ú  33 5" xfId="11687"/>
    <cellStyle name="AÞ¸¶_ ºn¸nº° ¿uº°±a¼u  33 6" xfId="11688"/>
    <cellStyle name="ÄÞ¸¶_ ºñ¸ñº° ¿ùº°±â¼ú  33 6" xfId="11689"/>
    <cellStyle name="AÞ¸¶_ ºn¸nº° ¿uº°±a¼u  33 7" xfId="11690"/>
    <cellStyle name="ÄÞ¸¶_ ºñ¸ñº° ¿ùº°±â¼ú  33 7" xfId="11691"/>
    <cellStyle name="AÞ¸¶_ ºn¸nº° ¿uº°±a¼u  33 8" xfId="11692"/>
    <cellStyle name="ÄÞ¸¶_ ºñ¸ñº° ¿ùº°±â¼ú  33 8" xfId="11693"/>
    <cellStyle name="AÞ¸¶_ ºn¸nº° ¿uº°±a¼u  33 9" xfId="11694"/>
    <cellStyle name="ÄÞ¸¶_ ºñ¸ñº° ¿ùº°±â¼ú  33 9" xfId="11695"/>
    <cellStyle name="AÞ¸¶_ ºn¸nº° ¿uº°±a¼u  34" xfId="11696"/>
    <cellStyle name="ÄÞ¸¶_ ºñ¸ñº° ¿ùº°±â¼ú  34" xfId="11697"/>
    <cellStyle name="AÞ¸¶_ ºn¸nº° ¿uº°±a¼u  34 10" xfId="11698"/>
    <cellStyle name="ÄÞ¸¶_ ºñ¸ñº° ¿ùº°±â¼ú  34 10" xfId="11699"/>
    <cellStyle name="AÞ¸¶_ ºn¸nº° ¿uº°±a¼u  34 11" xfId="11700"/>
    <cellStyle name="ÄÞ¸¶_ ºñ¸ñº° ¿ùº°±â¼ú  34 11" xfId="11701"/>
    <cellStyle name="AÞ¸¶_ ºn¸nº° ¿uº°±a¼u  34 12" xfId="11702"/>
    <cellStyle name="ÄÞ¸¶_ ºñ¸ñº° ¿ùº°±â¼ú  34 12" xfId="11703"/>
    <cellStyle name="AÞ¸¶_ ºn¸nº° ¿uº°±a¼u  34 13" xfId="11704"/>
    <cellStyle name="ÄÞ¸¶_ ºñ¸ñº° ¿ùº°±â¼ú  34 13" xfId="11705"/>
    <cellStyle name="AÞ¸¶_ ºn¸nº° ¿uº°±a¼u  34 14" xfId="11706"/>
    <cellStyle name="ÄÞ¸¶_ ºñ¸ñº° ¿ùº°±â¼ú  34 14" xfId="11707"/>
    <cellStyle name="AÞ¸¶_ ºn¸nº° ¿uº°±a¼u  34 15" xfId="11708"/>
    <cellStyle name="ÄÞ¸¶_ ºñ¸ñº° ¿ùº°±â¼ú  34 15" xfId="11709"/>
    <cellStyle name="AÞ¸¶_ ºn¸nº° ¿uº°±a¼u  34 16" xfId="11710"/>
    <cellStyle name="ÄÞ¸¶_ ºñ¸ñº° ¿ùº°±â¼ú  34 16" xfId="11711"/>
    <cellStyle name="AÞ¸¶_ ºn¸nº° ¿uº°±a¼u  34 17" xfId="11712"/>
    <cellStyle name="ÄÞ¸¶_ ºñ¸ñº° ¿ùº°±â¼ú  34 17" xfId="11713"/>
    <cellStyle name="AÞ¸¶_ ºn¸nº° ¿uº°±a¼u  34 18" xfId="11714"/>
    <cellStyle name="ÄÞ¸¶_ ºñ¸ñº° ¿ùº°±â¼ú  34 18" xfId="11715"/>
    <cellStyle name="AÞ¸¶_ ºn¸nº° ¿uº°±a¼u  34 19" xfId="11716"/>
    <cellStyle name="ÄÞ¸¶_ ºñ¸ñº° ¿ùº°±â¼ú  34 19" xfId="11717"/>
    <cellStyle name="AÞ¸¶_ ºn¸nº° ¿uº°±a¼u  34 2" xfId="11718"/>
    <cellStyle name="ÄÞ¸¶_ ºñ¸ñº° ¿ùº°±â¼ú  34 2" xfId="11719"/>
    <cellStyle name="AÞ¸¶_ ºn¸nº° ¿uº°±a¼u  34 20" xfId="11720"/>
    <cellStyle name="ÄÞ¸¶_ ºñ¸ñº° ¿ùº°±â¼ú  34 20" xfId="11721"/>
    <cellStyle name="AÞ¸¶_ ºn¸nº° ¿uº°±a¼u  34 21" xfId="11722"/>
    <cellStyle name="ÄÞ¸¶_ ºñ¸ñº° ¿ùº°±â¼ú  34 21" xfId="11723"/>
    <cellStyle name="AÞ¸¶_ ºn¸nº° ¿uº°±a¼u  34 22" xfId="11724"/>
    <cellStyle name="ÄÞ¸¶_ ºñ¸ñº° ¿ùº°±â¼ú  34 22" xfId="11725"/>
    <cellStyle name="AÞ¸¶_ ºn¸nº° ¿uº°±a¼u  34 23" xfId="11726"/>
    <cellStyle name="ÄÞ¸¶_ ºñ¸ñº° ¿ùº°±â¼ú  34 23" xfId="11727"/>
    <cellStyle name="AÞ¸¶_ ºn¸nº° ¿uº°±a¼u  34 24" xfId="11728"/>
    <cellStyle name="ÄÞ¸¶_ ºñ¸ñº° ¿ùº°±â¼ú  34 24" xfId="11729"/>
    <cellStyle name="AÞ¸¶_ ºn¸nº° ¿uº°±a¼u  34 25" xfId="11730"/>
    <cellStyle name="ÄÞ¸¶_ ºñ¸ñº° ¿ùº°±â¼ú  34 25" xfId="11731"/>
    <cellStyle name="AÞ¸¶_ ºn¸nº° ¿uº°±a¼u  34 26" xfId="11732"/>
    <cellStyle name="ÄÞ¸¶_ ºñ¸ñº° ¿ùº°±â¼ú  34 26" xfId="11733"/>
    <cellStyle name="AÞ¸¶_ ºn¸nº° ¿uº°±a¼u  34 27" xfId="11734"/>
    <cellStyle name="ÄÞ¸¶_ ºñ¸ñº° ¿ùº°±â¼ú  34 27" xfId="11735"/>
    <cellStyle name="AÞ¸¶_ ºn¸nº° ¿uº°±a¼u  34 28" xfId="11736"/>
    <cellStyle name="ÄÞ¸¶_ ºñ¸ñº° ¿ùº°±â¼ú  34 28" xfId="11737"/>
    <cellStyle name="AÞ¸¶_ ºn¸nº° ¿uº°±a¼u  34 29" xfId="11738"/>
    <cellStyle name="ÄÞ¸¶_ ºñ¸ñº° ¿ùº°±â¼ú  34 29" xfId="11739"/>
    <cellStyle name="AÞ¸¶_ ºn¸nº° ¿uº°±a¼u  34 3" xfId="11740"/>
    <cellStyle name="ÄÞ¸¶_ ºñ¸ñº° ¿ùº°±â¼ú  34 3" xfId="11741"/>
    <cellStyle name="AÞ¸¶_ ºn¸nº° ¿uº°±a¼u  34 30" xfId="11742"/>
    <cellStyle name="ÄÞ¸¶_ ºñ¸ñº° ¿ùº°±â¼ú  34 30" xfId="11743"/>
    <cellStyle name="AÞ¸¶_ ºn¸nº° ¿uº°±a¼u  34 31" xfId="11744"/>
    <cellStyle name="ÄÞ¸¶_ ºñ¸ñº° ¿ùº°±â¼ú  34 31" xfId="11745"/>
    <cellStyle name="AÞ¸¶_ ºn¸nº° ¿uº°±a¼u  34 32" xfId="11746"/>
    <cellStyle name="ÄÞ¸¶_ ºñ¸ñº° ¿ùº°±â¼ú  34 32" xfId="11747"/>
    <cellStyle name="AÞ¸¶_ ºn¸nº° ¿uº°±a¼u  34 33" xfId="11748"/>
    <cellStyle name="ÄÞ¸¶_ ºñ¸ñº° ¿ùº°±â¼ú  34 33" xfId="11749"/>
    <cellStyle name="AÞ¸¶_ ºn¸nº° ¿uº°±a¼u  34 34" xfId="11750"/>
    <cellStyle name="ÄÞ¸¶_ ºñ¸ñº° ¿ùº°±â¼ú  34 34" xfId="11751"/>
    <cellStyle name="AÞ¸¶_ ºn¸nº° ¿uº°±a¼u  34 4" xfId="11752"/>
    <cellStyle name="ÄÞ¸¶_ ºñ¸ñº° ¿ùº°±â¼ú  34 4" xfId="11753"/>
    <cellStyle name="AÞ¸¶_ ºn¸nº° ¿uº°±a¼u  34 5" xfId="11754"/>
    <cellStyle name="ÄÞ¸¶_ ºñ¸ñº° ¿ùº°±â¼ú  34 5" xfId="11755"/>
    <cellStyle name="AÞ¸¶_ ºn¸nº° ¿uº°±a¼u  34 6" xfId="11756"/>
    <cellStyle name="ÄÞ¸¶_ ºñ¸ñº° ¿ùº°±â¼ú  34 6" xfId="11757"/>
    <cellStyle name="AÞ¸¶_ ºn¸nº° ¿uº°±a¼u  34 7" xfId="11758"/>
    <cellStyle name="ÄÞ¸¶_ ºñ¸ñº° ¿ùº°±â¼ú  34 7" xfId="11759"/>
    <cellStyle name="AÞ¸¶_ ºn¸nº° ¿uº°±a¼u  34 8" xfId="11760"/>
    <cellStyle name="ÄÞ¸¶_ ºñ¸ñº° ¿ùº°±â¼ú  34 8" xfId="11761"/>
    <cellStyle name="AÞ¸¶_ ºn¸nº° ¿uº°±a¼u  34 9" xfId="11762"/>
    <cellStyle name="ÄÞ¸¶_ ºñ¸ñº° ¿ùº°±â¼ú  34 9" xfId="11763"/>
    <cellStyle name="AÞ¸¶_ ºn¸nº° ¿uº°±a¼u  35" xfId="11764"/>
    <cellStyle name="ÄÞ¸¶_ ºñ¸ñº° ¿ùº°±â¼ú  35" xfId="11765"/>
    <cellStyle name="AÞ¸¶_ ºn¸nº° ¿uº°±a¼u  35 10" xfId="11766"/>
    <cellStyle name="ÄÞ¸¶_ ºñ¸ñº° ¿ùº°±â¼ú  35 10" xfId="11767"/>
    <cellStyle name="AÞ¸¶_ ºn¸nº° ¿uº°±a¼u  35 11" xfId="11768"/>
    <cellStyle name="ÄÞ¸¶_ ºñ¸ñº° ¿ùº°±â¼ú  35 11" xfId="11769"/>
    <cellStyle name="AÞ¸¶_ ºn¸nº° ¿uº°±a¼u  35 12" xfId="11770"/>
    <cellStyle name="ÄÞ¸¶_ ºñ¸ñº° ¿ùº°±â¼ú  35 12" xfId="11771"/>
    <cellStyle name="AÞ¸¶_ ºn¸nº° ¿uº°±a¼u  35 13" xfId="11772"/>
    <cellStyle name="ÄÞ¸¶_ ºñ¸ñº° ¿ùº°±â¼ú  35 13" xfId="11773"/>
    <cellStyle name="AÞ¸¶_ ºn¸nº° ¿uº°±a¼u  35 14" xfId="11774"/>
    <cellStyle name="ÄÞ¸¶_ ºñ¸ñº° ¿ùº°±â¼ú  35 14" xfId="11775"/>
    <cellStyle name="AÞ¸¶_ ºn¸nº° ¿uº°±a¼u  35 15" xfId="11776"/>
    <cellStyle name="ÄÞ¸¶_ ºñ¸ñº° ¿ùº°±â¼ú  35 15" xfId="11777"/>
    <cellStyle name="AÞ¸¶_ ºn¸nº° ¿uº°±a¼u  35 16" xfId="11778"/>
    <cellStyle name="ÄÞ¸¶_ ºñ¸ñº° ¿ùº°±â¼ú  35 16" xfId="11779"/>
    <cellStyle name="AÞ¸¶_ ºn¸nº° ¿uº°±a¼u  35 17" xfId="11780"/>
    <cellStyle name="ÄÞ¸¶_ ºñ¸ñº° ¿ùº°±â¼ú  35 17" xfId="11781"/>
    <cellStyle name="AÞ¸¶_ ºn¸nº° ¿uº°±a¼u  35 18" xfId="11782"/>
    <cellStyle name="ÄÞ¸¶_ ºñ¸ñº° ¿ùº°±â¼ú  35 18" xfId="11783"/>
    <cellStyle name="AÞ¸¶_ ºn¸nº° ¿uº°±a¼u  35 19" xfId="11784"/>
    <cellStyle name="ÄÞ¸¶_ ºñ¸ñº° ¿ùº°±â¼ú  35 19" xfId="11785"/>
    <cellStyle name="AÞ¸¶_ ºn¸nº° ¿uº°±a¼u  35 2" xfId="11786"/>
    <cellStyle name="ÄÞ¸¶_ ºñ¸ñº° ¿ùº°±â¼ú  35 2" xfId="11787"/>
    <cellStyle name="AÞ¸¶_ ºn¸nº° ¿uº°±a¼u  35 20" xfId="11788"/>
    <cellStyle name="ÄÞ¸¶_ ºñ¸ñº° ¿ùº°±â¼ú  35 20" xfId="11789"/>
    <cellStyle name="AÞ¸¶_ ºn¸nº° ¿uº°±a¼u  35 21" xfId="11790"/>
    <cellStyle name="ÄÞ¸¶_ ºñ¸ñº° ¿ùº°±â¼ú  35 21" xfId="11791"/>
    <cellStyle name="AÞ¸¶_ ºn¸nº° ¿uº°±a¼u  35 22" xfId="11792"/>
    <cellStyle name="ÄÞ¸¶_ ºñ¸ñº° ¿ùº°±â¼ú  35 22" xfId="11793"/>
    <cellStyle name="AÞ¸¶_ ºn¸nº° ¿uº°±a¼u  35 23" xfId="11794"/>
    <cellStyle name="ÄÞ¸¶_ ºñ¸ñº° ¿ùº°±â¼ú  35 23" xfId="11795"/>
    <cellStyle name="AÞ¸¶_ ºn¸nº° ¿uº°±a¼u  35 24" xfId="11796"/>
    <cellStyle name="ÄÞ¸¶_ ºñ¸ñº° ¿ùº°±â¼ú  35 24" xfId="11797"/>
    <cellStyle name="AÞ¸¶_ ºn¸nº° ¿uº°±a¼u  35 25" xfId="11798"/>
    <cellStyle name="ÄÞ¸¶_ ºñ¸ñº° ¿ùº°±â¼ú  35 25" xfId="11799"/>
    <cellStyle name="AÞ¸¶_ ºn¸nº° ¿uº°±a¼u  35 26" xfId="11800"/>
    <cellStyle name="ÄÞ¸¶_ ºñ¸ñº° ¿ùº°±â¼ú  35 26" xfId="11801"/>
    <cellStyle name="AÞ¸¶_ ºn¸nº° ¿uº°±a¼u  35 27" xfId="11802"/>
    <cellStyle name="ÄÞ¸¶_ ºñ¸ñº° ¿ùº°±â¼ú  35 27" xfId="11803"/>
    <cellStyle name="AÞ¸¶_ ºn¸nº° ¿uº°±a¼u  35 28" xfId="11804"/>
    <cellStyle name="ÄÞ¸¶_ ºñ¸ñº° ¿ùº°±â¼ú  35 28" xfId="11805"/>
    <cellStyle name="AÞ¸¶_ ºn¸nº° ¿uº°±a¼u  35 29" xfId="11806"/>
    <cellStyle name="ÄÞ¸¶_ ºñ¸ñº° ¿ùº°±â¼ú  35 29" xfId="11807"/>
    <cellStyle name="AÞ¸¶_ ºn¸nº° ¿uº°±a¼u  35 3" xfId="11808"/>
    <cellStyle name="ÄÞ¸¶_ ºñ¸ñº° ¿ùº°±â¼ú  35 3" xfId="11809"/>
    <cellStyle name="AÞ¸¶_ ºn¸nº° ¿uº°±a¼u  35 30" xfId="11810"/>
    <cellStyle name="ÄÞ¸¶_ ºñ¸ñº° ¿ùº°±â¼ú  35 30" xfId="11811"/>
    <cellStyle name="AÞ¸¶_ ºn¸nº° ¿uº°±a¼u  35 31" xfId="11812"/>
    <cellStyle name="ÄÞ¸¶_ ºñ¸ñº° ¿ùº°±â¼ú  35 31" xfId="11813"/>
    <cellStyle name="AÞ¸¶_ ºn¸nº° ¿uº°±a¼u  35 32" xfId="11814"/>
    <cellStyle name="ÄÞ¸¶_ ºñ¸ñº° ¿ùº°±â¼ú  35 32" xfId="11815"/>
    <cellStyle name="AÞ¸¶_ ºn¸nº° ¿uº°±a¼u  35 33" xfId="11816"/>
    <cellStyle name="ÄÞ¸¶_ ºñ¸ñº° ¿ùº°±â¼ú  35 33" xfId="11817"/>
    <cellStyle name="AÞ¸¶_ ºn¸nº° ¿uº°±a¼u  35 34" xfId="11818"/>
    <cellStyle name="ÄÞ¸¶_ ºñ¸ñº° ¿ùº°±â¼ú  35 34" xfId="11819"/>
    <cellStyle name="AÞ¸¶_ ºn¸nº° ¿uº°±a¼u  35 4" xfId="11820"/>
    <cellStyle name="ÄÞ¸¶_ ºñ¸ñº° ¿ùº°±â¼ú  35 4" xfId="11821"/>
    <cellStyle name="AÞ¸¶_ ºn¸nº° ¿uº°±a¼u  35 5" xfId="11822"/>
    <cellStyle name="ÄÞ¸¶_ ºñ¸ñº° ¿ùº°±â¼ú  35 5" xfId="11823"/>
    <cellStyle name="AÞ¸¶_ ºn¸nº° ¿uº°±a¼u  35 6" xfId="11824"/>
    <cellStyle name="ÄÞ¸¶_ ºñ¸ñº° ¿ùº°±â¼ú  35 6" xfId="11825"/>
    <cellStyle name="AÞ¸¶_ ºn¸nº° ¿uº°±a¼u  35 7" xfId="11826"/>
    <cellStyle name="ÄÞ¸¶_ ºñ¸ñº° ¿ùº°±â¼ú  35 7" xfId="11827"/>
    <cellStyle name="AÞ¸¶_ ºn¸nº° ¿uº°±a¼u  35 8" xfId="11828"/>
    <cellStyle name="ÄÞ¸¶_ ºñ¸ñº° ¿ùº°±â¼ú  35 8" xfId="11829"/>
    <cellStyle name="AÞ¸¶_ ºn¸nº° ¿uº°±a¼u  35 9" xfId="11830"/>
    <cellStyle name="ÄÞ¸¶_ ºñ¸ñº° ¿ùº°±â¼ú  35 9" xfId="11831"/>
    <cellStyle name="AÞ¸¶_ ºn¸nº° ¿uº°±a¼u  36" xfId="11832"/>
    <cellStyle name="ÄÞ¸¶_ ºñ¸ñº° ¿ùº°±â¼ú  36" xfId="11833"/>
    <cellStyle name="AÞ¸¶_ ºn¸nº° ¿uº°±a¼u  36 10" xfId="11834"/>
    <cellStyle name="ÄÞ¸¶_ ºñ¸ñº° ¿ùº°±â¼ú  36 10" xfId="11835"/>
    <cellStyle name="AÞ¸¶_ ºn¸nº° ¿uº°±a¼u  36 11" xfId="11836"/>
    <cellStyle name="ÄÞ¸¶_ ºñ¸ñº° ¿ùº°±â¼ú  36 11" xfId="11837"/>
    <cellStyle name="AÞ¸¶_ ºn¸nº° ¿uº°±a¼u  36 12" xfId="11838"/>
    <cellStyle name="ÄÞ¸¶_ ºñ¸ñº° ¿ùº°±â¼ú  36 12" xfId="11839"/>
    <cellStyle name="AÞ¸¶_ ºn¸nº° ¿uº°±a¼u  36 13" xfId="11840"/>
    <cellStyle name="ÄÞ¸¶_ ºñ¸ñº° ¿ùº°±â¼ú  36 13" xfId="11841"/>
    <cellStyle name="AÞ¸¶_ ºn¸nº° ¿uº°±a¼u  36 14" xfId="11842"/>
    <cellStyle name="ÄÞ¸¶_ ºñ¸ñº° ¿ùº°±â¼ú  36 14" xfId="11843"/>
    <cellStyle name="AÞ¸¶_ ºn¸nº° ¿uº°±a¼u  36 15" xfId="11844"/>
    <cellStyle name="ÄÞ¸¶_ ºñ¸ñº° ¿ùº°±â¼ú  36 15" xfId="11845"/>
    <cellStyle name="AÞ¸¶_ ºn¸nº° ¿uº°±a¼u  36 16" xfId="11846"/>
    <cellStyle name="ÄÞ¸¶_ ºñ¸ñº° ¿ùº°±â¼ú  36 16" xfId="11847"/>
    <cellStyle name="AÞ¸¶_ ºn¸nº° ¿uº°±a¼u  36 17" xfId="11848"/>
    <cellStyle name="ÄÞ¸¶_ ºñ¸ñº° ¿ùº°±â¼ú  36 17" xfId="11849"/>
    <cellStyle name="AÞ¸¶_ ºn¸nº° ¿uº°±a¼u  36 18" xfId="11850"/>
    <cellStyle name="ÄÞ¸¶_ ºñ¸ñº° ¿ùº°±â¼ú  36 18" xfId="11851"/>
    <cellStyle name="AÞ¸¶_ ºn¸nº° ¿uº°±a¼u  36 19" xfId="11852"/>
    <cellStyle name="ÄÞ¸¶_ ºñ¸ñº° ¿ùº°±â¼ú  36 19" xfId="11853"/>
    <cellStyle name="AÞ¸¶_ ºn¸nº° ¿uº°±a¼u  36 2" xfId="11854"/>
    <cellStyle name="ÄÞ¸¶_ ºñ¸ñº° ¿ùº°±â¼ú  36 2" xfId="11855"/>
    <cellStyle name="AÞ¸¶_ ºn¸nº° ¿uº°±a¼u  36 20" xfId="11856"/>
    <cellStyle name="ÄÞ¸¶_ ºñ¸ñº° ¿ùº°±â¼ú  36 20" xfId="11857"/>
    <cellStyle name="AÞ¸¶_ ºn¸nº° ¿uº°±a¼u  36 21" xfId="11858"/>
    <cellStyle name="ÄÞ¸¶_ ºñ¸ñº° ¿ùº°±â¼ú  36 21" xfId="11859"/>
    <cellStyle name="AÞ¸¶_ ºn¸nº° ¿uº°±a¼u  36 22" xfId="11860"/>
    <cellStyle name="ÄÞ¸¶_ ºñ¸ñº° ¿ùº°±â¼ú  36 22" xfId="11861"/>
    <cellStyle name="AÞ¸¶_ ºn¸nº° ¿uº°±a¼u  36 23" xfId="11862"/>
    <cellStyle name="ÄÞ¸¶_ ºñ¸ñº° ¿ùº°±â¼ú  36 23" xfId="11863"/>
    <cellStyle name="AÞ¸¶_ ºn¸nº° ¿uº°±a¼u  36 24" xfId="11864"/>
    <cellStyle name="ÄÞ¸¶_ ºñ¸ñº° ¿ùº°±â¼ú  36 24" xfId="11865"/>
    <cellStyle name="AÞ¸¶_ ºn¸nº° ¿uº°±a¼u  36 25" xfId="11866"/>
    <cellStyle name="ÄÞ¸¶_ ºñ¸ñº° ¿ùº°±â¼ú  36 25" xfId="11867"/>
    <cellStyle name="AÞ¸¶_ ºn¸nº° ¿uº°±a¼u  36 26" xfId="11868"/>
    <cellStyle name="ÄÞ¸¶_ ºñ¸ñº° ¿ùº°±â¼ú  36 26" xfId="11869"/>
    <cellStyle name="AÞ¸¶_ ºn¸nº° ¿uº°±a¼u  36 27" xfId="11870"/>
    <cellStyle name="ÄÞ¸¶_ ºñ¸ñº° ¿ùº°±â¼ú  36 27" xfId="11871"/>
    <cellStyle name="AÞ¸¶_ ºn¸nº° ¿uº°±a¼u  36 28" xfId="11872"/>
    <cellStyle name="ÄÞ¸¶_ ºñ¸ñº° ¿ùº°±â¼ú  36 28" xfId="11873"/>
    <cellStyle name="AÞ¸¶_ ºn¸nº° ¿uº°±a¼u  36 29" xfId="11874"/>
    <cellStyle name="ÄÞ¸¶_ ºñ¸ñº° ¿ùº°±â¼ú  36 29" xfId="11875"/>
    <cellStyle name="AÞ¸¶_ ºn¸nº° ¿uº°±a¼u  36 3" xfId="11876"/>
    <cellStyle name="ÄÞ¸¶_ ºñ¸ñº° ¿ùº°±â¼ú  36 3" xfId="11877"/>
    <cellStyle name="AÞ¸¶_ ºn¸nº° ¿uº°±a¼u  36 30" xfId="11878"/>
    <cellStyle name="ÄÞ¸¶_ ºñ¸ñº° ¿ùº°±â¼ú  36 30" xfId="11879"/>
    <cellStyle name="AÞ¸¶_ ºn¸nº° ¿uº°±a¼u  36 31" xfId="11880"/>
    <cellStyle name="ÄÞ¸¶_ ºñ¸ñº° ¿ùº°±â¼ú  36 31" xfId="11881"/>
    <cellStyle name="AÞ¸¶_ ºn¸nº° ¿uº°±a¼u  36 32" xfId="11882"/>
    <cellStyle name="ÄÞ¸¶_ ºñ¸ñº° ¿ùº°±â¼ú  36 32" xfId="11883"/>
    <cellStyle name="AÞ¸¶_ ºn¸nº° ¿uº°±a¼u  36 33" xfId="11884"/>
    <cellStyle name="ÄÞ¸¶_ ºñ¸ñº° ¿ùº°±â¼ú  36 33" xfId="11885"/>
    <cellStyle name="AÞ¸¶_ ºn¸nº° ¿uº°±a¼u  36 34" xfId="11886"/>
    <cellStyle name="ÄÞ¸¶_ ºñ¸ñº° ¿ùº°±â¼ú  36 34" xfId="11887"/>
    <cellStyle name="AÞ¸¶_ ºn¸nº° ¿uº°±a¼u  36 4" xfId="11888"/>
    <cellStyle name="ÄÞ¸¶_ ºñ¸ñº° ¿ùº°±â¼ú  36 4" xfId="11889"/>
    <cellStyle name="AÞ¸¶_ ºn¸nº° ¿uº°±a¼u  36 5" xfId="11890"/>
    <cellStyle name="ÄÞ¸¶_ ºñ¸ñº° ¿ùº°±â¼ú  36 5" xfId="11891"/>
    <cellStyle name="AÞ¸¶_ ºn¸nº° ¿uº°±a¼u  36 6" xfId="11892"/>
    <cellStyle name="ÄÞ¸¶_ ºñ¸ñº° ¿ùº°±â¼ú  36 6" xfId="11893"/>
    <cellStyle name="AÞ¸¶_ ºn¸nº° ¿uº°±a¼u  36 7" xfId="11894"/>
    <cellStyle name="ÄÞ¸¶_ ºñ¸ñº° ¿ùº°±â¼ú  36 7" xfId="11895"/>
    <cellStyle name="AÞ¸¶_ ºn¸nº° ¿uº°±a¼u  36 8" xfId="11896"/>
    <cellStyle name="ÄÞ¸¶_ ºñ¸ñº° ¿ùº°±â¼ú  36 8" xfId="11897"/>
    <cellStyle name="AÞ¸¶_ ºn¸nº° ¿uº°±a¼u  36 9" xfId="11898"/>
    <cellStyle name="ÄÞ¸¶_ ºñ¸ñº° ¿ùº°±â¼ú  36 9" xfId="11899"/>
    <cellStyle name="AÞ¸¶_ ºn¸nº° ¿uº°±a¼u  37" xfId="11900"/>
    <cellStyle name="ÄÞ¸¶_ ºñ¸ñº° ¿ùº°±â¼ú  37" xfId="11901"/>
    <cellStyle name="AÞ¸¶_ ºn¸nº° ¿uº°±a¼u  37 10" xfId="11902"/>
    <cellStyle name="ÄÞ¸¶_ ºñ¸ñº° ¿ùº°±â¼ú  37 10" xfId="11903"/>
    <cellStyle name="AÞ¸¶_ ºn¸nº° ¿uº°±a¼u  37 11" xfId="11904"/>
    <cellStyle name="ÄÞ¸¶_ ºñ¸ñº° ¿ùº°±â¼ú  37 11" xfId="11905"/>
    <cellStyle name="AÞ¸¶_ ºn¸nº° ¿uº°±a¼u  37 12" xfId="11906"/>
    <cellStyle name="ÄÞ¸¶_ ºñ¸ñº° ¿ùº°±â¼ú  37 12" xfId="11907"/>
    <cellStyle name="AÞ¸¶_ ºn¸nº° ¿uº°±a¼u  37 13" xfId="11908"/>
    <cellStyle name="ÄÞ¸¶_ ºñ¸ñº° ¿ùº°±â¼ú  37 13" xfId="11909"/>
    <cellStyle name="AÞ¸¶_ ºn¸nº° ¿uº°±a¼u  37 14" xfId="11910"/>
    <cellStyle name="ÄÞ¸¶_ ºñ¸ñº° ¿ùº°±â¼ú  37 14" xfId="11911"/>
    <cellStyle name="AÞ¸¶_ ºn¸nº° ¿uº°±a¼u  37 15" xfId="11912"/>
    <cellStyle name="ÄÞ¸¶_ ºñ¸ñº° ¿ùº°±â¼ú  37 15" xfId="11913"/>
    <cellStyle name="AÞ¸¶_ ºn¸nº° ¿uº°±a¼u  37 16" xfId="11914"/>
    <cellStyle name="ÄÞ¸¶_ ºñ¸ñº° ¿ùº°±â¼ú  37 16" xfId="11915"/>
    <cellStyle name="AÞ¸¶_ ºn¸nº° ¿uº°±a¼u  37 17" xfId="11916"/>
    <cellStyle name="ÄÞ¸¶_ ºñ¸ñº° ¿ùº°±â¼ú  37 17" xfId="11917"/>
    <cellStyle name="AÞ¸¶_ ºn¸nº° ¿uº°±a¼u  37 18" xfId="11918"/>
    <cellStyle name="ÄÞ¸¶_ ºñ¸ñº° ¿ùº°±â¼ú  37 18" xfId="11919"/>
    <cellStyle name="AÞ¸¶_ ºn¸nº° ¿uº°±a¼u  37 19" xfId="11920"/>
    <cellStyle name="ÄÞ¸¶_ ºñ¸ñº° ¿ùº°±â¼ú  37 19" xfId="11921"/>
    <cellStyle name="AÞ¸¶_ ºn¸nº° ¿uº°±a¼u  37 2" xfId="11922"/>
    <cellStyle name="ÄÞ¸¶_ ºñ¸ñº° ¿ùº°±â¼ú  37 2" xfId="11923"/>
    <cellStyle name="AÞ¸¶_ ºn¸nº° ¿uº°±a¼u  37 20" xfId="11924"/>
    <cellStyle name="ÄÞ¸¶_ ºñ¸ñº° ¿ùº°±â¼ú  37 20" xfId="11925"/>
    <cellStyle name="AÞ¸¶_ ºn¸nº° ¿uº°±a¼u  37 21" xfId="11926"/>
    <cellStyle name="ÄÞ¸¶_ ºñ¸ñº° ¿ùº°±â¼ú  37 21" xfId="11927"/>
    <cellStyle name="AÞ¸¶_ ºn¸nº° ¿uº°±a¼u  37 22" xfId="11928"/>
    <cellStyle name="ÄÞ¸¶_ ºñ¸ñº° ¿ùº°±â¼ú  37 22" xfId="11929"/>
    <cellStyle name="AÞ¸¶_ ºn¸nº° ¿uº°±a¼u  37 23" xfId="11930"/>
    <cellStyle name="ÄÞ¸¶_ ºñ¸ñº° ¿ùº°±â¼ú  37 23" xfId="11931"/>
    <cellStyle name="AÞ¸¶_ ºn¸nº° ¿uº°±a¼u  37 24" xfId="11932"/>
    <cellStyle name="ÄÞ¸¶_ ºñ¸ñº° ¿ùº°±â¼ú  37 24" xfId="11933"/>
    <cellStyle name="AÞ¸¶_ ºn¸nº° ¿uº°±a¼u  37 25" xfId="11934"/>
    <cellStyle name="ÄÞ¸¶_ ºñ¸ñº° ¿ùº°±â¼ú  37 25" xfId="11935"/>
    <cellStyle name="AÞ¸¶_ ºn¸nº° ¿uº°±a¼u  37 26" xfId="11936"/>
    <cellStyle name="ÄÞ¸¶_ ºñ¸ñº° ¿ùº°±â¼ú  37 26" xfId="11937"/>
    <cellStyle name="AÞ¸¶_ ºn¸nº° ¿uº°±a¼u  37 27" xfId="11938"/>
    <cellStyle name="ÄÞ¸¶_ ºñ¸ñº° ¿ùº°±â¼ú  37 27" xfId="11939"/>
    <cellStyle name="AÞ¸¶_ ºn¸nº° ¿uº°±a¼u  37 28" xfId="11940"/>
    <cellStyle name="ÄÞ¸¶_ ºñ¸ñº° ¿ùº°±â¼ú  37 28" xfId="11941"/>
    <cellStyle name="AÞ¸¶_ ºn¸nº° ¿uº°±a¼u  37 29" xfId="11942"/>
    <cellStyle name="ÄÞ¸¶_ ºñ¸ñº° ¿ùº°±â¼ú  37 29" xfId="11943"/>
    <cellStyle name="AÞ¸¶_ ºn¸nº° ¿uº°±a¼u  37 3" xfId="11944"/>
    <cellStyle name="ÄÞ¸¶_ ºñ¸ñº° ¿ùº°±â¼ú  37 3" xfId="11945"/>
    <cellStyle name="AÞ¸¶_ ºn¸nº° ¿uº°±a¼u  37 30" xfId="11946"/>
    <cellStyle name="ÄÞ¸¶_ ºñ¸ñº° ¿ùº°±â¼ú  37 30" xfId="11947"/>
    <cellStyle name="AÞ¸¶_ ºn¸nº° ¿uº°±a¼u  37 31" xfId="11948"/>
    <cellStyle name="ÄÞ¸¶_ ºñ¸ñº° ¿ùº°±â¼ú  37 31" xfId="11949"/>
    <cellStyle name="AÞ¸¶_ ºn¸nº° ¿uº°±a¼u  37 32" xfId="11950"/>
    <cellStyle name="ÄÞ¸¶_ ºñ¸ñº° ¿ùº°±â¼ú  37 32" xfId="11951"/>
    <cellStyle name="AÞ¸¶_ ºn¸nº° ¿uº°±a¼u  37 33" xfId="11952"/>
    <cellStyle name="ÄÞ¸¶_ ºñ¸ñº° ¿ùº°±â¼ú  37 33" xfId="11953"/>
    <cellStyle name="AÞ¸¶_ ºn¸nº° ¿uº°±a¼u  37 34" xfId="11954"/>
    <cellStyle name="ÄÞ¸¶_ ºñ¸ñº° ¿ùº°±â¼ú  37 34" xfId="11955"/>
    <cellStyle name="AÞ¸¶_ ºn¸nº° ¿uº°±a¼u  37 4" xfId="11956"/>
    <cellStyle name="ÄÞ¸¶_ ºñ¸ñº° ¿ùº°±â¼ú  37 4" xfId="11957"/>
    <cellStyle name="AÞ¸¶_ ºn¸nº° ¿uº°±a¼u  37 5" xfId="11958"/>
    <cellStyle name="ÄÞ¸¶_ ºñ¸ñº° ¿ùº°±â¼ú  37 5" xfId="11959"/>
    <cellStyle name="AÞ¸¶_ ºn¸nº° ¿uº°±a¼u  37 6" xfId="11960"/>
    <cellStyle name="ÄÞ¸¶_ ºñ¸ñº° ¿ùº°±â¼ú  37 6" xfId="11961"/>
    <cellStyle name="AÞ¸¶_ ºn¸nº° ¿uº°±a¼u  37 7" xfId="11962"/>
    <cellStyle name="ÄÞ¸¶_ ºñ¸ñº° ¿ùº°±â¼ú  37 7" xfId="11963"/>
    <cellStyle name="AÞ¸¶_ ºn¸nº° ¿uº°±a¼u  37 8" xfId="11964"/>
    <cellStyle name="ÄÞ¸¶_ ºñ¸ñº° ¿ùº°±â¼ú  37 8" xfId="11965"/>
    <cellStyle name="AÞ¸¶_ ºn¸nº° ¿uº°±a¼u  37 9" xfId="11966"/>
    <cellStyle name="ÄÞ¸¶_ ºñ¸ñº° ¿ùº°±â¼ú  37 9" xfId="11967"/>
    <cellStyle name="AÞ¸¶_ ºn¸nº° ¿uº°±a¼u  38" xfId="11968"/>
    <cellStyle name="ÄÞ¸¶_ ºñ¸ñº° ¿ùº°±â¼ú  38" xfId="11969"/>
    <cellStyle name="AÞ¸¶_ ºn¸nº° ¿uº°±a¼u  38 10" xfId="11970"/>
    <cellStyle name="ÄÞ¸¶_ ºñ¸ñº° ¿ùº°±â¼ú  38 10" xfId="11971"/>
    <cellStyle name="AÞ¸¶_ ºn¸nº° ¿uº°±a¼u  38 11" xfId="11972"/>
    <cellStyle name="ÄÞ¸¶_ ºñ¸ñº° ¿ùº°±â¼ú  38 11" xfId="11973"/>
    <cellStyle name="AÞ¸¶_ ºn¸nº° ¿uº°±a¼u  38 12" xfId="11974"/>
    <cellStyle name="ÄÞ¸¶_ ºñ¸ñº° ¿ùº°±â¼ú  38 12" xfId="11975"/>
    <cellStyle name="AÞ¸¶_ ºn¸nº° ¿uº°±a¼u  38 13" xfId="11976"/>
    <cellStyle name="ÄÞ¸¶_ ºñ¸ñº° ¿ùº°±â¼ú  38 13" xfId="11977"/>
    <cellStyle name="AÞ¸¶_ ºn¸nº° ¿uº°±a¼u  38 14" xfId="11978"/>
    <cellStyle name="ÄÞ¸¶_ ºñ¸ñº° ¿ùº°±â¼ú  38 14" xfId="11979"/>
    <cellStyle name="AÞ¸¶_ ºn¸nº° ¿uº°±a¼u  38 15" xfId="11980"/>
    <cellStyle name="ÄÞ¸¶_ ºñ¸ñº° ¿ùº°±â¼ú  38 15" xfId="11981"/>
    <cellStyle name="AÞ¸¶_ ºn¸nº° ¿uº°±a¼u  38 16" xfId="11982"/>
    <cellStyle name="ÄÞ¸¶_ ºñ¸ñº° ¿ùº°±â¼ú  38 16" xfId="11983"/>
    <cellStyle name="AÞ¸¶_ ºn¸nº° ¿uº°±a¼u  38 17" xfId="11984"/>
    <cellStyle name="ÄÞ¸¶_ ºñ¸ñº° ¿ùº°±â¼ú  38 17" xfId="11985"/>
    <cellStyle name="AÞ¸¶_ ºn¸nº° ¿uº°±a¼u  38 18" xfId="11986"/>
    <cellStyle name="ÄÞ¸¶_ ºñ¸ñº° ¿ùº°±â¼ú  38 18" xfId="11987"/>
    <cellStyle name="AÞ¸¶_ ºn¸nº° ¿uº°±a¼u  38 19" xfId="11988"/>
    <cellStyle name="ÄÞ¸¶_ ºñ¸ñº° ¿ùº°±â¼ú  38 19" xfId="11989"/>
    <cellStyle name="AÞ¸¶_ ºn¸nº° ¿uº°±a¼u  38 2" xfId="11990"/>
    <cellStyle name="ÄÞ¸¶_ ºñ¸ñº° ¿ùº°±â¼ú  38 2" xfId="11991"/>
    <cellStyle name="AÞ¸¶_ ºn¸nº° ¿uº°±a¼u  38 20" xfId="11992"/>
    <cellStyle name="ÄÞ¸¶_ ºñ¸ñº° ¿ùº°±â¼ú  38 20" xfId="11993"/>
    <cellStyle name="AÞ¸¶_ ºn¸nº° ¿uº°±a¼u  38 21" xfId="11994"/>
    <cellStyle name="ÄÞ¸¶_ ºñ¸ñº° ¿ùº°±â¼ú  38 21" xfId="11995"/>
    <cellStyle name="AÞ¸¶_ ºn¸nº° ¿uº°±a¼u  38 22" xfId="11996"/>
    <cellStyle name="ÄÞ¸¶_ ºñ¸ñº° ¿ùº°±â¼ú  38 22" xfId="11997"/>
    <cellStyle name="AÞ¸¶_ ºn¸nº° ¿uº°±a¼u  38 23" xfId="11998"/>
    <cellStyle name="ÄÞ¸¶_ ºñ¸ñº° ¿ùº°±â¼ú  38 23" xfId="11999"/>
    <cellStyle name="AÞ¸¶_ ºn¸nº° ¿uº°±a¼u  38 24" xfId="12000"/>
    <cellStyle name="ÄÞ¸¶_ ºñ¸ñº° ¿ùº°±â¼ú  38 24" xfId="12001"/>
    <cellStyle name="AÞ¸¶_ ºn¸nº° ¿uº°±a¼u  38 25" xfId="12002"/>
    <cellStyle name="ÄÞ¸¶_ ºñ¸ñº° ¿ùº°±â¼ú  38 25" xfId="12003"/>
    <cellStyle name="AÞ¸¶_ ºn¸nº° ¿uº°±a¼u  38 26" xfId="12004"/>
    <cellStyle name="ÄÞ¸¶_ ºñ¸ñº° ¿ùº°±â¼ú  38 26" xfId="12005"/>
    <cellStyle name="AÞ¸¶_ ºn¸nº° ¿uº°±a¼u  38 27" xfId="12006"/>
    <cellStyle name="ÄÞ¸¶_ ºñ¸ñº° ¿ùº°±â¼ú  38 27" xfId="12007"/>
    <cellStyle name="AÞ¸¶_ ºn¸nº° ¿uº°±a¼u  38 28" xfId="12008"/>
    <cellStyle name="ÄÞ¸¶_ ºñ¸ñº° ¿ùº°±â¼ú  38 28" xfId="12009"/>
    <cellStyle name="AÞ¸¶_ ºn¸nº° ¿uº°±a¼u  38 29" xfId="12010"/>
    <cellStyle name="ÄÞ¸¶_ ºñ¸ñº° ¿ùº°±â¼ú  38 29" xfId="12011"/>
    <cellStyle name="AÞ¸¶_ ºn¸nº° ¿uº°±a¼u  38 3" xfId="12012"/>
    <cellStyle name="ÄÞ¸¶_ ºñ¸ñº° ¿ùº°±â¼ú  38 3" xfId="12013"/>
    <cellStyle name="AÞ¸¶_ ºn¸nº° ¿uº°±a¼u  38 30" xfId="12014"/>
    <cellStyle name="ÄÞ¸¶_ ºñ¸ñº° ¿ùº°±â¼ú  38 30" xfId="12015"/>
    <cellStyle name="AÞ¸¶_ ºn¸nº° ¿uº°±a¼u  38 31" xfId="12016"/>
    <cellStyle name="ÄÞ¸¶_ ºñ¸ñº° ¿ùº°±â¼ú  38 31" xfId="12017"/>
    <cellStyle name="AÞ¸¶_ ºn¸nº° ¿uº°±a¼u  38 32" xfId="12018"/>
    <cellStyle name="ÄÞ¸¶_ ºñ¸ñº° ¿ùº°±â¼ú  38 32" xfId="12019"/>
    <cellStyle name="AÞ¸¶_ ºn¸nº° ¿uº°±a¼u  38 33" xfId="12020"/>
    <cellStyle name="ÄÞ¸¶_ ºñ¸ñº° ¿ùº°±â¼ú  38 33" xfId="12021"/>
    <cellStyle name="AÞ¸¶_ ºn¸nº° ¿uº°±a¼u  38 34" xfId="12022"/>
    <cellStyle name="ÄÞ¸¶_ ºñ¸ñº° ¿ùº°±â¼ú  38 34" xfId="12023"/>
    <cellStyle name="AÞ¸¶_ ºn¸nº° ¿uº°±a¼u  38 4" xfId="12024"/>
    <cellStyle name="ÄÞ¸¶_ ºñ¸ñº° ¿ùº°±â¼ú  38 4" xfId="12025"/>
    <cellStyle name="AÞ¸¶_ ºn¸nº° ¿uº°±a¼u  38 5" xfId="12026"/>
    <cellStyle name="ÄÞ¸¶_ ºñ¸ñº° ¿ùº°±â¼ú  38 5" xfId="12027"/>
    <cellStyle name="AÞ¸¶_ ºn¸nº° ¿uº°±a¼u  38 6" xfId="12028"/>
    <cellStyle name="ÄÞ¸¶_ ºñ¸ñº° ¿ùº°±â¼ú  38 6" xfId="12029"/>
    <cellStyle name="AÞ¸¶_ ºn¸nº° ¿uº°±a¼u  38 7" xfId="12030"/>
    <cellStyle name="ÄÞ¸¶_ ºñ¸ñº° ¿ùº°±â¼ú  38 7" xfId="12031"/>
    <cellStyle name="AÞ¸¶_ ºn¸nº° ¿uº°±a¼u  38 8" xfId="12032"/>
    <cellStyle name="ÄÞ¸¶_ ºñ¸ñº° ¿ùº°±â¼ú  38 8" xfId="12033"/>
    <cellStyle name="AÞ¸¶_ ºn¸nº° ¿uº°±a¼u  38 9" xfId="12034"/>
    <cellStyle name="ÄÞ¸¶_ ºñ¸ñº° ¿ùº°±â¼ú  38 9" xfId="12035"/>
    <cellStyle name="AÞ¸¶_ ºn¸nº° ¿uº°±a¼u  39" xfId="12036"/>
    <cellStyle name="ÄÞ¸¶_ ºñ¸ñº° ¿ùº°±â¼ú  39" xfId="12037"/>
    <cellStyle name="AÞ¸¶_ ºn¸nº° ¿uº°±a¼u  39 10" xfId="12038"/>
    <cellStyle name="ÄÞ¸¶_ ºñ¸ñº° ¿ùº°±â¼ú  39 10" xfId="12039"/>
    <cellStyle name="AÞ¸¶_ ºn¸nº° ¿uº°±a¼u  39 11" xfId="12040"/>
    <cellStyle name="ÄÞ¸¶_ ºñ¸ñº° ¿ùº°±â¼ú  39 11" xfId="12041"/>
    <cellStyle name="AÞ¸¶_ ºn¸nº° ¿uº°±a¼u  39 12" xfId="12042"/>
    <cellStyle name="ÄÞ¸¶_ ºñ¸ñº° ¿ùº°±â¼ú  39 12" xfId="12043"/>
    <cellStyle name="AÞ¸¶_ ºn¸nº° ¿uº°±a¼u  39 13" xfId="12044"/>
    <cellStyle name="ÄÞ¸¶_ ºñ¸ñº° ¿ùº°±â¼ú  39 13" xfId="12045"/>
    <cellStyle name="AÞ¸¶_ ºn¸nº° ¿uº°±a¼u  39 14" xfId="12046"/>
    <cellStyle name="ÄÞ¸¶_ ºñ¸ñº° ¿ùº°±â¼ú  39 14" xfId="12047"/>
    <cellStyle name="AÞ¸¶_ ºn¸nº° ¿uº°±a¼u  39 15" xfId="12048"/>
    <cellStyle name="ÄÞ¸¶_ ºñ¸ñº° ¿ùº°±â¼ú  39 15" xfId="12049"/>
    <cellStyle name="AÞ¸¶_ ºn¸nº° ¿uº°±a¼u  39 16" xfId="12050"/>
    <cellStyle name="ÄÞ¸¶_ ºñ¸ñº° ¿ùº°±â¼ú  39 16" xfId="12051"/>
    <cellStyle name="AÞ¸¶_ ºn¸nº° ¿uº°±a¼u  39 17" xfId="12052"/>
    <cellStyle name="ÄÞ¸¶_ ºñ¸ñº° ¿ùº°±â¼ú  39 17" xfId="12053"/>
    <cellStyle name="AÞ¸¶_ ºn¸nº° ¿uº°±a¼u  39 18" xfId="12054"/>
    <cellStyle name="ÄÞ¸¶_ ºñ¸ñº° ¿ùº°±â¼ú  39 18" xfId="12055"/>
    <cellStyle name="AÞ¸¶_ ºn¸nº° ¿uº°±a¼u  39 19" xfId="12056"/>
    <cellStyle name="ÄÞ¸¶_ ºñ¸ñº° ¿ùº°±â¼ú  39 19" xfId="12057"/>
    <cellStyle name="AÞ¸¶_ ºn¸nº° ¿uº°±a¼u  39 2" xfId="12058"/>
    <cellStyle name="ÄÞ¸¶_ ºñ¸ñº° ¿ùº°±â¼ú  39 2" xfId="12059"/>
    <cellStyle name="AÞ¸¶_ ºn¸nº° ¿uº°±a¼u  39 20" xfId="12060"/>
    <cellStyle name="ÄÞ¸¶_ ºñ¸ñº° ¿ùº°±â¼ú  39 20" xfId="12061"/>
    <cellStyle name="AÞ¸¶_ ºn¸nº° ¿uº°±a¼u  39 21" xfId="12062"/>
    <cellStyle name="ÄÞ¸¶_ ºñ¸ñº° ¿ùº°±â¼ú  39 21" xfId="12063"/>
    <cellStyle name="AÞ¸¶_ ºn¸nº° ¿uº°±a¼u  39 22" xfId="12064"/>
    <cellStyle name="ÄÞ¸¶_ ºñ¸ñº° ¿ùº°±â¼ú  39 22" xfId="12065"/>
    <cellStyle name="AÞ¸¶_ ºn¸nº° ¿uº°±a¼u  39 23" xfId="12066"/>
    <cellStyle name="ÄÞ¸¶_ ºñ¸ñº° ¿ùº°±â¼ú  39 23" xfId="12067"/>
    <cellStyle name="AÞ¸¶_ ºn¸nº° ¿uº°±a¼u  39 24" xfId="12068"/>
    <cellStyle name="ÄÞ¸¶_ ºñ¸ñº° ¿ùº°±â¼ú  39 24" xfId="12069"/>
    <cellStyle name="AÞ¸¶_ ºn¸nº° ¿uº°±a¼u  39 25" xfId="12070"/>
    <cellStyle name="ÄÞ¸¶_ ºñ¸ñº° ¿ùº°±â¼ú  39 25" xfId="12071"/>
    <cellStyle name="AÞ¸¶_ ºn¸nº° ¿uº°±a¼u  39 26" xfId="12072"/>
    <cellStyle name="ÄÞ¸¶_ ºñ¸ñº° ¿ùº°±â¼ú  39 26" xfId="12073"/>
    <cellStyle name="AÞ¸¶_ ºn¸nº° ¿uº°±a¼u  39 27" xfId="12074"/>
    <cellStyle name="ÄÞ¸¶_ ºñ¸ñº° ¿ùº°±â¼ú  39 27" xfId="12075"/>
    <cellStyle name="AÞ¸¶_ ºn¸nº° ¿uº°±a¼u  39 28" xfId="12076"/>
    <cellStyle name="ÄÞ¸¶_ ºñ¸ñº° ¿ùº°±â¼ú  39 28" xfId="12077"/>
    <cellStyle name="AÞ¸¶_ ºn¸nº° ¿uº°±a¼u  39 29" xfId="12078"/>
    <cellStyle name="ÄÞ¸¶_ ºñ¸ñº° ¿ùº°±â¼ú  39 29" xfId="12079"/>
    <cellStyle name="AÞ¸¶_ ºn¸nº° ¿uº°±a¼u  39 3" xfId="12080"/>
    <cellStyle name="ÄÞ¸¶_ ºñ¸ñº° ¿ùº°±â¼ú  39 3" xfId="12081"/>
    <cellStyle name="AÞ¸¶_ ºn¸nº° ¿uº°±a¼u  39 30" xfId="12082"/>
    <cellStyle name="ÄÞ¸¶_ ºñ¸ñº° ¿ùº°±â¼ú  39 30" xfId="12083"/>
    <cellStyle name="AÞ¸¶_ ºn¸nº° ¿uº°±a¼u  39 31" xfId="12084"/>
    <cellStyle name="ÄÞ¸¶_ ºñ¸ñº° ¿ùº°±â¼ú  39 31" xfId="12085"/>
    <cellStyle name="AÞ¸¶_ ºn¸nº° ¿uº°±a¼u  39 32" xfId="12086"/>
    <cellStyle name="ÄÞ¸¶_ ºñ¸ñº° ¿ùº°±â¼ú  39 32" xfId="12087"/>
    <cellStyle name="AÞ¸¶_ ºn¸nº° ¿uº°±a¼u  39 33" xfId="12088"/>
    <cellStyle name="ÄÞ¸¶_ ºñ¸ñº° ¿ùº°±â¼ú  39 33" xfId="12089"/>
    <cellStyle name="AÞ¸¶_ ºn¸nº° ¿uº°±a¼u  39 34" xfId="12090"/>
    <cellStyle name="ÄÞ¸¶_ ºñ¸ñº° ¿ùº°±â¼ú  39 34" xfId="12091"/>
    <cellStyle name="AÞ¸¶_ ºn¸nº° ¿uº°±a¼u  39 4" xfId="12092"/>
    <cellStyle name="ÄÞ¸¶_ ºñ¸ñº° ¿ùº°±â¼ú  39 4" xfId="12093"/>
    <cellStyle name="AÞ¸¶_ ºn¸nº° ¿uº°±a¼u  39 5" xfId="12094"/>
    <cellStyle name="ÄÞ¸¶_ ºñ¸ñº° ¿ùº°±â¼ú  39 5" xfId="12095"/>
    <cellStyle name="AÞ¸¶_ ºn¸nº° ¿uº°±a¼u  39 6" xfId="12096"/>
    <cellStyle name="ÄÞ¸¶_ ºñ¸ñº° ¿ùº°±â¼ú  39 6" xfId="12097"/>
    <cellStyle name="AÞ¸¶_ ºn¸nº° ¿uº°±a¼u  39 7" xfId="12098"/>
    <cellStyle name="ÄÞ¸¶_ ºñ¸ñº° ¿ùº°±â¼ú  39 7" xfId="12099"/>
    <cellStyle name="AÞ¸¶_ ºn¸nº° ¿uº°±a¼u  39 8" xfId="12100"/>
    <cellStyle name="ÄÞ¸¶_ ºñ¸ñº° ¿ùº°±â¼ú  39 8" xfId="12101"/>
    <cellStyle name="AÞ¸¶_ ºn¸nº° ¿uº°±a¼u  39 9" xfId="12102"/>
    <cellStyle name="ÄÞ¸¶_ ºñ¸ñº° ¿ùº°±â¼ú  39 9" xfId="12103"/>
    <cellStyle name="AÞ¸¶_ ºn¸nº° ¿uº°±a¼u  4" xfId="12104"/>
    <cellStyle name="ÄÞ¸¶_ ºñ¸ñº° ¿ùº°±â¼ú  4" xfId="12105"/>
    <cellStyle name="AÞ¸¶_ ºn¸nº° ¿uº°±a¼u  4 10" xfId="12106"/>
    <cellStyle name="ÄÞ¸¶_ ºñ¸ñº° ¿ùº°±â¼ú  4 10" xfId="12107"/>
    <cellStyle name="AÞ¸¶_ ºn¸nº° ¿uº°±a¼u  4 11" xfId="12108"/>
    <cellStyle name="ÄÞ¸¶_ ºñ¸ñº° ¿ùº°±â¼ú  4 11" xfId="12109"/>
    <cellStyle name="AÞ¸¶_ ºn¸nº° ¿uº°±a¼u  4 12" xfId="12110"/>
    <cellStyle name="ÄÞ¸¶_ ºñ¸ñº° ¿ùº°±â¼ú  4 12" xfId="12111"/>
    <cellStyle name="AÞ¸¶_ ºn¸nº° ¿uº°±a¼u  4 13" xfId="12112"/>
    <cellStyle name="ÄÞ¸¶_ ºñ¸ñº° ¿ùº°±â¼ú  4 13" xfId="12113"/>
    <cellStyle name="AÞ¸¶_ ºn¸nº° ¿uº°±a¼u  4 14" xfId="12114"/>
    <cellStyle name="ÄÞ¸¶_ ºñ¸ñº° ¿ùº°±â¼ú  4 14" xfId="12115"/>
    <cellStyle name="AÞ¸¶_ ºn¸nº° ¿uº°±a¼u  4 15" xfId="12116"/>
    <cellStyle name="ÄÞ¸¶_ ºñ¸ñº° ¿ùº°±â¼ú  4 15" xfId="12117"/>
    <cellStyle name="AÞ¸¶_ ºn¸nº° ¿uº°±a¼u  4 16" xfId="12118"/>
    <cellStyle name="ÄÞ¸¶_ ºñ¸ñº° ¿ùº°±â¼ú  4 16" xfId="12119"/>
    <cellStyle name="AÞ¸¶_ ºn¸nº° ¿uº°±a¼u  4 17" xfId="12120"/>
    <cellStyle name="ÄÞ¸¶_ ºñ¸ñº° ¿ùº°±â¼ú  4 17" xfId="12121"/>
    <cellStyle name="AÞ¸¶_ ºn¸nº° ¿uº°±a¼u  4 18" xfId="12122"/>
    <cellStyle name="ÄÞ¸¶_ ºñ¸ñº° ¿ùº°±â¼ú  4 18" xfId="12123"/>
    <cellStyle name="AÞ¸¶_ ºn¸nº° ¿uº°±a¼u  4 19" xfId="12124"/>
    <cellStyle name="ÄÞ¸¶_ ºñ¸ñº° ¿ùº°±â¼ú  4 19" xfId="12125"/>
    <cellStyle name="AÞ¸¶_ ºn¸nº° ¿uº°±a¼u  4 2" xfId="12126"/>
    <cellStyle name="ÄÞ¸¶_ ºñ¸ñº° ¿ùº°±â¼ú  4 2" xfId="12127"/>
    <cellStyle name="AÞ¸¶_ ºn¸nº° ¿uº°±a¼u  4 20" xfId="12128"/>
    <cellStyle name="ÄÞ¸¶_ ºñ¸ñº° ¿ùº°±â¼ú  4 20" xfId="12129"/>
    <cellStyle name="AÞ¸¶_ ºn¸nº° ¿uº°±a¼u  4 21" xfId="12130"/>
    <cellStyle name="ÄÞ¸¶_ ºñ¸ñº° ¿ùº°±â¼ú  4 21" xfId="12131"/>
    <cellStyle name="AÞ¸¶_ ºn¸nº° ¿uº°±a¼u  4 22" xfId="12132"/>
    <cellStyle name="ÄÞ¸¶_ ºñ¸ñº° ¿ùº°±â¼ú  4 22" xfId="12133"/>
    <cellStyle name="AÞ¸¶_ ºn¸nº° ¿uº°±a¼u  4 23" xfId="12134"/>
    <cellStyle name="ÄÞ¸¶_ ºñ¸ñº° ¿ùº°±â¼ú  4 23" xfId="12135"/>
    <cellStyle name="AÞ¸¶_ ºn¸nº° ¿uº°±a¼u  4 24" xfId="12136"/>
    <cellStyle name="ÄÞ¸¶_ ºñ¸ñº° ¿ùº°±â¼ú  4 24" xfId="12137"/>
    <cellStyle name="AÞ¸¶_ ºn¸nº° ¿uº°±a¼u  4 25" xfId="12138"/>
    <cellStyle name="ÄÞ¸¶_ ºñ¸ñº° ¿ùº°±â¼ú  4 25" xfId="12139"/>
    <cellStyle name="AÞ¸¶_ ºn¸nº° ¿uº°±a¼u  4 26" xfId="12140"/>
    <cellStyle name="ÄÞ¸¶_ ºñ¸ñº° ¿ùº°±â¼ú  4 26" xfId="12141"/>
    <cellStyle name="AÞ¸¶_ ºn¸nº° ¿uº°±a¼u  4 27" xfId="12142"/>
    <cellStyle name="ÄÞ¸¶_ ºñ¸ñº° ¿ùº°±â¼ú  4 27" xfId="12143"/>
    <cellStyle name="AÞ¸¶_ ºn¸nº° ¿uº°±a¼u  4 28" xfId="12144"/>
    <cellStyle name="ÄÞ¸¶_ ºñ¸ñº° ¿ùº°±â¼ú  4 28" xfId="12145"/>
    <cellStyle name="AÞ¸¶_ ºn¸nº° ¿uº°±a¼u  4 29" xfId="12146"/>
    <cellStyle name="ÄÞ¸¶_ ºñ¸ñº° ¿ùº°±â¼ú  4 29" xfId="12147"/>
    <cellStyle name="AÞ¸¶_ ºn¸nº° ¿uº°±a¼u  4 3" xfId="12148"/>
    <cellStyle name="ÄÞ¸¶_ ºñ¸ñº° ¿ùº°±â¼ú  4 3" xfId="12149"/>
    <cellStyle name="AÞ¸¶_ ºn¸nº° ¿uº°±a¼u  4 30" xfId="12150"/>
    <cellStyle name="ÄÞ¸¶_ ºñ¸ñº° ¿ùº°±â¼ú  4 30" xfId="12151"/>
    <cellStyle name="AÞ¸¶_ ºn¸nº° ¿uº°±a¼u  4 31" xfId="12152"/>
    <cellStyle name="ÄÞ¸¶_ ºñ¸ñº° ¿ùº°±â¼ú  4 31" xfId="12153"/>
    <cellStyle name="AÞ¸¶_ ºn¸nº° ¿uº°±a¼u  4 32" xfId="12154"/>
    <cellStyle name="ÄÞ¸¶_ ºñ¸ñº° ¿ùº°±â¼ú  4 32" xfId="12155"/>
    <cellStyle name="AÞ¸¶_ ºn¸nº° ¿uº°±a¼u  4 33" xfId="12156"/>
    <cellStyle name="ÄÞ¸¶_ ºñ¸ñº° ¿ùº°±â¼ú  4 33" xfId="12157"/>
    <cellStyle name="AÞ¸¶_ ºn¸nº° ¿uº°±a¼u  4 34" xfId="12158"/>
    <cellStyle name="ÄÞ¸¶_ ºñ¸ñº° ¿ùº°±â¼ú  4 34" xfId="12159"/>
    <cellStyle name="AÞ¸¶_ ºn¸nº° ¿uº°±a¼u  4 4" xfId="12160"/>
    <cellStyle name="ÄÞ¸¶_ ºñ¸ñº° ¿ùº°±â¼ú  4 4" xfId="12161"/>
    <cellStyle name="AÞ¸¶_ ºn¸nº° ¿uº°±a¼u  4 5" xfId="12162"/>
    <cellStyle name="ÄÞ¸¶_ ºñ¸ñº° ¿ùº°±â¼ú  4 5" xfId="12163"/>
    <cellStyle name="AÞ¸¶_ ºn¸nº° ¿uº°±a¼u  4 6" xfId="12164"/>
    <cellStyle name="ÄÞ¸¶_ ºñ¸ñº° ¿ùº°±â¼ú  4 6" xfId="12165"/>
    <cellStyle name="AÞ¸¶_ ºn¸nº° ¿uº°±a¼u  4 7" xfId="12166"/>
    <cellStyle name="ÄÞ¸¶_ ºñ¸ñº° ¿ùº°±â¼ú  4 7" xfId="12167"/>
    <cellStyle name="AÞ¸¶_ ºn¸nº° ¿uº°±a¼u  4 8" xfId="12168"/>
    <cellStyle name="ÄÞ¸¶_ ºñ¸ñº° ¿ùº°±â¼ú  4 8" xfId="12169"/>
    <cellStyle name="AÞ¸¶_ ºn¸nº° ¿uº°±a¼u  4 9" xfId="12170"/>
    <cellStyle name="ÄÞ¸¶_ ºñ¸ñº° ¿ùº°±â¼ú  4 9" xfId="12171"/>
    <cellStyle name="AÞ¸¶_ ºn¸nº° ¿uº°±a¼u  40" xfId="12172"/>
    <cellStyle name="ÄÞ¸¶_ ºñ¸ñº° ¿ùº°±â¼ú  40" xfId="12173"/>
    <cellStyle name="AÞ¸¶_ ºn¸nº° ¿uº°±a¼u  40 10" xfId="12174"/>
    <cellStyle name="ÄÞ¸¶_ ºñ¸ñº° ¿ùº°±â¼ú  40 10" xfId="12175"/>
    <cellStyle name="AÞ¸¶_ ºn¸nº° ¿uº°±a¼u  40 11" xfId="12176"/>
    <cellStyle name="ÄÞ¸¶_ ºñ¸ñº° ¿ùº°±â¼ú  40 11" xfId="12177"/>
    <cellStyle name="AÞ¸¶_ ºn¸nº° ¿uº°±a¼u  40 12" xfId="12178"/>
    <cellStyle name="ÄÞ¸¶_ ºñ¸ñº° ¿ùº°±â¼ú  40 12" xfId="12179"/>
    <cellStyle name="AÞ¸¶_ ºn¸nº° ¿uº°±a¼u  40 13" xfId="12180"/>
    <cellStyle name="ÄÞ¸¶_ ºñ¸ñº° ¿ùº°±â¼ú  40 13" xfId="12181"/>
    <cellStyle name="AÞ¸¶_ ºn¸nº° ¿uº°±a¼u  40 14" xfId="12182"/>
    <cellStyle name="ÄÞ¸¶_ ºñ¸ñº° ¿ùº°±â¼ú  40 14" xfId="12183"/>
    <cellStyle name="AÞ¸¶_ ºn¸nº° ¿uº°±a¼u  40 15" xfId="12184"/>
    <cellStyle name="ÄÞ¸¶_ ºñ¸ñº° ¿ùº°±â¼ú  40 15" xfId="12185"/>
    <cellStyle name="AÞ¸¶_ ºn¸nº° ¿uº°±a¼u  40 16" xfId="12186"/>
    <cellStyle name="ÄÞ¸¶_ ºñ¸ñº° ¿ùº°±â¼ú  40 16" xfId="12187"/>
    <cellStyle name="AÞ¸¶_ ºn¸nº° ¿uº°±a¼u  40 17" xfId="12188"/>
    <cellStyle name="ÄÞ¸¶_ ºñ¸ñº° ¿ùº°±â¼ú  40 17" xfId="12189"/>
    <cellStyle name="AÞ¸¶_ ºn¸nº° ¿uº°±a¼u  40 18" xfId="12190"/>
    <cellStyle name="ÄÞ¸¶_ ºñ¸ñº° ¿ùº°±â¼ú  40 18" xfId="12191"/>
    <cellStyle name="AÞ¸¶_ ºn¸nº° ¿uº°±a¼u  40 19" xfId="12192"/>
    <cellStyle name="ÄÞ¸¶_ ºñ¸ñº° ¿ùº°±â¼ú  40 19" xfId="12193"/>
    <cellStyle name="AÞ¸¶_ ºn¸nº° ¿uº°±a¼u  40 2" xfId="12194"/>
    <cellStyle name="ÄÞ¸¶_ ºñ¸ñº° ¿ùº°±â¼ú  40 2" xfId="12195"/>
    <cellStyle name="AÞ¸¶_ ºn¸nº° ¿uº°±a¼u  40 20" xfId="12196"/>
    <cellStyle name="ÄÞ¸¶_ ºñ¸ñº° ¿ùº°±â¼ú  40 20" xfId="12197"/>
    <cellStyle name="AÞ¸¶_ ºn¸nº° ¿uº°±a¼u  40 21" xfId="12198"/>
    <cellStyle name="ÄÞ¸¶_ ºñ¸ñº° ¿ùº°±â¼ú  40 21" xfId="12199"/>
    <cellStyle name="AÞ¸¶_ ºn¸nº° ¿uº°±a¼u  40 22" xfId="12200"/>
    <cellStyle name="ÄÞ¸¶_ ºñ¸ñº° ¿ùº°±â¼ú  40 22" xfId="12201"/>
    <cellStyle name="AÞ¸¶_ ºn¸nº° ¿uº°±a¼u  40 23" xfId="12202"/>
    <cellStyle name="ÄÞ¸¶_ ºñ¸ñº° ¿ùº°±â¼ú  40 23" xfId="12203"/>
    <cellStyle name="AÞ¸¶_ ºn¸nº° ¿uº°±a¼u  40 24" xfId="12204"/>
    <cellStyle name="ÄÞ¸¶_ ºñ¸ñº° ¿ùº°±â¼ú  40 24" xfId="12205"/>
    <cellStyle name="AÞ¸¶_ ºn¸nº° ¿uº°±a¼u  40 25" xfId="12206"/>
    <cellStyle name="ÄÞ¸¶_ ºñ¸ñº° ¿ùº°±â¼ú  40 25" xfId="12207"/>
    <cellStyle name="AÞ¸¶_ ºn¸nº° ¿uº°±a¼u  40 26" xfId="12208"/>
    <cellStyle name="ÄÞ¸¶_ ºñ¸ñº° ¿ùº°±â¼ú  40 26" xfId="12209"/>
    <cellStyle name="AÞ¸¶_ ºn¸nº° ¿uº°±a¼u  40 27" xfId="12210"/>
    <cellStyle name="ÄÞ¸¶_ ºñ¸ñº° ¿ùº°±â¼ú  40 27" xfId="12211"/>
    <cellStyle name="AÞ¸¶_ ºn¸nº° ¿uº°±a¼u  40 28" xfId="12212"/>
    <cellStyle name="ÄÞ¸¶_ ºñ¸ñº° ¿ùº°±â¼ú  40 28" xfId="12213"/>
    <cellStyle name="AÞ¸¶_ ºn¸nº° ¿uº°±a¼u  40 29" xfId="12214"/>
    <cellStyle name="ÄÞ¸¶_ ºñ¸ñº° ¿ùº°±â¼ú  40 29" xfId="12215"/>
    <cellStyle name="AÞ¸¶_ ºn¸nº° ¿uº°±a¼u  40 3" xfId="12216"/>
    <cellStyle name="ÄÞ¸¶_ ºñ¸ñº° ¿ùº°±â¼ú  40 3" xfId="12217"/>
    <cellStyle name="AÞ¸¶_ ºn¸nº° ¿uº°±a¼u  40 30" xfId="12218"/>
    <cellStyle name="ÄÞ¸¶_ ºñ¸ñº° ¿ùº°±â¼ú  40 30" xfId="12219"/>
    <cellStyle name="AÞ¸¶_ ºn¸nº° ¿uº°±a¼u  40 31" xfId="12220"/>
    <cellStyle name="ÄÞ¸¶_ ºñ¸ñº° ¿ùº°±â¼ú  40 31" xfId="12221"/>
    <cellStyle name="AÞ¸¶_ ºn¸nº° ¿uº°±a¼u  40 32" xfId="12222"/>
    <cellStyle name="ÄÞ¸¶_ ºñ¸ñº° ¿ùº°±â¼ú  40 32" xfId="12223"/>
    <cellStyle name="AÞ¸¶_ ºn¸nº° ¿uº°±a¼u  40 33" xfId="12224"/>
    <cellStyle name="ÄÞ¸¶_ ºñ¸ñº° ¿ùº°±â¼ú  40 33" xfId="12225"/>
    <cellStyle name="AÞ¸¶_ ºn¸nº° ¿uº°±a¼u  40 34" xfId="12226"/>
    <cellStyle name="ÄÞ¸¶_ ºñ¸ñº° ¿ùº°±â¼ú  40 34" xfId="12227"/>
    <cellStyle name="AÞ¸¶_ ºn¸nº° ¿uº°±a¼u  40 4" xfId="12228"/>
    <cellStyle name="ÄÞ¸¶_ ºñ¸ñº° ¿ùº°±â¼ú  40 4" xfId="12229"/>
    <cellStyle name="AÞ¸¶_ ºn¸nº° ¿uº°±a¼u  40 5" xfId="12230"/>
    <cellStyle name="ÄÞ¸¶_ ºñ¸ñº° ¿ùº°±â¼ú  40 5" xfId="12231"/>
    <cellStyle name="AÞ¸¶_ ºn¸nº° ¿uº°±a¼u  40 6" xfId="12232"/>
    <cellStyle name="ÄÞ¸¶_ ºñ¸ñº° ¿ùº°±â¼ú  40 6" xfId="12233"/>
    <cellStyle name="AÞ¸¶_ ºn¸nº° ¿uº°±a¼u  40 7" xfId="12234"/>
    <cellStyle name="ÄÞ¸¶_ ºñ¸ñº° ¿ùº°±â¼ú  40 7" xfId="12235"/>
    <cellStyle name="AÞ¸¶_ ºn¸nº° ¿uº°±a¼u  40 8" xfId="12236"/>
    <cellStyle name="ÄÞ¸¶_ ºñ¸ñº° ¿ùº°±â¼ú  40 8" xfId="12237"/>
    <cellStyle name="AÞ¸¶_ ºn¸nº° ¿uº°±a¼u  40 9" xfId="12238"/>
    <cellStyle name="ÄÞ¸¶_ ºñ¸ñº° ¿ùº°±â¼ú  40 9" xfId="12239"/>
    <cellStyle name="AÞ¸¶_ ºn¸nº° ¿uº°±a¼u  41" xfId="12240"/>
    <cellStyle name="ÄÞ¸¶_ ºñ¸ñº° ¿ùº°±â¼ú  41" xfId="12241"/>
    <cellStyle name="AÞ¸¶_ ºn¸nº° ¿uº°±a¼u  41 10" xfId="12242"/>
    <cellStyle name="ÄÞ¸¶_ ºñ¸ñº° ¿ùº°±â¼ú  41 10" xfId="12243"/>
    <cellStyle name="AÞ¸¶_ ºn¸nº° ¿uº°±a¼u  41 11" xfId="12244"/>
    <cellStyle name="ÄÞ¸¶_ ºñ¸ñº° ¿ùº°±â¼ú  41 11" xfId="12245"/>
    <cellStyle name="AÞ¸¶_ ºn¸nº° ¿uº°±a¼u  41 12" xfId="12246"/>
    <cellStyle name="ÄÞ¸¶_ ºñ¸ñº° ¿ùº°±â¼ú  41 12" xfId="12247"/>
    <cellStyle name="AÞ¸¶_ ºn¸nº° ¿uº°±a¼u  41 13" xfId="12248"/>
    <cellStyle name="ÄÞ¸¶_ ºñ¸ñº° ¿ùº°±â¼ú  41 13" xfId="12249"/>
    <cellStyle name="AÞ¸¶_ ºn¸nº° ¿uº°±a¼u  41 14" xfId="12250"/>
    <cellStyle name="ÄÞ¸¶_ ºñ¸ñº° ¿ùº°±â¼ú  41 14" xfId="12251"/>
    <cellStyle name="AÞ¸¶_ ºn¸nº° ¿uº°±a¼u  41 15" xfId="12252"/>
    <cellStyle name="ÄÞ¸¶_ ºñ¸ñº° ¿ùº°±â¼ú  41 15" xfId="12253"/>
    <cellStyle name="AÞ¸¶_ ºn¸nº° ¿uº°±a¼u  41 16" xfId="12254"/>
    <cellStyle name="ÄÞ¸¶_ ºñ¸ñº° ¿ùº°±â¼ú  41 16" xfId="12255"/>
    <cellStyle name="AÞ¸¶_ ºn¸nº° ¿uº°±a¼u  41 17" xfId="12256"/>
    <cellStyle name="ÄÞ¸¶_ ºñ¸ñº° ¿ùº°±â¼ú  41 17" xfId="12257"/>
    <cellStyle name="AÞ¸¶_ ºn¸nº° ¿uº°±a¼u  41 18" xfId="12258"/>
    <cellStyle name="ÄÞ¸¶_ ºñ¸ñº° ¿ùº°±â¼ú  41 18" xfId="12259"/>
    <cellStyle name="AÞ¸¶_ ºn¸nº° ¿uº°±a¼u  41 19" xfId="12260"/>
    <cellStyle name="ÄÞ¸¶_ ºñ¸ñº° ¿ùº°±â¼ú  41 19" xfId="12261"/>
    <cellStyle name="AÞ¸¶_ ºn¸nº° ¿uº°±a¼u  41 2" xfId="12262"/>
    <cellStyle name="ÄÞ¸¶_ ºñ¸ñº° ¿ùº°±â¼ú  41 2" xfId="12263"/>
    <cellStyle name="AÞ¸¶_ ºn¸nº° ¿uº°±a¼u  41 20" xfId="12264"/>
    <cellStyle name="ÄÞ¸¶_ ºñ¸ñº° ¿ùº°±â¼ú  41 20" xfId="12265"/>
    <cellStyle name="AÞ¸¶_ ºn¸nº° ¿uº°±a¼u  41 21" xfId="12266"/>
    <cellStyle name="ÄÞ¸¶_ ºñ¸ñº° ¿ùº°±â¼ú  41 21" xfId="12267"/>
    <cellStyle name="AÞ¸¶_ ºn¸nº° ¿uº°±a¼u  41 22" xfId="12268"/>
    <cellStyle name="ÄÞ¸¶_ ºñ¸ñº° ¿ùº°±â¼ú  41 22" xfId="12269"/>
    <cellStyle name="AÞ¸¶_ ºn¸nº° ¿uº°±a¼u  41 23" xfId="12270"/>
    <cellStyle name="ÄÞ¸¶_ ºñ¸ñº° ¿ùº°±â¼ú  41 23" xfId="12271"/>
    <cellStyle name="AÞ¸¶_ ºn¸nº° ¿uº°±a¼u  41 24" xfId="12272"/>
    <cellStyle name="ÄÞ¸¶_ ºñ¸ñº° ¿ùº°±â¼ú  41 24" xfId="12273"/>
    <cellStyle name="AÞ¸¶_ ºn¸nº° ¿uº°±a¼u  41 25" xfId="12274"/>
    <cellStyle name="ÄÞ¸¶_ ºñ¸ñº° ¿ùº°±â¼ú  41 25" xfId="12275"/>
    <cellStyle name="AÞ¸¶_ ºn¸nº° ¿uº°±a¼u  41 26" xfId="12276"/>
    <cellStyle name="ÄÞ¸¶_ ºñ¸ñº° ¿ùº°±â¼ú  41 26" xfId="12277"/>
    <cellStyle name="AÞ¸¶_ ºn¸nº° ¿uº°±a¼u  41 27" xfId="12278"/>
    <cellStyle name="ÄÞ¸¶_ ºñ¸ñº° ¿ùº°±â¼ú  41 27" xfId="12279"/>
    <cellStyle name="AÞ¸¶_ ºn¸nº° ¿uº°±a¼u  41 28" xfId="12280"/>
    <cellStyle name="ÄÞ¸¶_ ºñ¸ñº° ¿ùº°±â¼ú  41 28" xfId="12281"/>
    <cellStyle name="AÞ¸¶_ ºn¸nº° ¿uº°±a¼u  41 29" xfId="12282"/>
    <cellStyle name="ÄÞ¸¶_ ºñ¸ñº° ¿ùº°±â¼ú  41 29" xfId="12283"/>
    <cellStyle name="AÞ¸¶_ ºn¸nº° ¿uº°±a¼u  41 3" xfId="12284"/>
    <cellStyle name="ÄÞ¸¶_ ºñ¸ñº° ¿ùº°±â¼ú  41 3" xfId="12285"/>
    <cellStyle name="AÞ¸¶_ ºn¸nº° ¿uº°±a¼u  41 30" xfId="12286"/>
    <cellStyle name="ÄÞ¸¶_ ºñ¸ñº° ¿ùº°±â¼ú  41 30" xfId="12287"/>
    <cellStyle name="AÞ¸¶_ ºn¸nº° ¿uº°±a¼u  41 31" xfId="12288"/>
    <cellStyle name="ÄÞ¸¶_ ºñ¸ñº° ¿ùº°±â¼ú  41 31" xfId="12289"/>
    <cellStyle name="AÞ¸¶_ ºn¸nº° ¿uº°±a¼u  41 32" xfId="12290"/>
    <cellStyle name="ÄÞ¸¶_ ºñ¸ñº° ¿ùº°±â¼ú  41 32" xfId="12291"/>
    <cellStyle name="AÞ¸¶_ ºn¸nº° ¿uº°±a¼u  41 33" xfId="12292"/>
    <cellStyle name="ÄÞ¸¶_ ºñ¸ñº° ¿ùº°±â¼ú  41 33" xfId="12293"/>
    <cellStyle name="AÞ¸¶_ ºn¸nº° ¿uº°±a¼u  41 34" xfId="12294"/>
    <cellStyle name="ÄÞ¸¶_ ºñ¸ñº° ¿ùº°±â¼ú  41 34" xfId="12295"/>
    <cellStyle name="AÞ¸¶_ ºn¸nº° ¿uº°±a¼u  41 4" xfId="12296"/>
    <cellStyle name="ÄÞ¸¶_ ºñ¸ñº° ¿ùº°±â¼ú  41 4" xfId="12297"/>
    <cellStyle name="AÞ¸¶_ ºn¸nº° ¿uº°±a¼u  41 5" xfId="12298"/>
    <cellStyle name="ÄÞ¸¶_ ºñ¸ñº° ¿ùº°±â¼ú  41 5" xfId="12299"/>
    <cellStyle name="AÞ¸¶_ ºn¸nº° ¿uº°±a¼u  41 6" xfId="12300"/>
    <cellStyle name="ÄÞ¸¶_ ºñ¸ñº° ¿ùº°±â¼ú  41 6" xfId="12301"/>
    <cellStyle name="AÞ¸¶_ ºn¸nº° ¿uº°±a¼u  41 7" xfId="12302"/>
    <cellStyle name="ÄÞ¸¶_ ºñ¸ñº° ¿ùº°±â¼ú  41 7" xfId="12303"/>
    <cellStyle name="AÞ¸¶_ ºn¸nº° ¿uº°±a¼u  41 8" xfId="12304"/>
    <cellStyle name="ÄÞ¸¶_ ºñ¸ñº° ¿ùº°±â¼ú  41 8" xfId="12305"/>
    <cellStyle name="AÞ¸¶_ ºn¸nº° ¿uº°±a¼u  41 9" xfId="12306"/>
    <cellStyle name="ÄÞ¸¶_ ºñ¸ñº° ¿ùº°±â¼ú  41 9" xfId="12307"/>
    <cellStyle name="AÞ¸¶_ ºn¸nº° ¿uº°±a¼u  42" xfId="12308"/>
    <cellStyle name="ÄÞ¸¶_ ºñ¸ñº° ¿ùº°±â¼ú  42" xfId="12309"/>
    <cellStyle name="AÞ¸¶_ ºn¸nº° ¿uº°±a¼u  42 10" xfId="12310"/>
    <cellStyle name="ÄÞ¸¶_ ºñ¸ñº° ¿ùº°±â¼ú  42 10" xfId="12311"/>
    <cellStyle name="AÞ¸¶_ ºn¸nº° ¿uº°±a¼u  42 11" xfId="12312"/>
    <cellStyle name="ÄÞ¸¶_ ºñ¸ñº° ¿ùº°±â¼ú  42 11" xfId="12313"/>
    <cellStyle name="AÞ¸¶_ ºn¸nº° ¿uº°±a¼u  42 12" xfId="12314"/>
    <cellStyle name="ÄÞ¸¶_ ºñ¸ñº° ¿ùº°±â¼ú  42 12" xfId="12315"/>
    <cellStyle name="AÞ¸¶_ ºn¸nº° ¿uº°±a¼u  42 13" xfId="12316"/>
    <cellStyle name="ÄÞ¸¶_ ºñ¸ñº° ¿ùº°±â¼ú  42 13" xfId="12317"/>
    <cellStyle name="AÞ¸¶_ ºn¸nº° ¿uº°±a¼u  42 14" xfId="12318"/>
    <cellStyle name="ÄÞ¸¶_ ºñ¸ñº° ¿ùº°±â¼ú  42 14" xfId="12319"/>
    <cellStyle name="AÞ¸¶_ ºn¸nº° ¿uº°±a¼u  42 15" xfId="12320"/>
    <cellStyle name="ÄÞ¸¶_ ºñ¸ñº° ¿ùº°±â¼ú  42 15" xfId="12321"/>
    <cellStyle name="AÞ¸¶_ ºn¸nº° ¿uº°±a¼u  42 16" xfId="12322"/>
    <cellStyle name="ÄÞ¸¶_ ºñ¸ñº° ¿ùº°±â¼ú  42 16" xfId="12323"/>
    <cellStyle name="AÞ¸¶_ ºn¸nº° ¿uº°±a¼u  42 17" xfId="12324"/>
    <cellStyle name="ÄÞ¸¶_ ºñ¸ñº° ¿ùº°±â¼ú  42 17" xfId="12325"/>
    <cellStyle name="AÞ¸¶_ ºn¸nº° ¿uº°±a¼u  42 18" xfId="12326"/>
    <cellStyle name="ÄÞ¸¶_ ºñ¸ñº° ¿ùº°±â¼ú  42 18" xfId="12327"/>
    <cellStyle name="AÞ¸¶_ ºn¸nº° ¿uº°±a¼u  42 19" xfId="12328"/>
    <cellStyle name="ÄÞ¸¶_ ºñ¸ñº° ¿ùº°±â¼ú  42 19" xfId="12329"/>
    <cellStyle name="AÞ¸¶_ ºn¸nº° ¿uº°±a¼u  42 2" xfId="12330"/>
    <cellStyle name="ÄÞ¸¶_ ºñ¸ñº° ¿ùº°±â¼ú  42 2" xfId="12331"/>
    <cellStyle name="AÞ¸¶_ ºn¸nº° ¿uº°±a¼u  42 20" xfId="12332"/>
    <cellStyle name="ÄÞ¸¶_ ºñ¸ñº° ¿ùº°±â¼ú  42 20" xfId="12333"/>
    <cellStyle name="AÞ¸¶_ ºn¸nº° ¿uº°±a¼u  42 21" xfId="12334"/>
    <cellStyle name="ÄÞ¸¶_ ºñ¸ñº° ¿ùº°±â¼ú  42 21" xfId="12335"/>
    <cellStyle name="AÞ¸¶_ ºn¸nº° ¿uº°±a¼u  42 22" xfId="12336"/>
    <cellStyle name="ÄÞ¸¶_ ºñ¸ñº° ¿ùº°±â¼ú  42 22" xfId="12337"/>
    <cellStyle name="AÞ¸¶_ ºn¸nº° ¿uº°±a¼u  42 23" xfId="12338"/>
    <cellStyle name="ÄÞ¸¶_ ºñ¸ñº° ¿ùº°±â¼ú  42 23" xfId="12339"/>
    <cellStyle name="AÞ¸¶_ ºn¸nº° ¿uº°±a¼u  42 24" xfId="12340"/>
    <cellStyle name="ÄÞ¸¶_ ºñ¸ñº° ¿ùº°±â¼ú  42 24" xfId="12341"/>
    <cellStyle name="AÞ¸¶_ ºn¸nº° ¿uº°±a¼u  42 25" xfId="12342"/>
    <cellStyle name="ÄÞ¸¶_ ºñ¸ñº° ¿ùº°±â¼ú  42 25" xfId="12343"/>
    <cellStyle name="AÞ¸¶_ ºn¸nº° ¿uº°±a¼u  42 26" xfId="12344"/>
    <cellStyle name="ÄÞ¸¶_ ºñ¸ñº° ¿ùº°±â¼ú  42 26" xfId="12345"/>
    <cellStyle name="AÞ¸¶_ ºn¸nº° ¿uº°±a¼u  42 27" xfId="12346"/>
    <cellStyle name="ÄÞ¸¶_ ºñ¸ñº° ¿ùº°±â¼ú  42 27" xfId="12347"/>
    <cellStyle name="AÞ¸¶_ ºn¸nº° ¿uº°±a¼u  42 28" xfId="12348"/>
    <cellStyle name="ÄÞ¸¶_ ºñ¸ñº° ¿ùº°±â¼ú  42 28" xfId="12349"/>
    <cellStyle name="AÞ¸¶_ ºn¸nº° ¿uº°±a¼u  42 29" xfId="12350"/>
    <cellStyle name="ÄÞ¸¶_ ºñ¸ñº° ¿ùº°±â¼ú  42 29" xfId="12351"/>
    <cellStyle name="AÞ¸¶_ ºn¸nº° ¿uº°±a¼u  42 3" xfId="12352"/>
    <cellStyle name="ÄÞ¸¶_ ºñ¸ñº° ¿ùº°±â¼ú  42 3" xfId="12353"/>
    <cellStyle name="AÞ¸¶_ ºn¸nº° ¿uº°±a¼u  42 30" xfId="12354"/>
    <cellStyle name="ÄÞ¸¶_ ºñ¸ñº° ¿ùº°±â¼ú  42 30" xfId="12355"/>
    <cellStyle name="AÞ¸¶_ ºn¸nº° ¿uº°±a¼u  42 31" xfId="12356"/>
    <cellStyle name="ÄÞ¸¶_ ºñ¸ñº° ¿ùº°±â¼ú  42 31" xfId="12357"/>
    <cellStyle name="AÞ¸¶_ ºn¸nº° ¿uº°±a¼u  42 32" xfId="12358"/>
    <cellStyle name="ÄÞ¸¶_ ºñ¸ñº° ¿ùº°±â¼ú  42 32" xfId="12359"/>
    <cellStyle name="AÞ¸¶_ ºn¸nº° ¿uº°±a¼u  42 33" xfId="12360"/>
    <cellStyle name="ÄÞ¸¶_ ºñ¸ñº° ¿ùº°±â¼ú  42 33" xfId="12361"/>
    <cellStyle name="AÞ¸¶_ ºn¸nº° ¿uº°±a¼u  42 34" xfId="12362"/>
    <cellStyle name="ÄÞ¸¶_ ºñ¸ñº° ¿ùº°±â¼ú  42 34" xfId="12363"/>
    <cellStyle name="AÞ¸¶_ ºn¸nº° ¿uº°±a¼u  42 4" xfId="12364"/>
    <cellStyle name="ÄÞ¸¶_ ºñ¸ñº° ¿ùº°±â¼ú  42 4" xfId="12365"/>
    <cellStyle name="AÞ¸¶_ ºn¸nº° ¿uº°±a¼u  42 5" xfId="12366"/>
    <cellStyle name="ÄÞ¸¶_ ºñ¸ñº° ¿ùº°±â¼ú  42 5" xfId="12367"/>
    <cellStyle name="AÞ¸¶_ ºn¸nº° ¿uº°±a¼u  42 6" xfId="12368"/>
    <cellStyle name="ÄÞ¸¶_ ºñ¸ñº° ¿ùº°±â¼ú  42 6" xfId="12369"/>
    <cellStyle name="AÞ¸¶_ ºn¸nº° ¿uº°±a¼u  42 7" xfId="12370"/>
    <cellStyle name="ÄÞ¸¶_ ºñ¸ñº° ¿ùº°±â¼ú  42 7" xfId="12371"/>
    <cellStyle name="AÞ¸¶_ ºn¸nº° ¿uº°±a¼u  42 8" xfId="12372"/>
    <cellStyle name="ÄÞ¸¶_ ºñ¸ñº° ¿ùº°±â¼ú  42 8" xfId="12373"/>
    <cellStyle name="AÞ¸¶_ ºn¸nº° ¿uº°±a¼u  42 9" xfId="12374"/>
    <cellStyle name="ÄÞ¸¶_ ºñ¸ñº° ¿ùº°±â¼ú  42 9" xfId="12375"/>
    <cellStyle name="AÞ¸¶_ ºn¸nº° ¿uº°±a¼u  43" xfId="12376"/>
    <cellStyle name="ÄÞ¸¶_ ºñ¸ñº° ¿ùº°±â¼ú  43" xfId="12377"/>
    <cellStyle name="AÞ¸¶_ ºn¸nº° ¿uº°±a¼u  43 10" xfId="12378"/>
    <cellStyle name="ÄÞ¸¶_ ºñ¸ñº° ¿ùº°±â¼ú  43 10" xfId="12379"/>
    <cellStyle name="AÞ¸¶_ ºn¸nº° ¿uº°±a¼u  43 11" xfId="12380"/>
    <cellStyle name="ÄÞ¸¶_ ºñ¸ñº° ¿ùº°±â¼ú  43 11" xfId="12381"/>
    <cellStyle name="AÞ¸¶_ ºn¸nº° ¿uº°±a¼u  43 12" xfId="12382"/>
    <cellStyle name="ÄÞ¸¶_ ºñ¸ñº° ¿ùº°±â¼ú  43 12" xfId="12383"/>
    <cellStyle name="AÞ¸¶_ ºn¸nº° ¿uº°±a¼u  43 13" xfId="12384"/>
    <cellStyle name="ÄÞ¸¶_ ºñ¸ñº° ¿ùº°±â¼ú  43 13" xfId="12385"/>
    <cellStyle name="AÞ¸¶_ ºn¸nº° ¿uº°±a¼u  43 14" xfId="12386"/>
    <cellStyle name="ÄÞ¸¶_ ºñ¸ñº° ¿ùº°±â¼ú  43 14" xfId="12387"/>
    <cellStyle name="AÞ¸¶_ ºn¸nº° ¿uº°±a¼u  43 15" xfId="12388"/>
    <cellStyle name="ÄÞ¸¶_ ºñ¸ñº° ¿ùº°±â¼ú  43 15" xfId="12389"/>
    <cellStyle name="AÞ¸¶_ ºn¸nº° ¿uº°±a¼u  43 16" xfId="12390"/>
    <cellStyle name="ÄÞ¸¶_ ºñ¸ñº° ¿ùº°±â¼ú  43 16" xfId="12391"/>
    <cellStyle name="AÞ¸¶_ ºn¸nº° ¿uº°±a¼u  43 17" xfId="12392"/>
    <cellStyle name="ÄÞ¸¶_ ºñ¸ñº° ¿ùº°±â¼ú  43 17" xfId="12393"/>
    <cellStyle name="AÞ¸¶_ ºn¸nº° ¿uº°±a¼u  43 18" xfId="12394"/>
    <cellStyle name="ÄÞ¸¶_ ºñ¸ñº° ¿ùº°±â¼ú  43 18" xfId="12395"/>
    <cellStyle name="AÞ¸¶_ ºn¸nº° ¿uº°±a¼u  43 19" xfId="12396"/>
    <cellStyle name="ÄÞ¸¶_ ºñ¸ñº° ¿ùº°±â¼ú  43 19" xfId="12397"/>
    <cellStyle name="AÞ¸¶_ ºn¸nº° ¿uº°±a¼u  43 2" xfId="12398"/>
    <cellStyle name="ÄÞ¸¶_ ºñ¸ñº° ¿ùº°±â¼ú  43 2" xfId="12399"/>
    <cellStyle name="AÞ¸¶_ ºn¸nº° ¿uº°±a¼u  43 20" xfId="12400"/>
    <cellStyle name="ÄÞ¸¶_ ºñ¸ñº° ¿ùº°±â¼ú  43 20" xfId="12401"/>
    <cellStyle name="AÞ¸¶_ ºn¸nº° ¿uº°±a¼u  43 21" xfId="12402"/>
    <cellStyle name="ÄÞ¸¶_ ºñ¸ñº° ¿ùº°±â¼ú  43 21" xfId="12403"/>
    <cellStyle name="AÞ¸¶_ ºn¸nº° ¿uº°±a¼u  43 22" xfId="12404"/>
    <cellStyle name="ÄÞ¸¶_ ºñ¸ñº° ¿ùº°±â¼ú  43 22" xfId="12405"/>
    <cellStyle name="AÞ¸¶_ ºn¸nº° ¿uº°±a¼u  43 23" xfId="12406"/>
    <cellStyle name="ÄÞ¸¶_ ºñ¸ñº° ¿ùº°±â¼ú  43 23" xfId="12407"/>
    <cellStyle name="AÞ¸¶_ ºn¸nº° ¿uº°±a¼u  43 24" xfId="12408"/>
    <cellStyle name="ÄÞ¸¶_ ºñ¸ñº° ¿ùº°±â¼ú  43 24" xfId="12409"/>
    <cellStyle name="AÞ¸¶_ ºn¸nº° ¿uº°±a¼u  43 25" xfId="12410"/>
    <cellStyle name="ÄÞ¸¶_ ºñ¸ñº° ¿ùº°±â¼ú  43 25" xfId="12411"/>
    <cellStyle name="AÞ¸¶_ ºn¸nº° ¿uº°±a¼u  43 26" xfId="12412"/>
    <cellStyle name="ÄÞ¸¶_ ºñ¸ñº° ¿ùº°±â¼ú  43 26" xfId="12413"/>
    <cellStyle name="AÞ¸¶_ ºn¸nº° ¿uº°±a¼u  43 27" xfId="12414"/>
    <cellStyle name="ÄÞ¸¶_ ºñ¸ñº° ¿ùº°±â¼ú  43 27" xfId="12415"/>
    <cellStyle name="AÞ¸¶_ ºn¸nº° ¿uº°±a¼u  43 28" xfId="12416"/>
    <cellStyle name="ÄÞ¸¶_ ºñ¸ñº° ¿ùº°±â¼ú  43 28" xfId="12417"/>
    <cellStyle name="AÞ¸¶_ ºn¸nº° ¿uº°±a¼u  43 29" xfId="12418"/>
    <cellStyle name="ÄÞ¸¶_ ºñ¸ñº° ¿ùº°±â¼ú  43 29" xfId="12419"/>
    <cellStyle name="AÞ¸¶_ ºn¸nº° ¿uº°±a¼u  43 3" xfId="12420"/>
    <cellStyle name="ÄÞ¸¶_ ºñ¸ñº° ¿ùº°±â¼ú  43 3" xfId="12421"/>
    <cellStyle name="AÞ¸¶_ ºn¸nº° ¿uº°±a¼u  43 30" xfId="12422"/>
    <cellStyle name="ÄÞ¸¶_ ºñ¸ñº° ¿ùº°±â¼ú  43 30" xfId="12423"/>
    <cellStyle name="AÞ¸¶_ ºn¸nº° ¿uº°±a¼u  43 31" xfId="12424"/>
    <cellStyle name="ÄÞ¸¶_ ºñ¸ñº° ¿ùº°±â¼ú  43 31" xfId="12425"/>
    <cellStyle name="AÞ¸¶_ ºn¸nº° ¿uº°±a¼u  43 32" xfId="12426"/>
    <cellStyle name="ÄÞ¸¶_ ºñ¸ñº° ¿ùº°±â¼ú  43 32" xfId="12427"/>
    <cellStyle name="AÞ¸¶_ ºn¸nº° ¿uº°±a¼u  43 33" xfId="12428"/>
    <cellStyle name="ÄÞ¸¶_ ºñ¸ñº° ¿ùº°±â¼ú  43 33" xfId="12429"/>
    <cellStyle name="AÞ¸¶_ ºn¸nº° ¿uº°±a¼u  43 34" xfId="12430"/>
    <cellStyle name="ÄÞ¸¶_ ºñ¸ñº° ¿ùº°±â¼ú  43 34" xfId="12431"/>
    <cellStyle name="AÞ¸¶_ ºn¸nº° ¿uº°±a¼u  43 4" xfId="12432"/>
    <cellStyle name="ÄÞ¸¶_ ºñ¸ñº° ¿ùº°±â¼ú  43 4" xfId="12433"/>
    <cellStyle name="AÞ¸¶_ ºn¸nº° ¿uº°±a¼u  43 5" xfId="12434"/>
    <cellStyle name="ÄÞ¸¶_ ºñ¸ñº° ¿ùº°±â¼ú  43 5" xfId="12435"/>
    <cellStyle name="AÞ¸¶_ ºn¸nº° ¿uº°±a¼u  43 6" xfId="12436"/>
    <cellStyle name="ÄÞ¸¶_ ºñ¸ñº° ¿ùº°±â¼ú  43 6" xfId="12437"/>
    <cellStyle name="AÞ¸¶_ ºn¸nº° ¿uº°±a¼u  43 7" xfId="12438"/>
    <cellStyle name="ÄÞ¸¶_ ºñ¸ñº° ¿ùº°±â¼ú  43 7" xfId="12439"/>
    <cellStyle name="AÞ¸¶_ ºn¸nº° ¿uº°±a¼u  43 8" xfId="12440"/>
    <cellStyle name="ÄÞ¸¶_ ºñ¸ñº° ¿ùº°±â¼ú  43 8" xfId="12441"/>
    <cellStyle name="AÞ¸¶_ ºn¸nº° ¿uº°±a¼u  43 9" xfId="12442"/>
    <cellStyle name="ÄÞ¸¶_ ºñ¸ñº° ¿ùº°±â¼ú  43 9" xfId="12443"/>
    <cellStyle name="AÞ¸¶_ ºn¸nº° ¿uº°±a¼u  5" xfId="12444"/>
    <cellStyle name="ÄÞ¸¶_ ºñ¸ñº° ¿ùº°±â¼ú  5" xfId="12445"/>
    <cellStyle name="AÞ¸¶_ ºn¸nº° ¿uº°±a¼u  5 10" xfId="12446"/>
    <cellStyle name="ÄÞ¸¶_ ºñ¸ñº° ¿ùº°±â¼ú  5 10" xfId="12447"/>
    <cellStyle name="AÞ¸¶_ ºn¸nº° ¿uº°±a¼u  5 11" xfId="12448"/>
    <cellStyle name="ÄÞ¸¶_ ºñ¸ñº° ¿ùº°±â¼ú  5 11" xfId="12449"/>
    <cellStyle name="AÞ¸¶_ ºn¸nº° ¿uº°±a¼u  5 12" xfId="12450"/>
    <cellStyle name="ÄÞ¸¶_ ºñ¸ñº° ¿ùº°±â¼ú  5 12" xfId="12451"/>
    <cellStyle name="AÞ¸¶_ ºn¸nº° ¿uº°±a¼u  5 13" xfId="12452"/>
    <cellStyle name="ÄÞ¸¶_ ºñ¸ñº° ¿ùº°±â¼ú  5 13" xfId="12453"/>
    <cellStyle name="AÞ¸¶_ ºn¸nº° ¿uº°±a¼u  5 14" xfId="12454"/>
    <cellStyle name="ÄÞ¸¶_ ºñ¸ñº° ¿ùº°±â¼ú  5 14" xfId="12455"/>
    <cellStyle name="AÞ¸¶_ ºn¸nº° ¿uº°±a¼u  5 15" xfId="12456"/>
    <cellStyle name="ÄÞ¸¶_ ºñ¸ñº° ¿ùº°±â¼ú  5 15" xfId="12457"/>
    <cellStyle name="AÞ¸¶_ ºn¸nº° ¿uº°±a¼u  5 16" xfId="12458"/>
    <cellStyle name="ÄÞ¸¶_ ºñ¸ñº° ¿ùº°±â¼ú  5 16" xfId="12459"/>
    <cellStyle name="AÞ¸¶_ ºn¸nº° ¿uº°±a¼u  5 17" xfId="12460"/>
    <cellStyle name="ÄÞ¸¶_ ºñ¸ñº° ¿ùº°±â¼ú  5 17" xfId="12461"/>
    <cellStyle name="AÞ¸¶_ ºn¸nº° ¿uº°±a¼u  5 18" xfId="12462"/>
    <cellStyle name="ÄÞ¸¶_ ºñ¸ñº° ¿ùº°±â¼ú  5 18" xfId="12463"/>
    <cellStyle name="AÞ¸¶_ ºn¸nº° ¿uº°±a¼u  5 19" xfId="12464"/>
    <cellStyle name="ÄÞ¸¶_ ºñ¸ñº° ¿ùº°±â¼ú  5 19" xfId="12465"/>
    <cellStyle name="AÞ¸¶_ ºn¸nº° ¿uº°±a¼u  5 2" xfId="12466"/>
    <cellStyle name="ÄÞ¸¶_ ºñ¸ñº° ¿ùº°±â¼ú  5 2" xfId="12467"/>
    <cellStyle name="AÞ¸¶_ ºn¸nº° ¿uº°±a¼u  5 20" xfId="12468"/>
    <cellStyle name="ÄÞ¸¶_ ºñ¸ñº° ¿ùº°±â¼ú  5 20" xfId="12469"/>
    <cellStyle name="AÞ¸¶_ ºn¸nº° ¿uº°±a¼u  5 21" xfId="12470"/>
    <cellStyle name="ÄÞ¸¶_ ºñ¸ñº° ¿ùº°±â¼ú  5 21" xfId="12471"/>
    <cellStyle name="AÞ¸¶_ ºn¸nº° ¿uº°±a¼u  5 22" xfId="12472"/>
    <cellStyle name="ÄÞ¸¶_ ºñ¸ñº° ¿ùº°±â¼ú  5 22" xfId="12473"/>
    <cellStyle name="AÞ¸¶_ ºn¸nº° ¿uº°±a¼u  5 23" xfId="12474"/>
    <cellStyle name="ÄÞ¸¶_ ºñ¸ñº° ¿ùº°±â¼ú  5 23" xfId="12475"/>
    <cellStyle name="AÞ¸¶_ ºn¸nº° ¿uº°±a¼u  5 24" xfId="12476"/>
    <cellStyle name="ÄÞ¸¶_ ºñ¸ñº° ¿ùº°±â¼ú  5 24" xfId="12477"/>
    <cellStyle name="AÞ¸¶_ ºn¸nº° ¿uº°±a¼u  5 25" xfId="12478"/>
    <cellStyle name="ÄÞ¸¶_ ºñ¸ñº° ¿ùº°±â¼ú  5 25" xfId="12479"/>
    <cellStyle name="AÞ¸¶_ ºn¸nº° ¿uº°±a¼u  5 26" xfId="12480"/>
    <cellStyle name="ÄÞ¸¶_ ºñ¸ñº° ¿ùº°±â¼ú  5 26" xfId="12481"/>
    <cellStyle name="AÞ¸¶_ ºn¸nº° ¿uº°±a¼u  5 27" xfId="12482"/>
    <cellStyle name="ÄÞ¸¶_ ºñ¸ñº° ¿ùº°±â¼ú  5 27" xfId="12483"/>
    <cellStyle name="AÞ¸¶_ ºn¸nº° ¿uº°±a¼u  5 28" xfId="12484"/>
    <cellStyle name="ÄÞ¸¶_ ºñ¸ñº° ¿ùº°±â¼ú  5 28" xfId="12485"/>
    <cellStyle name="AÞ¸¶_ ºn¸nº° ¿uº°±a¼u  5 29" xfId="12486"/>
    <cellStyle name="ÄÞ¸¶_ ºñ¸ñº° ¿ùº°±â¼ú  5 29" xfId="12487"/>
    <cellStyle name="AÞ¸¶_ ºn¸nº° ¿uº°±a¼u  5 3" xfId="12488"/>
    <cellStyle name="ÄÞ¸¶_ ºñ¸ñº° ¿ùº°±â¼ú  5 3" xfId="12489"/>
    <cellStyle name="AÞ¸¶_ ºn¸nº° ¿uº°±a¼u  5 30" xfId="12490"/>
    <cellStyle name="ÄÞ¸¶_ ºñ¸ñº° ¿ùº°±â¼ú  5 30" xfId="12491"/>
    <cellStyle name="AÞ¸¶_ ºn¸nº° ¿uº°±a¼u  5 31" xfId="12492"/>
    <cellStyle name="ÄÞ¸¶_ ºñ¸ñº° ¿ùº°±â¼ú  5 31" xfId="12493"/>
    <cellStyle name="AÞ¸¶_ ºn¸nº° ¿uº°±a¼u  5 32" xfId="12494"/>
    <cellStyle name="ÄÞ¸¶_ ºñ¸ñº° ¿ùº°±â¼ú  5 32" xfId="12495"/>
    <cellStyle name="AÞ¸¶_ ºn¸nº° ¿uº°±a¼u  5 33" xfId="12496"/>
    <cellStyle name="ÄÞ¸¶_ ºñ¸ñº° ¿ùº°±â¼ú  5 33" xfId="12497"/>
    <cellStyle name="AÞ¸¶_ ºn¸nº° ¿uº°±a¼u  5 34" xfId="12498"/>
    <cellStyle name="ÄÞ¸¶_ ºñ¸ñº° ¿ùº°±â¼ú  5 34" xfId="12499"/>
    <cellStyle name="AÞ¸¶_ ºn¸nº° ¿uº°±a¼u  5 4" xfId="12500"/>
    <cellStyle name="ÄÞ¸¶_ ºñ¸ñº° ¿ùº°±â¼ú  5 4" xfId="12501"/>
    <cellStyle name="AÞ¸¶_ ºn¸nº° ¿uº°±a¼u  5 5" xfId="12502"/>
    <cellStyle name="ÄÞ¸¶_ ºñ¸ñº° ¿ùº°±â¼ú  5 5" xfId="12503"/>
    <cellStyle name="AÞ¸¶_ ºn¸nº° ¿uº°±a¼u  5 6" xfId="12504"/>
    <cellStyle name="ÄÞ¸¶_ ºñ¸ñº° ¿ùº°±â¼ú  5 6" xfId="12505"/>
    <cellStyle name="AÞ¸¶_ ºn¸nº° ¿uº°±a¼u  5 7" xfId="12506"/>
    <cellStyle name="ÄÞ¸¶_ ºñ¸ñº° ¿ùº°±â¼ú  5 7" xfId="12507"/>
    <cellStyle name="AÞ¸¶_ ºn¸nº° ¿uº°±a¼u  5 8" xfId="12508"/>
    <cellStyle name="ÄÞ¸¶_ ºñ¸ñº° ¿ùº°±â¼ú  5 8" xfId="12509"/>
    <cellStyle name="AÞ¸¶_ ºn¸nº° ¿uº°±a¼u  5 9" xfId="12510"/>
    <cellStyle name="ÄÞ¸¶_ ºñ¸ñº° ¿ùº°±â¼ú  5 9" xfId="12511"/>
    <cellStyle name="AÞ¸¶_ ºn¸nº° ¿uº°±a¼u  6" xfId="12512"/>
    <cellStyle name="ÄÞ¸¶_ ºñ¸ñº° ¿ùº°±â¼ú  6" xfId="12513"/>
    <cellStyle name="AÞ¸¶_ ºn¸nº° ¿uº°±a¼u  6 10" xfId="12514"/>
    <cellStyle name="ÄÞ¸¶_ ºñ¸ñº° ¿ùº°±â¼ú  6 10" xfId="12515"/>
    <cellStyle name="AÞ¸¶_ ºn¸nº° ¿uº°±a¼u  6 11" xfId="12516"/>
    <cellStyle name="ÄÞ¸¶_ ºñ¸ñº° ¿ùº°±â¼ú  6 11" xfId="12517"/>
    <cellStyle name="AÞ¸¶_ ºn¸nº° ¿uº°±a¼u  6 12" xfId="12518"/>
    <cellStyle name="ÄÞ¸¶_ ºñ¸ñº° ¿ùº°±â¼ú  6 12" xfId="12519"/>
    <cellStyle name="AÞ¸¶_ ºn¸nº° ¿uº°±a¼u  6 13" xfId="12520"/>
    <cellStyle name="ÄÞ¸¶_ ºñ¸ñº° ¿ùº°±â¼ú  6 13" xfId="12521"/>
    <cellStyle name="AÞ¸¶_ ºn¸nº° ¿uº°±a¼u  6 14" xfId="12522"/>
    <cellStyle name="ÄÞ¸¶_ ºñ¸ñº° ¿ùº°±â¼ú  6 14" xfId="12523"/>
    <cellStyle name="AÞ¸¶_ ºn¸nº° ¿uº°±a¼u  6 15" xfId="12524"/>
    <cellStyle name="ÄÞ¸¶_ ºñ¸ñº° ¿ùº°±â¼ú  6 15" xfId="12525"/>
    <cellStyle name="AÞ¸¶_ ºn¸nº° ¿uº°±a¼u  6 16" xfId="12526"/>
    <cellStyle name="ÄÞ¸¶_ ºñ¸ñº° ¿ùº°±â¼ú  6 16" xfId="12527"/>
    <cellStyle name="AÞ¸¶_ ºn¸nº° ¿uº°±a¼u  6 17" xfId="12528"/>
    <cellStyle name="ÄÞ¸¶_ ºñ¸ñº° ¿ùº°±â¼ú  6 17" xfId="12529"/>
    <cellStyle name="AÞ¸¶_ ºn¸nº° ¿uº°±a¼u  6 18" xfId="12530"/>
    <cellStyle name="ÄÞ¸¶_ ºñ¸ñº° ¿ùº°±â¼ú  6 18" xfId="12531"/>
    <cellStyle name="AÞ¸¶_ ºn¸nº° ¿uº°±a¼u  6 19" xfId="12532"/>
    <cellStyle name="ÄÞ¸¶_ ºñ¸ñº° ¿ùº°±â¼ú  6 19" xfId="12533"/>
    <cellStyle name="AÞ¸¶_ ºn¸nº° ¿uº°±a¼u  6 2" xfId="12534"/>
    <cellStyle name="ÄÞ¸¶_ ºñ¸ñº° ¿ùº°±â¼ú  6 2" xfId="12535"/>
    <cellStyle name="AÞ¸¶_ ºn¸nº° ¿uº°±a¼u  6 20" xfId="12536"/>
    <cellStyle name="ÄÞ¸¶_ ºñ¸ñº° ¿ùº°±â¼ú  6 20" xfId="12537"/>
    <cellStyle name="AÞ¸¶_ ºn¸nº° ¿uº°±a¼u  6 21" xfId="12538"/>
    <cellStyle name="ÄÞ¸¶_ ºñ¸ñº° ¿ùº°±â¼ú  6 21" xfId="12539"/>
    <cellStyle name="AÞ¸¶_ ºn¸nº° ¿uº°±a¼u  6 22" xfId="12540"/>
    <cellStyle name="ÄÞ¸¶_ ºñ¸ñº° ¿ùº°±â¼ú  6 22" xfId="12541"/>
    <cellStyle name="AÞ¸¶_ ºn¸nº° ¿uº°±a¼u  6 23" xfId="12542"/>
    <cellStyle name="ÄÞ¸¶_ ºñ¸ñº° ¿ùº°±â¼ú  6 23" xfId="12543"/>
    <cellStyle name="AÞ¸¶_ ºn¸nº° ¿uº°±a¼u  6 24" xfId="12544"/>
    <cellStyle name="ÄÞ¸¶_ ºñ¸ñº° ¿ùº°±â¼ú  6 24" xfId="12545"/>
    <cellStyle name="AÞ¸¶_ ºn¸nº° ¿uº°±a¼u  6 25" xfId="12546"/>
    <cellStyle name="ÄÞ¸¶_ ºñ¸ñº° ¿ùº°±â¼ú  6 25" xfId="12547"/>
    <cellStyle name="AÞ¸¶_ ºn¸nº° ¿uº°±a¼u  6 26" xfId="12548"/>
    <cellStyle name="ÄÞ¸¶_ ºñ¸ñº° ¿ùº°±â¼ú  6 26" xfId="12549"/>
    <cellStyle name="AÞ¸¶_ ºn¸nº° ¿uº°±a¼u  6 27" xfId="12550"/>
    <cellStyle name="ÄÞ¸¶_ ºñ¸ñº° ¿ùº°±â¼ú  6 27" xfId="12551"/>
    <cellStyle name="AÞ¸¶_ ºn¸nº° ¿uº°±a¼u  6 28" xfId="12552"/>
    <cellStyle name="ÄÞ¸¶_ ºñ¸ñº° ¿ùº°±â¼ú  6 28" xfId="12553"/>
    <cellStyle name="AÞ¸¶_ ºn¸nº° ¿uº°±a¼u  6 29" xfId="12554"/>
    <cellStyle name="ÄÞ¸¶_ ºñ¸ñº° ¿ùº°±â¼ú  6 29" xfId="12555"/>
    <cellStyle name="AÞ¸¶_ ºn¸nº° ¿uº°±a¼u  6 3" xfId="12556"/>
    <cellStyle name="ÄÞ¸¶_ ºñ¸ñº° ¿ùº°±â¼ú  6 3" xfId="12557"/>
    <cellStyle name="AÞ¸¶_ ºn¸nº° ¿uº°±a¼u  6 30" xfId="12558"/>
    <cellStyle name="ÄÞ¸¶_ ºñ¸ñº° ¿ùº°±â¼ú  6 30" xfId="12559"/>
    <cellStyle name="AÞ¸¶_ ºn¸nº° ¿uº°±a¼u  6 31" xfId="12560"/>
    <cellStyle name="ÄÞ¸¶_ ºñ¸ñº° ¿ùº°±â¼ú  6 31" xfId="12561"/>
    <cellStyle name="AÞ¸¶_ ºn¸nº° ¿uº°±a¼u  6 32" xfId="12562"/>
    <cellStyle name="ÄÞ¸¶_ ºñ¸ñº° ¿ùº°±â¼ú  6 32" xfId="12563"/>
    <cellStyle name="AÞ¸¶_ ºn¸nº° ¿uº°±a¼u  6 33" xfId="12564"/>
    <cellStyle name="ÄÞ¸¶_ ºñ¸ñº° ¿ùº°±â¼ú  6 33" xfId="12565"/>
    <cellStyle name="AÞ¸¶_ ºn¸nº° ¿uº°±a¼u  6 34" xfId="12566"/>
    <cellStyle name="ÄÞ¸¶_ ºñ¸ñº° ¿ùº°±â¼ú  6 34" xfId="12567"/>
    <cellStyle name="AÞ¸¶_ ºn¸nº° ¿uº°±a¼u  6 4" xfId="12568"/>
    <cellStyle name="ÄÞ¸¶_ ºñ¸ñº° ¿ùº°±â¼ú  6 4" xfId="12569"/>
    <cellStyle name="AÞ¸¶_ ºn¸nº° ¿uº°±a¼u  6 5" xfId="12570"/>
    <cellStyle name="ÄÞ¸¶_ ºñ¸ñº° ¿ùº°±â¼ú  6 5" xfId="12571"/>
    <cellStyle name="AÞ¸¶_ ºn¸nº° ¿uº°±a¼u  6 6" xfId="12572"/>
    <cellStyle name="ÄÞ¸¶_ ºñ¸ñº° ¿ùº°±â¼ú  6 6" xfId="12573"/>
    <cellStyle name="AÞ¸¶_ ºn¸nº° ¿uº°±a¼u  6 7" xfId="12574"/>
    <cellStyle name="ÄÞ¸¶_ ºñ¸ñº° ¿ùº°±â¼ú  6 7" xfId="12575"/>
    <cellStyle name="AÞ¸¶_ ºn¸nº° ¿uº°±a¼u  6 8" xfId="12576"/>
    <cellStyle name="ÄÞ¸¶_ ºñ¸ñº° ¿ùº°±â¼ú  6 8" xfId="12577"/>
    <cellStyle name="AÞ¸¶_ ºn¸nº° ¿uº°±a¼u  6 9" xfId="12578"/>
    <cellStyle name="ÄÞ¸¶_ ºñ¸ñº° ¿ùº°±â¼ú  6 9" xfId="12579"/>
    <cellStyle name="AÞ¸¶_ ºn¸nº° ¿uº°±a¼u  7" xfId="12580"/>
    <cellStyle name="ÄÞ¸¶_ ºñ¸ñº° ¿ùº°±â¼ú  7" xfId="12581"/>
    <cellStyle name="AÞ¸¶_ ºn¸nº° ¿uº°±a¼u  7 10" xfId="12582"/>
    <cellStyle name="ÄÞ¸¶_ ºñ¸ñº° ¿ùº°±â¼ú  7 10" xfId="12583"/>
    <cellStyle name="AÞ¸¶_ ºn¸nº° ¿uº°±a¼u  7 11" xfId="12584"/>
    <cellStyle name="ÄÞ¸¶_ ºñ¸ñº° ¿ùº°±â¼ú  7 11" xfId="12585"/>
    <cellStyle name="AÞ¸¶_ ºn¸nº° ¿uº°±a¼u  7 12" xfId="12586"/>
    <cellStyle name="ÄÞ¸¶_ ºñ¸ñº° ¿ùº°±â¼ú  7 12" xfId="12587"/>
    <cellStyle name="AÞ¸¶_ ºn¸nº° ¿uº°±a¼u  7 13" xfId="12588"/>
    <cellStyle name="ÄÞ¸¶_ ºñ¸ñº° ¿ùº°±â¼ú  7 13" xfId="12589"/>
    <cellStyle name="AÞ¸¶_ ºn¸nº° ¿uº°±a¼u  7 14" xfId="12590"/>
    <cellStyle name="ÄÞ¸¶_ ºñ¸ñº° ¿ùº°±â¼ú  7 14" xfId="12591"/>
    <cellStyle name="AÞ¸¶_ ºn¸nº° ¿uº°±a¼u  7 15" xfId="12592"/>
    <cellStyle name="ÄÞ¸¶_ ºñ¸ñº° ¿ùº°±â¼ú  7 15" xfId="12593"/>
    <cellStyle name="AÞ¸¶_ ºn¸nº° ¿uº°±a¼u  7 16" xfId="12594"/>
    <cellStyle name="ÄÞ¸¶_ ºñ¸ñº° ¿ùº°±â¼ú  7 16" xfId="12595"/>
    <cellStyle name="AÞ¸¶_ ºn¸nº° ¿uº°±a¼u  7 17" xfId="12596"/>
    <cellStyle name="ÄÞ¸¶_ ºñ¸ñº° ¿ùº°±â¼ú  7 17" xfId="12597"/>
    <cellStyle name="AÞ¸¶_ ºn¸nº° ¿uº°±a¼u  7 18" xfId="12598"/>
    <cellStyle name="ÄÞ¸¶_ ºñ¸ñº° ¿ùº°±â¼ú  7 18" xfId="12599"/>
    <cellStyle name="AÞ¸¶_ ºn¸nº° ¿uº°±a¼u  7 19" xfId="12600"/>
    <cellStyle name="ÄÞ¸¶_ ºñ¸ñº° ¿ùº°±â¼ú  7 19" xfId="12601"/>
    <cellStyle name="AÞ¸¶_ ºn¸nº° ¿uº°±a¼u  7 2" xfId="12602"/>
    <cellStyle name="ÄÞ¸¶_ ºñ¸ñº° ¿ùº°±â¼ú  7 2" xfId="12603"/>
    <cellStyle name="AÞ¸¶_ ºn¸nº° ¿uº°±a¼u  7 20" xfId="12604"/>
    <cellStyle name="ÄÞ¸¶_ ºñ¸ñº° ¿ùº°±â¼ú  7 20" xfId="12605"/>
    <cellStyle name="AÞ¸¶_ ºn¸nº° ¿uº°±a¼u  7 21" xfId="12606"/>
    <cellStyle name="ÄÞ¸¶_ ºñ¸ñº° ¿ùº°±â¼ú  7 21" xfId="12607"/>
    <cellStyle name="AÞ¸¶_ ºn¸nº° ¿uº°±a¼u  7 22" xfId="12608"/>
    <cellStyle name="ÄÞ¸¶_ ºñ¸ñº° ¿ùº°±â¼ú  7 22" xfId="12609"/>
    <cellStyle name="AÞ¸¶_ ºn¸nº° ¿uº°±a¼u  7 23" xfId="12610"/>
    <cellStyle name="ÄÞ¸¶_ ºñ¸ñº° ¿ùº°±â¼ú  7 23" xfId="12611"/>
    <cellStyle name="AÞ¸¶_ ºn¸nº° ¿uº°±a¼u  7 24" xfId="12612"/>
    <cellStyle name="ÄÞ¸¶_ ºñ¸ñº° ¿ùº°±â¼ú  7 24" xfId="12613"/>
    <cellStyle name="AÞ¸¶_ ºn¸nº° ¿uº°±a¼u  7 25" xfId="12614"/>
    <cellStyle name="ÄÞ¸¶_ ºñ¸ñº° ¿ùº°±â¼ú  7 25" xfId="12615"/>
    <cellStyle name="AÞ¸¶_ ºn¸nº° ¿uº°±a¼u  7 26" xfId="12616"/>
    <cellStyle name="ÄÞ¸¶_ ºñ¸ñº° ¿ùº°±â¼ú  7 26" xfId="12617"/>
    <cellStyle name="AÞ¸¶_ ºn¸nº° ¿uº°±a¼u  7 27" xfId="12618"/>
    <cellStyle name="ÄÞ¸¶_ ºñ¸ñº° ¿ùº°±â¼ú  7 27" xfId="12619"/>
    <cellStyle name="AÞ¸¶_ ºn¸nº° ¿uº°±a¼u  7 28" xfId="12620"/>
    <cellStyle name="ÄÞ¸¶_ ºñ¸ñº° ¿ùº°±â¼ú  7 28" xfId="12621"/>
    <cellStyle name="AÞ¸¶_ ºn¸nº° ¿uº°±a¼u  7 29" xfId="12622"/>
    <cellStyle name="ÄÞ¸¶_ ºñ¸ñº° ¿ùº°±â¼ú  7 29" xfId="12623"/>
    <cellStyle name="AÞ¸¶_ ºn¸nº° ¿uº°±a¼u  7 3" xfId="12624"/>
    <cellStyle name="ÄÞ¸¶_ ºñ¸ñº° ¿ùº°±â¼ú  7 3" xfId="12625"/>
    <cellStyle name="AÞ¸¶_ ºn¸nº° ¿uº°±a¼u  7 30" xfId="12626"/>
    <cellStyle name="ÄÞ¸¶_ ºñ¸ñº° ¿ùº°±â¼ú  7 30" xfId="12627"/>
    <cellStyle name="AÞ¸¶_ ºn¸nº° ¿uº°±a¼u  7 31" xfId="12628"/>
    <cellStyle name="ÄÞ¸¶_ ºñ¸ñº° ¿ùº°±â¼ú  7 31" xfId="12629"/>
    <cellStyle name="AÞ¸¶_ ºn¸nº° ¿uº°±a¼u  7 32" xfId="12630"/>
    <cellStyle name="ÄÞ¸¶_ ºñ¸ñº° ¿ùº°±â¼ú  7 32" xfId="12631"/>
    <cellStyle name="AÞ¸¶_ ºn¸nº° ¿uº°±a¼u  7 33" xfId="12632"/>
    <cellStyle name="ÄÞ¸¶_ ºñ¸ñº° ¿ùº°±â¼ú  7 33" xfId="12633"/>
    <cellStyle name="AÞ¸¶_ ºn¸nº° ¿uº°±a¼u  7 34" xfId="12634"/>
    <cellStyle name="ÄÞ¸¶_ ºñ¸ñº° ¿ùº°±â¼ú  7 34" xfId="12635"/>
    <cellStyle name="AÞ¸¶_ ºn¸nº° ¿uº°±a¼u  7 4" xfId="12636"/>
    <cellStyle name="ÄÞ¸¶_ ºñ¸ñº° ¿ùº°±â¼ú  7 4" xfId="12637"/>
    <cellStyle name="AÞ¸¶_ ºn¸nº° ¿uº°±a¼u  7 5" xfId="12638"/>
    <cellStyle name="ÄÞ¸¶_ ºñ¸ñº° ¿ùº°±â¼ú  7 5" xfId="12639"/>
    <cellStyle name="AÞ¸¶_ ºn¸nº° ¿uº°±a¼u  7 6" xfId="12640"/>
    <cellStyle name="ÄÞ¸¶_ ºñ¸ñº° ¿ùº°±â¼ú  7 6" xfId="12641"/>
    <cellStyle name="AÞ¸¶_ ºn¸nº° ¿uº°±a¼u  7 7" xfId="12642"/>
    <cellStyle name="ÄÞ¸¶_ ºñ¸ñº° ¿ùº°±â¼ú  7 7" xfId="12643"/>
    <cellStyle name="AÞ¸¶_ ºn¸nº° ¿uº°±a¼u  7 8" xfId="12644"/>
    <cellStyle name="ÄÞ¸¶_ ºñ¸ñº° ¿ùº°±â¼ú  7 8" xfId="12645"/>
    <cellStyle name="AÞ¸¶_ ºn¸nº° ¿uº°±a¼u  7 9" xfId="12646"/>
    <cellStyle name="ÄÞ¸¶_ ºñ¸ñº° ¿ùº°±â¼ú  7 9" xfId="12647"/>
    <cellStyle name="AÞ¸¶_ ºn¸nº° ¿uº°±a¼u  8" xfId="12648"/>
    <cellStyle name="ÄÞ¸¶_ ºñ¸ñº° ¿ùº°±â¼ú  8" xfId="12649"/>
    <cellStyle name="AÞ¸¶_ ºn¸nº° ¿uº°±a¼u  8 10" xfId="12650"/>
    <cellStyle name="ÄÞ¸¶_ ºñ¸ñº° ¿ùº°±â¼ú  8 10" xfId="12651"/>
    <cellStyle name="AÞ¸¶_ ºn¸nº° ¿uº°±a¼u  8 11" xfId="12652"/>
    <cellStyle name="ÄÞ¸¶_ ºñ¸ñº° ¿ùº°±â¼ú  8 11" xfId="12653"/>
    <cellStyle name="AÞ¸¶_ ºn¸nº° ¿uº°±a¼u  8 12" xfId="12654"/>
    <cellStyle name="ÄÞ¸¶_ ºñ¸ñº° ¿ùº°±â¼ú  8 12" xfId="12655"/>
    <cellStyle name="AÞ¸¶_ ºn¸nº° ¿uº°±a¼u  8 13" xfId="12656"/>
    <cellStyle name="ÄÞ¸¶_ ºñ¸ñº° ¿ùº°±â¼ú  8 13" xfId="12657"/>
    <cellStyle name="AÞ¸¶_ ºn¸nº° ¿uº°±a¼u  8 14" xfId="12658"/>
    <cellStyle name="ÄÞ¸¶_ ºñ¸ñº° ¿ùº°±â¼ú  8 14" xfId="12659"/>
    <cellStyle name="AÞ¸¶_ ºn¸nº° ¿uº°±a¼u  8 15" xfId="12660"/>
    <cellStyle name="ÄÞ¸¶_ ºñ¸ñº° ¿ùº°±â¼ú  8 15" xfId="12661"/>
    <cellStyle name="AÞ¸¶_ ºn¸nº° ¿uº°±a¼u  8 16" xfId="12662"/>
    <cellStyle name="ÄÞ¸¶_ ºñ¸ñº° ¿ùº°±â¼ú  8 16" xfId="12663"/>
    <cellStyle name="AÞ¸¶_ ºn¸nº° ¿uº°±a¼u  8 17" xfId="12664"/>
    <cellStyle name="ÄÞ¸¶_ ºñ¸ñº° ¿ùº°±â¼ú  8 17" xfId="12665"/>
    <cellStyle name="AÞ¸¶_ ºn¸nº° ¿uº°±a¼u  8 18" xfId="12666"/>
    <cellStyle name="ÄÞ¸¶_ ºñ¸ñº° ¿ùº°±â¼ú  8 18" xfId="12667"/>
    <cellStyle name="AÞ¸¶_ ºn¸nº° ¿uº°±a¼u  8 19" xfId="12668"/>
    <cellStyle name="ÄÞ¸¶_ ºñ¸ñº° ¿ùº°±â¼ú  8 19" xfId="12669"/>
    <cellStyle name="AÞ¸¶_ ºn¸nº° ¿uº°±a¼u  8 2" xfId="12670"/>
    <cellStyle name="ÄÞ¸¶_ ºñ¸ñº° ¿ùº°±â¼ú  8 2" xfId="12671"/>
    <cellStyle name="AÞ¸¶_ ºn¸nº° ¿uº°±a¼u  8 20" xfId="12672"/>
    <cellStyle name="ÄÞ¸¶_ ºñ¸ñº° ¿ùº°±â¼ú  8 20" xfId="12673"/>
    <cellStyle name="AÞ¸¶_ ºn¸nº° ¿uº°±a¼u  8 21" xfId="12674"/>
    <cellStyle name="ÄÞ¸¶_ ºñ¸ñº° ¿ùº°±â¼ú  8 21" xfId="12675"/>
    <cellStyle name="AÞ¸¶_ ºn¸nº° ¿uº°±a¼u  8 22" xfId="12676"/>
    <cellStyle name="ÄÞ¸¶_ ºñ¸ñº° ¿ùº°±â¼ú  8 22" xfId="12677"/>
    <cellStyle name="AÞ¸¶_ ºn¸nº° ¿uº°±a¼u  8 23" xfId="12678"/>
    <cellStyle name="ÄÞ¸¶_ ºñ¸ñº° ¿ùº°±â¼ú  8 23" xfId="12679"/>
    <cellStyle name="AÞ¸¶_ ºn¸nº° ¿uº°±a¼u  8 24" xfId="12680"/>
    <cellStyle name="ÄÞ¸¶_ ºñ¸ñº° ¿ùº°±â¼ú  8 24" xfId="12681"/>
    <cellStyle name="AÞ¸¶_ ºn¸nº° ¿uº°±a¼u  8 25" xfId="12682"/>
    <cellStyle name="ÄÞ¸¶_ ºñ¸ñº° ¿ùº°±â¼ú  8 25" xfId="12683"/>
    <cellStyle name="AÞ¸¶_ ºn¸nº° ¿uº°±a¼u  8 26" xfId="12684"/>
    <cellStyle name="ÄÞ¸¶_ ºñ¸ñº° ¿ùº°±â¼ú  8 26" xfId="12685"/>
    <cellStyle name="AÞ¸¶_ ºn¸nº° ¿uº°±a¼u  8 27" xfId="12686"/>
    <cellStyle name="ÄÞ¸¶_ ºñ¸ñº° ¿ùº°±â¼ú  8 27" xfId="12687"/>
    <cellStyle name="AÞ¸¶_ ºn¸nº° ¿uº°±a¼u  8 28" xfId="12688"/>
    <cellStyle name="ÄÞ¸¶_ ºñ¸ñº° ¿ùº°±â¼ú  8 28" xfId="12689"/>
    <cellStyle name="AÞ¸¶_ ºn¸nº° ¿uº°±a¼u  8 29" xfId="12690"/>
    <cellStyle name="ÄÞ¸¶_ ºñ¸ñº° ¿ùº°±â¼ú  8 29" xfId="12691"/>
    <cellStyle name="AÞ¸¶_ ºn¸nº° ¿uº°±a¼u  8 3" xfId="12692"/>
    <cellStyle name="ÄÞ¸¶_ ºñ¸ñº° ¿ùº°±â¼ú  8 3" xfId="12693"/>
    <cellStyle name="AÞ¸¶_ ºn¸nº° ¿uº°±a¼u  8 30" xfId="12694"/>
    <cellStyle name="ÄÞ¸¶_ ºñ¸ñº° ¿ùº°±â¼ú  8 30" xfId="12695"/>
    <cellStyle name="AÞ¸¶_ ºn¸nº° ¿uº°±a¼u  8 31" xfId="12696"/>
    <cellStyle name="ÄÞ¸¶_ ºñ¸ñº° ¿ùº°±â¼ú  8 31" xfId="12697"/>
    <cellStyle name="AÞ¸¶_ ºn¸nº° ¿uº°±a¼u  8 32" xfId="12698"/>
    <cellStyle name="ÄÞ¸¶_ ºñ¸ñº° ¿ùº°±â¼ú  8 32" xfId="12699"/>
    <cellStyle name="AÞ¸¶_ ºn¸nº° ¿uº°±a¼u  8 33" xfId="12700"/>
    <cellStyle name="ÄÞ¸¶_ ºñ¸ñº° ¿ùº°±â¼ú  8 33" xfId="12701"/>
    <cellStyle name="AÞ¸¶_ ºn¸nº° ¿uº°±a¼u  8 34" xfId="12702"/>
    <cellStyle name="ÄÞ¸¶_ ºñ¸ñº° ¿ùº°±â¼ú  8 34" xfId="12703"/>
    <cellStyle name="AÞ¸¶_ ºn¸nº° ¿uº°±a¼u  8 4" xfId="12704"/>
    <cellStyle name="ÄÞ¸¶_ ºñ¸ñº° ¿ùº°±â¼ú  8 4" xfId="12705"/>
    <cellStyle name="AÞ¸¶_ ºn¸nº° ¿uº°±a¼u  8 5" xfId="12706"/>
    <cellStyle name="ÄÞ¸¶_ ºñ¸ñº° ¿ùº°±â¼ú  8 5" xfId="12707"/>
    <cellStyle name="AÞ¸¶_ ºn¸nº° ¿uº°±a¼u  8 6" xfId="12708"/>
    <cellStyle name="ÄÞ¸¶_ ºñ¸ñº° ¿ùº°±â¼ú  8 6" xfId="12709"/>
    <cellStyle name="AÞ¸¶_ ºn¸nº° ¿uº°±a¼u  8 7" xfId="12710"/>
    <cellStyle name="ÄÞ¸¶_ ºñ¸ñº° ¿ùº°±â¼ú  8 7" xfId="12711"/>
    <cellStyle name="AÞ¸¶_ ºn¸nº° ¿uº°±a¼u  8 8" xfId="12712"/>
    <cellStyle name="ÄÞ¸¶_ ºñ¸ñº° ¿ùº°±â¼ú  8 8" xfId="12713"/>
    <cellStyle name="AÞ¸¶_ ºn¸nº° ¿uº°±a¼u  8 9" xfId="12714"/>
    <cellStyle name="ÄÞ¸¶_ ºñ¸ñº° ¿ùº°±â¼ú  8 9" xfId="12715"/>
    <cellStyle name="AÞ¸¶_ ºn¸nº° ¿uº°±a¼u  9" xfId="12716"/>
    <cellStyle name="ÄÞ¸¶_ ºñ¸ñº° ¿ùº°±â¼ú  9" xfId="12717"/>
    <cellStyle name="AÞ¸¶_ ºn¸nº° ¿uº°±a¼u  9 10" xfId="12718"/>
    <cellStyle name="ÄÞ¸¶_ ºñ¸ñº° ¿ùº°±â¼ú  9 10" xfId="12719"/>
    <cellStyle name="AÞ¸¶_ ºn¸nº° ¿uº°±a¼u  9 11" xfId="12720"/>
    <cellStyle name="ÄÞ¸¶_ ºñ¸ñº° ¿ùº°±â¼ú  9 11" xfId="12721"/>
    <cellStyle name="AÞ¸¶_ ºn¸nº° ¿uº°±a¼u  9 12" xfId="12722"/>
    <cellStyle name="ÄÞ¸¶_ ºñ¸ñº° ¿ùº°±â¼ú  9 12" xfId="12723"/>
    <cellStyle name="AÞ¸¶_ ºn¸nº° ¿uº°±a¼u  9 13" xfId="12724"/>
    <cellStyle name="ÄÞ¸¶_ ºñ¸ñº° ¿ùº°±â¼ú  9 13" xfId="12725"/>
    <cellStyle name="AÞ¸¶_ ºn¸nº° ¿uº°±a¼u  9 14" xfId="12726"/>
    <cellStyle name="ÄÞ¸¶_ ºñ¸ñº° ¿ùº°±â¼ú  9 14" xfId="12727"/>
    <cellStyle name="AÞ¸¶_ ºn¸nº° ¿uº°±a¼u  9 15" xfId="12728"/>
    <cellStyle name="ÄÞ¸¶_ ºñ¸ñº° ¿ùº°±â¼ú  9 15" xfId="12729"/>
    <cellStyle name="AÞ¸¶_ ºn¸nº° ¿uº°±a¼u  9 16" xfId="12730"/>
    <cellStyle name="ÄÞ¸¶_ ºñ¸ñº° ¿ùº°±â¼ú  9 16" xfId="12731"/>
    <cellStyle name="AÞ¸¶_ ºn¸nº° ¿uº°±a¼u  9 17" xfId="12732"/>
    <cellStyle name="ÄÞ¸¶_ ºñ¸ñº° ¿ùº°±â¼ú  9 17" xfId="12733"/>
    <cellStyle name="AÞ¸¶_ ºn¸nº° ¿uº°±a¼u  9 18" xfId="12734"/>
    <cellStyle name="ÄÞ¸¶_ ºñ¸ñº° ¿ùº°±â¼ú  9 18" xfId="12735"/>
    <cellStyle name="AÞ¸¶_ ºn¸nº° ¿uº°±a¼u  9 19" xfId="12736"/>
    <cellStyle name="ÄÞ¸¶_ ºñ¸ñº° ¿ùº°±â¼ú  9 19" xfId="12737"/>
    <cellStyle name="AÞ¸¶_ ºn¸nº° ¿uº°±a¼u  9 2" xfId="12738"/>
    <cellStyle name="ÄÞ¸¶_ ºñ¸ñº° ¿ùº°±â¼ú  9 2" xfId="12739"/>
    <cellStyle name="AÞ¸¶_ ºn¸nº° ¿uº°±a¼u  9 20" xfId="12740"/>
    <cellStyle name="ÄÞ¸¶_ ºñ¸ñº° ¿ùº°±â¼ú  9 20" xfId="12741"/>
    <cellStyle name="AÞ¸¶_ ºn¸nº° ¿uº°±a¼u  9 21" xfId="12742"/>
    <cellStyle name="ÄÞ¸¶_ ºñ¸ñº° ¿ùº°±â¼ú  9 21" xfId="12743"/>
    <cellStyle name="AÞ¸¶_ ºn¸nº° ¿uº°±a¼u  9 22" xfId="12744"/>
    <cellStyle name="ÄÞ¸¶_ ºñ¸ñº° ¿ùº°±â¼ú  9 22" xfId="12745"/>
    <cellStyle name="AÞ¸¶_ ºn¸nº° ¿uº°±a¼u  9 23" xfId="12746"/>
    <cellStyle name="ÄÞ¸¶_ ºñ¸ñº° ¿ùº°±â¼ú  9 23" xfId="12747"/>
    <cellStyle name="AÞ¸¶_ ºn¸nº° ¿uº°±a¼u  9 24" xfId="12748"/>
    <cellStyle name="ÄÞ¸¶_ ºñ¸ñº° ¿ùº°±â¼ú  9 24" xfId="12749"/>
    <cellStyle name="AÞ¸¶_ ºn¸nº° ¿uº°±a¼u  9 25" xfId="12750"/>
    <cellStyle name="ÄÞ¸¶_ ºñ¸ñº° ¿ùº°±â¼ú  9 25" xfId="12751"/>
    <cellStyle name="AÞ¸¶_ ºn¸nº° ¿uº°±a¼u  9 26" xfId="12752"/>
    <cellStyle name="ÄÞ¸¶_ ºñ¸ñº° ¿ùº°±â¼ú  9 26" xfId="12753"/>
    <cellStyle name="AÞ¸¶_ ºn¸nº° ¿uº°±a¼u  9 27" xfId="12754"/>
    <cellStyle name="ÄÞ¸¶_ ºñ¸ñº° ¿ùº°±â¼ú  9 27" xfId="12755"/>
    <cellStyle name="AÞ¸¶_ ºn¸nº° ¿uº°±a¼u  9 28" xfId="12756"/>
    <cellStyle name="ÄÞ¸¶_ ºñ¸ñº° ¿ùº°±â¼ú  9 28" xfId="12757"/>
    <cellStyle name="AÞ¸¶_ ºn¸nº° ¿uº°±a¼u  9 29" xfId="12758"/>
    <cellStyle name="ÄÞ¸¶_ ºñ¸ñº° ¿ùº°±â¼ú  9 29" xfId="12759"/>
    <cellStyle name="AÞ¸¶_ ºn¸nº° ¿uº°±a¼u  9 3" xfId="12760"/>
    <cellStyle name="ÄÞ¸¶_ ºñ¸ñº° ¿ùº°±â¼ú  9 3" xfId="12761"/>
    <cellStyle name="AÞ¸¶_ ºn¸nº° ¿uº°±a¼u  9 30" xfId="12762"/>
    <cellStyle name="ÄÞ¸¶_ ºñ¸ñº° ¿ùº°±â¼ú  9 30" xfId="12763"/>
    <cellStyle name="AÞ¸¶_ ºn¸nº° ¿uº°±a¼u  9 31" xfId="12764"/>
    <cellStyle name="ÄÞ¸¶_ ºñ¸ñº° ¿ùº°±â¼ú  9 31" xfId="12765"/>
    <cellStyle name="AÞ¸¶_ ºn¸nº° ¿uº°±a¼u  9 32" xfId="12766"/>
    <cellStyle name="ÄÞ¸¶_ ºñ¸ñº° ¿ùº°±â¼ú  9 32" xfId="12767"/>
    <cellStyle name="AÞ¸¶_ ºn¸nº° ¿uº°±a¼u  9 33" xfId="12768"/>
    <cellStyle name="ÄÞ¸¶_ ºñ¸ñº° ¿ùº°±â¼ú  9 33" xfId="12769"/>
    <cellStyle name="AÞ¸¶_ ºn¸nº° ¿uº°±a¼u  9 34" xfId="12770"/>
    <cellStyle name="ÄÞ¸¶_ ºñ¸ñº° ¿ùº°±â¼ú  9 34" xfId="12771"/>
    <cellStyle name="AÞ¸¶_ ºn¸nº° ¿uº°±a¼u  9 4" xfId="12772"/>
    <cellStyle name="ÄÞ¸¶_ ºñ¸ñº° ¿ùº°±â¼ú  9 4" xfId="12773"/>
    <cellStyle name="AÞ¸¶_ ºn¸nº° ¿uº°±a¼u  9 5" xfId="12774"/>
    <cellStyle name="ÄÞ¸¶_ ºñ¸ñº° ¿ùº°±â¼ú  9 5" xfId="12775"/>
    <cellStyle name="AÞ¸¶_ ºn¸nº° ¿uº°±a¼u  9 6" xfId="12776"/>
    <cellStyle name="ÄÞ¸¶_ ºñ¸ñº° ¿ùº°±â¼ú  9 6" xfId="12777"/>
    <cellStyle name="AÞ¸¶_ ºn¸nº° ¿uº°±a¼u  9 7" xfId="12778"/>
    <cellStyle name="ÄÞ¸¶_ ºñ¸ñº° ¿ùº°±â¼ú  9 7" xfId="12779"/>
    <cellStyle name="AÞ¸¶_ ºn¸nº° ¿uº°±a¼u  9 8" xfId="12780"/>
    <cellStyle name="ÄÞ¸¶_ ºñ¸ñº° ¿ùº°±â¼ú  9 8" xfId="12781"/>
    <cellStyle name="AÞ¸¶_ ºn¸nº° ¿uº°±a¼u  9 9" xfId="12782"/>
    <cellStyle name="ÄÞ¸¶_ ºñ¸ñº° ¿ùº°±â¼ú  9 9" xfId="12783"/>
    <cellStyle name="AÞ¸¶_´eAN°yC￥ " xfId="12784"/>
    <cellStyle name="ÄÞ¸¶_¸ÅÃâ" xfId="12785"/>
    <cellStyle name="AÞ¸¶_¸AAa¾×(3)" xfId="12786"/>
    <cellStyle name="ÄÞ¸¶_°ü¸®Ç×¸ñ_¾÷Á¾º° " xfId="12787"/>
    <cellStyle name="AÞ¸¶_¼oAa½CAu " xfId="12788"/>
    <cellStyle name="ÄÞ¸¶_INQUIRY ¿µ¾÷ÃßÁø " xfId="12789"/>
    <cellStyle name="AÞ¸¶_INQUIRY ¿μ¾÷AßAø " xfId="12790"/>
    <cellStyle name="_x0001_b" xfId="12791"/>
    <cellStyle name="B/M" xfId="12792"/>
    <cellStyle name="Bad" xfId="12793"/>
    <cellStyle name="Bad 2" xfId="12794"/>
    <cellStyle name="Bad 2 2" xfId="12795"/>
    <cellStyle name="Bad 3" xfId="12796"/>
    <cellStyle name="Bad 4" xfId="12797"/>
    <cellStyle name="Bad 5" xfId="12798"/>
    <cellStyle name="Bad 6" xfId="12799"/>
    <cellStyle name="body" xfId="12800"/>
    <cellStyle name="BOLD" xfId="12801"/>
    <cellStyle name="BOLD - Style1" xfId="12802"/>
    <cellStyle name="๺b댜ōຊb댸ōບb뷬ōສb븄ō຺b블ō໊b븨ō໚b븼ō໪b덐ō໺b덠ō༊b델ō༚b뎔ō༪b뎬ō༺b빘ōཊb빰ōཚb뺌ōཪb뻘ōེb뻴ōྊb돌ōྚb돴ōྪb된ōྺb됸ō࿊b둔ō࿚b뼘ō࿪b뼸ō࿺b뽨ōညb뾔ōယb뿄ōဪb뒜ō်b뒸ō၊b듌ōၚb들ōၪb듸ōၺb뿴ōႊb쀐ōႚb쀬ōႪb쁴ōႺb삐ō჊b딐ōლb따ōცb땔ōჺb땬ōᄊb떀ōᄚb산ōᄪb새ōᄺb샘ōᅋb샬ōᅛb샴ōᅪb_x000c_ōᅺb0ōᆊbXōᆚbōᆪb¨ōᆺb섄ōᇊb섰ōᇚb셌ōᇪb셨ōᇺb손ōሊbÌōሚbôōሪbŀōሺbŨōቊbƀōቚb솴ōቪb쇌" xfId="12804"/>
    <cellStyle name="C" xfId="12805"/>
    <cellStyle name="C¡ERERERIA￠RERER¡ERER￠RER￠RE?¡ERER￠RER¡ER¡E?¡ERERI_5-1¡ERERER¡ERER￠RER¡ER¡E?u￠RERERE¡ERERE¡ERERI¡ERERER¡ERER￠RER¡ER¡E?￠RERERi " xfId="12806"/>
    <cellStyle name="C¡IA¨ª_¡ic¨u¡A¨￢I¨￢¡Æ AN¡Æe " xfId="12807"/>
    <cellStyle name="C￠RERERIA¡ERER￠RER¡ER¡E?￠RER¡ER￠R￠?￠RERI_¡ERER￠RER¡ER¡E?￠RERER?￠RERER￠RER¡ER￠R￠?ua3_p.mix " xfId="12808"/>
    <cellStyle name="C￥AØ_  FAB AIA¤  " xfId="12809"/>
    <cellStyle name="Ç¥ÁØ_ 97³â °æ¿µºÐ¼®(¾È)" xfId="12810"/>
    <cellStyle name="C￥AØ_´eAN°yC￥ " xfId="12811"/>
    <cellStyle name="Ç¥ÁØ_¿µ¾÷ÇöÈ² " xfId="12812"/>
    <cellStyle name="C￥AØ_¿uº°A¸≫c½CAu_³≫ºI°eE¹´e AßA¤A÷AI " xfId="12813"/>
    <cellStyle name="Ç¥ÁØ_»ç¾÷ºÎº° ÃÑ°è " xfId="12814"/>
    <cellStyle name="C￥AØ_≫c¾÷ºIº° AN°e " xfId="12815"/>
    <cellStyle name="Ç¥ÁØ_0N-HANDLING " xfId="12816"/>
    <cellStyle name="C￥AØ_¼±AoAc°i_1_³≫ºI°eE¹´e AßA¤A÷AI " xfId="12817"/>
    <cellStyle name="Ç¥ÁØ_¼ö·®ÃÑ°ýÇ¥" xfId="12818"/>
    <cellStyle name="C￥AØ_5-1±¤°i " xfId="12819"/>
    <cellStyle name="Ç¥ÁØ_5-1±¤°í " xfId="12820"/>
    <cellStyle name="C￥AØ_5-1±¤°i  10" xfId="12821"/>
    <cellStyle name="Ç¥ÁØ_5-1±¤°í  10" xfId="12822"/>
    <cellStyle name="C￥AØ_5-1±¤°i  10 10" xfId="12823"/>
    <cellStyle name="Ç¥ÁØ_5-1±¤°í  10 10" xfId="12824"/>
    <cellStyle name="C￥AØ_5-1±¤°i  10 11" xfId="12825"/>
    <cellStyle name="Ç¥ÁØ_5-1±¤°í  10 11" xfId="12826"/>
    <cellStyle name="C￥AØ_5-1±¤°i  10 12" xfId="12827"/>
    <cellStyle name="Ç¥ÁØ_5-1±¤°í  10 12" xfId="12828"/>
    <cellStyle name="C￥AØ_5-1±¤°i  10 13" xfId="12829"/>
    <cellStyle name="Ç¥ÁØ_5-1±¤°í  10 13" xfId="12830"/>
    <cellStyle name="C￥AØ_5-1±¤°i  10 14" xfId="12831"/>
    <cellStyle name="Ç¥ÁØ_5-1±¤°í  10 14" xfId="12832"/>
    <cellStyle name="C￥AØ_5-1±¤°i  10 15" xfId="12833"/>
    <cellStyle name="Ç¥ÁØ_5-1±¤°í  10 15" xfId="12834"/>
    <cellStyle name="C￥AØ_5-1±¤°i  10 16" xfId="12835"/>
    <cellStyle name="Ç¥ÁØ_5-1±¤°í  10 16" xfId="12836"/>
    <cellStyle name="C￥AØ_5-1±¤°i  10 17" xfId="12837"/>
    <cellStyle name="Ç¥ÁØ_5-1±¤°í  10 17" xfId="12838"/>
    <cellStyle name="C￥AØ_5-1±¤°i  10 18" xfId="12839"/>
    <cellStyle name="Ç¥ÁØ_5-1±¤°í  10 18" xfId="12840"/>
    <cellStyle name="C￥AØ_5-1±¤°i  10 19" xfId="12841"/>
    <cellStyle name="Ç¥ÁØ_5-1±¤°í  10 19" xfId="12842"/>
    <cellStyle name="C￥AØ_5-1±¤°i  10 2" xfId="12843"/>
    <cellStyle name="Ç¥ÁØ_5-1±¤°í  10 2" xfId="12844"/>
    <cellStyle name="C￥AØ_5-1±¤°i  10 20" xfId="12845"/>
    <cellStyle name="Ç¥ÁØ_5-1±¤°í  10 20" xfId="12846"/>
    <cellStyle name="C￥AØ_5-1±¤°i  10 21" xfId="12847"/>
    <cellStyle name="Ç¥ÁØ_5-1±¤°í  10 21" xfId="12848"/>
    <cellStyle name="C￥AØ_5-1±¤°i  10 22" xfId="12849"/>
    <cellStyle name="Ç¥ÁØ_5-1±¤°í  10 22" xfId="12850"/>
    <cellStyle name="C￥AØ_5-1±¤°i  10 23" xfId="12851"/>
    <cellStyle name="Ç¥ÁØ_5-1±¤°í  10 23" xfId="12852"/>
    <cellStyle name="C￥AØ_5-1±¤°i  10 24" xfId="12853"/>
    <cellStyle name="Ç¥ÁØ_5-1±¤°í  10 24" xfId="12854"/>
    <cellStyle name="C￥AØ_5-1±¤°i  10 25" xfId="12855"/>
    <cellStyle name="Ç¥ÁØ_5-1±¤°í  10 25" xfId="12856"/>
    <cellStyle name="C￥AØ_5-1±¤°i  10 26" xfId="12857"/>
    <cellStyle name="Ç¥ÁØ_5-1±¤°í  10 26" xfId="12858"/>
    <cellStyle name="C￥AØ_5-1±¤°i  10 27" xfId="12859"/>
    <cellStyle name="Ç¥ÁØ_5-1±¤°í  10 27" xfId="12860"/>
    <cellStyle name="C￥AØ_5-1±¤°i  10 28" xfId="12861"/>
    <cellStyle name="Ç¥ÁØ_5-1±¤°í  10 28" xfId="12862"/>
    <cellStyle name="C￥AØ_5-1±¤°i  10 29" xfId="12863"/>
    <cellStyle name="Ç¥ÁØ_5-1±¤°í  10 29" xfId="12864"/>
    <cellStyle name="C￥AØ_5-1±¤°i  10 3" xfId="12865"/>
    <cellStyle name="Ç¥ÁØ_5-1±¤°í  10 3" xfId="12866"/>
    <cellStyle name="C￥AØ_5-1±¤°i  10 30" xfId="12867"/>
    <cellStyle name="Ç¥ÁØ_5-1±¤°í  10 30" xfId="12868"/>
    <cellStyle name="C￥AØ_5-1±¤°i  10 31" xfId="12869"/>
    <cellStyle name="Ç¥ÁØ_5-1±¤°í  10 31" xfId="12870"/>
    <cellStyle name="C￥AØ_5-1±¤°i  10 32" xfId="12871"/>
    <cellStyle name="Ç¥ÁØ_5-1±¤°í  10 32" xfId="12872"/>
    <cellStyle name="C￥AØ_5-1±¤°i  10 33" xfId="12873"/>
    <cellStyle name="Ç¥ÁØ_5-1±¤°í  10 33" xfId="12874"/>
    <cellStyle name="C￥AØ_5-1±¤°i  10 34" xfId="12875"/>
    <cellStyle name="Ç¥ÁØ_5-1±¤°í  10 34" xfId="12876"/>
    <cellStyle name="C￥AØ_5-1±¤°i  10 4" xfId="12877"/>
    <cellStyle name="Ç¥ÁØ_5-1±¤°í  10 4" xfId="12878"/>
    <cellStyle name="C￥AØ_5-1±¤°i  10 5" xfId="12879"/>
    <cellStyle name="Ç¥ÁØ_5-1±¤°í  10 5" xfId="12880"/>
    <cellStyle name="C￥AØ_5-1±¤°i  10 6" xfId="12881"/>
    <cellStyle name="Ç¥ÁØ_5-1±¤°í  10 6" xfId="12882"/>
    <cellStyle name="C￥AØ_5-1±¤°i  10 7" xfId="12883"/>
    <cellStyle name="Ç¥ÁØ_5-1±¤°í  10 7" xfId="12884"/>
    <cellStyle name="C￥AØ_5-1±¤°i  10 8" xfId="12885"/>
    <cellStyle name="Ç¥ÁØ_5-1±¤°í  10 8" xfId="12886"/>
    <cellStyle name="C￥AØ_5-1±¤°i  10 9" xfId="12887"/>
    <cellStyle name="Ç¥ÁØ_5-1±¤°í  10 9" xfId="12888"/>
    <cellStyle name="C￥AØ_5-1±¤°i  11" xfId="12889"/>
    <cellStyle name="Ç¥ÁØ_5-1±¤°í  11" xfId="12890"/>
    <cellStyle name="C￥AØ_5-1±¤°i  11 10" xfId="12891"/>
    <cellStyle name="Ç¥ÁØ_5-1±¤°í  11 10" xfId="12892"/>
    <cellStyle name="C￥AØ_5-1±¤°i  11 11" xfId="12893"/>
    <cellStyle name="Ç¥ÁØ_5-1±¤°í  11 11" xfId="12894"/>
    <cellStyle name="C￥AØ_5-1±¤°i  11 12" xfId="12895"/>
    <cellStyle name="Ç¥ÁØ_5-1±¤°í  11 12" xfId="12896"/>
    <cellStyle name="C￥AØ_5-1±¤°i  11 13" xfId="12897"/>
    <cellStyle name="Ç¥ÁØ_5-1±¤°í  11 13" xfId="12898"/>
    <cellStyle name="C￥AØ_5-1±¤°i  11 14" xfId="12899"/>
    <cellStyle name="Ç¥ÁØ_5-1±¤°í  11 14" xfId="12900"/>
    <cellStyle name="C￥AØ_5-1±¤°i  11 15" xfId="12901"/>
    <cellStyle name="Ç¥ÁØ_5-1±¤°í  11 15" xfId="12902"/>
    <cellStyle name="C￥AØ_5-1±¤°i  11 16" xfId="12903"/>
    <cellStyle name="Ç¥ÁØ_5-1±¤°í  11 16" xfId="12904"/>
    <cellStyle name="C￥AØ_5-1±¤°i  11 17" xfId="12905"/>
    <cellStyle name="Ç¥ÁØ_5-1±¤°í  11 17" xfId="12906"/>
    <cellStyle name="C￥AØ_5-1±¤°i  11 18" xfId="12907"/>
    <cellStyle name="Ç¥ÁØ_5-1±¤°í  11 18" xfId="12908"/>
    <cellStyle name="C￥AØ_5-1±¤°i  11 19" xfId="12909"/>
    <cellStyle name="Ç¥ÁØ_5-1±¤°í  11 19" xfId="12910"/>
    <cellStyle name="C￥AØ_5-1±¤°i  11 2" xfId="12911"/>
    <cellStyle name="Ç¥ÁØ_5-1±¤°í  11 2" xfId="12912"/>
    <cellStyle name="C￥AØ_5-1±¤°i  11 20" xfId="12913"/>
    <cellStyle name="Ç¥ÁØ_5-1±¤°í  11 20" xfId="12914"/>
    <cellStyle name="C￥AØ_5-1±¤°i  11 21" xfId="12915"/>
    <cellStyle name="Ç¥ÁØ_5-1±¤°í  11 21" xfId="12916"/>
    <cellStyle name="C￥AØ_5-1±¤°i  11 22" xfId="12917"/>
    <cellStyle name="Ç¥ÁØ_5-1±¤°í  11 22" xfId="12918"/>
    <cellStyle name="C￥AØ_5-1±¤°i  11 23" xfId="12919"/>
    <cellStyle name="Ç¥ÁØ_5-1±¤°í  11 23" xfId="12920"/>
    <cellStyle name="C￥AØ_5-1±¤°i  11 24" xfId="12921"/>
    <cellStyle name="Ç¥ÁØ_5-1±¤°í  11 24" xfId="12922"/>
    <cellStyle name="C￥AØ_5-1±¤°i  11 25" xfId="12923"/>
    <cellStyle name="Ç¥ÁØ_5-1±¤°í  11 25" xfId="12924"/>
    <cellStyle name="C￥AØ_5-1±¤°i  11 26" xfId="12925"/>
    <cellStyle name="Ç¥ÁØ_5-1±¤°í  11 26" xfId="12926"/>
    <cellStyle name="C￥AØ_5-1±¤°i  11 27" xfId="12927"/>
    <cellStyle name="Ç¥ÁØ_5-1±¤°í  11 27" xfId="12928"/>
    <cellStyle name="C￥AØ_5-1±¤°i  11 28" xfId="12929"/>
    <cellStyle name="Ç¥ÁØ_5-1±¤°í  11 28" xfId="12930"/>
    <cellStyle name="C￥AØ_5-1±¤°i  11 29" xfId="12931"/>
    <cellStyle name="Ç¥ÁØ_5-1±¤°í  11 29" xfId="12932"/>
    <cellStyle name="C￥AØ_5-1±¤°i  11 3" xfId="12933"/>
    <cellStyle name="Ç¥ÁØ_5-1±¤°í  11 3" xfId="12934"/>
    <cellStyle name="C￥AØ_5-1±¤°i  11 30" xfId="12935"/>
    <cellStyle name="Ç¥ÁØ_5-1±¤°í  11 30" xfId="12936"/>
    <cellStyle name="C￥AØ_5-1±¤°i  11 31" xfId="12937"/>
    <cellStyle name="Ç¥ÁØ_5-1±¤°í  11 31" xfId="12938"/>
    <cellStyle name="C￥AØ_5-1±¤°i  11 32" xfId="12939"/>
    <cellStyle name="Ç¥ÁØ_5-1±¤°í  11 32" xfId="12940"/>
    <cellStyle name="C￥AØ_5-1±¤°i  11 33" xfId="12941"/>
    <cellStyle name="Ç¥ÁØ_5-1±¤°í  11 33" xfId="12942"/>
    <cellStyle name="C￥AØ_5-1±¤°i  11 34" xfId="12943"/>
    <cellStyle name="Ç¥ÁØ_5-1±¤°í  11 34" xfId="12944"/>
    <cellStyle name="C￥AØ_5-1±¤°i  11 4" xfId="12945"/>
    <cellStyle name="Ç¥ÁØ_5-1±¤°í  11 4" xfId="12946"/>
    <cellStyle name="C￥AØ_5-1±¤°i  11 5" xfId="12947"/>
    <cellStyle name="Ç¥ÁØ_5-1±¤°í  11 5" xfId="12948"/>
    <cellStyle name="C￥AØ_5-1±¤°i  11 6" xfId="12949"/>
    <cellStyle name="Ç¥ÁØ_5-1±¤°í  11 6" xfId="12950"/>
    <cellStyle name="C￥AØ_5-1±¤°i  11 7" xfId="12951"/>
    <cellStyle name="Ç¥ÁØ_5-1±¤°í  11 7" xfId="12952"/>
    <cellStyle name="C￥AØ_5-1±¤°i  11 8" xfId="12953"/>
    <cellStyle name="Ç¥ÁØ_5-1±¤°í  11 8" xfId="12954"/>
    <cellStyle name="C￥AØ_5-1±¤°i  11 9" xfId="12955"/>
    <cellStyle name="Ç¥ÁØ_5-1±¤°í  11 9" xfId="12956"/>
    <cellStyle name="C￥AØ_5-1±¤°i  12" xfId="12957"/>
    <cellStyle name="Ç¥ÁØ_5-1±¤°í  12" xfId="12958"/>
    <cellStyle name="C￥AØ_5-1±¤°i  12 10" xfId="12959"/>
    <cellStyle name="Ç¥ÁØ_5-1±¤°í  12 10" xfId="12960"/>
    <cellStyle name="C￥AØ_5-1±¤°i  12 11" xfId="12961"/>
    <cellStyle name="Ç¥ÁØ_5-1±¤°í  12 11" xfId="12962"/>
    <cellStyle name="C￥AØ_5-1±¤°i  12 12" xfId="12963"/>
    <cellStyle name="Ç¥ÁØ_5-1±¤°í  12 12" xfId="12964"/>
    <cellStyle name="C￥AØ_5-1±¤°i  12 13" xfId="12965"/>
    <cellStyle name="Ç¥ÁØ_5-1±¤°í  12 13" xfId="12966"/>
    <cellStyle name="C￥AØ_5-1±¤°i  12 14" xfId="12967"/>
    <cellStyle name="Ç¥ÁØ_5-1±¤°í  12 14" xfId="12968"/>
    <cellStyle name="C￥AØ_5-1±¤°i  12 15" xfId="12969"/>
    <cellStyle name="Ç¥ÁØ_5-1±¤°í  12 15" xfId="12970"/>
    <cellStyle name="C￥AØ_5-1±¤°i  12 16" xfId="12971"/>
    <cellStyle name="Ç¥ÁØ_5-1±¤°í  12 16" xfId="12972"/>
    <cellStyle name="C￥AØ_5-1±¤°i  12 17" xfId="12973"/>
    <cellStyle name="Ç¥ÁØ_5-1±¤°í  12 17" xfId="12974"/>
    <cellStyle name="C￥AØ_5-1±¤°i  12 18" xfId="12975"/>
    <cellStyle name="Ç¥ÁØ_5-1±¤°í  12 18" xfId="12976"/>
    <cellStyle name="C￥AØ_5-1±¤°i  12 19" xfId="12977"/>
    <cellStyle name="Ç¥ÁØ_5-1±¤°í  12 19" xfId="12978"/>
    <cellStyle name="C￥AØ_5-1±¤°i  12 2" xfId="12979"/>
    <cellStyle name="Ç¥ÁØ_5-1±¤°í  12 2" xfId="12980"/>
    <cellStyle name="C￥AØ_5-1±¤°i  12 20" xfId="12981"/>
    <cellStyle name="Ç¥ÁØ_5-1±¤°í  12 20" xfId="12982"/>
    <cellStyle name="C￥AØ_5-1±¤°i  12 21" xfId="12983"/>
    <cellStyle name="Ç¥ÁØ_5-1±¤°í  12 21" xfId="12984"/>
    <cellStyle name="C￥AØ_5-1±¤°i  12 22" xfId="12985"/>
    <cellStyle name="Ç¥ÁØ_5-1±¤°í  12 22" xfId="12986"/>
    <cellStyle name="C￥AØ_5-1±¤°i  12 23" xfId="12987"/>
    <cellStyle name="Ç¥ÁØ_5-1±¤°í  12 23" xfId="12988"/>
    <cellStyle name="C￥AØ_5-1±¤°i  12 24" xfId="12989"/>
    <cellStyle name="Ç¥ÁØ_5-1±¤°í  12 24" xfId="12990"/>
    <cellStyle name="C￥AØ_5-1±¤°i  12 25" xfId="12991"/>
    <cellStyle name="Ç¥ÁØ_5-1±¤°í  12 25" xfId="12992"/>
    <cellStyle name="C￥AØ_5-1±¤°i  12 26" xfId="12993"/>
    <cellStyle name="Ç¥ÁØ_5-1±¤°í  12 26" xfId="12994"/>
    <cellStyle name="C￥AØ_5-1±¤°i  12 27" xfId="12995"/>
    <cellStyle name="Ç¥ÁØ_5-1±¤°í  12 27" xfId="12996"/>
    <cellStyle name="C￥AØ_5-1±¤°i  12 28" xfId="12997"/>
    <cellStyle name="Ç¥ÁØ_5-1±¤°í  12 28" xfId="12998"/>
    <cellStyle name="C￥AØ_5-1±¤°i  12 29" xfId="12999"/>
    <cellStyle name="Ç¥ÁØ_5-1±¤°í  12 29" xfId="13000"/>
    <cellStyle name="C￥AØ_5-1±¤°i  12 3" xfId="13001"/>
    <cellStyle name="Ç¥ÁØ_5-1±¤°í  12 3" xfId="13002"/>
    <cellStyle name="C￥AØ_5-1±¤°i  12 30" xfId="13003"/>
    <cellStyle name="Ç¥ÁØ_5-1±¤°í  12 30" xfId="13004"/>
    <cellStyle name="C￥AØ_5-1±¤°i  12 31" xfId="13005"/>
    <cellStyle name="Ç¥ÁØ_5-1±¤°í  12 31" xfId="13006"/>
    <cellStyle name="C￥AØ_5-1±¤°i  12 32" xfId="13007"/>
    <cellStyle name="Ç¥ÁØ_5-1±¤°í  12 32" xfId="13008"/>
    <cellStyle name="C￥AØ_5-1±¤°i  12 33" xfId="13009"/>
    <cellStyle name="Ç¥ÁØ_5-1±¤°í  12 33" xfId="13010"/>
    <cellStyle name="C￥AØ_5-1±¤°i  12 34" xfId="13011"/>
    <cellStyle name="Ç¥ÁØ_5-1±¤°í  12 34" xfId="13012"/>
    <cellStyle name="C￥AØ_5-1±¤°i  12 4" xfId="13013"/>
    <cellStyle name="Ç¥ÁØ_5-1±¤°í  12 4" xfId="13014"/>
    <cellStyle name="C￥AØ_5-1±¤°i  12 5" xfId="13015"/>
    <cellStyle name="Ç¥ÁØ_5-1±¤°í  12 5" xfId="13016"/>
    <cellStyle name="C￥AØ_5-1±¤°i  12 6" xfId="13017"/>
    <cellStyle name="Ç¥ÁØ_5-1±¤°í  12 6" xfId="13018"/>
    <cellStyle name="C￥AØ_5-1±¤°i  12 7" xfId="13019"/>
    <cellStyle name="Ç¥ÁØ_5-1±¤°í  12 7" xfId="13020"/>
    <cellStyle name="C￥AØ_5-1±¤°i  12 8" xfId="13021"/>
    <cellStyle name="Ç¥ÁØ_5-1±¤°í  12 8" xfId="13022"/>
    <cellStyle name="C￥AØ_5-1±¤°i  12 9" xfId="13023"/>
    <cellStyle name="Ç¥ÁØ_5-1±¤°í  12 9" xfId="13024"/>
    <cellStyle name="C￥AØ_5-1±¤°i  13" xfId="13025"/>
    <cellStyle name="Ç¥ÁØ_5-1±¤°í  13" xfId="13026"/>
    <cellStyle name="C￥AØ_5-1±¤°i  13 10" xfId="13027"/>
    <cellStyle name="Ç¥ÁØ_5-1±¤°í  13 10" xfId="13028"/>
    <cellStyle name="C￥AØ_5-1±¤°i  13 11" xfId="13029"/>
    <cellStyle name="Ç¥ÁØ_5-1±¤°í  13 11" xfId="13030"/>
    <cellStyle name="C￥AØ_5-1±¤°i  13 12" xfId="13031"/>
    <cellStyle name="Ç¥ÁØ_5-1±¤°í  13 12" xfId="13032"/>
    <cellStyle name="C￥AØ_5-1±¤°i  13 13" xfId="13033"/>
    <cellStyle name="Ç¥ÁØ_5-1±¤°í  13 13" xfId="13034"/>
    <cellStyle name="C￥AØ_5-1±¤°i  13 14" xfId="13035"/>
    <cellStyle name="Ç¥ÁØ_5-1±¤°í  13 14" xfId="13036"/>
    <cellStyle name="C￥AØ_5-1±¤°i  13 15" xfId="13037"/>
    <cellStyle name="Ç¥ÁØ_5-1±¤°í  13 15" xfId="13038"/>
    <cellStyle name="C￥AØ_5-1±¤°i  13 16" xfId="13039"/>
    <cellStyle name="Ç¥ÁØ_5-1±¤°í  13 16" xfId="13040"/>
    <cellStyle name="C￥AØ_5-1±¤°i  13 17" xfId="13041"/>
    <cellStyle name="Ç¥ÁØ_5-1±¤°í  13 17" xfId="13042"/>
    <cellStyle name="C￥AØ_5-1±¤°i  13 18" xfId="13043"/>
    <cellStyle name="Ç¥ÁØ_5-1±¤°í  13 18" xfId="13044"/>
    <cellStyle name="C￥AØ_5-1±¤°i  13 19" xfId="13045"/>
    <cellStyle name="Ç¥ÁØ_5-1±¤°í  13 19" xfId="13046"/>
    <cellStyle name="C￥AØ_5-1±¤°i  13 2" xfId="13047"/>
    <cellStyle name="Ç¥ÁØ_5-1±¤°í  13 2" xfId="13048"/>
    <cellStyle name="C￥AØ_5-1±¤°i  13 20" xfId="13049"/>
    <cellStyle name="Ç¥ÁØ_5-1±¤°í  13 20" xfId="13050"/>
    <cellStyle name="C￥AØ_5-1±¤°i  13 21" xfId="13051"/>
    <cellStyle name="Ç¥ÁØ_5-1±¤°í  13 21" xfId="13052"/>
    <cellStyle name="C￥AØ_5-1±¤°i  13 22" xfId="13053"/>
    <cellStyle name="Ç¥ÁØ_5-1±¤°í  13 22" xfId="13054"/>
    <cellStyle name="C￥AØ_5-1±¤°i  13 23" xfId="13055"/>
    <cellStyle name="Ç¥ÁØ_5-1±¤°í  13 23" xfId="13056"/>
    <cellStyle name="C￥AØ_5-1±¤°i  13 24" xfId="13057"/>
    <cellStyle name="Ç¥ÁØ_5-1±¤°í  13 24" xfId="13058"/>
    <cellStyle name="C￥AØ_5-1±¤°i  13 25" xfId="13059"/>
    <cellStyle name="Ç¥ÁØ_5-1±¤°í  13 25" xfId="13060"/>
    <cellStyle name="C￥AØ_5-1±¤°i  13 26" xfId="13061"/>
    <cellStyle name="Ç¥ÁØ_5-1±¤°í  13 26" xfId="13062"/>
    <cellStyle name="C￥AØ_5-1±¤°i  13 27" xfId="13063"/>
    <cellStyle name="Ç¥ÁØ_5-1±¤°í  13 27" xfId="13064"/>
    <cellStyle name="C￥AØ_5-1±¤°i  13 28" xfId="13065"/>
    <cellStyle name="Ç¥ÁØ_5-1±¤°í  13 28" xfId="13066"/>
    <cellStyle name="C￥AØ_5-1±¤°i  13 29" xfId="13067"/>
    <cellStyle name="Ç¥ÁØ_5-1±¤°í  13 29" xfId="13068"/>
    <cellStyle name="C￥AØ_5-1±¤°i  13 3" xfId="13069"/>
    <cellStyle name="Ç¥ÁØ_5-1±¤°í  13 3" xfId="13070"/>
    <cellStyle name="C￥AØ_5-1±¤°i  13 30" xfId="13071"/>
    <cellStyle name="Ç¥ÁØ_5-1±¤°í  13 30" xfId="13072"/>
    <cellStyle name="C￥AØ_5-1±¤°i  13 31" xfId="13073"/>
    <cellStyle name="Ç¥ÁØ_5-1±¤°í  13 31" xfId="13074"/>
    <cellStyle name="C￥AØ_5-1±¤°i  13 32" xfId="13075"/>
    <cellStyle name="Ç¥ÁØ_5-1±¤°í  13 32" xfId="13076"/>
    <cellStyle name="C￥AØ_5-1±¤°i  13 33" xfId="13077"/>
    <cellStyle name="Ç¥ÁØ_5-1±¤°í  13 33" xfId="13078"/>
    <cellStyle name="C￥AØ_5-1±¤°i  13 34" xfId="13079"/>
    <cellStyle name="Ç¥ÁØ_5-1±¤°í  13 34" xfId="13080"/>
    <cellStyle name="C￥AØ_5-1±¤°i  13 4" xfId="13081"/>
    <cellStyle name="Ç¥ÁØ_5-1±¤°í  13 4" xfId="13082"/>
    <cellStyle name="C￥AØ_5-1±¤°i  13 5" xfId="13083"/>
    <cellStyle name="Ç¥ÁØ_5-1±¤°í  13 5" xfId="13084"/>
    <cellStyle name="C￥AØ_5-1±¤°i  13 6" xfId="13085"/>
    <cellStyle name="Ç¥ÁØ_5-1±¤°í  13 6" xfId="13086"/>
    <cellStyle name="C￥AØ_5-1±¤°i  13 7" xfId="13087"/>
    <cellStyle name="Ç¥ÁØ_5-1±¤°í  13 7" xfId="13088"/>
    <cellStyle name="C￥AØ_5-1±¤°i  13 8" xfId="13089"/>
    <cellStyle name="Ç¥ÁØ_5-1±¤°í  13 8" xfId="13090"/>
    <cellStyle name="C￥AØ_5-1±¤°i  13 9" xfId="13091"/>
    <cellStyle name="Ç¥ÁØ_5-1±¤°í  13 9" xfId="13092"/>
    <cellStyle name="C￥AØ_5-1±¤°i  14" xfId="13093"/>
    <cellStyle name="Ç¥ÁØ_5-1±¤°í  14" xfId="13094"/>
    <cellStyle name="C￥AØ_5-1±¤°i  14 10" xfId="13095"/>
    <cellStyle name="Ç¥ÁØ_5-1±¤°í  14 10" xfId="13096"/>
    <cellStyle name="C￥AØ_5-1±¤°i  14 11" xfId="13097"/>
    <cellStyle name="Ç¥ÁØ_5-1±¤°í  14 11" xfId="13098"/>
    <cellStyle name="C￥AØ_5-1±¤°i  14 12" xfId="13099"/>
    <cellStyle name="Ç¥ÁØ_5-1±¤°í  14 12" xfId="13100"/>
    <cellStyle name="C￥AØ_5-1±¤°i  14 13" xfId="13101"/>
    <cellStyle name="Ç¥ÁØ_5-1±¤°í  14 13" xfId="13102"/>
    <cellStyle name="C￥AØ_5-1±¤°i  14 14" xfId="13103"/>
    <cellStyle name="Ç¥ÁØ_5-1±¤°í  14 14" xfId="13104"/>
    <cellStyle name="C￥AØ_5-1±¤°i  14 15" xfId="13105"/>
    <cellStyle name="Ç¥ÁØ_5-1±¤°í  14 15" xfId="13106"/>
    <cellStyle name="C￥AØ_5-1±¤°i  14 16" xfId="13107"/>
    <cellStyle name="Ç¥ÁØ_5-1±¤°í  14 16" xfId="13108"/>
    <cellStyle name="C￥AØ_5-1±¤°i  14 17" xfId="13109"/>
    <cellStyle name="Ç¥ÁØ_5-1±¤°í  14 17" xfId="13110"/>
    <cellStyle name="C￥AØ_5-1±¤°i  14 18" xfId="13111"/>
    <cellStyle name="Ç¥ÁØ_5-1±¤°í  14 18" xfId="13112"/>
    <cellStyle name="C￥AØ_5-1±¤°i  14 19" xfId="13113"/>
    <cellStyle name="Ç¥ÁØ_5-1±¤°í  14 19" xfId="13114"/>
    <cellStyle name="C￥AØ_5-1±¤°i  14 2" xfId="13115"/>
    <cellStyle name="Ç¥ÁØ_5-1±¤°í  14 2" xfId="13116"/>
    <cellStyle name="C￥AØ_5-1±¤°i  14 20" xfId="13117"/>
    <cellStyle name="Ç¥ÁØ_5-1±¤°í  14 20" xfId="13118"/>
    <cellStyle name="C￥AØ_5-1±¤°i  14 21" xfId="13119"/>
    <cellStyle name="Ç¥ÁØ_5-1±¤°í  14 21" xfId="13120"/>
    <cellStyle name="C￥AØ_5-1±¤°i  14 22" xfId="13121"/>
    <cellStyle name="Ç¥ÁØ_5-1±¤°í  14 22" xfId="13122"/>
    <cellStyle name="C￥AØ_5-1±¤°i  14 23" xfId="13123"/>
    <cellStyle name="Ç¥ÁØ_5-1±¤°í  14 23" xfId="13124"/>
    <cellStyle name="C￥AØ_5-1±¤°i  14 24" xfId="13125"/>
    <cellStyle name="Ç¥ÁØ_5-1±¤°í  14 24" xfId="13126"/>
    <cellStyle name="C￥AØ_5-1±¤°i  14 25" xfId="13127"/>
    <cellStyle name="Ç¥ÁØ_5-1±¤°í  14 25" xfId="13128"/>
    <cellStyle name="C￥AØ_5-1±¤°i  14 26" xfId="13129"/>
    <cellStyle name="Ç¥ÁØ_5-1±¤°í  14 26" xfId="13130"/>
    <cellStyle name="C￥AØ_5-1±¤°i  14 27" xfId="13131"/>
    <cellStyle name="Ç¥ÁØ_5-1±¤°í  14 27" xfId="13132"/>
    <cellStyle name="C￥AØ_5-1±¤°i  14 28" xfId="13133"/>
    <cellStyle name="Ç¥ÁØ_5-1±¤°í  14 28" xfId="13134"/>
    <cellStyle name="C￥AØ_5-1±¤°i  14 29" xfId="13135"/>
    <cellStyle name="Ç¥ÁØ_5-1±¤°í  14 29" xfId="13136"/>
    <cellStyle name="C￥AØ_5-1±¤°i  14 3" xfId="13137"/>
    <cellStyle name="Ç¥ÁØ_5-1±¤°í  14 3" xfId="13138"/>
    <cellStyle name="C￥AØ_5-1±¤°i  14 30" xfId="13139"/>
    <cellStyle name="Ç¥ÁØ_5-1±¤°í  14 30" xfId="13140"/>
    <cellStyle name="C￥AØ_5-1±¤°i  14 31" xfId="13141"/>
    <cellStyle name="Ç¥ÁØ_5-1±¤°í  14 31" xfId="13142"/>
    <cellStyle name="C￥AØ_5-1±¤°i  14 32" xfId="13143"/>
    <cellStyle name="Ç¥ÁØ_5-1±¤°í  14 32" xfId="13144"/>
    <cellStyle name="C￥AØ_5-1±¤°i  14 33" xfId="13145"/>
    <cellStyle name="Ç¥ÁØ_5-1±¤°í  14 33" xfId="13146"/>
    <cellStyle name="C￥AØ_5-1±¤°i  14 34" xfId="13147"/>
    <cellStyle name="Ç¥ÁØ_5-1±¤°í  14 34" xfId="13148"/>
    <cellStyle name="C￥AØ_5-1±¤°i  14 4" xfId="13149"/>
    <cellStyle name="Ç¥ÁØ_5-1±¤°í  14 4" xfId="13150"/>
    <cellStyle name="C￥AØ_5-1±¤°i  14 5" xfId="13151"/>
    <cellStyle name="Ç¥ÁØ_5-1±¤°í  14 5" xfId="13152"/>
    <cellStyle name="C￥AØ_5-1±¤°i  14 6" xfId="13153"/>
    <cellStyle name="Ç¥ÁØ_5-1±¤°í  14 6" xfId="13154"/>
    <cellStyle name="C￥AØ_5-1±¤°i  14 7" xfId="13155"/>
    <cellStyle name="Ç¥ÁØ_5-1±¤°í  14 7" xfId="13156"/>
    <cellStyle name="C￥AØ_5-1±¤°i  14 8" xfId="13157"/>
    <cellStyle name="Ç¥ÁØ_5-1±¤°í  14 8" xfId="13158"/>
    <cellStyle name="C￥AØ_5-1±¤°i  14 9" xfId="13159"/>
    <cellStyle name="Ç¥ÁØ_5-1±¤°í  14 9" xfId="13160"/>
    <cellStyle name="C￥AØ_5-1±¤°i  15" xfId="13161"/>
    <cellStyle name="Ç¥ÁØ_5-1±¤°í  15" xfId="13162"/>
    <cellStyle name="C￥AØ_5-1±¤°i  15 10" xfId="13163"/>
    <cellStyle name="Ç¥ÁØ_5-1±¤°í  15 10" xfId="13164"/>
    <cellStyle name="C￥AØ_5-1±¤°i  15 11" xfId="13165"/>
    <cellStyle name="Ç¥ÁØ_5-1±¤°í  15 11" xfId="13166"/>
    <cellStyle name="C￥AØ_5-1±¤°i  15 12" xfId="13167"/>
    <cellStyle name="Ç¥ÁØ_5-1±¤°í  15 12" xfId="13168"/>
    <cellStyle name="C￥AØ_5-1±¤°i  15 13" xfId="13169"/>
    <cellStyle name="Ç¥ÁØ_5-1±¤°í  15 13" xfId="13170"/>
    <cellStyle name="C￥AØ_5-1±¤°i  15 14" xfId="13171"/>
    <cellStyle name="Ç¥ÁØ_5-1±¤°í  15 14" xfId="13172"/>
    <cellStyle name="C￥AØ_5-1±¤°i  15 15" xfId="13173"/>
    <cellStyle name="Ç¥ÁØ_5-1±¤°í  15 15" xfId="13174"/>
    <cellStyle name="C￥AØ_5-1±¤°i  15 16" xfId="13175"/>
    <cellStyle name="Ç¥ÁØ_5-1±¤°í  15 16" xfId="13176"/>
    <cellStyle name="C￥AØ_5-1±¤°i  15 17" xfId="13177"/>
    <cellStyle name="Ç¥ÁØ_5-1±¤°í  15 17" xfId="13178"/>
    <cellStyle name="C￥AØ_5-1±¤°i  15 18" xfId="13179"/>
    <cellStyle name="Ç¥ÁØ_5-1±¤°í  15 18" xfId="13180"/>
    <cellStyle name="C￥AØ_5-1±¤°i  15 19" xfId="13181"/>
    <cellStyle name="Ç¥ÁØ_5-1±¤°í  15 19" xfId="13182"/>
    <cellStyle name="C￥AØ_5-1±¤°i  15 2" xfId="13183"/>
    <cellStyle name="Ç¥ÁØ_5-1±¤°í  15 2" xfId="13184"/>
    <cellStyle name="C￥AØ_5-1±¤°i  15 20" xfId="13185"/>
    <cellStyle name="Ç¥ÁØ_5-1±¤°í  15 20" xfId="13186"/>
    <cellStyle name="C￥AØ_5-1±¤°i  15 21" xfId="13187"/>
    <cellStyle name="Ç¥ÁØ_5-1±¤°í  15 21" xfId="13188"/>
    <cellStyle name="C￥AØ_5-1±¤°i  15 22" xfId="13189"/>
    <cellStyle name="Ç¥ÁØ_5-1±¤°í  15 22" xfId="13190"/>
    <cellStyle name="C￥AØ_5-1±¤°i  15 23" xfId="13191"/>
    <cellStyle name="Ç¥ÁØ_5-1±¤°í  15 23" xfId="13192"/>
    <cellStyle name="C￥AØ_5-1±¤°i  15 24" xfId="13193"/>
    <cellStyle name="Ç¥ÁØ_5-1±¤°í  15 24" xfId="13194"/>
    <cellStyle name="C￥AØ_5-1±¤°i  15 25" xfId="13195"/>
    <cellStyle name="Ç¥ÁØ_5-1±¤°í  15 25" xfId="13196"/>
    <cellStyle name="C￥AØ_5-1±¤°i  15 26" xfId="13197"/>
    <cellStyle name="Ç¥ÁØ_5-1±¤°í  15 26" xfId="13198"/>
    <cellStyle name="C￥AØ_5-1±¤°i  15 27" xfId="13199"/>
    <cellStyle name="Ç¥ÁØ_5-1±¤°í  15 27" xfId="13200"/>
    <cellStyle name="C￥AØ_5-1±¤°i  15 28" xfId="13201"/>
    <cellStyle name="Ç¥ÁØ_5-1±¤°í  15 28" xfId="13202"/>
    <cellStyle name="C￥AØ_5-1±¤°i  15 29" xfId="13203"/>
    <cellStyle name="Ç¥ÁØ_5-1±¤°í  15 29" xfId="13204"/>
    <cellStyle name="C￥AØ_5-1±¤°i  15 3" xfId="13205"/>
    <cellStyle name="Ç¥ÁØ_5-1±¤°í  15 3" xfId="13206"/>
    <cellStyle name="C￥AØ_5-1±¤°i  15 30" xfId="13207"/>
    <cellStyle name="Ç¥ÁØ_5-1±¤°í  15 30" xfId="13208"/>
    <cellStyle name="C￥AØ_5-1±¤°i  15 31" xfId="13209"/>
    <cellStyle name="Ç¥ÁØ_5-1±¤°í  15 31" xfId="13210"/>
    <cellStyle name="C￥AØ_5-1±¤°i  15 32" xfId="13211"/>
    <cellStyle name="Ç¥ÁØ_5-1±¤°í  15 32" xfId="13212"/>
    <cellStyle name="C￥AØ_5-1±¤°i  15 33" xfId="13213"/>
    <cellStyle name="Ç¥ÁØ_5-1±¤°í  15 33" xfId="13214"/>
    <cellStyle name="C￥AØ_5-1±¤°i  15 34" xfId="13215"/>
    <cellStyle name="Ç¥ÁØ_5-1±¤°í  15 34" xfId="13216"/>
    <cellStyle name="C￥AØ_5-1±¤°i  15 4" xfId="13217"/>
    <cellStyle name="Ç¥ÁØ_5-1±¤°í  15 4" xfId="13218"/>
    <cellStyle name="C￥AØ_5-1±¤°i  15 5" xfId="13219"/>
    <cellStyle name="Ç¥ÁØ_5-1±¤°í  15 5" xfId="13220"/>
    <cellStyle name="C￥AØ_5-1±¤°i  15 6" xfId="13221"/>
    <cellStyle name="Ç¥ÁØ_5-1±¤°í  15 6" xfId="13222"/>
    <cellStyle name="C￥AØ_5-1±¤°i  15 7" xfId="13223"/>
    <cellStyle name="Ç¥ÁØ_5-1±¤°í  15 7" xfId="13224"/>
    <cellStyle name="C￥AØ_5-1±¤°i  15 8" xfId="13225"/>
    <cellStyle name="Ç¥ÁØ_5-1±¤°í  15 8" xfId="13226"/>
    <cellStyle name="C￥AØ_5-1±¤°i  15 9" xfId="13227"/>
    <cellStyle name="Ç¥ÁØ_5-1±¤°í  15 9" xfId="13228"/>
    <cellStyle name="C￥AØ_5-1±¤°i  16" xfId="13229"/>
    <cellStyle name="Ç¥ÁØ_5-1±¤°í  16" xfId="13230"/>
    <cellStyle name="C￥AØ_5-1±¤°i  16 10" xfId="13231"/>
    <cellStyle name="Ç¥ÁØ_5-1±¤°í  16 10" xfId="13232"/>
    <cellStyle name="C￥AØ_5-1±¤°i  16 11" xfId="13233"/>
    <cellStyle name="Ç¥ÁØ_5-1±¤°í  16 11" xfId="13234"/>
    <cellStyle name="C￥AØ_5-1±¤°i  16 12" xfId="13235"/>
    <cellStyle name="Ç¥ÁØ_5-1±¤°í  16 12" xfId="13236"/>
    <cellStyle name="C￥AØ_5-1±¤°i  16 13" xfId="13237"/>
    <cellStyle name="Ç¥ÁØ_5-1±¤°í  16 13" xfId="13238"/>
    <cellStyle name="C￥AØ_5-1±¤°i  16 14" xfId="13239"/>
    <cellStyle name="Ç¥ÁØ_5-1±¤°í  16 14" xfId="13240"/>
    <cellStyle name="C￥AØ_5-1±¤°i  16 15" xfId="13241"/>
    <cellStyle name="Ç¥ÁØ_5-1±¤°í  16 15" xfId="13242"/>
    <cellStyle name="C￥AØ_5-1±¤°i  16 16" xfId="13243"/>
    <cellStyle name="Ç¥ÁØ_5-1±¤°í  16 16" xfId="13244"/>
    <cellStyle name="C￥AØ_5-1±¤°i  16 17" xfId="13245"/>
    <cellStyle name="Ç¥ÁØ_5-1±¤°í  16 17" xfId="13246"/>
    <cellStyle name="C￥AØ_5-1±¤°i  16 18" xfId="13247"/>
    <cellStyle name="Ç¥ÁØ_5-1±¤°í  16 18" xfId="13248"/>
    <cellStyle name="C￥AØ_5-1±¤°i  16 19" xfId="13249"/>
    <cellStyle name="Ç¥ÁØ_5-1±¤°í  16 19" xfId="13250"/>
    <cellStyle name="C￥AØ_5-1±¤°i  16 2" xfId="13251"/>
    <cellStyle name="Ç¥ÁØ_5-1±¤°í  16 2" xfId="13252"/>
    <cellStyle name="C￥AØ_5-1±¤°i  16 20" xfId="13253"/>
    <cellStyle name="Ç¥ÁØ_5-1±¤°í  16 20" xfId="13254"/>
    <cellStyle name="C￥AØ_5-1±¤°i  16 21" xfId="13255"/>
    <cellStyle name="Ç¥ÁØ_5-1±¤°í  16 21" xfId="13256"/>
    <cellStyle name="C￥AØ_5-1±¤°i  16 22" xfId="13257"/>
    <cellStyle name="Ç¥ÁØ_5-1±¤°í  16 22" xfId="13258"/>
    <cellStyle name="C￥AØ_5-1±¤°i  16 23" xfId="13259"/>
    <cellStyle name="Ç¥ÁØ_5-1±¤°í  16 23" xfId="13260"/>
    <cellStyle name="C￥AØ_5-1±¤°i  16 24" xfId="13261"/>
    <cellStyle name="Ç¥ÁØ_5-1±¤°í  16 24" xfId="13262"/>
    <cellStyle name="C￥AØ_5-1±¤°i  16 25" xfId="13263"/>
    <cellStyle name="Ç¥ÁØ_5-1±¤°í  16 25" xfId="13264"/>
    <cellStyle name="C￥AØ_5-1±¤°i  16 26" xfId="13265"/>
    <cellStyle name="Ç¥ÁØ_5-1±¤°í  16 26" xfId="13266"/>
    <cellStyle name="C￥AØ_5-1±¤°i  16 27" xfId="13267"/>
    <cellStyle name="Ç¥ÁØ_5-1±¤°í  16 27" xfId="13268"/>
    <cellStyle name="C￥AØ_5-1±¤°i  16 28" xfId="13269"/>
    <cellStyle name="Ç¥ÁØ_5-1±¤°í  16 28" xfId="13270"/>
    <cellStyle name="C￥AØ_5-1±¤°i  16 29" xfId="13271"/>
    <cellStyle name="Ç¥ÁØ_5-1±¤°í  16 29" xfId="13272"/>
    <cellStyle name="C￥AØ_5-1±¤°i  16 3" xfId="13273"/>
    <cellStyle name="Ç¥ÁØ_5-1±¤°í  16 3" xfId="13274"/>
    <cellStyle name="C￥AØ_5-1±¤°i  16 30" xfId="13275"/>
    <cellStyle name="Ç¥ÁØ_5-1±¤°í  16 30" xfId="13276"/>
    <cellStyle name="C￥AØ_5-1±¤°i  16 31" xfId="13277"/>
    <cellStyle name="Ç¥ÁØ_5-1±¤°í  16 31" xfId="13278"/>
    <cellStyle name="C￥AØ_5-1±¤°i  16 32" xfId="13279"/>
    <cellStyle name="Ç¥ÁØ_5-1±¤°í  16 32" xfId="13280"/>
    <cellStyle name="C￥AØ_5-1±¤°i  16 33" xfId="13281"/>
    <cellStyle name="Ç¥ÁØ_5-1±¤°í  16 33" xfId="13282"/>
    <cellStyle name="C￥AØ_5-1±¤°i  16 34" xfId="13283"/>
    <cellStyle name="Ç¥ÁØ_5-1±¤°í  16 34" xfId="13284"/>
    <cellStyle name="C￥AØ_5-1±¤°i  16 4" xfId="13285"/>
    <cellStyle name="Ç¥ÁØ_5-1±¤°í  16 4" xfId="13286"/>
    <cellStyle name="C￥AØ_5-1±¤°i  16 5" xfId="13287"/>
    <cellStyle name="Ç¥ÁØ_5-1±¤°í  16 5" xfId="13288"/>
    <cellStyle name="C￥AØ_5-1±¤°i  16 6" xfId="13289"/>
    <cellStyle name="Ç¥ÁØ_5-1±¤°í  16 6" xfId="13290"/>
    <cellStyle name="C￥AØ_5-1±¤°i  16 7" xfId="13291"/>
    <cellStyle name="Ç¥ÁØ_5-1±¤°í  16 7" xfId="13292"/>
    <cellStyle name="C￥AØ_5-1±¤°i  16 8" xfId="13293"/>
    <cellStyle name="Ç¥ÁØ_5-1±¤°í  16 8" xfId="13294"/>
    <cellStyle name="C￥AØ_5-1±¤°i  16 9" xfId="13295"/>
    <cellStyle name="Ç¥ÁØ_5-1±¤°í  16 9" xfId="13296"/>
    <cellStyle name="C￥AØ_5-1±¤°i  17" xfId="13297"/>
    <cellStyle name="Ç¥ÁØ_5-1±¤°í  17" xfId="13298"/>
    <cellStyle name="C￥AØ_5-1±¤°i  17 10" xfId="13299"/>
    <cellStyle name="Ç¥ÁØ_5-1±¤°í  17 10" xfId="13300"/>
    <cellStyle name="C￥AØ_5-1±¤°i  17 11" xfId="13301"/>
    <cellStyle name="Ç¥ÁØ_5-1±¤°í  17 11" xfId="13302"/>
    <cellStyle name="C￥AØ_5-1±¤°i  17 12" xfId="13303"/>
    <cellStyle name="Ç¥ÁØ_5-1±¤°í  17 12" xfId="13304"/>
    <cellStyle name="C￥AØ_5-1±¤°i  17 13" xfId="13305"/>
    <cellStyle name="Ç¥ÁØ_5-1±¤°í  17 13" xfId="13306"/>
    <cellStyle name="C￥AØ_5-1±¤°i  17 14" xfId="13307"/>
    <cellStyle name="Ç¥ÁØ_5-1±¤°í  17 14" xfId="13308"/>
    <cellStyle name="C￥AØ_5-1±¤°i  17 15" xfId="13309"/>
    <cellStyle name="Ç¥ÁØ_5-1±¤°í  17 15" xfId="13310"/>
    <cellStyle name="C￥AØ_5-1±¤°i  17 16" xfId="13311"/>
    <cellStyle name="Ç¥ÁØ_5-1±¤°í  17 16" xfId="13312"/>
    <cellStyle name="C￥AØ_5-1±¤°i  17 17" xfId="13313"/>
    <cellStyle name="Ç¥ÁØ_5-1±¤°í  17 17" xfId="13314"/>
    <cellStyle name="C￥AØ_5-1±¤°i  17 18" xfId="13315"/>
    <cellStyle name="Ç¥ÁØ_5-1±¤°í  17 18" xfId="13316"/>
    <cellStyle name="C￥AØ_5-1±¤°i  17 19" xfId="13317"/>
    <cellStyle name="Ç¥ÁØ_5-1±¤°í  17 19" xfId="13318"/>
    <cellStyle name="C￥AØ_5-1±¤°i  17 2" xfId="13319"/>
    <cellStyle name="Ç¥ÁØ_5-1±¤°í  17 2" xfId="13320"/>
    <cellStyle name="C￥AØ_5-1±¤°i  17 20" xfId="13321"/>
    <cellStyle name="Ç¥ÁØ_5-1±¤°í  17 20" xfId="13322"/>
    <cellStyle name="C￥AØ_5-1±¤°i  17 21" xfId="13323"/>
    <cellStyle name="Ç¥ÁØ_5-1±¤°í  17 21" xfId="13324"/>
    <cellStyle name="C￥AØ_5-1±¤°i  17 22" xfId="13325"/>
    <cellStyle name="Ç¥ÁØ_5-1±¤°í  17 22" xfId="13326"/>
    <cellStyle name="C￥AØ_5-1±¤°i  17 23" xfId="13327"/>
    <cellStyle name="Ç¥ÁØ_5-1±¤°í  17 23" xfId="13328"/>
    <cellStyle name="C￥AØ_5-1±¤°i  17 24" xfId="13329"/>
    <cellStyle name="Ç¥ÁØ_5-1±¤°í  17 24" xfId="13330"/>
    <cellStyle name="C￥AØ_5-1±¤°i  17 25" xfId="13331"/>
    <cellStyle name="Ç¥ÁØ_5-1±¤°í  17 25" xfId="13332"/>
    <cellStyle name="C￥AØ_5-1±¤°i  17 26" xfId="13333"/>
    <cellStyle name="Ç¥ÁØ_5-1±¤°í  17 26" xfId="13334"/>
    <cellStyle name="C￥AØ_5-1±¤°i  17 27" xfId="13335"/>
    <cellStyle name="Ç¥ÁØ_5-1±¤°í  17 27" xfId="13336"/>
    <cellStyle name="C￥AØ_5-1±¤°i  17 28" xfId="13337"/>
    <cellStyle name="Ç¥ÁØ_5-1±¤°í  17 28" xfId="13338"/>
    <cellStyle name="C￥AØ_5-1±¤°i  17 29" xfId="13339"/>
    <cellStyle name="Ç¥ÁØ_5-1±¤°í  17 29" xfId="13340"/>
    <cellStyle name="C￥AØ_5-1±¤°i  17 3" xfId="13341"/>
    <cellStyle name="Ç¥ÁØ_5-1±¤°í  17 3" xfId="13342"/>
    <cellStyle name="C￥AØ_5-1±¤°i  17 30" xfId="13343"/>
    <cellStyle name="Ç¥ÁØ_5-1±¤°í  17 30" xfId="13344"/>
    <cellStyle name="C￥AØ_5-1±¤°i  17 31" xfId="13345"/>
    <cellStyle name="Ç¥ÁØ_5-1±¤°í  17 31" xfId="13346"/>
    <cellStyle name="C￥AØ_5-1±¤°i  17 32" xfId="13347"/>
    <cellStyle name="Ç¥ÁØ_5-1±¤°í  17 32" xfId="13348"/>
    <cellStyle name="C￥AØ_5-1±¤°i  17 33" xfId="13349"/>
    <cellStyle name="Ç¥ÁØ_5-1±¤°í  17 33" xfId="13350"/>
    <cellStyle name="C￥AØ_5-1±¤°i  17 34" xfId="13351"/>
    <cellStyle name="Ç¥ÁØ_5-1±¤°í  17 34" xfId="13352"/>
    <cellStyle name="C￥AØ_5-1±¤°i  17 4" xfId="13353"/>
    <cellStyle name="Ç¥ÁØ_5-1±¤°í  17 4" xfId="13354"/>
    <cellStyle name="C￥AØ_5-1±¤°i  17 5" xfId="13355"/>
    <cellStyle name="Ç¥ÁØ_5-1±¤°í  17 5" xfId="13356"/>
    <cellStyle name="C￥AØ_5-1±¤°i  17 6" xfId="13357"/>
    <cellStyle name="Ç¥ÁØ_5-1±¤°í  17 6" xfId="13358"/>
    <cellStyle name="C￥AØ_5-1±¤°i  17 7" xfId="13359"/>
    <cellStyle name="Ç¥ÁØ_5-1±¤°í  17 7" xfId="13360"/>
    <cellStyle name="C￥AØ_5-1±¤°i  17 8" xfId="13361"/>
    <cellStyle name="Ç¥ÁØ_5-1±¤°í  17 8" xfId="13362"/>
    <cellStyle name="C￥AØ_5-1±¤°i  17 9" xfId="13363"/>
    <cellStyle name="Ç¥ÁØ_5-1±¤°í  17 9" xfId="13364"/>
    <cellStyle name="C￥AØ_5-1±¤°i  18" xfId="13365"/>
    <cellStyle name="Ç¥ÁØ_5-1±¤°í  18" xfId="13366"/>
    <cellStyle name="C￥AØ_5-1±¤°i  18 10" xfId="13367"/>
    <cellStyle name="Ç¥ÁØ_5-1±¤°í  18 10" xfId="13368"/>
    <cellStyle name="C￥AØ_5-1±¤°i  18 11" xfId="13369"/>
    <cellStyle name="Ç¥ÁØ_5-1±¤°í  18 11" xfId="13370"/>
    <cellStyle name="C￥AØ_5-1±¤°i  18 12" xfId="13371"/>
    <cellStyle name="Ç¥ÁØ_5-1±¤°í  18 12" xfId="13372"/>
    <cellStyle name="C￥AØ_5-1±¤°i  18 13" xfId="13373"/>
    <cellStyle name="Ç¥ÁØ_5-1±¤°í  18 13" xfId="13374"/>
    <cellStyle name="C￥AØ_5-1±¤°i  18 14" xfId="13375"/>
    <cellStyle name="Ç¥ÁØ_5-1±¤°í  18 14" xfId="13376"/>
    <cellStyle name="C￥AØ_5-1±¤°i  18 15" xfId="13377"/>
    <cellStyle name="Ç¥ÁØ_5-1±¤°í  18 15" xfId="13378"/>
    <cellStyle name="C￥AØ_5-1±¤°i  18 16" xfId="13379"/>
    <cellStyle name="Ç¥ÁØ_5-1±¤°í  18 16" xfId="13380"/>
    <cellStyle name="C￥AØ_5-1±¤°i  18 17" xfId="13381"/>
    <cellStyle name="Ç¥ÁØ_5-1±¤°í  18 17" xfId="13382"/>
    <cellStyle name="C￥AØ_5-1±¤°i  18 18" xfId="13383"/>
    <cellStyle name="Ç¥ÁØ_5-1±¤°í  18 18" xfId="13384"/>
    <cellStyle name="C￥AØ_5-1±¤°i  18 19" xfId="13385"/>
    <cellStyle name="Ç¥ÁØ_5-1±¤°í  18 19" xfId="13386"/>
    <cellStyle name="C￥AØ_5-1±¤°i  18 2" xfId="13387"/>
    <cellStyle name="Ç¥ÁØ_5-1±¤°í  18 2" xfId="13388"/>
    <cellStyle name="C￥AØ_5-1±¤°i  18 20" xfId="13389"/>
    <cellStyle name="Ç¥ÁØ_5-1±¤°í  18 20" xfId="13390"/>
    <cellStyle name="C￥AØ_5-1±¤°i  18 21" xfId="13391"/>
    <cellStyle name="Ç¥ÁØ_5-1±¤°í  18 21" xfId="13392"/>
    <cellStyle name="C￥AØ_5-1±¤°i  18 22" xfId="13393"/>
    <cellStyle name="Ç¥ÁØ_5-1±¤°í  18 22" xfId="13394"/>
    <cellStyle name="C￥AØ_5-1±¤°i  18 23" xfId="13395"/>
    <cellStyle name="Ç¥ÁØ_5-1±¤°í  18 23" xfId="13396"/>
    <cellStyle name="C￥AØ_5-1±¤°i  18 24" xfId="13397"/>
    <cellStyle name="Ç¥ÁØ_5-1±¤°í  18 24" xfId="13398"/>
    <cellStyle name="C￥AØ_5-1±¤°i  18 25" xfId="13399"/>
    <cellStyle name="Ç¥ÁØ_5-1±¤°í  18 25" xfId="13400"/>
    <cellStyle name="C￥AØ_5-1±¤°i  18 26" xfId="13401"/>
    <cellStyle name="Ç¥ÁØ_5-1±¤°í  18 26" xfId="13402"/>
    <cellStyle name="C￥AØ_5-1±¤°i  18 27" xfId="13403"/>
    <cellStyle name="Ç¥ÁØ_5-1±¤°í  18 27" xfId="13404"/>
    <cellStyle name="C￥AØ_5-1±¤°i  18 28" xfId="13405"/>
    <cellStyle name="Ç¥ÁØ_5-1±¤°í  18 28" xfId="13406"/>
    <cellStyle name="C￥AØ_5-1±¤°i  18 29" xfId="13407"/>
    <cellStyle name="Ç¥ÁØ_5-1±¤°í  18 29" xfId="13408"/>
    <cellStyle name="C￥AØ_5-1±¤°i  18 3" xfId="13409"/>
    <cellStyle name="Ç¥ÁØ_5-1±¤°í  18 3" xfId="13410"/>
    <cellStyle name="C￥AØ_5-1±¤°i  18 30" xfId="13411"/>
    <cellStyle name="Ç¥ÁØ_5-1±¤°í  18 30" xfId="13412"/>
    <cellStyle name="C￥AØ_5-1±¤°i  18 31" xfId="13413"/>
    <cellStyle name="Ç¥ÁØ_5-1±¤°í  18 31" xfId="13414"/>
    <cellStyle name="C￥AØ_5-1±¤°i  18 32" xfId="13415"/>
    <cellStyle name="Ç¥ÁØ_5-1±¤°í  18 32" xfId="13416"/>
    <cellStyle name="C￥AØ_5-1±¤°i  18 33" xfId="13417"/>
    <cellStyle name="Ç¥ÁØ_5-1±¤°í  18 33" xfId="13418"/>
    <cellStyle name="C￥AØ_5-1±¤°i  18 34" xfId="13419"/>
    <cellStyle name="Ç¥ÁØ_5-1±¤°í  18 34" xfId="13420"/>
    <cellStyle name="C￥AØ_5-1±¤°i  18 4" xfId="13421"/>
    <cellStyle name="Ç¥ÁØ_5-1±¤°í  18 4" xfId="13422"/>
    <cellStyle name="C￥AØ_5-1±¤°i  18 5" xfId="13423"/>
    <cellStyle name="Ç¥ÁØ_5-1±¤°í  18 5" xfId="13424"/>
    <cellStyle name="C￥AØ_5-1±¤°i  18 6" xfId="13425"/>
    <cellStyle name="Ç¥ÁØ_5-1±¤°í  18 6" xfId="13426"/>
    <cellStyle name="C￥AØ_5-1±¤°i  18 7" xfId="13427"/>
    <cellStyle name="Ç¥ÁØ_5-1±¤°í  18 7" xfId="13428"/>
    <cellStyle name="C￥AØ_5-1±¤°i  18 8" xfId="13429"/>
    <cellStyle name="Ç¥ÁØ_5-1±¤°í  18 8" xfId="13430"/>
    <cellStyle name="C￥AØ_5-1±¤°i  18 9" xfId="13431"/>
    <cellStyle name="Ç¥ÁØ_5-1±¤°í  18 9" xfId="13432"/>
    <cellStyle name="C￥AØ_5-1±¤°i  19" xfId="13433"/>
    <cellStyle name="Ç¥ÁØ_5-1±¤°í  19" xfId="13434"/>
    <cellStyle name="C￥AØ_5-1±¤°i  19 10" xfId="13435"/>
    <cellStyle name="Ç¥ÁØ_5-1±¤°í  19 10" xfId="13436"/>
    <cellStyle name="C￥AØ_5-1±¤°i  19 11" xfId="13437"/>
    <cellStyle name="Ç¥ÁØ_5-1±¤°í  19 11" xfId="13438"/>
    <cellStyle name="C￥AØ_5-1±¤°i  19 12" xfId="13439"/>
    <cellStyle name="Ç¥ÁØ_5-1±¤°í  19 12" xfId="13440"/>
    <cellStyle name="C￥AØ_5-1±¤°i  19 13" xfId="13441"/>
    <cellStyle name="Ç¥ÁØ_5-1±¤°í  19 13" xfId="13442"/>
    <cellStyle name="C￥AØ_5-1±¤°i  19 14" xfId="13443"/>
    <cellStyle name="Ç¥ÁØ_5-1±¤°í  19 14" xfId="13444"/>
    <cellStyle name="C￥AØ_5-1±¤°i  19 15" xfId="13445"/>
    <cellStyle name="Ç¥ÁØ_5-1±¤°í  19 15" xfId="13446"/>
    <cellStyle name="C￥AØ_5-1±¤°i  19 16" xfId="13447"/>
    <cellStyle name="Ç¥ÁØ_5-1±¤°í  19 16" xfId="13448"/>
    <cellStyle name="C￥AØ_5-1±¤°i  19 17" xfId="13449"/>
    <cellStyle name="Ç¥ÁØ_5-1±¤°í  19 17" xfId="13450"/>
    <cellStyle name="C￥AØ_5-1±¤°i  19 18" xfId="13451"/>
    <cellStyle name="Ç¥ÁØ_5-1±¤°í  19 18" xfId="13452"/>
    <cellStyle name="C￥AØ_5-1±¤°i  19 19" xfId="13453"/>
    <cellStyle name="Ç¥ÁØ_5-1±¤°í  19 19" xfId="13454"/>
    <cellStyle name="C￥AØ_5-1±¤°i  19 2" xfId="13455"/>
    <cellStyle name="Ç¥ÁØ_5-1±¤°í  19 2" xfId="13456"/>
    <cellStyle name="C￥AØ_5-1±¤°i  19 20" xfId="13457"/>
    <cellStyle name="Ç¥ÁØ_5-1±¤°í  19 20" xfId="13458"/>
    <cellStyle name="C￥AØ_5-1±¤°i  19 21" xfId="13459"/>
    <cellStyle name="Ç¥ÁØ_5-1±¤°í  19 21" xfId="13460"/>
    <cellStyle name="C￥AØ_5-1±¤°i  19 22" xfId="13461"/>
    <cellStyle name="Ç¥ÁØ_5-1±¤°í  19 22" xfId="13462"/>
    <cellStyle name="C￥AØ_5-1±¤°i  19 23" xfId="13463"/>
    <cellStyle name="Ç¥ÁØ_5-1±¤°í  19 23" xfId="13464"/>
    <cellStyle name="C￥AØ_5-1±¤°i  19 24" xfId="13465"/>
    <cellStyle name="Ç¥ÁØ_5-1±¤°í  19 24" xfId="13466"/>
    <cellStyle name="C￥AØ_5-1±¤°i  19 25" xfId="13467"/>
    <cellStyle name="Ç¥ÁØ_5-1±¤°í  19 25" xfId="13468"/>
    <cellStyle name="C￥AØ_5-1±¤°i  19 26" xfId="13469"/>
    <cellStyle name="Ç¥ÁØ_5-1±¤°í  19 26" xfId="13470"/>
    <cellStyle name="C￥AØ_5-1±¤°i  19 27" xfId="13471"/>
    <cellStyle name="Ç¥ÁØ_5-1±¤°í  19 27" xfId="13472"/>
    <cellStyle name="C￥AØ_5-1±¤°i  19 28" xfId="13473"/>
    <cellStyle name="Ç¥ÁØ_5-1±¤°í  19 28" xfId="13474"/>
    <cellStyle name="C￥AØ_5-1±¤°i  19 29" xfId="13475"/>
    <cellStyle name="Ç¥ÁØ_5-1±¤°í  19 29" xfId="13476"/>
    <cellStyle name="C￥AØ_5-1±¤°i  19 3" xfId="13477"/>
    <cellStyle name="Ç¥ÁØ_5-1±¤°í  19 3" xfId="13478"/>
    <cellStyle name="C￥AØ_5-1±¤°i  19 30" xfId="13479"/>
    <cellStyle name="Ç¥ÁØ_5-1±¤°í  19 30" xfId="13480"/>
    <cellStyle name="C￥AØ_5-1±¤°i  19 31" xfId="13481"/>
    <cellStyle name="Ç¥ÁØ_5-1±¤°í  19 31" xfId="13482"/>
    <cellStyle name="C￥AØ_5-1±¤°i  19 32" xfId="13483"/>
    <cellStyle name="Ç¥ÁØ_5-1±¤°í  19 32" xfId="13484"/>
    <cellStyle name="C￥AØ_5-1±¤°i  19 33" xfId="13485"/>
    <cellStyle name="Ç¥ÁØ_5-1±¤°í  19 33" xfId="13486"/>
    <cellStyle name="C￥AØ_5-1±¤°i  19 34" xfId="13487"/>
    <cellStyle name="Ç¥ÁØ_5-1±¤°í  19 34" xfId="13488"/>
    <cellStyle name="C￥AØ_5-1±¤°i  19 4" xfId="13489"/>
    <cellStyle name="Ç¥ÁØ_5-1±¤°í  19 4" xfId="13490"/>
    <cellStyle name="C￥AØ_5-1±¤°i  19 5" xfId="13491"/>
    <cellStyle name="Ç¥ÁØ_5-1±¤°í  19 5" xfId="13492"/>
    <cellStyle name="C￥AØ_5-1±¤°i  19 6" xfId="13493"/>
    <cellStyle name="Ç¥ÁØ_5-1±¤°í  19 6" xfId="13494"/>
    <cellStyle name="C￥AØ_5-1±¤°i  19 7" xfId="13495"/>
    <cellStyle name="Ç¥ÁØ_5-1±¤°í  19 7" xfId="13496"/>
    <cellStyle name="C￥AØ_5-1±¤°i  19 8" xfId="13497"/>
    <cellStyle name="Ç¥ÁØ_5-1±¤°í  19 8" xfId="13498"/>
    <cellStyle name="C￥AØ_5-1±¤°i  19 9" xfId="13499"/>
    <cellStyle name="Ç¥ÁØ_5-1±¤°í  19 9" xfId="13500"/>
    <cellStyle name="C￥AØ_5-1±¤°i  2" xfId="13501"/>
    <cellStyle name="Ç¥ÁØ_5-1±¤°í  2" xfId="13502"/>
    <cellStyle name="C￥AØ_5-1±¤°i  2 10" xfId="13503"/>
    <cellStyle name="Ç¥ÁØ_5-1±¤°í  2 10" xfId="13504"/>
    <cellStyle name="C￥AØ_5-1±¤°i  2 11" xfId="13505"/>
    <cellStyle name="Ç¥ÁØ_5-1±¤°í  2 11" xfId="13506"/>
    <cellStyle name="C￥AØ_5-1±¤°i  2 12" xfId="13507"/>
    <cellStyle name="Ç¥ÁØ_5-1±¤°í  2 12" xfId="13508"/>
    <cellStyle name="C￥AØ_5-1±¤°i  2 13" xfId="13509"/>
    <cellStyle name="Ç¥ÁØ_5-1±¤°í  2 13" xfId="13510"/>
    <cellStyle name="C￥AØ_5-1±¤°i  2 14" xfId="13511"/>
    <cellStyle name="Ç¥ÁØ_5-1±¤°í  2 14" xfId="13512"/>
    <cellStyle name="C￥AØ_5-1±¤°i  2 15" xfId="13513"/>
    <cellStyle name="Ç¥ÁØ_5-1±¤°í  2 15" xfId="13514"/>
    <cellStyle name="C￥AØ_5-1±¤°i  2 16" xfId="13515"/>
    <cellStyle name="Ç¥ÁØ_5-1±¤°í  2 16" xfId="13516"/>
    <cellStyle name="C￥AØ_5-1±¤°i  2 17" xfId="13517"/>
    <cellStyle name="Ç¥ÁØ_5-1±¤°í  2 17" xfId="13518"/>
    <cellStyle name="C￥AØ_5-1±¤°i  2 18" xfId="13519"/>
    <cellStyle name="Ç¥ÁØ_5-1±¤°í  2 18" xfId="13520"/>
    <cellStyle name="C￥AØ_5-1±¤°i  2 19" xfId="13521"/>
    <cellStyle name="Ç¥ÁØ_5-1±¤°í  2 19" xfId="13522"/>
    <cellStyle name="C￥AØ_5-1±¤°i  2 2" xfId="13523"/>
    <cellStyle name="Ç¥ÁØ_5-1±¤°í  2 2" xfId="13524"/>
    <cellStyle name="C￥AØ_5-1±¤°i  2 20" xfId="13525"/>
    <cellStyle name="Ç¥ÁØ_5-1±¤°í  2 20" xfId="13526"/>
    <cellStyle name="C￥AØ_5-1±¤°i  2 21" xfId="13527"/>
    <cellStyle name="Ç¥ÁØ_5-1±¤°í  2 21" xfId="13528"/>
    <cellStyle name="C￥AØ_5-1±¤°i  2 22" xfId="13529"/>
    <cellStyle name="Ç¥ÁØ_5-1±¤°í  2 22" xfId="13530"/>
    <cellStyle name="C￥AØ_5-1±¤°i  2 23" xfId="13531"/>
    <cellStyle name="Ç¥ÁØ_5-1±¤°í  2 23" xfId="13532"/>
    <cellStyle name="C￥AØ_5-1±¤°i  2 24" xfId="13533"/>
    <cellStyle name="Ç¥ÁØ_5-1±¤°í  2 24" xfId="13534"/>
    <cellStyle name="C￥AØ_5-1±¤°i  2 25" xfId="13535"/>
    <cellStyle name="Ç¥ÁØ_5-1±¤°í  2 25" xfId="13536"/>
    <cellStyle name="C￥AØ_5-1±¤°i  2 26" xfId="13537"/>
    <cellStyle name="Ç¥ÁØ_5-1±¤°í  2 26" xfId="13538"/>
    <cellStyle name="C￥AØ_5-1±¤°i  2 27" xfId="13539"/>
    <cellStyle name="Ç¥ÁØ_5-1±¤°í  2 27" xfId="13540"/>
    <cellStyle name="C￥AØ_5-1±¤°i  2 28" xfId="13541"/>
    <cellStyle name="Ç¥ÁØ_5-1±¤°í  2 28" xfId="13542"/>
    <cellStyle name="C￥AØ_5-1±¤°i  2 29" xfId="13543"/>
    <cellStyle name="Ç¥ÁØ_5-1±¤°í  2 29" xfId="13544"/>
    <cellStyle name="C￥AØ_5-1±¤°i  2 3" xfId="13545"/>
    <cellStyle name="Ç¥ÁØ_5-1±¤°í  2 3" xfId="13546"/>
    <cellStyle name="C￥AØ_5-1±¤°i  2 30" xfId="13547"/>
    <cellStyle name="Ç¥ÁØ_5-1±¤°í  2 30" xfId="13548"/>
    <cellStyle name="C￥AØ_5-1±¤°i  2 31" xfId="13549"/>
    <cellStyle name="Ç¥ÁØ_5-1±¤°í  2 31" xfId="13550"/>
    <cellStyle name="C￥AØ_5-1±¤°i  2 32" xfId="13551"/>
    <cellStyle name="Ç¥ÁØ_5-1±¤°í  2 32" xfId="13552"/>
    <cellStyle name="C￥AØ_5-1±¤°i  2 33" xfId="13553"/>
    <cellStyle name="Ç¥ÁØ_5-1±¤°í  2 33" xfId="13554"/>
    <cellStyle name="C￥AØ_5-1±¤°i  2 34" xfId="13555"/>
    <cellStyle name="Ç¥ÁØ_5-1±¤°í  2 34" xfId="13556"/>
    <cellStyle name="C￥AØ_5-1±¤°i  2 4" xfId="13557"/>
    <cellStyle name="Ç¥ÁØ_5-1±¤°í  2 4" xfId="13558"/>
    <cellStyle name="C￥AØ_5-1±¤°i  2 5" xfId="13559"/>
    <cellStyle name="Ç¥ÁØ_5-1±¤°í  2 5" xfId="13560"/>
    <cellStyle name="C￥AØ_5-1±¤°i  2 6" xfId="13561"/>
    <cellStyle name="Ç¥ÁØ_5-1±¤°í  2 6" xfId="13562"/>
    <cellStyle name="C￥AØ_5-1±¤°i  2 7" xfId="13563"/>
    <cellStyle name="Ç¥ÁØ_5-1±¤°í  2 7" xfId="13564"/>
    <cellStyle name="C￥AØ_5-1±¤°i  2 8" xfId="13565"/>
    <cellStyle name="Ç¥ÁØ_5-1±¤°í  2 8" xfId="13566"/>
    <cellStyle name="C￥AØ_5-1±¤°i  2 9" xfId="13567"/>
    <cellStyle name="Ç¥ÁØ_5-1±¤°í  2 9" xfId="13568"/>
    <cellStyle name="C￥AØ_5-1±¤°i  20" xfId="13569"/>
    <cellStyle name="Ç¥ÁØ_5-1±¤°í  20" xfId="13570"/>
    <cellStyle name="C￥AØ_5-1±¤°i  20 10" xfId="13571"/>
    <cellStyle name="Ç¥ÁØ_5-1±¤°í  20 10" xfId="13572"/>
    <cellStyle name="C￥AØ_5-1±¤°i  20 11" xfId="13573"/>
    <cellStyle name="Ç¥ÁØ_5-1±¤°í  20 11" xfId="13574"/>
    <cellStyle name="C￥AØ_5-1±¤°i  20 12" xfId="13575"/>
    <cellStyle name="Ç¥ÁØ_5-1±¤°í  20 12" xfId="13576"/>
    <cellStyle name="C￥AØ_5-1±¤°i  20 13" xfId="13577"/>
    <cellStyle name="Ç¥ÁØ_5-1±¤°í  20 13" xfId="13578"/>
    <cellStyle name="C￥AØ_5-1±¤°i  20 14" xfId="13579"/>
    <cellStyle name="Ç¥ÁØ_5-1±¤°í  20 14" xfId="13580"/>
    <cellStyle name="C￥AØ_5-1±¤°i  20 15" xfId="13581"/>
    <cellStyle name="Ç¥ÁØ_5-1±¤°í  20 15" xfId="13582"/>
    <cellStyle name="C￥AØ_5-1±¤°i  20 16" xfId="13583"/>
    <cellStyle name="Ç¥ÁØ_5-1±¤°í  20 16" xfId="13584"/>
    <cellStyle name="C￥AØ_5-1±¤°i  20 17" xfId="13585"/>
    <cellStyle name="Ç¥ÁØ_5-1±¤°í  20 17" xfId="13586"/>
    <cellStyle name="C￥AØ_5-1±¤°i  20 18" xfId="13587"/>
    <cellStyle name="Ç¥ÁØ_5-1±¤°í  20 18" xfId="13588"/>
    <cellStyle name="C￥AØ_5-1±¤°i  20 19" xfId="13589"/>
    <cellStyle name="Ç¥ÁØ_5-1±¤°í  20 19" xfId="13590"/>
    <cellStyle name="C￥AØ_5-1±¤°i  20 2" xfId="13591"/>
    <cellStyle name="Ç¥ÁØ_5-1±¤°í  20 2" xfId="13592"/>
    <cellStyle name="C￥AØ_5-1±¤°i  20 20" xfId="13593"/>
    <cellStyle name="Ç¥ÁØ_5-1±¤°í  20 20" xfId="13594"/>
    <cellStyle name="C￥AØ_5-1±¤°i  20 21" xfId="13595"/>
    <cellStyle name="Ç¥ÁØ_5-1±¤°í  20 21" xfId="13596"/>
    <cellStyle name="C￥AØ_5-1±¤°i  20 22" xfId="13597"/>
    <cellStyle name="Ç¥ÁØ_5-1±¤°í  20 22" xfId="13598"/>
    <cellStyle name="C￥AØ_5-1±¤°i  20 23" xfId="13599"/>
    <cellStyle name="Ç¥ÁØ_5-1±¤°í  20 23" xfId="13600"/>
    <cellStyle name="C￥AØ_5-1±¤°i  20 24" xfId="13601"/>
    <cellStyle name="Ç¥ÁØ_5-1±¤°í  20 24" xfId="13602"/>
    <cellStyle name="C￥AØ_5-1±¤°i  20 25" xfId="13603"/>
    <cellStyle name="Ç¥ÁØ_5-1±¤°í  20 25" xfId="13604"/>
    <cellStyle name="C￥AØ_5-1±¤°i  20 26" xfId="13605"/>
    <cellStyle name="Ç¥ÁØ_5-1±¤°í  20 26" xfId="13606"/>
    <cellStyle name="C￥AØ_5-1±¤°i  20 27" xfId="13607"/>
    <cellStyle name="Ç¥ÁØ_5-1±¤°í  20 27" xfId="13608"/>
    <cellStyle name="C￥AØ_5-1±¤°i  20 28" xfId="13609"/>
    <cellStyle name="Ç¥ÁØ_5-1±¤°í  20 28" xfId="13610"/>
    <cellStyle name="C￥AØ_5-1±¤°i  20 29" xfId="13611"/>
    <cellStyle name="Ç¥ÁØ_5-1±¤°í  20 29" xfId="13612"/>
    <cellStyle name="C￥AØ_5-1±¤°i  20 3" xfId="13613"/>
    <cellStyle name="Ç¥ÁØ_5-1±¤°í  20 3" xfId="13614"/>
    <cellStyle name="C￥AØ_5-1±¤°i  20 30" xfId="13615"/>
    <cellStyle name="Ç¥ÁØ_5-1±¤°í  20 30" xfId="13616"/>
    <cellStyle name="C￥AØ_5-1±¤°i  20 31" xfId="13617"/>
    <cellStyle name="Ç¥ÁØ_5-1±¤°í  20 31" xfId="13618"/>
    <cellStyle name="C￥AØ_5-1±¤°i  20 32" xfId="13619"/>
    <cellStyle name="Ç¥ÁØ_5-1±¤°í  20 32" xfId="13620"/>
    <cellStyle name="C￥AØ_5-1±¤°i  20 33" xfId="13621"/>
    <cellStyle name="Ç¥ÁØ_5-1±¤°í  20 33" xfId="13622"/>
    <cellStyle name="C￥AØ_5-1±¤°i  20 34" xfId="13623"/>
    <cellStyle name="Ç¥ÁØ_5-1±¤°í  20 34" xfId="13624"/>
    <cellStyle name="C￥AØ_5-1±¤°i  20 4" xfId="13625"/>
    <cellStyle name="Ç¥ÁØ_5-1±¤°í  20 4" xfId="13626"/>
    <cellStyle name="C￥AØ_5-1±¤°i  20 5" xfId="13627"/>
    <cellStyle name="Ç¥ÁØ_5-1±¤°í  20 5" xfId="13628"/>
    <cellStyle name="C￥AØ_5-1±¤°i  20 6" xfId="13629"/>
    <cellStyle name="Ç¥ÁØ_5-1±¤°í  20 6" xfId="13630"/>
    <cellStyle name="C￥AØ_5-1±¤°i  20 7" xfId="13631"/>
    <cellStyle name="Ç¥ÁØ_5-1±¤°í  20 7" xfId="13632"/>
    <cellStyle name="C￥AØ_5-1±¤°i  20 8" xfId="13633"/>
    <cellStyle name="Ç¥ÁØ_5-1±¤°í  20 8" xfId="13634"/>
    <cellStyle name="C￥AØ_5-1±¤°i  20 9" xfId="13635"/>
    <cellStyle name="Ç¥ÁØ_5-1±¤°í  20 9" xfId="13636"/>
    <cellStyle name="C￥AØ_5-1±¤°i  21" xfId="13637"/>
    <cellStyle name="Ç¥ÁØ_5-1±¤°í  21" xfId="13638"/>
    <cellStyle name="C￥AØ_5-1±¤°i  21 10" xfId="13639"/>
    <cellStyle name="Ç¥ÁØ_5-1±¤°í  21 10" xfId="13640"/>
    <cellStyle name="C￥AØ_5-1±¤°i  21 11" xfId="13641"/>
    <cellStyle name="Ç¥ÁØ_5-1±¤°í  21 11" xfId="13642"/>
    <cellStyle name="C￥AØ_5-1±¤°i  21 12" xfId="13643"/>
    <cellStyle name="Ç¥ÁØ_5-1±¤°í  21 12" xfId="13644"/>
    <cellStyle name="C￥AØ_5-1±¤°i  21 13" xfId="13645"/>
    <cellStyle name="Ç¥ÁØ_5-1±¤°í  21 13" xfId="13646"/>
    <cellStyle name="C￥AØ_5-1±¤°i  21 14" xfId="13647"/>
    <cellStyle name="Ç¥ÁØ_5-1±¤°í  21 14" xfId="13648"/>
    <cellStyle name="C￥AØ_5-1±¤°i  21 15" xfId="13649"/>
    <cellStyle name="Ç¥ÁØ_5-1±¤°í  21 15" xfId="13650"/>
    <cellStyle name="C￥AØ_5-1±¤°i  21 16" xfId="13651"/>
    <cellStyle name="Ç¥ÁØ_5-1±¤°í  21 16" xfId="13652"/>
    <cellStyle name="C￥AØ_5-1±¤°i  21 17" xfId="13653"/>
    <cellStyle name="Ç¥ÁØ_5-1±¤°í  21 17" xfId="13654"/>
    <cellStyle name="C￥AØ_5-1±¤°i  21 18" xfId="13655"/>
    <cellStyle name="Ç¥ÁØ_5-1±¤°í  21 18" xfId="13656"/>
    <cellStyle name="C￥AØ_5-1±¤°i  21 19" xfId="13657"/>
    <cellStyle name="Ç¥ÁØ_5-1±¤°í  21 19" xfId="13658"/>
    <cellStyle name="C￥AØ_5-1±¤°i  21 2" xfId="13659"/>
    <cellStyle name="Ç¥ÁØ_5-1±¤°í  21 2" xfId="13660"/>
    <cellStyle name="C￥AØ_5-1±¤°i  21 20" xfId="13661"/>
    <cellStyle name="Ç¥ÁØ_5-1±¤°í  21 20" xfId="13662"/>
    <cellStyle name="C￥AØ_5-1±¤°i  21 21" xfId="13663"/>
    <cellStyle name="Ç¥ÁØ_5-1±¤°í  21 21" xfId="13664"/>
    <cellStyle name="C￥AØ_5-1±¤°i  21 22" xfId="13665"/>
    <cellStyle name="Ç¥ÁØ_5-1±¤°í  21 22" xfId="13666"/>
    <cellStyle name="C￥AØ_5-1±¤°i  21 23" xfId="13667"/>
    <cellStyle name="Ç¥ÁØ_5-1±¤°í  21 23" xfId="13668"/>
    <cellStyle name="C￥AØ_5-1±¤°i  21 24" xfId="13669"/>
    <cellStyle name="Ç¥ÁØ_5-1±¤°í  21 24" xfId="13670"/>
    <cellStyle name="C￥AØ_5-1±¤°i  21 25" xfId="13671"/>
    <cellStyle name="Ç¥ÁØ_5-1±¤°í  21 25" xfId="13672"/>
    <cellStyle name="C￥AØ_5-1±¤°i  21 26" xfId="13673"/>
    <cellStyle name="Ç¥ÁØ_5-1±¤°í  21 26" xfId="13674"/>
    <cellStyle name="C￥AØ_5-1±¤°i  21 27" xfId="13675"/>
    <cellStyle name="Ç¥ÁØ_5-1±¤°í  21 27" xfId="13676"/>
    <cellStyle name="C￥AØ_5-1±¤°i  21 28" xfId="13677"/>
    <cellStyle name="Ç¥ÁØ_5-1±¤°í  21 28" xfId="13678"/>
    <cellStyle name="C￥AØ_5-1±¤°i  21 29" xfId="13679"/>
    <cellStyle name="Ç¥ÁØ_5-1±¤°í  21 29" xfId="13680"/>
    <cellStyle name="C￥AØ_5-1±¤°i  21 3" xfId="13681"/>
    <cellStyle name="Ç¥ÁØ_5-1±¤°í  21 3" xfId="13682"/>
    <cellStyle name="C￥AØ_5-1±¤°i  21 30" xfId="13683"/>
    <cellStyle name="Ç¥ÁØ_5-1±¤°í  21 30" xfId="13684"/>
    <cellStyle name="C￥AØ_5-1±¤°i  21 31" xfId="13685"/>
    <cellStyle name="Ç¥ÁØ_5-1±¤°í  21 31" xfId="13686"/>
    <cellStyle name="C￥AØ_5-1±¤°i  21 32" xfId="13687"/>
    <cellStyle name="Ç¥ÁØ_5-1±¤°í  21 32" xfId="13688"/>
    <cellStyle name="C￥AØ_5-1±¤°i  21 33" xfId="13689"/>
    <cellStyle name="Ç¥ÁØ_5-1±¤°í  21 33" xfId="13690"/>
    <cellStyle name="C￥AØ_5-1±¤°i  21 34" xfId="13691"/>
    <cellStyle name="Ç¥ÁØ_5-1±¤°í  21 34" xfId="13692"/>
    <cellStyle name="C￥AØ_5-1±¤°i  21 4" xfId="13693"/>
    <cellStyle name="Ç¥ÁØ_5-1±¤°í  21 4" xfId="13694"/>
    <cellStyle name="C￥AØ_5-1±¤°i  21 5" xfId="13695"/>
    <cellStyle name="Ç¥ÁØ_5-1±¤°í  21 5" xfId="13696"/>
    <cellStyle name="C￥AØ_5-1±¤°i  21 6" xfId="13697"/>
    <cellStyle name="Ç¥ÁØ_5-1±¤°í  21 6" xfId="13698"/>
    <cellStyle name="C￥AØ_5-1±¤°i  21 7" xfId="13699"/>
    <cellStyle name="Ç¥ÁØ_5-1±¤°í  21 7" xfId="13700"/>
    <cellStyle name="C￥AØ_5-1±¤°i  21 8" xfId="13701"/>
    <cellStyle name="Ç¥ÁØ_5-1±¤°í  21 8" xfId="13702"/>
    <cellStyle name="C￥AØ_5-1±¤°i  21 9" xfId="13703"/>
    <cellStyle name="Ç¥ÁØ_5-1±¤°í  21 9" xfId="13704"/>
    <cellStyle name="C￥AØ_5-1±¤°i  22" xfId="13705"/>
    <cellStyle name="Ç¥ÁØ_5-1±¤°í  22" xfId="13706"/>
    <cellStyle name="C￥AØ_5-1±¤°i  22 10" xfId="13707"/>
    <cellStyle name="Ç¥ÁØ_5-1±¤°í  22 10" xfId="13708"/>
    <cellStyle name="C￥AØ_5-1±¤°i  22 11" xfId="13709"/>
    <cellStyle name="Ç¥ÁØ_5-1±¤°í  22 11" xfId="13710"/>
    <cellStyle name="C￥AØ_5-1±¤°i  22 12" xfId="13711"/>
    <cellStyle name="Ç¥ÁØ_5-1±¤°í  22 12" xfId="13712"/>
    <cellStyle name="C￥AØ_5-1±¤°i  22 13" xfId="13713"/>
    <cellStyle name="Ç¥ÁØ_5-1±¤°í  22 13" xfId="13714"/>
    <cellStyle name="C￥AØ_5-1±¤°i  22 14" xfId="13715"/>
    <cellStyle name="Ç¥ÁØ_5-1±¤°í  22 14" xfId="13716"/>
    <cellStyle name="C￥AØ_5-1±¤°i  22 15" xfId="13717"/>
    <cellStyle name="Ç¥ÁØ_5-1±¤°í  22 15" xfId="13718"/>
    <cellStyle name="C￥AØ_5-1±¤°i  22 16" xfId="13719"/>
    <cellStyle name="Ç¥ÁØ_5-1±¤°í  22 16" xfId="13720"/>
    <cellStyle name="C￥AØ_5-1±¤°i  22 17" xfId="13721"/>
    <cellStyle name="Ç¥ÁØ_5-1±¤°í  22 17" xfId="13722"/>
    <cellStyle name="C￥AØ_5-1±¤°i  22 18" xfId="13723"/>
    <cellStyle name="Ç¥ÁØ_5-1±¤°í  22 18" xfId="13724"/>
    <cellStyle name="C￥AØ_5-1±¤°i  22 19" xfId="13725"/>
    <cellStyle name="Ç¥ÁØ_5-1±¤°í  22 19" xfId="13726"/>
    <cellStyle name="C￥AØ_5-1±¤°i  22 2" xfId="13727"/>
    <cellStyle name="Ç¥ÁØ_5-1±¤°í  22 2" xfId="13728"/>
    <cellStyle name="C￥AØ_5-1±¤°i  22 20" xfId="13729"/>
    <cellStyle name="Ç¥ÁØ_5-1±¤°í  22 20" xfId="13730"/>
    <cellStyle name="C￥AØ_5-1±¤°i  22 21" xfId="13731"/>
    <cellStyle name="Ç¥ÁØ_5-1±¤°í  22 21" xfId="13732"/>
    <cellStyle name="C￥AØ_5-1±¤°i  22 22" xfId="13733"/>
    <cellStyle name="Ç¥ÁØ_5-1±¤°í  22 22" xfId="13734"/>
    <cellStyle name="C￥AØ_5-1±¤°i  22 23" xfId="13735"/>
    <cellStyle name="Ç¥ÁØ_5-1±¤°í  22 23" xfId="13736"/>
    <cellStyle name="C￥AØ_5-1±¤°i  22 24" xfId="13737"/>
    <cellStyle name="Ç¥ÁØ_5-1±¤°í  22 24" xfId="13738"/>
    <cellStyle name="C￥AØ_5-1±¤°i  22 25" xfId="13739"/>
    <cellStyle name="Ç¥ÁØ_5-1±¤°í  22 25" xfId="13740"/>
    <cellStyle name="C￥AØ_5-1±¤°i  22 26" xfId="13741"/>
    <cellStyle name="Ç¥ÁØ_5-1±¤°í  22 26" xfId="13742"/>
    <cellStyle name="C￥AØ_5-1±¤°i  22 27" xfId="13743"/>
    <cellStyle name="Ç¥ÁØ_5-1±¤°í  22 27" xfId="13744"/>
    <cellStyle name="C￥AØ_5-1±¤°i  22 28" xfId="13745"/>
    <cellStyle name="Ç¥ÁØ_5-1±¤°í  22 28" xfId="13746"/>
    <cellStyle name="C￥AØ_5-1±¤°i  22 29" xfId="13747"/>
    <cellStyle name="Ç¥ÁØ_5-1±¤°í  22 29" xfId="13748"/>
    <cellStyle name="C￥AØ_5-1±¤°i  22 3" xfId="13749"/>
    <cellStyle name="Ç¥ÁØ_5-1±¤°í  22 3" xfId="13750"/>
    <cellStyle name="C￥AØ_5-1±¤°i  22 30" xfId="13751"/>
    <cellStyle name="Ç¥ÁØ_5-1±¤°í  22 30" xfId="13752"/>
    <cellStyle name="C￥AØ_5-1±¤°i  22 31" xfId="13753"/>
    <cellStyle name="Ç¥ÁØ_5-1±¤°í  22 31" xfId="13754"/>
    <cellStyle name="C￥AØ_5-1±¤°i  22 32" xfId="13755"/>
    <cellStyle name="Ç¥ÁØ_5-1±¤°í  22 32" xfId="13756"/>
    <cellStyle name="C￥AØ_5-1±¤°i  22 33" xfId="13757"/>
    <cellStyle name="Ç¥ÁØ_5-1±¤°í  22 33" xfId="13758"/>
    <cellStyle name="C￥AØ_5-1±¤°i  22 34" xfId="13759"/>
    <cellStyle name="Ç¥ÁØ_5-1±¤°í  22 34" xfId="13760"/>
    <cellStyle name="C￥AØ_5-1±¤°i  22 4" xfId="13761"/>
    <cellStyle name="Ç¥ÁØ_5-1±¤°í  22 4" xfId="13762"/>
    <cellStyle name="C￥AØ_5-1±¤°i  22 5" xfId="13763"/>
    <cellStyle name="Ç¥ÁØ_5-1±¤°í  22 5" xfId="13764"/>
    <cellStyle name="C￥AØ_5-1±¤°i  22 6" xfId="13765"/>
    <cellStyle name="Ç¥ÁØ_5-1±¤°í  22 6" xfId="13766"/>
    <cellStyle name="C￥AØ_5-1±¤°i  22 7" xfId="13767"/>
    <cellStyle name="Ç¥ÁØ_5-1±¤°í  22 7" xfId="13768"/>
    <cellStyle name="C￥AØ_5-1±¤°i  22 8" xfId="13769"/>
    <cellStyle name="Ç¥ÁØ_5-1±¤°í  22 8" xfId="13770"/>
    <cellStyle name="C￥AØ_5-1±¤°i  22 9" xfId="13771"/>
    <cellStyle name="Ç¥ÁØ_5-1±¤°í  22 9" xfId="13772"/>
    <cellStyle name="C￥AØ_5-1±¤°i  23" xfId="13773"/>
    <cellStyle name="Ç¥ÁØ_5-1±¤°í  23" xfId="13774"/>
    <cellStyle name="C￥AØ_5-1±¤°i  23 10" xfId="13775"/>
    <cellStyle name="Ç¥ÁØ_5-1±¤°í  23 10" xfId="13776"/>
    <cellStyle name="C￥AØ_5-1±¤°i  23 11" xfId="13777"/>
    <cellStyle name="Ç¥ÁØ_5-1±¤°í  23 11" xfId="13778"/>
    <cellStyle name="C￥AØ_5-1±¤°i  23 12" xfId="13779"/>
    <cellStyle name="Ç¥ÁØ_5-1±¤°í  23 12" xfId="13780"/>
    <cellStyle name="C￥AØ_5-1±¤°i  23 13" xfId="13781"/>
    <cellStyle name="Ç¥ÁØ_5-1±¤°í  23 13" xfId="13782"/>
    <cellStyle name="C￥AØ_5-1±¤°i  23 14" xfId="13783"/>
    <cellStyle name="Ç¥ÁØ_5-1±¤°í  23 14" xfId="13784"/>
    <cellStyle name="C￥AØ_5-1±¤°i  23 15" xfId="13785"/>
    <cellStyle name="Ç¥ÁØ_5-1±¤°í  23 15" xfId="13786"/>
    <cellStyle name="C￥AØ_5-1±¤°i  23 16" xfId="13787"/>
    <cellStyle name="Ç¥ÁØ_5-1±¤°í  23 16" xfId="13788"/>
    <cellStyle name="C￥AØ_5-1±¤°i  23 17" xfId="13789"/>
    <cellStyle name="Ç¥ÁØ_5-1±¤°í  23 17" xfId="13790"/>
    <cellStyle name="C￥AØ_5-1±¤°i  23 18" xfId="13791"/>
    <cellStyle name="Ç¥ÁØ_5-1±¤°í  23 18" xfId="13792"/>
    <cellStyle name="C￥AØ_5-1±¤°i  23 19" xfId="13793"/>
    <cellStyle name="Ç¥ÁØ_5-1±¤°í  23 19" xfId="13794"/>
    <cellStyle name="C￥AØ_5-1±¤°i  23 2" xfId="13795"/>
    <cellStyle name="Ç¥ÁØ_5-1±¤°í  23 2" xfId="13796"/>
    <cellStyle name="C￥AØ_5-1±¤°i  23 20" xfId="13797"/>
    <cellStyle name="Ç¥ÁØ_5-1±¤°í  23 20" xfId="13798"/>
    <cellStyle name="C￥AØ_5-1±¤°i  23 21" xfId="13799"/>
    <cellStyle name="Ç¥ÁØ_5-1±¤°í  23 21" xfId="13800"/>
    <cellStyle name="C￥AØ_5-1±¤°i  23 22" xfId="13801"/>
    <cellStyle name="Ç¥ÁØ_5-1±¤°í  23 22" xfId="13802"/>
    <cellStyle name="C￥AØ_5-1±¤°i  23 23" xfId="13803"/>
    <cellStyle name="Ç¥ÁØ_5-1±¤°í  23 23" xfId="13804"/>
    <cellStyle name="C￥AØ_5-1±¤°i  23 24" xfId="13805"/>
    <cellStyle name="Ç¥ÁØ_5-1±¤°í  23 24" xfId="13806"/>
    <cellStyle name="C￥AØ_5-1±¤°i  23 25" xfId="13807"/>
    <cellStyle name="Ç¥ÁØ_5-1±¤°í  23 25" xfId="13808"/>
    <cellStyle name="C￥AØ_5-1±¤°i  23 26" xfId="13809"/>
    <cellStyle name="Ç¥ÁØ_5-1±¤°í  23 26" xfId="13810"/>
    <cellStyle name="C￥AØ_5-1±¤°i  23 27" xfId="13811"/>
    <cellStyle name="Ç¥ÁØ_5-1±¤°í  23 27" xfId="13812"/>
    <cellStyle name="C￥AØ_5-1±¤°i  23 28" xfId="13813"/>
    <cellStyle name="Ç¥ÁØ_5-1±¤°í  23 28" xfId="13814"/>
    <cellStyle name="C￥AØ_5-1±¤°i  23 29" xfId="13815"/>
    <cellStyle name="Ç¥ÁØ_5-1±¤°í  23 29" xfId="13816"/>
    <cellStyle name="C￥AØ_5-1±¤°i  23 3" xfId="13817"/>
    <cellStyle name="Ç¥ÁØ_5-1±¤°í  23 3" xfId="13818"/>
    <cellStyle name="C￥AØ_5-1±¤°i  23 30" xfId="13819"/>
    <cellStyle name="Ç¥ÁØ_5-1±¤°í  23 30" xfId="13820"/>
    <cellStyle name="C￥AØ_5-1±¤°i  23 31" xfId="13821"/>
    <cellStyle name="Ç¥ÁØ_5-1±¤°í  23 31" xfId="13822"/>
    <cellStyle name="C￥AØ_5-1±¤°i  23 32" xfId="13823"/>
    <cellStyle name="Ç¥ÁØ_5-1±¤°í  23 32" xfId="13824"/>
    <cellStyle name="C￥AØ_5-1±¤°i  23 33" xfId="13825"/>
    <cellStyle name="Ç¥ÁØ_5-1±¤°í  23 33" xfId="13826"/>
    <cellStyle name="C￥AØ_5-1±¤°i  23 34" xfId="13827"/>
    <cellStyle name="Ç¥ÁØ_5-1±¤°í  23 34" xfId="13828"/>
    <cellStyle name="C￥AØ_5-1±¤°i  23 4" xfId="13829"/>
    <cellStyle name="Ç¥ÁØ_5-1±¤°í  23 4" xfId="13830"/>
    <cellStyle name="C￥AØ_5-1±¤°i  23 5" xfId="13831"/>
    <cellStyle name="Ç¥ÁØ_5-1±¤°í  23 5" xfId="13832"/>
    <cellStyle name="C￥AØ_5-1±¤°i  23 6" xfId="13833"/>
    <cellStyle name="Ç¥ÁØ_5-1±¤°í  23 6" xfId="13834"/>
    <cellStyle name="C￥AØ_5-1±¤°i  23 7" xfId="13835"/>
    <cellStyle name="Ç¥ÁØ_5-1±¤°í  23 7" xfId="13836"/>
    <cellStyle name="C￥AØ_5-1±¤°i  23 8" xfId="13837"/>
    <cellStyle name="Ç¥ÁØ_5-1±¤°í  23 8" xfId="13838"/>
    <cellStyle name="C￥AØ_5-1±¤°i  23 9" xfId="13839"/>
    <cellStyle name="Ç¥ÁØ_5-1±¤°í  23 9" xfId="13840"/>
    <cellStyle name="C￥AØ_5-1±¤°i  24" xfId="13841"/>
    <cellStyle name="Ç¥ÁØ_5-1±¤°í  24" xfId="13842"/>
    <cellStyle name="C￥AØ_5-1±¤°i  24 10" xfId="13843"/>
    <cellStyle name="Ç¥ÁØ_5-1±¤°í  24 10" xfId="13844"/>
    <cellStyle name="C￥AØ_5-1±¤°i  24 11" xfId="13845"/>
    <cellStyle name="Ç¥ÁØ_5-1±¤°í  24 11" xfId="13846"/>
    <cellStyle name="C￥AØ_5-1±¤°i  24 12" xfId="13847"/>
    <cellStyle name="Ç¥ÁØ_5-1±¤°í  24 12" xfId="13848"/>
    <cellStyle name="C￥AØ_5-1±¤°i  24 13" xfId="13849"/>
    <cellStyle name="Ç¥ÁØ_5-1±¤°í  24 13" xfId="13850"/>
    <cellStyle name="C￥AØ_5-1±¤°i  24 14" xfId="13851"/>
    <cellStyle name="Ç¥ÁØ_5-1±¤°í  24 14" xfId="13852"/>
    <cellStyle name="C￥AØ_5-1±¤°i  24 15" xfId="13853"/>
    <cellStyle name="Ç¥ÁØ_5-1±¤°í  24 15" xfId="13854"/>
    <cellStyle name="C￥AØ_5-1±¤°i  24 16" xfId="13855"/>
    <cellStyle name="Ç¥ÁØ_5-1±¤°í  24 16" xfId="13856"/>
    <cellStyle name="C￥AØ_5-1±¤°i  24 17" xfId="13857"/>
    <cellStyle name="Ç¥ÁØ_5-1±¤°í  24 17" xfId="13858"/>
    <cellStyle name="C￥AØ_5-1±¤°i  24 18" xfId="13859"/>
    <cellStyle name="Ç¥ÁØ_5-1±¤°í  24 18" xfId="13860"/>
    <cellStyle name="C￥AØ_5-1±¤°i  24 19" xfId="13861"/>
    <cellStyle name="Ç¥ÁØ_5-1±¤°í  24 19" xfId="13862"/>
    <cellStyle name="C￥AØ_5-1±¤°i  24 2" xfId="13863"/>
    <cellStyle name="Ç¥ÁØ_5-1±¤°í  24 2" xfId="13864"/>
    <cellStyle name="C￥AØ_5-1±¤°i  24 20" xfId="13865"/>
    <cellStyle name="Ç¥ÁØ_5-1±¤°í  24 20" xfId="13866"/>
    <cellStyle name="C￥AØ_5-1±¤°i  24 21" xfId="13867"/>
    <cellStyle name="Ç¥ÁØ_5-1±¤°í  24 21" xfId="13868"/>
    <cellStyle name="C￥AØ_5-1±¤°i  24 22" xfId="13869"/>
    <cellStyle name="Ç¥ÁØ_5-1±¤°í  24 22" xfId="13870"/>
    <cellStyle name="C￥AØ_5-1±¤°i  24 23" xfId="13871"/>
    <cellStyle name="Ç¥ÁØ_5-1±¤°í  24 23" xfId="13872"/>
    <cellStyle name="C￥AØ_5-1±¤°i  24 24" xfId="13873"/>
    <cellStyle name="Ç¥ÁØ_5-1±¤°í  24 24" xfId="13874"/>
    <cellStyle name="C￥AØ_5-1±¤°i  24 25" xfId="13875"/>
    <cellStyle name="Ç¥ÁØ_5-1±¤°í  24 25" xfId="13876"/>
    <cellStyle name="C￥AØ_5-1±¤°i  24 26" xfId="13877"/>
    <cellStyle name="Ç¥ÁØ_5-1±¤°í  24 26" xfId="13878"/>
    <cellStyle name="C￥AØ_5-1±¤°i  24 27" xfId="13879"/>
    <cellStyle name="Ç¥ÁØ_5-1±¤°í  24 27" xfId="13880"/>
    <cellStyle name="C￥AØ_5-1±¤°i  24 28" xfId="13881"/>
    <cellStyle name="Ç¥ÁØ_5-1±¤°í  24 28" xfId="13882"/>
    <cellStyle name="C￥AØ_5-1±¤°i  24 29" xfId="13883"/>
    <cellStyle name="Ç¥ÁØ_5-1±¤°í  24 29" xfId="13884"/>
    <cellStyle name="C￥AØ_5-1±¤°i  24 3" xfId="13885"/>
    <cellStyle name="Ç¥ÁØ_5-1±¤°í  24 3" xfId="13886"/>
    <cellStyle name="C￥AØ_5-1±¤°i  24 30" xfId="13887"/>
    <cellStyle name="Ç¥ÁØ_5-1±¤°í  24 30" xfId="13888"/>
    <cellStyle name="C￥AØ_5-1±¤°i  24 31" xfId="13889"/>
    <cellStyle name="Ç¥ÁØ_5-1±¤°í  24 31" xfId="13890"/>
    <cellStyle name="C￥AØ_5-1±¤°i  24 32" xfId="13891"/>
    <cellStyle name="Ç¥ÁØ_5-1±¤°í  24 32" xfId="13892"/>
    <cellStyle name="C￥AØ_5-1±¤°i  24 33" xfId="13893"/>
    <cellStyle name="Ç¥ÁØ_5-1±¤°í  24 33" xfId="13894"/>
    <cellStyle name="C￥AØ_5-1±¤°i  24 34" xfId="13895"/>
    <cellStyle name="Ç¥ÁØ_5-1±¤°í  24 34" xfId="13896"/>
    <cellStyle name="C￥AØ_5-1±¤°i  24 4" xfId="13897"/>
    <cellStyle name="Ç¥ÁØ_5-1±¤°í  24 4" xfId="13898"/>
    <cellStyle name="C￥AØ_5-1±¤°i  24 5" xfId="13899"/>
    <cellStyle name="Ç¥ÁØ_5-1±¤°í  24 5" xfId="13900"/>
    <cellStyle name="C￥AØ_5-1±¤°i  24 6" xfId="13901"/>
    <cellStyle name="Ç¥ÁØ_5-1±¤°í  24 6" xfId="13902"/>
    <cellStyle name="C￥AØ_5-1±¤°i  24 7" xfId="13903"/>
    <cellStyle name="Ç¥ÁØ_5-1±¤°í  24 7" xfId="13904"/>
    <cellStyle name="C￥AØ_5-1±¤°i  24 8" xfId="13905"/>
    <cellStyle name="Ç¥ÁØ_5-1±¤°í  24 8" xfId="13906"/>
    <cellStyle name="C￥AØ_5-1±¤°i  24 9" xfId="13907"/>
    <cellStyle name="Ç¥ÁØ_5-1±¤°í  24 9" xfId="13908"/>
    <cellStyle name="C￥AØ_5-1±¤°i  25" xfId="13909"/>
    <cellStyle name="Ç¥ÁØ_5-1±¤°í  25" xfId="13910"/>
    <cellStyle name="C￥AØ_5-1±¤°i  25 10" xfId="13911"/>
    <cellStyle name="Ç¥ÁØ_5-1±¤°í  25 10" xfId="13912"/>
    <cellStyle name="C￥AØ_5-1±¤°i  25 11" xfId="13913"/>
    <cellStyle name="Ç¥ÁØ_5-1±¤°í  25 11" xfId="13914"/>
    <cellStyle name="C￥AØ_5-1±¤°i  25 12" xfId="13915"/>
    <cellStyle name="Ç¥ÁØ_5-1±¤°í  25 12" xfId="13916"/>
    <cellStyle name="C￥AØ_5-1±¤°i  25 13" xfId="13917"/>
    <cellStyle name="Ç¥ÁØ_5-1±¤°í  25 13" xfId="13918"/>
    <cellStyle name="C￥AØ_5-1±¤°i  25 14" xfId="13919"/>
    <cellStyle name="Ç¥ÁØ_5-1±¤°í  25 14" xfId="13920"/>
    <cellStyle name="C￥AØ_5-1±¤°i  25 15" xfId="13921"/>
    <cellStyle name="Ç¥ÁØ_5-1±¤°í  25 15" xfId="13922"/>
    <cellStyle name="C￥AØ_5-1±¤°i  25 16" xfId="13923"/>
    <cellStyle name="Ç¥ÁØ_5-1±¤°í  25 16" xfId="13924"/>
    <cellStyle name="C￥AØ_5-1±¤°i  25 17" xfId="13925"/>
    <cellStyle name="Ç¥ÁØ_5-1±¤°í  25 17" xfId="13926"/>
    <cellStyle name="C￥AØ_5-1±¤°i  25 18" xfId="13927"/>
    <cellStyle name="Ç¥ÁØ_5-1±¤°í  25 18" xfId="13928"/>
    <cellStyle name="C￥AØ_5-1±¤°i  25 19" xfId="13929"/>
    <cellStyle name="Ç¥ÁØ_5-1±¤°í  25 19" xfId="13930"/>
    <cellStyle name="C￥AØ_5-1±¤°i  25 2" xfId="13931"/>
    <cellStyle name="Ç¥ÁØ_5-1±¤°í  25 2" xfId="13932"/>
    <cellStyle name="C￥AØ_5-1±¤°i  25 20" xfId="13933"/>
    <cellStyle name="Ç¥ÁØ_5-1±¤°í  25 20" xfId="13934"/>
    <cellStyle name="C￥AØ_5-1±¤°i  25 21" xfId="13935"/>
    <cellStyle name="Ç¥ÁØ_5-1±¤°í  25 21" xfId="13936"/>
    <cellStyle name="C￥AØ_5-1±¤°i  25 22" xfId="13937"/>
    <cellStyle name="Ç¥ÁØ_5-1±¤°í  25 22" xfId="13938"/>
    <cellStyle name="C￥AØ_5-1±¤°i  25 23" xfId="13939"/>
    <cellStyle name="Ç¥ÁØ_5-1±¤°í  25 23" xfId="13940"/>
    <cellStyle name="C￥AØ_5-1±¤°i  25 24" xfId="13941"/>
    <cellStyle name="Ç¥ÁØ_5-1±¤°í  25 24" xfId="13942"/>
    <cellStyle name="C￥AØ_5-1±¤°i  25 25" xfId="13943"/>
    <cellStyle name="Ç¥ÁØ_5-1±¤°í  25 25" xfId="13944"/>
    <cellStyle name="C￥AØ_5-1±¤°i  25 26" xfId="13945"/>
    <cellStyle name="Ç¥ÁØ_5-1±¤°í  25 26" xfId="13946"/>
    <cellStyle name="C￥AØ_5-1±¤°i  25 27" xfId="13947"/>
    <cellStyle name="Ç¥ÁØ_5-1±¤°í  25 27" xfId="13948"/>
    <cellStyle name="C￥AØ_5-1±¤°i  25 28" xfId="13949"/>
    <cellStyle name="Ç¥ÁØ_5-1±¤°í  25 28" xfId="13950"/>
    <cellStyle name="C￥AØ_5-1±¤°i  25 29" xfId="13951"/>
    <cellStyle name="Ç¥ÁØ_5-1±¤°í  25 29" xfId="13952"/>
    <cellStyle name="C￥AØ_5-1±¤°i  25 3" xfId="13953"/>
    <cellStyle name="Ç¥ÁØ_5-1±¤°í  25 3" xfId="13954"/>
    <cellStyle name="C￥AØ_5-1±¤°i  25 30" xfId="13955"/>
    <cellStyle name="Ç¥ÁØ_5-1±¤°í  25 30" xfId="13956"/>
    <cellStyle name="C￥AØ_5-1±¤°i  25 31" xfId="13957"/>
    <cellStyle name="Ç¥ÁØ_5-1±¤°í  25 31" xfId="13958"/>
    <cellStyle name="C￥AØ_5-1±¤°i  25 32" xfId="13959"/>
    <cellStyle name="Ç¥ÁØ_5-1±¤°í  25 32" xfId="13960"/>
    <cellStyle name="C￥AØ_5-1±¤°i  25 33" xfId="13961"/>
    <cellStyle name="Ç¥ÁØ_5-1±¤°í  25 33" xfId="13962"/>
    <cellStyle name="C￥AØ_5-1±¤°i  25 34" xfId="13963"/>
    <cellStyle name="Ç¥ÁØ_5-1±¤°í  25 34" xfId="13964"/>
    <cellStyle name="C￥AØ_5-1±¤°i  25 4" xfId="13965"/>
    <cellStyle name="Ç¥ÁØ_5-1±¤°í  25 4" xfId="13966"/>
    <cellStyle name="C￥AØ_5-1±¤°i  25 5" xfId="13967"/>
    <cellStyle name="Ç¥ÁØ_5-1±¤°í  25 5" xfId="13968"/>
    <cellStyle name="C￥AØ_5-1±¤°i  25 6" xfId="13969"/>
    <cellStyle name="Ç¥ÁØ_5-1±¤°í  25 6" xfId="13970"/>
    <cellStyle name="C￥AØ_5-1±¤°i  25 7" xfId="13971"/>
    <cellStyle name="Ç¥ÁØ_5-1±¤°í  25 7" xfId="13972"/>
    <cellStyle name="C￥AØ_5-1±¤°i  25 8" xfId="13973"/>
    <cellStyle name="Ç¥ÁØ_5-1±¤°í  25 8" xfId="13974"/>
    <cellStyle name="C￥AØ_5-1±¤°i  25 9" xfId="13975"/>
    <cellStyle name="Ç¥ÁØ_5-1±¤°í  25 9" xfId="13976"/>
    <cellStyle name="C￥AØ_5-1±¤°i  26" xfId="13977"/>
    <cellStyle name="Ç¥ÁØ_5-1±¤°í  26" xfId="13978"/>
    <cellStyle name="C￥AØ_5-1±¤°i  26 10" xfId="13979"/>
    <cellStyle name="Ç¥ÁØ_5-1±¤°í  26 10" xfId="13980"/>
    <cellStyle name="C￥AØ_5-1±¤°i  26 11" xfId="13981"/>
    <cellStyle name="Ç¥ÁØ_5-1±¤°í  26 11" xfId="13982"/>
    <cellStyle name="C￥AØ_5-1±¤°i  26 12" xfId="13983"/>
    <cellStyle name="Ç¥ÁØ_5-1±¤°í  26 12" xfId="13984"/>
    <cellStyle name="C￥AØ_5-1±¤°i  26 13" xfId="13985"/>
    <cellStyle name="Ç¥ÁØ_5-1±¤°í  26 13" xfId="13986"/>
    <cellStyle name="C￥AØ_5-1±¤°i  26 14" xfId="13987"/>
    <cellStyle name="Ç¥ÁØ_5-1±¤°í  26 14" xfId="13988"/>
    <cellStyle name="C￥AØ_5-1±¤°i  26 15" xfId="13989"/>
    <cellStyle name="Ç¥ÁØ_5-1±¤°í  26 15" xfId="13990"/>
    <cellStyle name="C￥AØ_5-1±¤°i  26 16" xfId="13991"/>
    <cellStyle name="Ç¥ÁØ_5-1±¤°í  26 16" xfId="13992"/>
    <cellStyle name="C￥AØ_5-1±¤°i  26 17" xfId="13993"/>
    <cellStyle name="Ç¥ÁØ_5-1±¤°í  26 17" xfId="13994"/>
    <cellStyle name="C￥AØ_5-1±¤°i  26 18" xfId="13995"/>
    <cellStyle name="Ç¥ÁØ_5-1±¤°í  26 18" xfId="13996"/>
    <cellStyle name="C￥AØ_5-1±¤°i  26 19" xfId="13997"/>
    <cellStyle name="Ç¥ÁØ_5-1±¤°í  26 19" xfId="13998"/>
    <cellStyle name="C￥AØ_5-1±¤°i  26 2" xfId="13999"/>
    <cellStyle name="Ç¥ÁØ_5-1±¤°í  26 2" xfId="14000"/>
    <cellStyle name="C￥AØ_5-1±¤°i  26 20" xfId="14001"/>
    <cellStyle name="Ç¥ÁØ_5-1±¤°í  26 20" xfId="14002"/>
    <cellStyle name="C￥AØ_5-1±¤°i  26 21" xfId="14003"/>
    <cellStyle name="Ç¥ÁØ_5-1±¤°í  26 21" xfId="14004"/>
    <cellStyle name="C￥AØ_5-1±¤°i  26 22" xfId="14005"/>
    <cellStyle name="Ç¥ÁØ_5-1±¤°í  26 22" xfId="14006"/>
    <cellStyle name="C￥AØ_5-1±¤°i  26 23" xfId="14007"/>
    <cellStyle name="Ç¥ÁØ_5-1±¤°í  26 23" xfId="14008"/>
    <cellStyle name="C￥AØ_5-1±¤°i  26 24" xfId="14009"/>
    <cellStyle name="Ç¥ÁØ_5-1±¤°í  26 24" xfId="14010"/>
    <cellStyle name="C￥AØ_5-1±¤°i  26 25" xfId="14011"/>
    <cellStyle name="Ç¥ÁØ_5-1±¤°í  26 25" xfId="14012"/>
    <cellStyle name="C￥AØ_5-1±¤°i  26 26" xfId="14013"/>
    <cellStyle name="Ç¥ÁØ_5-1±¤°í  26 26" xfId="14014"/>
    <cellStyle name="C￥AØ_5-1±¤°i  26 27" xfId="14015"/>
    <cellStyle name="Ç¥ÁØ_5-1±¤°í  26 27" xfId="14016"/>
    <cellStyle name="C￥AØ_5-1±¤°i  26 28" xfId="14017"/>
    <cellStyle name="Ç¥ÁØ_5-1±¤°í  26 28" xfId="14018"/>
    <cellStyle name="C￥AØ_5-1±¤°i  26 29" xfId="14019"/>
    <cellStyle name="Ç¥ÁØ_5-1±¤°í  26 29" xfId="14020"/>
    <cellStyle name="C￥AØ_5-1±¤°i  26 3" xfId="14021"/>
    <cellStyle name="Ç¥ÁØ_5-1±¤°í  26 3" xfId="14022"/>
    <cellStyle name="C￥AØ_5-1±¤°i  26 30" xfId="14023"/>
    <cellStyle name="Ç¥ÁØ_5-1±¤°í  26 30" xfId="14024"/>
    <cellStyle name="C￥AØ_5-1±¤°i  26 31" xfId="14025"/>
    <cellStyle name="Ç¥ÁØ_5-1±¤°í  26 31" xfId="14026"/>
    <cellStyle name="C￥AØ_5-1±¤°i  26 32" xfId="14027"/>
    <cellStyle name="Ç¥ÁØ_5-1±¤°í  26 32" xfId="14028"/>
    <cellStyle name="C￥AØ_5-1±¤°i  26 33" xfId="14029"/>
    <cellStyle name="Ç¥ÁØ_5-1±¤°í  26 33" xfId="14030"/>
    <cellStyle name="C￥AØ_5-1±¤°i  26 34" xfId="14031"/>
    <cellStyle name="Ç¥ÁØ_5-1±¤°í  26 34" xfId="14032"/>
    <cellStyle name="C￥AØ_5-1±¤°i  26 4" xfId="14033"/>
    <cellStyle name="Ç¥ÁØ_5-1±¤°í  26 4" xfId="14034"/>
    <cellStyle name="C￥AØ_5-1±¤°i  26 5" xfId="14035"/>
    <cellStyle name="Ç¥ÁØ_5-1±¤°í  26 5" xfId="14036"/>
    <cellStyle name="C￥AØ_5-1±¤°i  26 6" xfId="14037"/>
    <cellStyle name="Ç¥ÁØ_5-1±¤°í  26 6" xfId="14038"/>
    <cellStyle name="C￥AØ_5-1±¤°i  26 7" xfId="14039"/>
    <cellStyle name="Ç¥ÁØ_5-1±¤°í  26 7" xfId="14040"/>
    <cellStyle name="C￥AØ_5-1±¤°i  26 8" xfId="14041"/>
    <cellStyle name="Ç¥ÁØ_5-1±¤°í  26 8" xfId="14042"/>
    <cellStyle name="C￥AØ_5-1±¤°i  26 9" xfId="14043"/>
    <cellStyle name="Ç¥ÁØ_5-1±¤°í  26 9" xfId="14044"/>
    <cellStyle name="C￥AØ_5-1±¤°i  27" xfId="14045"/>
    <cellStyle name="Ç¥ÁØ_5-1±¤°í  27" xfId="14046"/>
    <cellStyle name="C￥AØ_5-1±¤°i  27 10" xfId="14047"/>
    <cellStyle name="Ç¥ÁØ_5-1±¤°í  27 10" xfId="14048"/>
    <cellStyle name="C￥AØ_5-1±¤°i  27 11" xfId="14049"/>
    <cellStyle name="Ç¥ÁØ_5-1±¤°í  27 11" xfId="14050"/>
    <cellStyle name="C￥AØ_5-1±¤°i  27 12" xfId="14051"/>
    <cellStyle name="Ç¥ÁØ_5-1±¤°í  27 12" xfId="14052"/>
    <cellStyle name="C￥AØ_5-1±¤°i  27 13" xfId="14053"/>
    <cellStyle name="Ç¥ÁØ_5-1±¤°í  27 13" xfId="14054"/>
    <cellStyle name="C￥AØ_5-1±¤°i  27 14" xfId="14055"/>
    <cellStyle name="Ç¥ÁØ_5-1±¤°í  27 14" xfId="14056"/>
    <cellStyle name="C￥AØ_5-1±¤°i  27 15" xfId="14057"/>
    <cellStyle name="Ç¥ÁØ_5-1±¤°í  27 15" xfId="14058"/>
    <cellStyle name="C￥AØ_5-1±¤°i  27 16" xfId="14059"/>
    <cellStyle name="Ç¥ÁØ_5-1±¤°í  27 16" xfId="14060"/>
    <cellStyle name="C￥AØ_5-1±¤°i  27 17" xfId="14061"/>
    <cellStyle name="Ç¥ÁØ_5-1±¤°í  27 17" xfId="14062"/>
    <cellStyle name="C￥AØ_5-1±¤°i  27 18" xfId="14063"/>
    <cellStyle name="Ç¥ÁØ_5-1±¤°í  27 18" xfId="14064"/>
    <cellStyle name="C￥AØ_5-1±¤°i  27 19" xfId="14065"/>
    <cellStyle name="Ç¥ÁØ_5-1±¤°í  27 19" xfId="14066"/>
    <cellStyle name="C￥AØ_5-1±¤°i  27 2" xfId="14067"/>
    <cellStyle name="Ç¥ÁØ_5-1±¤°í  27 2" xfId="14068"/>
    <cellStyle name="C￥AØ_5-1±¤°i  27 20" xfId="14069"/>
    <cellStyle name="Ç¥ÁØ_5-1±¤°í  27 20" xfId="14070"/>
    <cellStyle name="C￥AØ_5-1±¤°i  27 21" xfId="14071"/>
    <cellStyle name="Ç¥ÁØ_5-1±¤°í  27 21" xfId="14072"/>
    <cellStyle name="C￥AØ_5-1±¤°i  27 22" xfId="14073"/>
    <cellStyle name="Ç¥ÁØ_5-1±¤°í  27 22" xfId="14074"/>
    <cellStyle name="C￥AØ_5-1±¤°i  27 23" xfId="14075"/>
    <cellStyle name="Ç¥ÁØ_5-1±¤°í  27 23" xfId="14076"/>
    <cellStyle name="C￥AØ_5-1±¤°i  27 24" xfId="14077"/>
    <cellStyle name="Ç¥ÁØ_5-1±¤°í  27 24" xfId="14078"/>
    <cellStyle name="C￥AØ_5-1±¤°i  27 25" xfId="14079"/>
    <cellStyle name="Ç¥ÁØ_5-1±¤°í  27 25" xfId="14080"/>
    <cellStyle name="C￥AØ_5-1±¤°i  27 26" xfId="14081"/>
    <cellStyle name="Ç¥ÁØ_5-1±¤°í  27 26" xfId="14082"/>
    <cellStyle name="C￥AØ_5-1±¤°i  27 27" xfId="14083"/>
    <cellStyle name="Ç¥ÁØ_5-1±¤°í  27 27" xfId="14084"/>
    <cellStyle name="C￥AØ_5-1±¤°i  27 28" xfId="14085"/>
    <cellStyle name="Ç¥ÁØ_5-1±¤°í  27 28" xfId="14086"/>
    <cellStyle name="C￥AØ_5-1±¤°i  27 29" xfId="14087"/>
    <cellStyle name="Ç¥ÁØ_5-1±¤°í  27 29" xfId="14088"/>
    <cellStyle name="C￥AØ_5-1±¤°i  27 3" xfId="14089"/>
    <cellStyle name="Ç¥ÁØ_5-1±¤°í  27 3" xfId="14090"/>
    <cellStyle name="C￥AØ_5-1±¤°i  27 30" xfId="14091"/>
    <cellStyle name="Ç¥ÁØ_5-1±¤°í  27 30" xfId="14092"/>
    <cellStyle name="C￥AØ_5-1±¤°i  27 31" xfId="14093"/>
    <cellStyle name="Ç¥ÁØ_5-1±¤°í  27 31" xfId="14094"/>
    <cellStyle name="C￥AØ_5-1±¤°i  27 32" xfId="14095"/>
    <cellStyle name="Ç¥ÁØ_5-1±¤°í  27 32" xfId="14096"/>
    <cellStyle name="C￥AØ_5-1±¤°i  27 33" xfId="14097"/>
    <cellStyle name="Ç¥ÁØ_5-1±¤°í  27 33" xfId="14098"/>
    <cellStyle name="C￥AØ_5-1±¤°i  27 34" xfId="14099"/>
    <cellStyle name="Ç¥ÁØ_5-1±¤°í  27 34" xfId="14100"/>
    <cellStyle name="C￥AØ_5-1±¤°i  27 4" xfId="14101"/>
    <cellStyle name="Ç¥ÁØ_5-1±¤°í  27 4" xfId="14102"/>
    <cellStyle name="C￥AØ_5-1±¤°i  27 5" xfId="14103"/>
    <cellStyle name="Ç¥ÁØ_5-1±¤°í  27 5" xfId="14104"/>
    <cellStyle name="C￥AØ_5-1±¤°i  27 6" xfId="14105"/>
    <cellStyle name="Ç¥ÁØ_5-1±¤°í  27 6" xfId="14106"/>
    <cellStyle name="C￥AØ_5-1±¤°i  27 7" xfId="14107"/>
    <cellStyle name="Ç¥ÁØ_5-1±¤°í  27 7" xfId="14108"/>
    <cellStyle name="C￥AØ_5-1±¤°i  27 8" xfId="14109"/>
    <cellStyle name="Ç¥ÁØ_5-1±¤°í  27 8" xfId="14110"/>
    <cellStyle name="C￥AØ_5-1±¤°i  27 9" xfId="14111"/>
    <cellStyle name="Ç¥ÁØ_5-1±¤°í  27 9" xfId="14112"/>
    <cellStyle name="C￥AØ_5-1±¤°i  28" xfId="14113"/>
    <cellStyle name="Ç¥ÁØ_5-1±¤°í  28" xfId="14114"/>
    <cellStyle name="C￥AØ_5-1±¤°i  28 10" xfId="14115"/>
    <cellStyle name="Ç¥ÁØ_5-1±¤°í  28 10" xfId="14116"/>
    <cellStyle name="C￥AØ_5-1±¤°i  28 11" xfId="14117"/>
    <cellStyle name="Ç¥ÁØ_5-1±¤°í  28 11" xfId="14118"/>
    <cellStyle name="C￥AØ_5-1±¤°i  28 12" xfId="14119"/>
    <cellStyle name="Ç¥ÁØ_5-1±¤°í  28 12" xfId="14120"/>
    <cellStyle name="C￥AØ_5-1±¤°i  28 13" xfId="14121"/>
    <cellStyle name="Ç¥ÁØ_5-1±¤°í  28 13" xfId="14122"/>
    <cellStyle name="C￥AØ_5-1±¤°i  28 14" xfId="14123"/>
    <cellStyle name="Ç¥ÁØ_5-1±¤°í  28 14" xfId="14124"/>
    <cellStyle name="C￥AØ_5-1±¤°i  28 15" xfId="14125"/>
    <cellStyle name="Ç¥ÁØ_5-1±¤°í  28 15" xfId="14126"/>
    <cellStyle name="C￥AØ_5-1±¤°i  28 16" xfId="14127"/>
    <cellStyle name="Ç¥ÁØ_5-1±¤°í  28 16" xfId="14128"/>
    <cellStyle name="C￥AØ_5-1±¤°i  28 17" xfId="14129"/>
    <cellStyle name="Ç¥ÁØ_5-1±¤°í  28 17" xfId="14130"/>
    <cellStyle name="C￥AØ_5-1±¤°i  28 18" xfId="14131"/>
    <cellStyle name="Ç¥ÁØ_5-1±¤°í  28 18" xfId="14132"/>
    <cellStyle name="C￥AØ_5-1±¤°i  28 19" xfId="14133"/>
    <cellStyle name="Ç¥ÁØ_5-1±¤°í  28 19" xfId="14134"/>
    <cellStyle name="C￥AØ_5-1±¤°i  28 2" xfId="14135"/>
    <cellStyle name="Ç¥ÁØ_5-1±¤°í  28 2" xfId="14136"/>
    <cellStyle name="C￥AØ_5-1±¤°i  28 20" xfId="14137"/>
    <cellStyle name="Ç¥ÁØ_5-1±¤°í  28 20" xfId="14138"/>
    <cellStyle name="C￥AØ_5-1±¤°i  28 21" xfId="14139"/>
    <cellStyle name="Ç¥ÁØ_5-1±¤°í  28 21" xfId="14140"/>
    <cellStyle name="C￥AØ_5-1±¤°i  28 22" xfId="14141"/>
    <cellStyle name="Ç¥ÁØ_5-1±¤°í  28 22" xfId="14142"/>
    <cellStyle name="C￥AØ_5-1±¤°i  28 23" xfId="14143"/>
    <cellStyle name="Ç¥ÁØ_5-1±¤°í  28 23" xfId="14144"/>
    <cellStyle name="C￥AØ_5-1±¤°i  28 24" xfId="14145"/>
    <cellStyle name="Ç¥ÁØ_5-1±¤°í  28 24" xfId="14146"/>
    <cellStyle name="C￥AØ_5-1±¤°i  28 25" xfId="14147"/>
    <cellStyle name="Ç¥ÁØ_5-1±¤°í  28 25" xfId="14148"/>
    <cellStyle name="C￥AØ_5-1±¤°i  28 26" xfId="14149"/>
    <cellStyle name="Ç¥ÁØ_5-1±¤°í  28 26" xfId="14150"/>
    <cellStyle name="C￥AØ_5-1±¤°i  28 27" xfId="14151"/>
    <cellStyle name="Ç¥ÁØ_5-1±¤°í  28 27" xfId="14152"/>
    <cellStyle name="C￥AØ_5-1±¤°i  28 28" xfId="14153"/>
    <cellStyle name="Ç¥ÁØ_5-1±¤°í  28 28" xfId="14154"/>
    <cellStyle name="C￥AØ_5-1±¤°i  28 29" xfId="14155"/>
    <cellStyle name="Ç¥ÁØ_5-1±¤°í  28 29" xfId="14156"/>
    <cellStyle name="C￥AØ_5-1±¤°i  28 3" xfId="14157"/>
    <cellStyle name="Ç¥ÁØ_5-1±¤°í  28 3" xfId="14158"/>
    <cellStyle name="C￥AØ_5-1±¤°i  28 30" xfId="14159"/>
    <cellStyle name="Ç¥ÁØ_5-1±¤°í  28 30" xfId="14160"/>
    <cellStyle name="C￥AØ_5-1±¤°i  28 31" xfId="14161"/>
    <cellStyle name="Ç¥ÁØ_5-1±¤°í  28 31" xfId="14162"/>
    <cellStyle name="C￥AØ_5-1±¤°i  28 32" xfId="14163"/>
    <cellStyle name="Ç¥ÁØ_5-1±¤°í  28 32" xfId="14164"/>
    <cellStyle name="C￥AØ_5-1±¤°i  28 33" xfId="14165"/>
    <cellStyle name="Ç¥ÁØ_5-1±¤°í  28 33" xfId="14166"/>
    <cellStyle name="C￥AØ_5-1±¤°i  28 34" xfId="14167"/>
    <cellStyle name="Ç¥ÁØ_5-1±¤°í  28 34" xfId="14168"/>
    <cellStyle name="C￥AØ_5-1±¤°i  28 4" xfId="14169"/>
    <cellStyle name="Ç¥ÁØ_5-1±¤°í  28 4" xfId="14170"/>
    <cellStyle name="C￥AØ_5-1±¤°i  28 5" xfId="14171"/>
    <cellStyle name="Ç¥ÁØ_5-1±¤°í  28 5" xfId="14172"/>
    <cellStyle name="C￥AØ_5-1±¤°i  28 6" xfId="14173"/>
    <cellStyle name="Ç¥ÁØ_5-1±¤°í  28 6" xfId="14174"/>
    <cellStyle name="C￥AØ_5-1±¤°i  28 7" xfId="14175"/>
    <cellStyle name="Ç¥ÁØ_5-1±¤°í  28 7" xfId="14176"/>
    <cellStyle name="C￥AØ_5-1±¤°i  28 8" xfId="14177"/>
    <cellStyle name="Ç¥ÁØ_5-1±¤°í  28 8" xfId="14178"/>
    <cellStyle name="C￥AØ_5-1±¤°i  28 9" xfId="14179"/>
    <cellStyle name="Ç¥ÁØ_5-1±¤°í  28 9" xfId="14180"/>
    <cellStyle name="C￥AØ_5-1±¤°i  29" xfId="14181"/>
    <cellStyle name="Ç¥ÁØ_5-1±¤°í  29" xfId="14182"/>
    <cellStyle name="C￥AØ_5-1±¤°i  29 10" xfId="14183"/>
    <cellStyle name="Ç¥ÁØ_5-1±¤°í  29 10" xfId="14184"/>
    <cellStyle name="C￥AØ_5-1±¤°i  29 11" xfId="14185"/>
    <cellStyle name="Ç¥ÁØ_5-1±¤°í  29 11" xfId="14186"/>
    <cellStyle name="C￥AØ_5-1±¤°i  29 12" xfId="14187"/>
    <cellStyle name="Ç¥ÁØ_5-1±¤°í  29 12" xfId="14188"/>
    <cellStyle name="C￥AØ_5-1±¤°i  29 13" xfId="14189"/>
    <cellStyle name="Ç¥ÁØ_5-1±¤°í  29 13" xfId="14190"/>
    <cellStyle name="C￥AØ_5-1±¤°i  29 14" xfId="14191"/>
    <cellStyle name="Ç¥ÁØ_5-1±¤°í  29 14" xfId="14192"/>
    <cellStyle name="C￥AØ_5-1±¤°i  29 15" xfId="14193"/>
    <cellStyle name="Ç¥ÁØ_5-1±¤°í  29 15" xfId="14194"/>
    <cellStyle name="C￥AØ_5-1±¤°i  29 16" xfId="14195"/>
    <cellStyle name="Ç¥ÁØ_5-1±¤°í  29 16" xfId="14196"/>
    <cellStyle name="C￥AØ_5-1±¤°i  29 17" xfId="14197"/>
    <cellStyle name="Ç¥ÁØ_5-1±¤°í  29 17" xfId="14198"/>
    <cellStyle name="C￥AØ_5-1±¤°i  29 18" xfId="14199"/>
    <cellStyle name="Ç¥ÁØ_5-1±¤°í  29 18" xfId="14200"/>
    <cellStyle name="C￥AØ_5-1±¤°i  29 19" xfId="14201"/>
    <cellStyle name="Ç¥ÁØ_5-1±¤°í  29 19" xfId="14202"/>
    <cellStyle name="C￥AØ_5-1±¤°i  29 2" xfId="14203"/>
    <cellStyle name="Ç¥ÁØ_5-1±¤°í  29 2" xfId="14204"/>
    <cellStyle name="C￥AØ_5-1±¤°i  29 20" xfId="14205"/>
    <cellStyle name="Ç¥ÁØ_5-1±¤°í  29 20" xfId="14206"/>
    <cellStyle name="C￥AØ_5-1±¤°i  29 21" xfId="14207"/>
    <cellStyle name="Ç¥ÁØ_5-1±¤°í  29 21" xfId="14208"/>
    <cellStyle name="C￥AØ_5-1±¤°i  29 22" xfId="14209"/>
    <cellStyle name="Ç¥ÁØ_5-1±¤°í  29 22" xfId="14210"/>
    <cellStyle name="C￥AØ_5-1±¤°i  29 23" xfId="14211"/>
    <cellStyle name="Ç¥ÁØ_5-1±¤°í  29 23" xfId="14212"/>
    <cellStyle name="C￥AØ_5-1±¤°i  29 24" xfId="14213"/>
    <cellStyle name="Ç¥ÁØ_5-1±¤°í  29 24" xfId="14214"/>
    <cellStyle name="C￥AØ_5-1±¤°i  29 25" xfId="14215"/>
    <cellStyle name="Ç¥ÁØ_5-1±¤°í  29 25" xfId="14216"/>
    <cellStyle name="C￥AØ_5-1±¤°i  29 26" xfId="14217"/>
    <cellStyle name="Ç¥ÁØ_5-1±¤°í  29 26" xfId="14218"/>
    <cellStyle name="C￥AØ_5-1±¤°i  29 27" xfId="14219"/>
    <cellStyle name="Ç¥ÁØ_5-1±¤°í  29 27" xfId="14220"/>
    <cellStyle name="C￥AØ_5-1±¤°i  29 28" xfId="14221"/>
    <cellStyle name="Ç¥ÁØ_5-1±¤°í  29 28" xfId="14222"/>
    <cellStyle name="C￥AØ_5-1±¤°i  29 29" xfId="14223"/>
    <cellStyle name="Ç¥ÁØ_5-1±¤°í  29 29" xfId="14224"/>
    <cellStyle name="C￥AØ_5-1±¤°i  29 3" xfId="14225"/>
    <cellStyle name="Ç¥ÁØ_5-1±¤°í  29 3" xfId="14226"/>
    <cellStyle name="C￥AØ_5-1±¤°i  29 30" xfId="14227"/>
    <cellStyle name="Ç¥ÁØ_5-1±¤°í  29 30" xfId="14228"/>
    <cellStyle name="C￥AØ_5-1±¤°i  29 31" xfId="14229"/>
    <cellStyle name="Ç¥ÁØ_5-1±¤°í  29 31" xfId="14230"/>
    <cellStyle name="C￥AØ_5-1±¤°i  29 32" xfId="14231"/>
    <cellStyle name="Ç¥ÁØ_5-1±¤°í  29 32" xfId="14232"/>
    <cellStyle name="C￥AØ_5-1±¤°i  29 33" xfId="14233"/>
    <cellStyle name="Ç¥ÁØ_5-1±¤°í  29 33" xfId="14234"/>
    <cellStyle name="C￥AØ_5-1±¤°i  29 34" xfId="14235"/>
    <cellStyle name="Ç¥ÁØ_5-1±¤°í  29 34" xfId="14236"/>
    <cellStyle name="C￥AØ_5-1±¤°i  29 4" xfId="14237"/>
    <cellStyle name="Ç¥ÁØ_5-1±¤°í  29 4" xfId="14238"/>
    <cellStyle name="C￥AØ_5-1±¤°i  29 5" xfId="14239"/>
    <cellStyle name="Ç¥ÁØ_5-1±¤°í  29 5" xfId="14240"/>
    <cellStyle name="C￥AØ_5-1±¤°i  29 6" xfId="14241"/>
    <cellStyle name="Ç¥ÁØ_5-1±¤°í  29 6" xfId="14242"/>
    <cellStyle name="C￥AØ_5-1±¤°i  29 7" xfId="14243"/>
    <cellStyle name="Ç¥ÁØ_5-1±¤°í  29 7" xfId="14244"/>
    <cellStyle name="C￥AØ_5-1±¤°i  29 8" xfId="14245"/>
    <cellStyle name="Ç¥ÁØ_5-1±¤°í  29 8" xfId="14246"/>
    <cellStyle name="C￥AØ_5-1±¤°i  29 9" xfId="14247"/>
    <cellStyle name="Ç¥ÁØ_5-1±¤°í  29 9" xfId="14248"/>
    <cellStyle name="C￥AØ_5-1±¤°i  3" xfId="14249"/>
    <cellStyle name="Ç¥ÁØ_5-1±¤°í  3" xfId="14250"/>
    <cellStyle name="C￥AØ_5-1±¤°i  3 10" xfId="14251"/>
    <cellStyle name="Ç¥ÁØ_5-1±¤°í  3 10" xfId="14252"/>
    <cellStyle name="C￥AØ_5-1±¤°i  3 11" xfId="14253"/>
    <cellStyle name="Ç¥ÁØ_5-1±¤°í  3 11" xfId="14254"/>
    <cellStyle name="C￥AØ_5-1±¤°i  3 12" xfId="14255"/>
    <cellStyle name="Ç¥ÁØ_5-1±¤°í  3 12" xfId="14256"/>
    <cellStyle name="C￥AØ_5-1±¤°i  3 13" xfId="14257"/>
    <cellStyle name="Ç¥ÁØ_5-1±¤°í  3 13" xfId="14258"/>
    <cellStyle name="C￥AØ_5-1±¤°i  3 14" xfId="14259"/>
    <cellStyle name="Ç¥ÁØ_5-1±¤°í  3 14" xfId="14260"/>
    <cellStyle name="C￥AØ_5-1±¤°i  3 15" xfId="14261"/>
    <cellStyle name="Ç¥ÁØ_5-1±¤°í  3 15" xfId="14262"/>
    <cellStyle name="C￥AØ_5-1±¤°i  3 16" xfId="14263"/>
    <cellStyle name="Ç¥ÁØ_5-1±¤°í  3 16" xfId="14264"/>
    <cellStyle name="C￥AØ_5-1±¤°i  3 17" xfId="14265"/>
    <cellStyle name="Ç¥ÁØ_5-1±¤°í  3 17" xfId="14266"/>
    <cellStyle name="C￥AØ_5-1±¤°i  3 18" xfId="14267"/>
    <cellStyle name="Ç¥ÁØ_5-1±¤°í  3 18" xfId="14268"/>
    <cellStyle name="C￥AØ_5-1±¤°i  3 19" xfId="14269"/>
    <cellStyle name="Ç¥ÁØ_5-1±¤°í  3 19" xfId="14270"/>
    <cellStyle name="C￥AØ_5-1±¤°i  3 2" xfId="14271"/>
    <cellStyle name="Ç¥ÁØ_5-1±¤°í  3 2" xfId="14272"/>
    <cellStyle name="C￥AØ_5-1±¤°i  3 20" xfId="14273"/>
    <cellStyle name="Ç¥ÁØ_5-1±¤°í  3 20" xfId="14274"/>
    <cellStyle name="C￥AØ_5-1±¤°i  3 21" xfId="14275"/>
    <cellStyle name="Ç¥ÁØ_5-1±¤°í  3 21" xfId="14276"/>
    <cellStyle name="C￥AØ_5-1±¤°i  3 22" xfId="14277"/>
    <cellStyle name="Ç¥ÁØ_5-1±¤°í  3 22" xfId="14278"/>
    <cellStyle name="C￥AØ_5-1±¤°i  3 23" xfId="14279"/>
    <cellStyle name="Ç¥ÁØ_5-1±¤°í  3 23" xfId="14280"/>
    <cellStyle name="C￥AØ_5-1±¤°i  3 24" xfId="14281"/>
    <cellStyle name="Ç¥ÁØ_5-1±¤°í  3 24" xfId="14282"/>
    <cellStyle name="C￥AØ_5-1±¤°i  3 25" xfId="14283"/>
    <cellStyle name="Ç¥ÁØ_5-1±¤°í  3 25" xfId="14284"/>
    <cellStyle name="C￥AØ_5-1±¤°i  3 26" xfId="14285"/>
    <cellStyle name="Ç¥ÁØ_5-1±¤°í  3 26" xfId="14286"/>
    <cellStyle name="C￥AØ_5-1±¤°i  3 27" xfId="14287"/>
    <cellStyle name="Ç¥ÁØ_5-1±¤°í  3 27" xfId="14288"/>
    <cellStyle name="C￥AØ_5-1±¤°i  3 28" xfId="14289"/>
    <cellStyle name="Ç¥ÁØ_5-1±¤°í  3 28" xfId="14290"/>
    <cellStyle name="C￥AØ_5-1±¤°i  3 29" xfId="14291"/>
    <cellStyle name="Ç¥ÁØ_5-1±¤°í  3 29" xfId="14292"/>
    <cellStyle name="C￥AØ_5-1±¤°i  3 3" xfId="14293"/>
    <cellStyle name="Ç¥ÁØ_5-1±¤°í  3 3" xfId="14294"/>
    <cellStyle name="C￥AØ_5-1±¤°i  3 30" xfId="14295"/>
    <cellStyle name="Ç¥ÁØ_5-1±¤°í  3 30" xfId="14296"/>
    <cellStyle name="C￥AØ_5-1±¤°i  3 31" xfId="14297"/>
    <cellStyle name="Ç¥ÁØ_5-1±¤°í  3 31" xfId="14298"/>
    <cellStyle name="C￥AØ_5-1±¤°i  3 32" xfId="14299"/>
    <cellStyle name="Ç¥ÁØ_5-1±¤°í  3 32" xfId="14300"/>
    <cellStyle name="C￥AØ_5-1±¤°i  3 33" xfId="14301"/>
    <cellStyle name="Ç¥ÁØ_5-1±¤°í  3 33" xfId="14302"/>
    <cellStyle name="C￥AØ_5-1±¤°i  3 34" xfId="14303"/>
    <cellStyle name="Ç¥ÁØ_5-1±¤°í  3 34" xfId="14304"/>
    <cellStyle name="C￥AØ_5-1±¤°i  3 4" xfId="14305"/>
    <cellStyle name="Ç¥ÁØ_5-1±¤°í  3 4" xfId="14306"/>
    <cellStyle name="C￥AØ_5-1±¤°i  3 5" xfId="14307"/>
    <cellStyle name="Ç¥ÁØ_5-1±¤°í  3 5" xfId="14308"/>
    <cellStyle name="C￥AØ_5-1±¤°i  3 6" xfId="14309"/>
    <cellStyle name="Ç¥ÁØ_5-1±¤°í  3 6" xfId="14310"/>
    <cellStyle name="C￥AØ_5-1±¤°i  3 7" xfId="14311"/>
    <cellStyle name="Ç¥ÁØ_5-1±¤°í  3 7" xfId="14312"/>
    <cellStyle name="C￥AØ_5-1±¤°i  3 8" xfId="14313"/>
    <cellStyle name="Ç¥ÁØ_5-1±¤°í  3 8" xfId="14314"/>
    <cellStyle name="C￥AØ_5-1±¤°i  3 9" xfId="14315"/>
    <cellStyle name="Ç¥ÁØ_5-1±¤°í  3 9" xfId="14316"/>
    <cellStyle name="C￥AØ_5-1±¤°i  30" xfId="14317"/>
    <cellStyle name="Ç¥ÁØ_5-1±¤°í  30" xfId="14318"/>
    <cellStyle name="C￥AØ_5-1±¤°i  30 10" xfId="14319"/>
    <cellStyle name="Ç¥ÁØ_5-1±¤°í  30 10" xfId="14320"/>
    <cellStyle name="C￥AØ_5-1±¤°i  30 11" xfId="14321"/>
    <cellStyle name="Ç¥ÁØ_5-1±¤°í  30 11" xfId="14322"/>
    <cellStyle name="C￥AØ_5-1±¤°i  30 12" xfId="14323"/>
    <cellStyle name="Ç¥ÁØ_5-1±¤°í  30 12" xfId="14324"/>
    <cellStyle name="C￥AØ_5-1±¤°i  30 13" xfId="14325"/>
    <cellStyle name="Ç¥ÁØ_5-1±¤°í  30 13" xfId="14326"/>
    <cellStyle name="C￥AØ_5-1±¤°i  30 14" xfId="14327"/>
    <cellStyle name="Ç¥ÁØ_5-1±¤°í  30 14" xfId="14328"/>
    <cellStyle name="C￥AØ_5-1±¤°i  30 15" xfId="14329"/>
    <cellStyle name="Ç¥ÁØ_5-1±¤°í  30 15" xfId="14330"/>
    <cellStyle name="C￥AØ_5-1±¤°i  30 16" xfId="14331"/>
    <cellStyle name="Ç¥ÁØ_5-1±¤°í  30 16" xfId="14332"/>
    <cellStyle name="C￥AØ_5-1±¤°i  30 17" xfId="14333"/>
    <cellStyle name="Ç¥ÁØ_5-1±¤°í  30 17" xfId="14334"/>
    <cellStyle name="C￥AØ_5-1±¤°i  30 18" xfId="14335"/>
    <cellStyle name="Ç¥ÁØ_5-1±¤°í  30 18" xfId="14336"/>
    <cellStyle name="C￥AØ_5-1±¤°i  30 19" xfId="14337"/>
    <cellStyle name="Ç¥ÁØ_5-1±¤°í  30 19" xfId="14338"/>
    <cellStyle name="C￥AØ_5-1±¤°i  30 2" xfId="14339"/>
    <cellStyle name="Ç¥ÁØ_5-1±¤°í  30 2" xfId="14340"/>
    <cellStyle name="C￥AØ_5-1±¤°i  30 20" xfId="14341"/>
    <cellStyle name="Ç¥ÁØ_5-1±¤°í  30 20" xfId="14342"/>
    <cellStyle name="C￥AØ_5-1±¤°i  30 21" xfId="14343"/>
    <cellStyle name="Ç¥ÁØ_5-1±¤°í  30 21" xfId="14344"/>
    <cellStyle name="C￥AØ_5-1±¤°i  30 22" xfId="14345"/>
    <cellStyle name="Ç¥ÁØ_5-1±¤°í  30 22" xfId="14346"/>
    <cellStyle name="C￥AØ_5-1±¤°i  30 23" xfId="14347"/>
    <cellStyle name="Ç¥ÁØ_5-1±¤°í  30 23" xfId="14348"/>
    <cellStyle name="C￥AØ_5-1±¤°i  30 24" xfId="14349"/>
    <cellStyle name="Ç¥ÁØ_5-1±¤°í  30 24" xfId="14350"/>
    <cellStyle name="C￥AØ_5-1±¤°i  30 25" xfId="14351"/>
    <cellStyle name="Ç¥ÁØ_5-1±¤°í  30 25" xfId="14352"/>
    <cellStyle name="C￥AØ_5-1±¤°i  30 26" xfId="14353"/>
    <cellStyle name="Ç¥ÁØ_5-1±¤°í  30 26" xfId="14354"/>
    <cellStyle name="C￥AØ_5-1±¤°i  30 27" xfId="14355"/>
    <cellStyle name="Ç¥ÁØ_5-1±¤°í  30 27" xfId="14356"/>
    <cellStyle name="C￥AØ_5-1±¤°i  30 28" xfId="14357"/>
    <cellStyle name="Ç¥ÁØ_5-1±¤°í  30 28" xfId="14358"/>
    <cellStyle name="C￥AØ_5-1±¤°i  30 29" xfId="14359"/>
    <cellStyle name="Ç¥ÁØ_5-1±¤°í  30 29" xfId="14360"/>
    <cellStyle name="C￥AØ_5-1±¤°i  30 3" xfId="14361"/>
    <cellStyle name="Ç¥ÁØ_5-1±¤°í  30 3" xfId="14362"/>
    <cellStyle name="C￥AØ_5-1±¤°i  30 30" xfId="14363"/>
    <cellStyle name="Ç¥ÁØ_5-1±¤°í  30 30" xfId="14364"/>
    <cellStyle name="C￥AØ_5-1±¤°i  30 31" xfId="14365"/>
    <cellStyle name="Ç¥ÁØ_5-1±¤°í  30 31" xfId="14366"/>
    <cellStyle name="C￥AØ_5-1±¤°i  30 32" xfId="14367"/>
    <cellStyle name="Ç¥ÁØ_5-1±¤°í  30 32" xfId="14368"/>
    <cellStyle name="C￥AØ_5-1±¤°i  30 33" xfId="14369"/>
    <cellStyle name="Ç¥ÁØ_5-1±¤°í  30 33" xfId="14370"/>
    <cellStyle name="C￥AØ_5-1±¤°i  30 34" xfId="14371"/>
    <cellStyle name="Ç¥ÁØ_5-1±¤°í  30 34" xfId="14372"/>
    <cellStyle name="C￥AØ_5-1±¤°i  30 4" xfId="14373"/>
    <cellStyle name="Ç¥ÁØ_5-1±¤°í  30 4" xfId="14374"/>
    <cellStyle name="C￥AØ_5-1±¤°i  30 5" xfId="14375"/>
    <cellStyle name="Ç¥ÁØ_5-1±¤°í  30 5" xfId="14376"/>
    <cellStyle name="C￥AØ_5-1±¤°i  30 6" xfId="14377"/>
    <cellStyle name="Ç¥ÁØ_5-1±¤°í  30 6" xfId="14378"/>
    <cellStyle name="C￥AØ_5-1±¤°i  30 7" xfId="14379"/>
    <cellStyle name="Ç¥ÁØ_5-1±¤°í  30 7" xfId="14380"/>
    <cellStyle name="C￥AØ_5-1±¤°i  30 8" xfId="14381"/>
    <cellStyle name="Ç¥ÁØ_5-1±¤°í  30 8" xfId="14382"/>
    <cellStyle name="C￥AØ_5-1±¤°i  30 9" xfId="14383"/>
    <cellStyle name="Ç¥ÁØ_5-1±¤°í  30 9" xfId="14384"/>
    <cellStyle name="C￥AØ_5-1±¤°i  31" xfId="14385"/>
    <cellStyle name="Ç¥ÁØ_5-1±¤°í  31" xfId="14386"/>
    <cellStyle name="C￥AØ_5-1±¤°i  31 10" xfId="14387"/>
    <cellStyle name="Ç¥ÁØ_5-1±¤°í  31 10" xfId="14388"/>
    <cellStyle name="C￥AØ_5-1±¤°i  31 11" xfId="14389"/>
    <cellStyle name="Ç¥ÁØ_5-1±¤°í  31 11" xfId="14390"/>
    <cellStyle name="C￥AØ_5-1±¤°i  31 12" xfId="14391"/>
    <cellStyle name="Ç¥ÁØ_5-1±¤°í  31 12" xfId="14392"/>
    <cellStyle name="C￥AØ_5-1±¤°i  31 13" xfId="14393"/>
    <cellStyle name="Ç¥ÁØ_5-1±¤°í  31 13" xfId="14394"/>
    <cellStyle name="C￥AØ_5-1±¤°i  31 14" xfId="14395"/>
    <cellStyle name="Ç¥ÁØ_5-1±¤°í  31 14" xfId="14396"/>
    <cellStyle name="C￥AØ_5-1±¤°i  31 15" xfId="14397"/>
    <cellStyle name="Ç¥ÁØ_5-1±¤°í  31 15" xfId="14398"/>
    <cellStyle name="C￥AØ_5-1±¤°i  31 16" xfId="14399"/>
    <cellStyle name="Ç¥ÁØ_5-1±¤°í  31 16" xfId="14400"/>
    <cellStyle name="C￥AØ_5-1±¤°i  31 17" xfId="14401"/>
    <cellStyle name="Ç¥ÁØ_5-1±¤°í  31 17" xfId="14402"/>
    <cellStyle name="C￥AØ_5-1±¤°i  31 18" xfId="14403"/>
    <cellStyle name="Ç¥ÁØ_5-1±¤°í  31 18" xfId="14404"/>
    <cellStyle name="C￥AØ_5-1±¤°i  31 19" xfId="14405"/>
    <cellStyle name="Ç¥ÁØ_5-1±¤°í  31 19" xfId="14406"/>
    <cellStyle name="C￥AØ_5-1±¤°i  31 2" xfId="14407"/>
    <cellStyle name="Ç¥ÁØ_5-1±¤°í  31 2" xfId="14408"/>
    <cellStyle name="C￥AØ_5-1±¤°i  31 20" xfId="14409"/>
    <cellStyle name="Ç¥ÁØ_5-1±¤°í  31 20" xfId="14410"/>
    <cellStyle name="C￥AØ_5-1±¤°i  31 21" xfId="14411"/>
    <cellStyle name="Ç¥ÁØ_5-1±¤°í  31 21" xfId="14412"/>
    <cellStyle name="C￥AØ_5-1±¤°i  31 22" xfId="14413"/>
    <cellStyle name="Ç¥ÁØ_5-1±¤°í  31 22" xfId="14414"/>
    <cellStyle name="C￥AØ_5-1±¤°i  31 23" xfId="14415"/>
    <cellStyle name="Ç¥ÁØ_5-1±¤°í  31 23" xfId="14416"/>
    <cellStyle name="C￥AØ_5-1±¤°i  31 24" xfId="14417"/>
    <cellStyle name="Ç¥ÁØ_5-1±¤°í  31 24" xfId="14418"/>
    <cellStyle name="C￥AØ_5-1±¤°i  31 25" xfId="14419"/>
    <cellStyle name="Ç¥ÁØ_5-1±¤°í  31 25" xfId="14420"/>
    <cellStyle name="C￥AØ_5-1±¤°i  31 26" xfId="14421"/>
    <cellStyle name="Ç¥ÁØ_5-1±¤°í  31 26" xfId="14422"/>
    <cellStyle name="C￥AØ_5-1±¤°i  31 27" xfId="14423"/>
    <cellStyle name="Ç¥ÁØ_5-1±¤°í  31 27" xfId="14424"/>
    <cellStyle name="C￥AØ_5-1±¤°i  31 28" xfId="14425"/>
    <cellStyle name="Ç¥ÁØ_5-1±¤°í  31 28" xfId="14426"/>
    <cellStyle name="C￥AØ_5-1±¤°i  31 29" xfId="14427"/>
    <cellStyle name="Ç¥ÁØ_5-1±¤°í  31 29" xfId="14428"/>
    <cellStyle name="C￥AØ_5-1±¤°i  31 3" xfId="14429"/>
    <cellStyle name="Ç¥ÁØ_5-1±¤°í  31 3" xfId="14430"/>
    <cellStyle name="C￥AØ_5-1±¤°i  31 30" xfId="14431"/>
    <cellStyle name="Ç¥ÁØ_5-1±¤°í  31 30" xfId="14432"/>
    <cellStyle name="C￥AØ_5-1±¤°i  31 31" xfId="14433"/>
    <cellStyle name="Ç¥ÁØ_5-1±¤°í  31 31" xfId="14434"/>
    <cellStyle name="C￥AØ_5-1±¤°i  31 32" xfId="14435"/>
    <cellStyle name="Ç¥ÁØ_5-1±¤°í  31 32" xfId="14436"/>
    <cellStyle name="C￥AØ_5-1±¤°i  31 33" xfId="14437"/>
    <cellStyle name="Ç¥ÁØ_5-1±¤°í  31 33" xfId="14438"/>
    <cellStyle name="C￥AØ_5-1±¤°i  31 34" xfId="14439"/>
    <cellStyle name="Ç¥ÁØ_5-1±¤°í  31 34" xfId="14440"/>
    <cellStyle name="C￥AØ_5-1±¤°i  31 4" xfId="14441"/>
    <cellStyle name="Ç¥ÁØ_5-1±¤°í  31 4" xfId="14442"/>
    <cellStyle name="C￥AØ_5-1±¤°i  31 5" xfId="14443"/>
    <cellStyle name="Ç¥ÁØ_5-1±¤°í  31 5" xfId="14444"/>
    <cellStyle name="C￥AØ_5-1±¤°i  31 6" xfId="14445"/>
    <cellStyle name="Ç¥ÁØ_5-1±¤°í  31 6" xfId="14446"/>
    <cellStyle name="C￥AØ_5-1±¤°i  31 7" xfId="14447"/>
    <cellStyle name="Ç¥ÁØ_5-1±¤°í  31 7" xfId="14448"/>
    <cellStyle name="C￥AØ_5-1±¤°i  31 8" xfId="14449"/>
    <cellStyle name="Ç¥ÁØ_5-1±¤°í  31 8" xfId="14450"/>
    <cellStyle name="C￥AØ_5-1±¤°i  31 9" xfId="14451"/>
    <cellStyle name="Ç¥ÁØ_5-1±¤°í  31 9" xfId="14452"/>
    <cellStyle name="C￥AØ_5-1±¤°i  32" xfId="14453"/>
    <cellStyle name="Ç¥ÁØ_5-1±¤°í  32" xfId="14454"/>
    <cellStyle name="C￥AØ_5-1±¤°i  32 10" xfId="14455"/>
    <cellStyle name="Ç¥ÁØ_5-1±¤°í  32 10" xfId="14456"/>
    <cellStyle name="C￥AØ_5-1±¤°i  32 11" xfId="14457"/>
    <cellStyle name="Ç¥ÁØ_5-1±¤°í  32 11" xfId="14458"/>
    <cellStyle name="C￥AØ_5-1±¤°i  32 12" xfId="14459"/>
    <cellStyle name="Ç¥ÁØ_5-1±¤°í  32 12" xfId="14460"/>
    <cellStyle name="C￥AØ_5-1±¤°i  32 13" xfId="14461"/>
    <cellStyle name="Ç¥ÁØ_5-1±¤°í  32 13" xfId="14462"/>
    <cellStyle name="C￥AØ_5-1±¤°i  32 14" xfId="14463"/>
    <cellStyle name="Ç¥ÁØ_5-1±¤°í  32 14" xfId="14464"/>
    <cellStyle name="C￥AØ_5-1±¤°i  32 15" xfId="14465"/>
    <cellStyle name="Ç¥ÁØ_5-1±¤°í  32 15" xfId="14466"/>
    <cellStyle name="C￥AØ_5-1±¤°i  32 16" xfId="14467"/>
    <cellStyle name="Ç¥ÁØ_5-1±¤°í  32 16" xfId="14468"/>
    <cellStyle name="C￥AØ_5-1±¤°i  32 17" xfId="14469"/>
    <cellStyle name="Ç¥ÁØ_5-1±¤°í  32 17" xfId="14470"/>
    <cellStyle name="C￥AØ_5-1±¤°i  32 18" xfId="14471"/>
    <cellStyle name="Ç¥ÁØ_5-1±¤°í  32 18" xfId="14472"/>
    <cellStyle name="C￥AØ_5-1±¤°i  32 19" xfId="14473"/>
    <cellStyle name="Ç¥ÁØ_5-1±¤°í  32 19" xfId="14474"/>
    <cellStyle name="C￥AØ_5-1±¤°i  32 2" xfId="14475"/>
    <cellStyle name="Ç¥ÁØ_5-1±¤°í  32 2" xfId="14476"/>
    <cellStyle name="C￥AØ_5-1±¤°i  32 20" xfId="14477"/>
    <cellStyle name="Ç¥ÁØ_5-1±¤°í  32 20" xfId="14478"/>
    <cellStyle name="C￥AØ_5-1±¤°i  32 21" xfId="14479"/>
    <cellStyle name="Ç¥ÁØ_5-1±¤°í  32 21" xfId="14480"/>
    <cellStyle name="C￥AØ_5-1±¤°i  32 22" xfId="14481"/>
    <cellStyle name="Ç¥ÁØ_5-1±¤°í  32 22" xfId="14482"/>
    <cellStyle name="C￥AØ_5-1±¤°i  32 23" xfId="14483"/>
    <cellStyle name="Ç¥ÁØ_5-1±¤°í  32 23" xfId="14484"/>
    <cellStyle name="C￥AØ_5-1±¤°i  32 24" xfId="14485"/>
    <cellStyle name="Ç¥ÁØ_5-1±¤°í  32 24" xfId="14486"/>
    <cellStyle name="C￥AØ_5-1±¤°i  32 25" xfId="14487"/>
    <cellStyle name="Ç¥ÁØ_5-1±¤°í  32 25" xfId="14488"/>
    <cellStyle name="C￥AØ_5-1±¤°i  32 26" xfId="14489"/>
    <cellStyle name="Ç¥ÁØ_5-1±¤°í  32 26" xfId="14490"/>
    <cellStyle name="C￥AØ_5-1±¤°i  32 27" xfId="14491"/>
    <cellStyle name="Ç¥ÁØ_5-1±¤°í  32 27" xfId="14492"/>
    <cellStyle name="C￥AØ_5-1±¤°i  32 28" xfId="14493"/>
    <cellStyle name="Ç¥ÁØ_5-1±¤°í  32 28" xfId="14494"/>
    <cellStyle name="C￥AØ_5-1±¤°i  32 29" xfId="14495"/>
    <cellStyle name="Ç¥ÁØ_5-1±¤°í  32 29" xfId="14496"/>
    <cellStyle name="C￥AØ_5-1±¤°i  32 3" xfId="14497"/>
    <cellStyle name="Ç¥ÁØ_5-1±¤°í  32 3" xfId="14498"/>
    <cellStyle name="C￥AØ_5-1±¤°i  32 30" xfId="14499"/>
    <cellStyle name="Ç¥ÁØ_5-1±¤°í  32 30" xfId="14500"/>
    <cellStyle name="C￥AØ_5-1±¤°i  32 31" xfId="14501"/>
    <cellStyle name="Ç¥ÁØ_5-1±¤°í  32 31" xfId="14502"/>
    <cellStyle name="C￥AØ_5-1±¤°i  32 32" xfId="14503"/>
    <cellStyle name="Ç¥ÁØ_5-1±¤°í  32 32" xfId="14504"/>
    <cellStyle name="C￥AØ_5-1±¤°i  32 33" xfId="14505"/>
    <cellStyle name="Ç¥ÁØ_5-1±¤°í  32 33" xfId="14506"/>
    <cellStyle name="C￥AØ_5-1±¤°i  32 34" xfId="14507"/>
    <cellStyle name="Ç¥ÁØ_5-1±¤°í  32 34" xfId="14508"/>
    <cellStyle name="C￥AØ_5-1±¤°i  32 4" xfId="14509"/>
    <cellStyle name="Ç¥ÁØ_5-1±¤°í  32 4" xfId="14510"/>
    <cellStyle name="C￥AØ_5-1±¤°i  32 5" xfId="14511"/>
    <cellStyle name="Ç¥ÁØ_5-1±¤°í  32 5" xfId="14512"/>
    <cellStyle name="C￥AØ_5-1±¤°i  32 6" xfId="14513"/>
    <cellStyle name="Ç¥ÁØ_5-1±¤°í  32 6" xfId="14514"/>
    <cellStyle name="C￥AØ_5-1±¤°i  32 7" xfId="14515"/>
    <cellStyle name="Ç¥ÁØ_5-1±¤°í  32 7" xfId="14516"/>
    <cellStyle name="C￥AØ_5-1±¤°i  32 8" xfId="14517"/>
    <cellStyle name="Ç¥ÁØ_5-1±¤°í  32 8" xfId="14518"/>
    <cellStyle name="C￥AØ_5-1±¤°i  32 9" xfId="14519"/>
    <cellStyle name="Ç¥ÁØ_5-1±¤°í  32 9" xfId="14520"/>
    <cellStyle name="C￥AØ_5-1±¤°i  33" xfId="14521"/>
    <cellStyle name="Ç¥ÁØ_5-1±¤°í  33" xfId="14522"/>
    <cellStyle name="C￥AØ_5-1±¤°i  33 10" xfId="14523"/>
    <cellStyle name="Ç¥ÁØ_5-1±¤°í  33 10" xfId="14524"/>
    <cellStyle name="C￥AØ_5-1±¤°i  33 11" xfId="14525"/>
    <cellStyle name="Ç¥ÁØ_5-1±¤°í  33 11" xfId="14526"/>
    <cellStyle name="C￥AØ_5-1±¤°i  33 12" xfId="14527"/>
    <cellStyle name="Ç¥ÁØ_5-1±¤°í  33 12" xfId="14528"/>
    <cellStyle name="C￥AØ_5-1±¤°i  33 13" xfId="14529"/>
    <cellStyle name="Ç¥ÁØ_5-1±¤°í  33 13" xfId="14530"/>
    <cellStyle name="C￥AØ_5-1±¤°i  33 14" xfId="14531"/>
    <cellStyle name="Ç¥ÁØ_5-1±¤°í  33 14" xfId="14532"/>
    <cellStyle name="C￥AØ_5-1±¤°i  33 15" xfId="14533"/>
    <cellStyle name="Ç¥ÁØ_5-1±¤°í  33 15" xfId="14534"/>
    <cellStyle name="C￥AØ_5-1±¤°i  33 16" xfId="14535"/>
    <cellStyle name="Ç¥ÁØ_5-1±¤°í  33 16" xfId="14536"/>
    <cellStyle name="C￥AØ_5-1±¤°i  33 17" xfId="14537"/>
    <cellStyle name="Ç¥ÁØ_5-1±¤°í  33 17" xfId="14538"/>
    <cellStyle name="C￥AØ_5-1±¤°i  33 18" xfId="14539"/>
    <cellStyle name="Ç¥ÁØ_5-1±¤°í  33 18" xfId="14540"/>
    <cellStyle name="C￥AØ_5-1±¤°i  33 19" xfId="14541"/>
    <cellStyle name="Ç¥ÁØ_5-1±¤°í  33 19" xfId="14542"/>
    <cellStyle name="C￥AØ_5-1±¤°i  33 2" xfId="14543"/>
    <cellStyle name="Ç¥ÁØ_5-1±¤°í  33 2" xfId="14544"/>
    <cellStyle name="C￥AØ_5-1±¤°i  33 20" xfId="14545"/>
    <cellStyle name="Ç¥ÁØ_5-1±¤°í  33 20" xfId="14546"/>
    <cellStyle name="C￥AØ_5-1±¤°i  33 21" xfId="14547"/>
    <cellStyle name="Ç¥ÁØ_5-1±¤°í  33 21" xfId="14548"/>
    <cellStyle name="C￥AØ_5-1±¤°i  33 22" xfId="14549"/>
    <cellStyle name="Ç¥ÁØ_5-1±¤°í  33 22" xfId="14550"/>
    <cellStyle name="C￥AØ_5-1±¤°i  33 23" xfId="14551"/>
    <cellStyle name="Ç¥ÁØ_5-1±¤°í  33 23" xfId="14552"/>
    <cellStyle name="C￥AØ_5-1±¤°i  33 24" xfId="14553"/>
    <cellStyle name="Ç¥ÁØ_5-1±¤°í  33 24" xfId="14554"/>
    <cellStyle name="C￥AØ_5-1±¤°i  33 25" xfId="14555"/>
    <cellStyle name="Ç¥ÁØ_5-1±¤°í  33 25" xfId="14556"/>
    <cellStyle name="C￥AØ_5-1±¤°i  33 26" xfId="14557"/>
    <cellStyle name="Ç¥ÁØ_5-1±¤°í  33 26" xfId="14558"/>
    <cellStyle name="C￥AØ_5-1±¤°i  33 27" xfId="14559"/>
    <cellStyle name="Ç¥ÁØ_5-1±¤°í  33 27" xfId="14560"/>
    <cellStyle name="C￥AØ_5-1±¤°i  33 28" xfId="14561"/>
    <cellStyle name="Ç¥ÁØ_5-1±¤°í  33 28" xfId="14562"/>
    <cellStyle name="C￥AØ_5-1±¤°i  33 29" xfId="14563"/>
    <cellStyle name="Ç¥ÁØ_5-1±¤°í  33 29" xfId="14564"/>
    <cellStyle name="C￥AØ_5-1±¤°i  33 3" xfId="14565"/>
    <cellStyle name="Ç¥ÁØ_5-1±¤°í  33 3" xfId="14566"/>
    <cellStyle name="C￥AØ_5-1±¤°i  33 30" xfId="14567"/>
    <cellStyle name="Ç¥ÁØ_5-1±¤°í  33 30" xfId="14568"/>
    <cellStyle name="C￥AØ_5-1±¤°i  33 31" xfId="14569"/>
    <cellStyle name="Ç¥ÁØ_5-1±¤°í  33 31" xfId="14570"/>
    <cellStyle name="C￥AØ_5-1±¤°i  33 32" xfId="14571"/>
    <cellStyle name="Ç¥ÁØ_5-1±¤°í  33 32" xfId="14572"/>
    <cellStyle name="C￥AØ_5-1±¤°i  33 33" xfId="14573"/>
    <cellStyle name="Ç¥ÁØ_5-1±¤°í  33 33" xfId="14574"/>
    <cellStyle name="C￥AØ_5-1±¤°i  33 34" xfId="14575"/>
    <cellStyle name="Ç¥ÁØ_5-1±¤°í  33 34" xfId="14576"/>
    <cellStyle name="C￥AØ_5-1±¤°i  33 4" xfId="14577"/>
    <cellStyle name="Ç¥ÁØ_5-1±¤°í  33 4" xfId="14578"/>
    <cellStyle name="C￥AØ_5-1±¤°i  33 5" xfId="14579"/>
    <cellStyle name="Ç¥ÁØ_5-1±¤°í  33 5" xfId="14580"/>
    <cellStyle name="C￥AØ_5-1±¤°i  33 6" xfId="14581"/>
    <cellStyle name="Ç¥ÁØ_5-1±¤°í  33 6" xfId="14582"/>
    <cellStyle name="C￥AØ_5-1±¤°i  33 7" xfId="14583"/>
    <cellStyle name="Ç¥ÁØ_5-1±¤°í  33 7" xfId="14584"/>
    <cellStyle name="C￥AØ_5-1±¤°i  33 8" xfId="14585"/>
    <cellStyle name="Ç¥ÁØ_5-1±¤°í  33 8" xfId="14586"/>
    <cellStyle name="C￥AØ_5-1±¤°i  33 9" xfId="14587"/>
    <cellStyle name="Ç¥ÁØ_5-1±¤°í  33 9" xfId="14588"/>
    <cellStyle name="C￥AØ_5-1±¤°i  34" xfId="14589"/>
    <cellStyle name="Ç¥ÁØ_5-1±¤°í  34" xfId="14590"/>
    <cellStyle name="C￥AØ_5-1±¤°i  34 10" xfId="14591"/>
    <cellStyle name="Ç¥ÁØ_5-1±¤°í  34 10" xfId="14592"/>
    <cellStyle name="C￥AØ_5-1±¤°i  34 11" xfId="14593"/>
    <cellStyle name="Ç¥ÁØ_5-1±¤°í  34 11" xfId="14594"/>
    <cellStyle name="C￥AØ_5-1±¤°i  34 12" xfId="14595"/>
    <cellStyle name="Ç¥ÁØ_5-1±¤°í  34 12" xfId="14596"/>
    <cellStyle name="C￥AØ_5-1±¤°i  34 13" xfId="14597"/>
    <cellStyle name="Ç¥ÁØ_5-1±¤°í  34 13" xfId="14598"/>
    <cellStyle name="C￥AØ_5-1±¤°i  34 14" xfId="14599"/>
    <cellStyle name="Ç¥ÁØ_5-1±¤°í  34 14" xfId="14600"/>
    <cellStyle name="C￥AØ_5-1±¤°i  34 15" xfId="14601"/>
    <cellStyle name="Ç¥ÁØ_5-1±¤°í  34 15" xfId="14602"/>
    <cellStyle name="C￥AØ_5-1±¤°i  34 16" xfId="14603"/>
    <cellStyle name="Ç¥ÁØ_5-1±¤°í  34 16" xfId="14604"/>
    <cellStyle name="C￥AØ_5-1±¤°i  34 17" xfId="14605"/>
    <cellStyle name="Ç¥ÁØ_5-1±¤°í  34 17" xfId="14606"/>
    <cellStyle name="C￥AØ_5-1±¤°i  34 18" xfId="14607"/>
    <cellStyle name="Ç¥ÁØ_5-1±¤°í  34 18" xfId="14608"/>
    <cellStyle name="C￥AØ_5-1±¤°i  34 19" xfId="14609"/>
    <cellStyle name="Ç¥ÁØ_5-1±¤°í  34 19" xfId="14610"/>
    <cellStyle name="C￥AØ_5-1±¤°i  34 2" xfId="14611"/>
    <cellStyle name="Ç¥ÁØ_5-1±¤°í  34 2" xfId="14612"/>
    <cellStyle name="C￥AØ_5-1±¤°i  34 20" xfId="14613"/>
    <cellStyle name="Ç¥ÁØ_5-1±¤°í  34 20" xfId="14614"/>
    <cellStyle name="C￥AØ_5-1±¤°i  34 21" xfId="14615"/>
    <cellStyle name="Ç¥ÁØ_5-1±¤°í  34 21" xfId="14616"/>
    <cellStyle name="C￥AØ_5-1±¤°i  34 22" xfId="14617"/>
    <cellStyle name="Ç¥ÁØ_5-1±¤°í  34 22" xfId="14618"/>
    <cellStyle name="C￥AØ_5-1±¤°i  34 23" xfId="14619"/>
    <cellStyle name="Ç¥ÁØ_5-1±¤°í  34 23" xfId="14620"/>
    <cellStyle name="C￥AØ_5-1±¤°i  34 24" xfId="14621"/>
    <cellStyle name="Ç¥ÁØ_5-1±¤°í  34 24" xfId="14622"/>
    <cellStyle name="C￥AØ_5-1±¤°i  34 25" xfId="14623"/>
    <cellStyle name="Ç¥ÁØ_5-1±¤°í  34 25" xfId="14624"/>
    <cellStyle name="C￥AØ_5-1±¤°i  34 26" xfId="14625"/>
    <cellStyle name="Ç¥ÁØ_5-1±¤°í  34 26" xfId="14626"/>
    <cellStyle name="C￥AØ_5-1±¤°i  34 27" xfId="14627"/>
    <cellStyle name="Ç¥ÁØ_5-1±¤°í  34 27" xfId="14628"/>
    <cellStyle name="C￥AØ_5-1±¤°i  34 28" xfId="14629"/>
    <cellStyle name="Ç¥ÁØ_5-1±¤°í  34 28" xfId="14630"/>
    <cellStyle name="C￥AØ_5-1±¤°i  34 29" xfId="14631"/>
    <cellStyle name="Ç¥ÁØ_5-1±¤°í  34 29" xfId="14632"/>
    <cellStyle name="C￥AØ_5-1±¤°i  34 3" xfId="14633"/>
    <cellStyle name="Ç¥ÁØ_5-1±¤°í  34 3" xfId="14634"/>
    <cellStyle name="C￥AØ_5-1±¤°i  34 30" xfId="14635"/>
    <cellStyle name="Ç¥ÁØ_5-1±¤°í  34 30" xfId="14636"/>
    <cellStyle name="C￥AØ_5-1±¤°i  34 31" xfId="14637"/>
    <cellStyle name="Ç¥ÁØ_5-1±¤°í  34 31" xfId="14638"/>
    <cellStyle name="C￥AØ_5-1±¤°i  34 32" xfId="14639"/>
    <cellStyle name="Ç¥ÁØ_5-1±¤°í  34 32" xfId="14640"/>
    <cellStyle name="C￥AØ_5-1±¤°i  34 33" xfId="14641"/>
    <cellStyle name="Ç¥ÁØ_5-1±¤°í  34 33" xfId="14642"/>
    <cellStyle name="C￥AØ_5-1±¤°i  34 34" xfId="14643"/>
    <cellStyle name="Ç¥ÁØ_5-1±¤°í  34 34" xfId="14644"/>
    <cellStyle name="C￥AØ_5-1±¤°i  34 4" xfId="14645"/>
    <cellStyle name="Ç¥ÁØ_5-1±¤°í  34 4" xfId="14646"/>
    <cellStyle name="C￥AØ_5-1±¤°i  34 5" xfId="14647"/>
    <cellStyle name="Ç¥ÁØ_5-1±¤°í  34 5" xfId="14648"/>
    <cellStyle name="C￥AØ_5-1±¤°i  34 6" xfId="14649"/>
    <cellStyle name="Ç¥ÁØ_5-1±¤°í  34 6" xfId="14650"/>
    <cellStyle name="C￥AØ_5-1±¤°i  34 7" xfId="14651"/>
    <cellStyle name="Ç¥ÁØ_5-1±¤°í  34 7" xfId="14652"/>
    <cellStyle name="C￥AØ_5-1±¤°i  34 8" xfId="14653"/>
    <cellStyle name="Ç¥ÁØ_5-1±¤°í  34 8" xfId="14654"/>
    <cellStyle name="C￥AØ_5-1±¤°i  34 9" xfId="14655"/>
    <cellStyle name="Ç¥ÁØ_5-1±¤°í  34 9" xfId="14656"/>
    <cellStyle name="C￥AØ_5-1±¤°i  35" xfId="14657"/>
    <cellStyle name="Ç¥ÁØ_5-1±¤°í  35" xfId="14658"/>
    <cellStyle name="C￥AØ_5-1±¤°i  35 10" xfId="14659"/>
    <cellStyle name="Ç¥ÁØ_5-1±¤°í  35 10" xfId="14660"/>
    <cellStyle name="C￥AØ_5-1±¤°i  35 11" xfId="14661"/>
    <cellStyle name="Ç¥ÁØ_5-1±¤°í  35 11" xfId="14662"/>
    <cellStyle name="C￥AØ_5-1±¤°i  35 12" xfId="14663"/>
    <cellStyle name="Ç¥ÁØ_5-1±¤°í  35 12" xfId="14664"/>
    <cellStyle name="C￥AØ_5-1±¤°i  35 13" xfId="14665"/>
    <cellStyle name="Ç¥ÁØ_5-1±¤°í  35 13" xfId="14666"/>
    <cellStyle name="C￥AØ_5-1±¤°i  35 14" xfId="14667"/>
    <cellStyle name="Ç¥ÁØ_5-1±¤°í  35 14" xfId="14668"/>
    <cellStyle name="C￥AØ_5-1±¤°i  35 15" xfId="14669"/>
    <cellStyle name="Ç¥ÁØ_5-1±¤°í  35 15" xfId="14670"/>
    <cellStyle name="C￥AØ_5-1±¤°i  35 16" xfId="14671"/>
    <cellStyle name="Ç¥ÁØ_5-1±¤°í  35 16" xfId="14672"/>
    <cellStyle name="C￥AØ_5-1±¤°i  35 17" xfId="14673"/>
    <cellStyle name="Ç¥ÁØ_5-1±¤°í  35 17" xfId="14674"/>
    <cellStyle name="C￥AØ_5-1±¤°i  35 18" xfId="14675"/>
    <cellStyle name="Ç¥ÁØ_5-1±¤°í  35 18" xfId="14676"/>
    <cellStyle name="C￥AØ_5-1±¤°i  35 19" xfId="14677"/>
    <cellStyle name="Ç¥ÁØ_5-1±¤°í  35 19" xfId="14678"/>
    <cellStyle name="C￥AØ_5-1±¤°i  35 2" xfId="14679"/>
    <cellStyle name="Ç¥ÁØ_5-1±¤°í  35 2" xfId="14680"/>
    <cellStyle name="C￥AØ_5-1±¤°i  35 20" xfId="14681"/>
    <cellStyle name="Ç¥ÁØ_5-1±¤°í  35 20" xfId="14682"/>
    <cellStyle name="C￥AØ_5-1±¤°i  35 21" xfId="14683"/>
    <cellStyle name="Ç¥ÁØ_5-1±¤°í  35 21" xfId="14684"/>
    <cellStyle name="C￥AØ_5-1±¤°i  35 22" xfId="14685"/>
    <cellStyle name="Ç¥ÁØ_5-1±¤°í  35 22" xfId="14686"/>
    <cellStyle name="C￥AØ_5-1±¤°i  35 23" xfId="14687"/>
    <cellStyle name="Ç¥ÁØ_5-1±¤°í  35 23" xfId="14688"/>
    <cellStyle name="C￥AØ_5-1±¤°i  35 24" xfId="14689"/>
    <cellStyle name="Ç¥ÁØ_5-1±¤°í  35 24" xfId="14690"/>
    <cellStyle name="C￥AØ_5-1±¤°i  35 25" xfId="14691"/>
    <cellStyle name="Ç¥ÁØ_5-1±¤°í  35 25" xfId="14692"/>
    <cellStyle name="C￥AØ_5-1±¤°i  35 26" xfId="14693"/>
    <cellStyle name="Ç¥ÁØ_5-1±¤°í  35 26" xfId="14694"/>
    <cellStyle name="C￥AØ_5-1±¤°i  35 27" xfId="14695"/>
    <cellStyle name="Ç¥ÁØ_5-1±¤°í  35 27" xfId="14696"/>
    <cellStyle name="C￥AØ_5-1±¤°i  35 28" xfId="14697"/>
    <cellStyle name="Ç¥ÁØ_5-1±¤°í  35 28" xfId="14698"/>
    <cellStyle name="C￥AØ_5-1±¤°i  35 29" xfId="14699"/>
    <cellStyle name="Ç¥ÁØ_5-1±¤°í  35 29" xfId="14700"/>
    <cellStyle name="C￥AØ_5-1±¤°i  35 3" xfId="14701"/>
    <cellStyle name="Ç¥ÁØ_5-1±¤°í  35 3" xfId="14702"/>
    <cellStyle name="C￥AØ_5-1±¤°i  35 30" xfId="14703"/>
    <cellStyle name="Ç¥ÁØ_5-1±¤°í  35 30" xfId="14704"/>
    <cellStyle name="C￥AØ_5-1±¤°i  35 31" xfId="14705"/>
    <cellStyle name="Ç¥ÁØ_5-1±¤°í  35 31" xfId="14706"/>
    <cellStyle name="C￥AØ_5-1±¤°i  35 32" xfId="14707"/>
    <cellStyle name="Ç¥ÁØ_5-1±¤°í  35 32" xfId="14708"/>
    <cellStyle name="C￥AØ_5-1±¤°i  35 33" xfId="14709"/>
    <cellStyle name="Ç¥ÁØ_5-1±¤°í  35 33" xfId="14710"/>
    <cellStyle name="C￥AØ_5-1±¤°i  35 34" xfId="14711"/>
    <cellStyle name="Ç¥ÁØ_5-1±¤°í  35 34" xfId="14712"/>
    <cellStyle name="C￥AØ_5-1±¤°i  35 4" xfId="14713"/>
    <cellStyle name="Ç¥ÁØ_5-1±¤°í  35 4" xfId="14714"/>
    <cellStyle name="C￥AØ_5-1±¤°i  35 5" xfId="14715"/>
    <cellStyle name="Ç¥ÁØ_5-1±¤°í  35 5" xfId="14716"/>
    <cellStyle name="C￥AØ_5-1±¤°i  35 6" xfId="14717"/>
    <cellStyle name="Ç¥ÁØ_5-1±¤°í  35 6" xfId="14718"/>
    <cellStyle name="C￥AØ_5-1±¤°i  35 7" xfId="14719"/>
    <cellStyle name="Ç¥ÁØ_5-1±¤°í  35 7" xfId="14720"/>
    <cellStyle name="C￥AØ_5-1±¤°i  35 8" xfId="14721"/>
    <cellStyle name="Ç¥ÁØ_5-1±¤°í  35 8" xfId="14722"/>
    <cellStyle name="C￥AØ_5-1±¤°i  35 9" xfId="14723"/>
    <cellStyle name="Ç¥ÁØ_5-1±¤°í  35 9" xfId="14724"/>
    <cellStyle name="C￥AØ_5-1±¤°i  36" xfId="14725"/>
    <cellStyle name="Ç¥ÁØ_5-1±¤°í  36" xfId="14726"/>
    <cellStyle name="C￥AØ_5-1±¤°i  36 10" xfId="14727"/>
    <cellStyle name="Ç¥ÁØ_5-1±¤°í  36 10" xfId="14728"/>
    <cellStyle name="C￥AØ_5-1±¤°i  36 11" xfId="14729"/>
    <cellStyle name="Ç¥ÁØ_5-1±¤°í  36 11" xfId="14730"/>
    <cellStyle name="C￥AØ_5-1±¤°i  36 12" xfId="14731"/>
    <cellStyle name="Ç¥ÁØ_5-1±¤°í  36 12" xfId="14732"/>
    <cellStyle name="C￥AØ_5-1±¤°i  36 13" xfId="14733"/>
    <cellStyle name="Ç¥ÁØ_5-1±¤°í  36 13" xfId="14734"/>
    <cellStyle name="C￥AØ_5-1±¤°i  36 14" xfId="14735"/>
    <cellStyle name="Ç¥ÁØ_5-1±¤°í  36 14" xfId="14736"/>
    <cellStyle name="C￥AØ_5-1±¤°i  36 15" xfId="14737"/>
    <cellStyle name="Ç¥ÁØ_5-1±¤°í  36 15" xfId="14738"/>
    <cellStyle name="C￥AØ_5-1±¤°i  36 16" xfId="14739"/>
    <cellStyle name="Ç¥ÁØ_5-1±¤°í  36 16" xfId="14740"/>
    <cellStyle name="C￥AØ_5-1±¤°i  36 17" xfId="14741"/>
    <cellStyle name="Ç¥ÁØ_5-1±¤°í  36 17" xfId="14742"/>
    <cellStyle name="C￥AØ_5-1±¤°i  36 18" xfId="14743"/>
    <cellStyle name="Ç¥ÁØ_5-1±¤°í  36 18" xfId="14744"/>
    <cellStyle name="C￥AØ_5-1±¤°i  36 19" xfId="14745"/>
    <cellStyle name="Ç¥ÁØ_5-1±¤°í  36 19" xfId="14746"/>
    <cellStyle name="C￥AØ_5-1±¤°i  36 2" xfId="14747"/>
    <cellStyle name="Ç¥ÁØ_5-1±¤°í  36 2" xfId="14748"/>
    <cellStyle name="C￥AØ_5-1±¤°i  36 20" xfId="14749"/>
    <cellStyle name="Ç¥ÁØ_5-1±¤°í  36 20" xfId="14750"/>
    <cellStyle name="C￥AØ_5-1±¤°i  36 21" xfId="14751"/>
    <cellStyle name="Ç¥ÁØ_5-1±¤°í  36 21" xfId="14752"/>
    <cellStyle name="C￥AØ_5-1±¤°i  36 22" xfId="14753"/>
    <cellStyle name="Ç¥ÁØ_5-1±¤°í  36 22" xfId="14754"/>
    <cellStyle name="C￥AØ_5-1±¤°i  36 23" xfId="14755"/>
    <cellStyle name="Ç¥ÁØ_5-1±¤°í  36 23" xfId="14756"/>
    <cellStyle name="C￥AØ_5-1±¤°i  36 24" xfId="14757"/>
    <cellStyle name="Ç¥ÁØ_5-1±¤°í  36 24" xfId="14758"/>
    <cellStyle name="C￥AØ_5-1±¤°i  36 25" xfId="14759"/>
    <cellStyle name="Ç¥ÁØ_5-1±¤°í  36 25" xfId="14760"/>
    <cellStyle name="C￥AØ_5-1±¤°i  36 26" xfId="14761"/>
    <cellStyle name="Ç¥ÁØ_5-1±¤°í  36 26" xfId="14762"/>
    <cellStyle name="C￥AØ_5-1±¤°i  36 27" xfId="14763"/>
    <cellStyle name="Ç¥ÁØ_5-1±¤°í  36 27" xfId="14764"/>
    <cellStyle name="C￥AØ_5-1±¤°i  36 28" xfId="14765"/>
    <cellStyle name="Ç¥ÁØ_5-1±¤°í  36 28" xfId="14766"/>
    <cellStyle name="C￥AØ_5-1±¤°i  36 29" xfId="14767"/>
    <cellStyle name="Ç¥ÁØ_5-1±¤°í  36 29" xfId="14768"/>
    <cellStyle name="C￥AØ_5-1±¤°i  36 3" xfId="14769"/>
    <cellStyle name="Ç¥ÁØ_5-1±¤°í  36 3" xfId="14770"/>
    <cellStyle name="C￥AØ_5-1±¤°i  36 30" xfId="14771"/>
    <cellStyle name="Ç¥ÁØ_5-1±¤°í  36 30" xfId="14772"/>
    <cellStyle name="C￥AØ_5-1±¤°i  36 31" xfId="14773"/>
    <cellStyle name="Ç¥ÁØ_5-1±¤°í  36 31" xfId="14774"/>
    <cellStyle name="C￥AØ_5-1±¤°i  36 32" xfId="14775"/>
    <cellStyle name="Ç¥ÁØ_5-1±¤°í  36 32" xfId="14776"/>
    <cellStyle name="C￥AØ_5-1±¤°i  36 33" xfId="14777"/>
    <cellStyle name="Ç¥ÁØ_5-1±¤°í  36 33" xfId="14778"/>
    <cellStyle name="C￥AØ_5-1±¤°i  36 34" xfId="14779"/>
    <cellStyle name="Ç¥ÁØ_5-1±¤°í  36 34" xfId="14780"/>
    <cellStyle name="C￥AØ_5-1±¤°i  36 4" xfId="14781"/>
    <cellStyle name="Ç¥ÁØ_5-1±¤°í  36 4" xfId="14782"/>
    <cellStyle name="C￥AØ_5-1±¤°i  36 5" xfId="14783"/>
    <cellStyle name="Ç¥ÁØ_5-1±¤°í  36 5" xfId="14784"/>
    <cellStyle name="C￥AØ_5-1±¤°i  36 6" xfId="14785"/>
    <cellStyle name="Ç¥ÁØ_5-1±¤°í  36 6" xfId="14786"/>
    <cellStyle name="C￥AØ_5-1±¤°i  36 7" xfId="14787"/>
    <cellStyle name="Ç¥ÁØ_5-1±¤°í  36 7" xfId="14788"/>
    <cellStyle name="C￥AØ_5-1±¤°i  36 8" xfId="14789"/>
    <cellStyle name="Ç¥ÁØ_5-1±¤°í  36 8" xfId="14790"/>
    <cellStyle name="C￥AØ_5-1±¤°i  36 9" xfId="14791"/>
    <cellStyle name="Ç¥ÁØ_5-1±¤°í  36 9" xfId="14792"/>
    <cellStyle name="C￥AØ_5-1±¤°i  37" xfId="14793"/>
    <cellStyle name="Ç¥ÁØ_5-1±¤°í  37" xfId="14794"/>
    <cellStyle name="C￥AØ_5-1±¤°i  37 10" xfId="14795"/>
    <cellStyle name="Ç¥ÁØ_5-1±¤°í  37 10" xfId="14796"/>
    <cellStyle name="C￥AØ_5-1±¤°i  37 11" xfId="14797"/>
    <cellStyle name="Ç¥ÁØ_5-1±¤°í  37 11" xfId="14798"/>
    <cellStyle name="C￥AØ_5-1±¤°i  37 12" xfId="14799"/>
    <cellStyle name="Ç¥ÁØ_5-1±¤°í  37 12" xfId="14800"/>
    <cellStyle name="C￥AØ_5-1±¤°i  37 13" xfId="14801"/>
    <cellStyle name="Ç¥ÁØ_5-1±¤°í  37 13" xfId="14802"/>
    <cellStyle name="C￥AØ_5-1±¤°i  37 14" xfId="14803"/>
    <cellStyle name="Ç¥ÁØ_5-1±¤°í  37 14" xfId="14804"/>
    <cellStyle name="C￥AØ_5-1±¤°i  37 15" xfId="14805"/>
    <cellStyle name="Ç¥ÁØ_5-1±¤°í  37 15" xfId="14806"/>
    <cellStyle name="C￥AØ_5-1±¤°i  37 16" xfId="14807"/>
    <cellStyle name="Ç¥ÁØ_5-1±¤°í  37 16" xfId="14808"/>
    <cellStyle name="C￥AØ_5-1±¤°i  37 17" xfId="14809"/>
    <cellStyle name="Ç¥ÁØ_5-1±¤°í  37 17" xfId="14810"/>
    <cellStyle name="C￥AØ_5-1±¤°i  37 18" xfId="14811"/>
    <cellStyle name="Ç¥ÁØ_5-1±¤°í  37 18" xfId="14812"/>
    <cellStyle name="C￥AØ_5-1±¤°i  37 19" xfId="14813"/>
    <cellStyle name="Ç¥ÁØ_5-1±¤°í  37 19" xfId="14814"/>
    <cellStyle name="C￥AØ_5-1±¤°i  37 2" xfId="14815"/>
    <cellStyle name="Ç¥ÁØ_5-1±¤°í  37 2" xfId="14816"/>
    <cellStyle name="C￥AØ_5-1±¤°i  37 20" xfId="14817"/>
    <cellStyle name="Ç¥ÁØ_5-1±¤°í  37 20" xfId="14818"/>
    <cellStyle name="C￥AØ_5-1±¤°i  37 21" xfId="14819"/>
    <cellStyle name="Ç¥ÁØ_5-1±¤°í  37 21" xfId="14820"/>
    <cellStyle name="C￥AØ_5-1±¤°i  37 22" xfId="14821"/>
    <cellStyle name="Ç¥ÁØ_5-1±¤°í  37 22" xfId="14822"/>
    <cellStyle name="C￥AØ_5-1±¤°i  37 23" xfId="14823"/>
    <cellStyle name="Ç¥ÁØ_5-1±¤°í  37 23" xfId="14824"/>
    <cellStyle name="C￥AØ_5-1±¤°i  37 24" xfId="14825"/>
    <cellStyle name="Ç¥ÁØ_5-1±¤°í  37 24" xfId="14826"/>
    <cellStyle name="C￥AØ_5-1±¤°i  37 25" xfId="14827"/>
    <cellStyle name="Ç¥ÁØ_5-1±¤°í  37 25" xfId="14828"/>
    <cellStyle name="C￥AØ_5-1±¤°i  37 26" xfId="14829"/>
    <cellStyle name="Ç¥ÁØ_5-1±¤°í  37 26" xfId="14830"/>
    <cellStyle name="C￥AØ_5-1±¤°i  37 27" xfId="14831"/>
    <cellStyle name="Ç¥ÁØ_5-1±¤°í  37 27" xfId="14832"/>
    <cellStyle name="C￥AØ_5-1±¤°i  37 28" xfId="14833"/>
    <cellStyle name="Ç¥ÁØ_5-1±¤°í  37 28" xfId="14834"/>
    <cellStyle name="C￥AØ_5-1±¤°i  37 29" xfId="14835"/>
    <cellStyle name="Ç¥ÁØ_5-1±¤°í  37 29" xfId="14836"/>
    <cellStyle name="C￥AØ_5-1±¤°i  37 3" xfId="14837"/>
    <cellStyle name="Ç¥ÁØ_5-1±¤°í  37 3" xfId="14838"/>
    <cellStyle name="C￥AØ_5-1±¤°i  37 30" xfId="14839"/>
    <cellStyle name="Ç¥ÁØ_5-1±¤°í  37 30" xfId="14840"/>
    <cellStyle name="C￥AØ_5-1±¤°i  37 31" xfId="14841"/>
    <cellStyle name="Ç¥ÁØ_5-1±¤°í  37 31" xfId="14842"/>
    <cellStyle name="C￥AØ_5-1±¤°i  37 32" xfId="14843"/>
    <cellStyle name="Ç¥ÁØ_5-1±¤°í  37 32" xfId="14844"/>
    <cellStyle name="C￥AØ_5-1±¤°i  37 33" xfId="14845"/>
    <cellStyle name="Ç¥ÁØ_5-1±¤°í  37 33" xfId="14846"/>
    <cellStyle name="C￥AØ_5-1±¤°i  37 34" xfId="14847"/>
    <cellStyle name="Ç¥ÁØ_5-1±¤°í  37 34" xfId="14848"/>
    <cellStyle name="C￥AØ_5-1±¤°i  37 4" xfId="14849"/>
    <cellStyle name="Ç¥ÁØ_5-1±¤°í  37 4" xfId="14850"/>
    <cellStyle name="C￥AØ_5-1±¤°i  37 5" xfId="14851"/>
    <cellStyle name="Ç¥ÁØ_5-1±¤°í  37 5" xfId="14852"/>
    <cellStyle name="C￥AØ_5-1±¤°i  37 6" xfId="14853"/>
    <cellStyle name="Ç¥ÁØ_5-1±¤°í  37 6" xfId="14854"/>
    <cellStyle name="C￥AØ_5-1±¤°i  37 7" xfId="14855"/>
    <cellStyle name="Ç¥ÁØ_5-1±¤°í  37 7" xfId="14856"/>
    <cellStyle name="C￥AØ_5-1±¤°i  37 8" xfId="14857"/>
    <cellStyle name="Ç¥ÁØ_5-1±¤°í  37 8" xfId="14858"/>
    <cellStyle name="C￥AØ_5-1±¤°i  37 9" xfId="14859"/>
    <cellStyle name="Ç¥ÁØ_5-1±¤°í  37 9" xfId="14860"/>
    <cellStyle name="C￥AØ_5-1±¤°i  38" xfId="14861"/>
    <cellStyle name="Ç¥ÁØ_5-1±¤°í  38" xfId="14862"/>
    <cellStyle name="C￥AØ_5-1±¤°i  38 10" xfId="14863"/>
    <cellStyle name="Ç¥ÁØ_5-1±¤°í  38 10" xfId="14864"/>
    <cellStyle name="C￥AØ_5-1±¤°i  38 11" xfId="14865"/>
    <cellStyle name="Ç¥ÁØ_5-1±¤°í  38 11" xfId="14866"/>
    <cellStyle name="C￥AØ_5-1±¤°i  38 12" xfId="14867"/>
    <cellStyle name="Ç¥ÁØ_5-1±¤°í  38 12" xfId="14868"/>
    <cellStyle name="C￥AØ_5-1±¤°i  38 13" xfId="14869"/>
    <cellStyle name="Ç¥ÁØ_5-1±¤°í  38 13" xfId="14870"/>
    <cellStyle name="C￥AØ_5-1±¤°i  38 14" xfId="14871"/>
    <cellStyle name="Ç¥ÁØ_5-1±¤°í  38 14" xfId="14872"/>
    <cellStyle name="C￥AØ_5-1±¤°i  38 15" xfId="14873"/>
    <cellStyle name="Ç¥ÁØ_5-1±¤°í  38 15" xfId="14874"/>
    <cellStyle name="C￥AØ_5-1±¤°i  38 16" xfId="14875"/>
    <cellStyle name="Ç¥ÁØ_5-1±¤°í  38 16" xfId="14876"/>
    <cellStyle name="C￥AØ_5-1±¤°i  38 17" xfId="14877"/>
    <cellStyle name="Ç¥ÁØ_5-1±¤°í  38 17" xfId="14878"/>
    <cellStyle name="C￥AØ_5-1±¤°i  38 18" xfId="14879"/>
    <cellStyle name="Ç¥ÁØ_5-1±¤°í  38 18" xfId="14880"/>
    <cellStyle name="C￥AØ_5-1±¤°i  38 19" xfId="14881"/>
    <cellStyle name="Ç¥ÁØ_5-1±¤°í  38 19" xfId="14882"/>
    <cellStyle name="C￥AØ_5-1±¤°i  38 2" xfId="14883"/>
    <cellStyle name="Ç¥ÁØ_5-1±¤°í  38 2" xfId="14884"/>
    <cellStyle name="C￥AØ_5-1±¤°i  38 20" xfId="14885"/>
    <cellStyle name="Ç¥ÁØ_5-1±¤°í  38 20" xfId="14886"/>
    <cellStyle name="C￥AØ_5-1±¤°i  38 21" xfId="14887"/>
    <cellStyle name="Ç¥ÁØ_5-1±¤°í  38 21" xfId="14888"/>
    <cellStyle name="C￥AØ_5-1±¤°i  38 22" xfId="14889"/>
    <cellStyle name="Ç¥ÁØ_5-1±¤°í  38 22" xfId="14890"/>
    <cellStyle name="C￥AØ_5-1±¤°i  38 23" xfId="14891"/>
    <cellStyle name="Ç¥ÁØ_5-1±¤°í  38 23" xfId="14892"/>
    <cellStyle name="C￥AØ_5-1±¤°i  38 24" xfId="14893"/>
    <cellStyle name="Ç¥ÁØ_5-1±¤°í  38 24" xfId="14894"/>
    <cellStyle name="C￥AØ_5-1±¤°i  38 25" xfId="14895"/>
    <cellStyle name="Ç¥ÁØ_5-1±¤°í  38 25" xfId="14896"/>
    <cellStyle name="C￥AØ_5-1±¤°i  38 26" xfId="14897"/>
    <cellStyle name="Ç¥ÁØ_5-1±¤°í  38 26" xfId="14898"/>
    <cellStyle name="C￥AØ_5-1±¤°i  38 27" xfId="14899"/>
    <cellStyle name="Ç¥ÁØ_5-1±¤°í  38 27" xfId="14900"/>
    <cellStyle name="C￥AØ_5-1±¤°i  38 28" xfId="14901"/>
    <cellStyle name="Ç¥ÁØ_5-1±¤°í  38 28" xfId="14902"/>
    <cellStyle name="C￥AØ_5-1±¤°i  38 29" xfId="14903"/>
    <cellStyle name="Ç¥ÁØ_5-1±¤°í  38 29" xfId="14904"/>
    <cellStyle name="C￥AØ_5-1±¤°i  38 3" xfId="14905"/>
    <cellStyle name="Ç¥ÁØ_5-1±¤°í  38 3" xfId="14906"/>
    <cellStyle name="C￥AØ_5-1±¤°i  38 30" xfId="14907"/>
    <cellStyle name="Ç¥ÁØ_5-1±¤°í  38 30" xfId="14908"/>
    <cellStyle name="C￥AØ_5-1±¤°i  38 31" xfId="14909"/>
    <cellStyle name="Ç¥ÁØ_5-1±¤°í  38 31" xfId="14910"/>
    <cellStyle name="C￥AØ_5-1±¤°i  38 32" xfId="14911"/>
    <cellStyle name="Ç¥ÁØ_5-1±¤°í  38 32" xfId="14912"/>
    <cellStyle name="C￥AØ_5-1±¤°i  38 33" xfId="14913"/>
    <cellStyle name="Ç¥ÁØ_5-1±¤°í  38 33" xfId="14914"/>
    <cellStyle name="C￥AØ_5-1±¤°i  38 34" xfId="14915"/>
    <cellStyle name="Ç¥ÁØ_5-1±¤°í  38 34" xfId="14916"/>
    <cellStyle name="C￥AØ_5-1±¤°i  38 4" xfId="14917"/>
    <cellStyle name="Ç¥ÁØ_5-1±¤°í  38 4" xfId="14918"/>
    <cellStyle name="C￥AØ_5-1±¤°i  38 5" xfId="14919"/>
    <cellStyle name="Ç¥ÁØ_5-1±¤°í  38 5" xfId="14920"/>
    <cellStyle name="C￥AØ_5-1±¤°i  38 6" xfId="14921"/>
    <cellStyle name="Ç¥ÁØ_5-1±¤°í  38 6" xfId="14922"/>
    <cellStyle name="C￥AØ_5-1±¤°i  38 7" xfId="14923"/>
    <cellStyle name="Ç¥ÁØ_5-1±¤°í  38 7" xfId="14924"/>
    <cellStyle name="C￥AØ_5-1±¤°i  38 8" xfId="14925"/>
    <cellStyle name="Ç¥ÁØ_5-1±¤°í  38 8" xfId="14926"/>
    <cellStyle name="C￥AØ_5-1±¤°i  38 9" xfId="14927"/>
    <cellStyle name="Ç¥ÁØ_5-1±¤°í  38 9" xfId="14928"/>
    <cellStyle name="C￥AØ_5-1±¤°i  39" xfId="14929"/>
    <cellStyle name="Ç¥ÁØ_5-1±¤°í  39" xfId="14930"/>
    <cellStyle name="C￥AØ_5-1±¤°i  39 10" xfId="14931"/>
    <cellStyle name="Ç¥ÁØ_5-1±¤°í  39 10" xfId="14932"/>
    <cellStyle name="C￥AØ_5-1±¤°i  39 11" xfId="14933"/>
    <cellStyle name="Ç¥ÁØ_5-1±¤°í  39 11" xfId="14934"/>
    <cellStyle name="C￥AØ_5-1±¤°i  39 12" xfId="14935"/>
    <cellStyle name="Ç¥ÁØ_5-1±¤°í  39 12" xfId="14936"/>
    <cellStyle name="C￥AØ_5-1±¤°i  39 13" xfId="14937"/>
    <cellStyle name="Ç¥ÁØ_5-1±¤°í  39 13" xfId="14938"/>
    <cellStyle name="C￥AØ_5-1±¤°i  39 14" xfId="14939"/>
    <cellStyle name="Ç¥ÁØ_5-1±¤°í  39 14" xfId="14940"/>
    <cellStyle name="C￥AØ_5-1±¤°i  39 15" xfId="14941"/>
    <cellStyle name="Ç¥ÁØ_5-1±¤°í  39 15" xfId="14942"/>
    <cellStyle name="C￥AØ_5-1±¤°i  39 16" xfId="14943"/>
    <cellStyle name="Ç¥ÁØ_5-1±¤°í  39 16" xfId="14944"/>
    <cellStyle name="C￥AØ_5-1±¤°i  39 17" xfId="14945"/>
    <cellStyle name="Ç¥ÁØ_5-1±¤°í  39 17" xfId="14946"/>
    <cellStyle name="C￥AØ_5-1±¤°i  39 18" xfId="14947"/>
    <cellStyle name="Ç¥ÁØ_5-1±¤°í  39 18" xfId="14948"/>
    <cellStyle name="C￥AØ_5-1±¤°i  39 19" xfId="14949"/>
    <cellStyle name="Ç¥ÁØ_5-1±¤°í  39 19" xfId="14950"/>
    <cellStyle name="C￥AØ_5-1±¤°i  39 2" xfId="14951"/>
    <cellStyle name="Ç¥ÁØ_5-1±¤°í  39 2" xfId="14952"/>
    <cellStyle name="C￥AØ_5-1±¤°i  39 20" xfId="14953"/>
    <cellStyle name="Ç¥ÁØ_5-1±¤°í  39 20" xfId="14954"/>
    <cellStyle name="C￥AØ_5-1±¤°i  39 21" xfId="14955"/>
    <cellStyle name="Ç¥ÁØ_5-1±¤°í  39 21" xfId="14956"/>
    <cellStyle name="C￥AØ_5-1±¤°i  39 22" xfId="14957"/>
    <cellStyle name="Ç¥ÁØ_5-1±¤°í  39 22" xfId="14958"/>
    <cellStyle name="C￥AØ_5-1±¤°i  39 23" xfId="14959"/>
    <cellStyle name="Ç¥ÁØ_5-1±¤°í  39 23" xfId="14960"/>
    <cellStyle name="C￥AØ_5-1±¤°i  39 24" xfId="14961"/>
    <cellStyle name="Ç¥ÁØ_5-1±¤°í  39 24" xfId="14962"/>
    <cellStyle name="C￥AØ_5-1±¤°i  39 25" xfId="14963"/>
    <cellStyle name="Ç¥ÁØ_5-1±¤°í  39 25" xfId="14964"/>
    <cellStyle name="C￥AØ_5-1±¤°i  39 26" xfId="14965"/>
    <cellStyle name="Ç¥ÁØ_5-1±¤°í  39 26" xfId="14966"/>
    <cellStyle name="C￥AØ_5-1±¤°i  39 27" xfId="14967"/>
    <cellStyle name="Ç¥ÁØ_5-1±¤°í  39 27" xfId="14968"/>
    <cellStyle name="C￥AØ_5-1±¤°i  39 28" xfId="14969"/>
    <cellStyle name="Ç¥ÁØ_5-1±¤°í  39 28" xfId="14970"/>
    <cellStyle name="C￥AØ_5-1±¤°i  39 29" xfId="14971"/>
    <cellStyle name="Ç¥ÁØ_5-1±¤°í  39 29" xfId="14972"/>
    <cellStyle name="C￥AØ_5-1±¤°i  39 3" xfId="14973"/>
    <cellStyle name="Ç¥ÁØ_5-1±¤°í  39 3" xfId="14974"/>
    <cellStyle name="C￥AØ_5-1±¤°i  39 30" xfId="14975"/>
    <cellStyle name="Ç¥ÁØ_5-1±¤°í  39 30" xfId="14976"/>
    <cellStyle name="C￥AØ_5-1±¤°i  39 31" xfId="14977"/>
    <cellStyle name="Ç¥ÁØ_5-1±¤°í  39 31" xfId="14978"/>
    <cellStyle name="C￥AØ_5-1±¤°i  39 32" xfId="14979"/>
    <cellStyle name="Ç¥ÁØ_5-1±¤°í  39 32" xfId="14980"/>
    <cellStyle name="C￥AØ_5-1±¤°i  39 33" xfId="14981"/>
    <cellStyle name="Ç¥ÁØ_5-1±¤°í  39 33" xfId="14982"/>
    <cellStyle name="C￥AØ_5-1±¤°i  39 34" xfId="14983"/>
    <cellStyle name="Ç¥ÁØ_5-1±¤°í  39 34" xfId="14984"/>
    <cellStyle name="C￥AØ_5-1±¤°i  39 4" xfId="14985"/>
    <cellStyle name="Ç¥ÁØ_5-1±¤°í  39 4" xfId="14986"/>
    <cellStyle name="C￥AØ_5-1±¤°i  39 5" xfId="14987"/>
    <cellStyle name="Ç¥ÁØ_5-1±¤°í  39 5" xfId="14988"/>
    <cellStyle name="C￥AØ_5-1±¤°i  39 6" xfId="14989"/>
    <cellStyle name="Ç¥ÁØ_5-1±¤°í  39 6" xfId="14990"/>
    <cellStyle name="C￥AØ_5-1±¤°i  39 7" xfId="14991"/>
    <cellStyle name="Ç¥ÁØ_5-1±¤°í  39 7" xfId="14992"/>
    <cellStyle name="C￥AØ_5-1±¤°i  39 8" xfId="14993"/>
    <cellStyle name="Ç¥ÁØ_5-1±¤°í  39 8" xfId="14994"/>
    <cellStyle name="C￥AØ_5-1±¤°i  39 9" xfId="14995"/>
    <cellStyle name="Ç¥ÁØ_5-1±¤°í  39 9" xfId="14996"/>
    <cellStyle name="C￥AØ_5-1±¤°i  4" xfId="14997"/>
    <cellStyle name="Ç¥ÁØ_5-1±¤°í  4" xfId="14998"/>
    <cellStyle name="C￥AØ_5-1±¤°i  4 10" xfId="14999"/>
    <cellStyle name="Ç¥ÁØ_5-1±¤°í  4 10" xfId="15000"/>
    <cellStyle name="C￥AØ_5-1±¤°i  4 11" xfId="15001"/>
    <cellStyle name="Ç¥ÁØ_5-1±¤°í  4 11" xfId="15002"/>
    <cellStyle name="C￥AØ_5-1±¤°i  4 12" xfId="15003"/>
    <cellStyle name="Ç¥ÁØ_5-1±¤°í  4 12" xfId="15004"/>
    <cellStyle name="C￥AØ_5-1±¤°i  4 13" xfId="15005"/>
    <cellStyle name="Ç¥ÁØ_5-1±¤°í  4 13" xfId="15006"/>
    <cellStyle name="C￥AØ_5-1±¤°i  4 14" xfId="15007"/>
    <cellStyle name="Ç¥ÁØ_5-1±¤°í  4 14" xfId="15008"/>
    <cellStyle name="C￥AØ_5-1±¤°i  4 15" xfId="15009"/>
    <cellStyle name="Ç¥ÁØ_5-1±¤°í  4 15" xfId="15010"/>
    <cellStyle name="C￥AØ_5-1±¤°i  4 16" xfId="15011"/>
    <cellStyle name="Ç¥ÁØ_5-1±¤°í  4 16" xfId="15012"/>
    <cellStyle name="C￥AØ_5-1±¤°i  4 17" xfId="15013"/>
    <cellStyle name="Ç¥ÁØ_5-1±¤°í  4 17" xfId="15014"/>
    <cellStyle name="C￥AØ_5-1±¤°i  4 18" xfId="15015"/>
    <cellStyle name="Ç¥ÁØ_5-1±¤°í  4 18" xfId="15016"/>
    <cellStyle name="C￥AØ_5-1±¤°i  4 19" xfId="15017"/>
    <cellStyle name="Ç¥ÁØ_5-1±¤°í  4 19" xfId="15018"/>
    <cellStyle name="C￥AØ_5-1±¤°i  4 2" xfId="15019"/>
    <cellStyle name="Ç¥ÁØ_5-1±¤°í  4 2" xfId="15020"/>
    <cellStyle name="C￥AØ_5-1±¤°i  4 20" xfId="15021"/>
    <cellStyle name="Ç¥ÁØ_5-1±¤°í  4 20" xfId="15022"/>
    <cellStyle name="C￥AØ_5-1±¤°i  4 21" xfId="15023"/>
    <cellStyle name="Ç¥ÁØ_5-1±¤°í  4 21" xfId="15024"/>
    <cellStyle name="C￥AØ_5-1±¤°i  4 22" xfId="15025"/>
    <cellStyle name="Ç¥ÁØ_5-1±¤°í  4 22" xfId="15026"/>
    <cellStyle name="C￥AØ_5-1±¤°i  4 23" xfId="15027"/>
    <cellStyle name="Ç¥ÁØ_5-1±¤°í  4 23" xfId="15028"/>
    <cellStyle name="C￥AØ_5-1±¤°i  4 24" xfId="15029"/>
    <cellStyle name="Ç¥ÁØ_5-1±¤°í  4 24" xfId="15030"/>
    <cellStyle name="C￥AØ_5-1±¤°i  4 25" xfId="15031"/>
    <cellStyle name="Ç¥ÁØ_5-1±¤°í  4 25" xfId="15032"/>
    <cellStyle name="C￥AØ_5-1±¤°i  4 26" xfId="15033"/>
    <cellStyle name="Ç¥ÁØ_5-1±¤°í  4 26" xfId="15034"/>
    <cellStyle name="C￥AØ_5-1±¤°i  4 27" xfId="15035"/>
    <cellStyle name="Ç¥ÁØ_5-1±¤°í  4 27" xfId="15036"/>
    <cellStyle name="C￥AØ_5-1±¤°i  4 28" xfId="15037"/>
    <cellStyle name="Ç¥ÁØ_5-1±¤°í  4 28" xfId="15038"/>
    <cellStyle name="C￥AØ_5-1±¤°i  4 29" xfId="15039"/>
    <cellStyle name="Ç¥ÁØ_5-1±¤°í  4 29" xfId="15040"/>
    <cellStyle name="C￥AØ_5-1±¤°i  4 3" xfId="15041"/>
    <cellStyle name="Ç¥ÁØ_5-1±¤°í  4 3" xfId="15042"/>
    <cellStyle name="C￥AØ_5-1±¤°i  4 30" xfId="15043"/>
    <cellStyle name="Ç¥ÁØ_5-1±¤°í  4 30" xfId="15044"/>
    <cellStyle name="C￥AØ_5-1±¤°i  4 31" xfId="15045"/>
    <cellStyle name="Ç¥ÁØ_5-1±¤°í  4 31" xfId="15046"/>
    <cellStyle name="C￥AØ_5-1±¤°i  4 32" xfId="15047"/>
    <cellStyle name="Ç¥ÁØ_5-1±¤°í  4 32" xfId="15048"/>
    <cellStyle name="C￥AØ_5-1±¤°i  4 33" xfId="15049"/>
    <cellStyle name="Ç¥ÁØ_5-1±¤°í  4 33" xfId="15050"/>
    <cellStyle name="C￥AØ_5-1±¤°i  4 34" xfId="15051"/>
    <cellStyle name="Ç¥ÁØ_5-1±¤°í  4 34" xfId="15052"/>
    <cellStyle name="C￥AØ_5-1±¤°i  4 4" xfId="15053"/>
    <cellStyle name="Ç¥ÁØ_5-1±¤°í  4 4" xfId="15054"/>
    <cellStyle name="C￥AØ_5-1±¤°i  4 5" xfId="15055"/>
    <cellStyle name="Ç¥ÁØ_5-1±¤°í  4 5" xfId="15056"/>
    <cellStyle name="C￥AØ_5-1±¤°i  4 6" xfId="15057"/>
    <cellStyle name="Ç¥ÁØ_5-1±¤°í  4 6" xfId="15058"/>
    <cellStyle name="C￥AØ_5-1±¤°i  4 7" xfId="15059"/>
    <cellStyle name="Ç¥ÁØ_5-1±¤°í  4 7" xfId="15060"/>
    <cellStyle name="C￥AØ_5-1±¤°i  4 8" xfId="15061"/>
    <cellStyle name="Ç¥ÁØ_5-1±¤°í  4 8" xfId="15062"/>
    <cellStyle name="C￥AØ_5-1±¤°i  4 9" xfId="15063"/>
    <cellStyle name="Ç¥ÁØ_5-1±¤°í  4 9" xfId="15064"/>
    <cellStyle name="C￥AØ_5-1±¤°i  40" xfId="15065"/>
    <cellStyle name="Ç¥ÁØ_5-1±¤°í  40" xfId="15066"/>
    <cellStyle name="C￥AØ_5-1±¤°i  40 10" xfId="15067"/>
    <cellStyle name="Ç¥ÁØ_5-1±¤°í  40 10" xfId="15068"/>
    <cellStyle name="C￥AØ_5-1±¤°i  40 11" xfId="15069"/>
    <cellStyle name="Ç¥ÁØ_5-1±¤°í  40 11" xfId="15070"/>
    <cellStyle name="C￥AØ_5-1±¤°i  40 12" xfId="15071"/>
    <cellStyle name="Ç¥ÁØ_5-1±¤°í  40 12" xfId="15072"/>
    <cellStyle name="C￥AØ_5-1±¤°i  40 13" xfId="15073"/>
    <cellStyle name="Ç¥ÁØ_5-1±¤°í  40 13" xfId="15074"/>
    <cellStyle name="C￥AØ_5-1±¤°i  40 14" xfId="15075"/>
    <cellStyle name="Ç¥ÁØ_5-1±¤°í  40 14" xfId="15076"/>
    <cellStyle name="C￥AØ_5-1±¤°i  40 15" xfId="15077"/>
    <cellStyle name="Ç¥ÁØ_5-1±¤°í  40 15" xfId="15078"/>
    <cellStyle name="C￥AØ_5-1±¤°i  40 16" xfId="15079"/>
    <cellStyle name="Ç¥ÁØ_5-1±¤°í  40 16" xfId="15080"/>
    <cellStyle name="C￥AØ_5-1±¤°i  40 17" xfId="15081"/>
    <cellStyle name="Ç¥ÁØ_5-1±¤°í  40 17" xfId="15082"/>
    <cellStyle name="C￥AØ_5-1±¤°i  40 18" xfId="15083"/>
    <cellStyle name="Ç¥ÁØ_5-1±¤°í  40 18" xfId="15084"/>
    <cellStyle name="C￥AØ_5-1±¤°i  40 19" xfId="15085"/>
    <cellStyle name="Ç¥ÁØ_5-1±¤°í  40 19" xfId="15086"/>
    <cellStyle name="C￥AØ_5-1±¤°i  40 2" xfId="15087"/>
    <cellStyle name="Ç¥ÁØ_5-1±¤°í  40 2" xfId="15088"/>
    <cellStyle name="C￥AØ_5-1±¤°i  40 20" xfId="15089"/>
    <cellStyle name="Ç¥ÁØ_5-1±¤°í  40 20" xfId="15090"/>
    <cellStyle name="C￥AØ_5-1±¤°i  40 21" xfId="15091"/>
    <cellStyle name="Ç¥ÁØ_5-1±¤°í  40 21" xfId="15092"/>
    <cellStyle name="C￥AØ_5-1±¤°i  40 22" xfId="15093"/>
    <cellStyle name="Ç¥ÁØ_5-1±¤°í  40 22" xfId="15094"/>
    <cellStyle name="C￥AØ_5-1±¤°i  40 23" xfId="15095"/>
    <cellStyle name="Ç¥ÁØ_5-1±¤°í  40 23" xfId="15096"/>
    <cellStyle name="C￥AØ_5-1±¤°i  40 24" xfId="15097"/>
    <cellStyle name="Ç¥ÁØ_5-1±¤°í  40 24" xfId="15098"/>
    <cellStyle name="C￥AØ_5-1±¤°i  40 25" xfId="15099"/>
    <cellStyle name="Ç¥ÁØ_5-1±¤°í  40 25" xfId="15100"/>
    <cellStyle name="C￥AØ_5-1±¤°i  40 26" xfId="15101"/>
    <cellStyle name="Ç¥ÁØ_5-1±¤°í  40 26" xfId="15102"/>
    <cellStyle name="C￥AØ_5-1±¤°i  40 27" xfId="15103"/>
    <cellStyle name="Ç¥ÁØ_5-1±¤°í  40 27" xfId="15104"/>
    <cellStyle name="C￥AØ_5-1±¤°i  40 28" xfId="15105"/>
    <cellStyle name="Ç¥ÁØ_5-1±¤°í  40 28" xfId="15106"/>
    <cellStyle name="C￥AØ_5-1±¤°i  40 29" xfId="15107"/>
    <cellStyle name="Ç¥ÁØ_5-1±¤°í  40 29" xfId="15108"/>
    <cellStyle name="C￥AØ_5-1±¤°i  40 3" xfId="15109"/>
    <cellStyle name="Ç¥ÁØ_5-1±¤°í  40 3" xfId="15110"/>
    <cellStyle name="C￥AØ_5-1±¤°i  40 30" xfId="15111"/>
    <cellStyle name="Ç¥ÁØ_5-1±¤°í  40 30" xfId="15112"/>
    <cellStyle name="C￥AØ_5-1±¤°i  40 31" xfId="15113"/>
    <cellStyle name="Ç¥ÁØ_5-1±¤°í  40 31" xfId="15114"/>
    <cellStyle name="C￥AØ_5-1±¤°i  40 32" xfId="15115"/>
    <cellStyle name="Ç¥ÁØ_5-1±¤°í  40 32" xfId="15116"/>
    <cellStyle name="C￥AØ_5-1±¤°i  40 33" xfId="15117"/>
    <cellStyle name="Ç¥ÁØ_5-1±¤°í  40 33" xfId="15118"/>
    <cellStyle name="C￥AØ_5-1±¤°i  40 34" xfId="15119"/>
    <cellStyle name="Ç¥ÁØ_5-1±¤°í  40 34" xfId="15120"/>
    <cellStyle name="C￥AØ_5-1±¤°i  40 4" xfId="15121"/>
    <cellStyle name="Ç¥ÁØ_5-1±¤°í  40 4" xfId="15122"/>
    <cellStyle name="C￥AØ_5-1±¤°i  40 5" xfId="15123"/>
    <cellStyle name="Ç¥ÁØ_5-1±¤°í  40 5" xfId="15124"/>
    <cellStyle name="C￥AØ_5-1±¤°i  40 6" xfId="15125"/>
    <cellStyle name="Ç¥ÁØ_5-1±¤°í  40 6" xfId="15126"/>
    <cellStyle name="C￥AØ_5-1±¤°i  40 7" xfId="15127"/>
    <cellStyle name="Ç¥ÁØ_5-1±¤°í  40 7" xfId="15128"/>
    <cellStyle name="C￥AØ_5-1±¤°i  40 8" xfId="15129"/>
    <cellStyle name="Ç¥ÁØ_5-1±¤°í  40 8" xfId="15130"/>
    <cellStyle name="C￥AØ_5-1±¤°i  40 9" xfId="15131"/>
    <cellStyle name="Ç¥ÁØ_5-1±¤°í  40 9" xfId="15132"/>
    <cellStyle name="C￥AØ_5-1±¤°i  41" xfId="15133"/>
    <cellStyle name="Ç¥ÁØ_5-1±¤°í  41" xfId="15134"/>
    <cellStyle name="C￥AØ_5-1±¤°i  41 10" xfId="15135"/>
    <cellStyle name="Ç¥ÁØ_5-1±¤°í  41 10" xfId="15136"/>
    <cellStyle name="C￥AØ_5-1±¤°i  41 11" xfId="15137"/>
    <cellStyle name="Ç¥ÁØ_5-1±¤°í  41 11" xfId="15138"/>
    <cellStyle name="C￥AØ_5-1±¤°i  41 12" xfId="15139"/>
    <cellStyle name="Ç¥ÁØ_5-1±¤°í  41 12" xfId="15140"/>
    <cellStyle name="C￥AØ_5-1±¤°i  41 13" xfId="15141"/>
    <cellStyle name="Ç¥ÁØ_5-1±¤°í  41 13" xfId="15142"/>
    <cellStyle name="C￥AØ_5-1±¤°i  41 14" xfId="15143"/>
    <cellStyle name="Ç¥ÁØ_5-1±¤°í  41 14" xfId="15144"/>
    <cellStyle name="C￥AØ_5-1±¤°i  41 15" xfId="15145"/>
    <cellStyle name="Ç¥ÁØ_5-1±¤°í  41 15" xfId="15146"/>
    <cellStyle name="C￥AØ_5-1±¤°i  41 16" xfId="15147"/>
    <cellStyle name="Ç¥ÁØ_5-1±¤°í  41 16" xfId="15148"/>
    <cellStyle name="C￥AØ_5-1±¤°i  41 17" xfId="15149"/>
    <cellStyle name="Ç¥ÁØ_5-1±¤°í  41 17" xfId="15150"/>
    <cellStyle name="C￥AØ_5-1±¤°i  41 18" xfId="15151"/>
    <cellStyle name="Ç¥ÁØ_5-1±¤°í  41 18" xfId="15152"/>
    <cellStyle name="C￥AØ_5-1±¤°i  41 19" xfId="15153"/>
    <cellStyle name="Ç¥ÁØ_5-1±¤°í  41 19" xfId="15154"/>
    <cellStyle name="C￥AØ_5-1±¤°i  41 2" xfId="15155"/>
    <cellStyle name="Ç¥ÁØ_5-1±¤°í  41 2" xfId="15156"/>
    <cellStyle name="C￥AØ_5-1±¤°i  41 20" xfId="15157"/>
    <cellStyle name="Ç¥ÁØ_5-1±¤°í  41 20" xfId="15158"/>
    <cellStyle name="C￥AØ_5-1±¤°i  41 21" xfId="15159"/>
    <cellStyle name="Ç¥ÁØ_5-1±¤°í  41 21" xfId="15160"/>
    <cellStyle name="C￥AØ_5-1±¤°i  41 22" xfId="15161"/>
    <cellStyle name="Ç¥ÁØ_5-1±¤°í  41 22" xfId="15162"/>
    <cellStyle name="C￥AØ_5-1±¤°i  41 23" xfId="15163"/>
    <cellStyle name="Ç¥ÁØ_5-1±¤°í  41 23" xfId="15164"/>
    <cellStyle name="C￥AØ_5-1±¤°i  41 24" xfId="15165"/>
    <cellStyle name="Ç¥ÁØ_5-1±¤°í  41 24" xfId="15166"/>
    <cellStyle name="C￥AØ_5-1±¤°i  41 25" xfId="15167"/>
    <cellStyle name="Ç¥ÁØ_5-1±¤°í  41 25" xfId="15168"/>
    <cellStyle name="C￥AØ_5-1±¤°i  41 26" xfId="15169"/>
    <cellStyle name="Ç¥ÁØ_5-1±¤°í  41 26" xfId="15170"/>
    <cellStyle name="C￥AØ_5-1±¤°i  41 27" xfId="15171"/>
    <cellStyle name="Ç¥ÁØ_5-1±¤°í  41 27" xfId="15172"/>
    <cellStyle name="C￥AØ_5-1±¤°i  41 28" xfId="15173"/>
    <cellStyle name="Ç¥ÁØ_5-1±¤°í  41 28" xfId="15174"/>
    <cellStyle name="C￥AØ_5-1±¤°i  41 29" xfId="15175"/>
    <cellStyle name="Ç¥ÁØ_5-1±¤°í  41 29" xfId="15176"/>
    <cellStyle name="C￥AØ_5-1±¤°i  41 3" xfId="15177"/>
    <cellStyle name="Ç¥ÁØ_5-1±¤°í  41 3" xfId="15178"/>
    <cellStyle name="C￥AØ_5-1±¤°i  41 30" xfId="15179"/>
    <cellStyle name="Ç¥ÁØ_5-1±¤°í  41 30" xfId="15180"/>
    <cellStyle name="C￥AØ_5-1±¤°i  41 31" xfId="15181"/>
    <cellStyle name="Ç¥ÁØ_5-1±¤°í  41 31" xfId="15182"/>
    <cellStyle name="C￥AØ_5-1±¤°i  41 32" xfId="15183"/>
    <cellStyle name="Ç¥ÁØ_5-1±¤°í  41 32" xfId="15184"/>
    <cellStyle name="C￥AØ_5-1±¤°i  41 33" xfId="15185"/>
    <cellStyle name="Ç¥ÁØ_5-1±¤°í  41 33" xfId="15186"/>
    <cellStyle name="C￥AØ_5-1±¤°i  41 34" xfId="15187"/>
    <cellStyle name="Ç¥ÁØ_5-1±¤°í  41 34" xfId="15188"/>
    <cellStyle name="C￥AØ_5-1±¤°i  41 4" xfId="15189"/>
    <cellStyle name="Ç¥ÁØ_5-1±¤°í  41 4" xfId="15190"/>
    <cellStyle name="C￥AØ_5-1±¤°i  41 5" xfId="15191"/>
    <cellStyle name="Ç¥ÁØ_5-1±¤°í  41 5" xfId="15192"/>
    <cellStyle name="C￥AØ_5-1±¤°i  41 6" xfId="15193"/>
    <cellStyle name="Ç¥ÁØ_5-1±¤°í  41 6" xfId="15194"/>
    <cellStyle name="C￥AØ_5-1±¤°i  41 7" xfId="15195"/>
    <cellStyle name="Ç¥ÁØ_5-1±¤°í  41 7" xfId="15196"/>
    <cellStyle name="C￥AØ_5-1±¤°i  41 8" xfId="15197"/>
    <cellStyle name="Ç¥ÁØ_5-1±¤°í  41 8" xfId="15198"/>
    <cellStyle name="C￥AØ_5-1±¤°i  41 9" xfId="15199"/>
    <cellStyle name="Ç¥ÁØ_5-1±¤°í  41 9" xfId="15200"/>
    <cellStyle name="C￥AØ_5-1±¤°i  42" xfId="15201"/>
    <cellStyle name="Ç¥ÁØ_5-1±¤°í  42" xfId="15202"/>
    <cellStyle name="C￥AØ_5-1±¤°i  42 10" xfId="15203"/>
    <cellStyle name="Ç¥ÁØ_5-1±¤°í  42 10" xfId="15204"/>
    <cellStyle name="C￥AØ_5-1±¤°i  42 11" xfId="15205"/>
    <cellStyle name="Ç¥ÁØ_5-1±¤°í  42 11" xfId="15206"/>
    <cellStyle name="C￥AØ_5-1±¤°i  42 12" xfId="15207"/>
    <cellStyle name="Ç¥ÁØ_5-1±¤°í  42 12" xfId="15208"/>
    <cellStyle name="C￥AØ_5-1±¤°i  42 13" xfId="15209"/>
    <cellStyle name="Ç¥ÁØ_5-1±¤°í  42 13" xfId="15210"/>
    <cellStyle name="C￥AØ_5-1±¤°i  42 14" xfId="15211"/>
    <cellStyle name="Ç¥ÁØ_5-1±¤°í  42 14" xfId="15212"/>
    <cellStyle name="C￥AØ_5-1±¤°i  42 15" xfId="15213"/>
    <cellStyle name="Ç¥ÁØ_5-1±¤°í  42 15" xfId="15214"/>
    <cellStyle name="C￥AØ_5-1±¤°i  42 16" xfId="15215"/>
    <cellStyle name="Ç¥ÁØ_5-1±¤°í  42 16" xfId="15216"/>
    <cellStyle name="C￥AØ_5-1±¤°i  42 17" xfId="15217"/>
    <cellStyle name="Ç¥ÁØ_5-1±¤°í  42 17" xfId="15218"/>
    <cellStyle name="C￥AØ_5-1±¤°i  42 18" xfId="15219"/>
    <cellStyle name="Ç¥ÁØ_5-1±¤°í  42 18" xfId="15220"/>
    <cellStyle name="C￥AØ_5-1±¤°i  42 19" xfId="15221"/>
    <cellStyle name="Ç¥ÁØ_5-1±¤°í  42 19" xfId="15222"/>
    <cellStyle name="C￥AØ_5-1±¤°i  42 2" xfId="15223"/>
    <cellStyle name="Ç¥ÁØ_5-1±¤°í  42 2" xfId="15224"/>
    <cellStyle name="C￥AØ_5-1±¤°i  42 20" xfId="15225"/>
    <cellStyle name="Ç¥ÁØ_5-1±¤°í  42 20" xfId="15226"/>
    <cellStyle name="C￥AØ_5-1±¤°i  42 21" xfId="15227"/>
    <cellStyle name="Ç¥ÁØ_5-1±¤°í  42 21" xfId="15228"/>
    <cellStyle name="C￥AØ_5-1±¤°i  42 22" xfId="15229"/>
    <cellStyle name="Ç¥ÁØ_5-1±¤°í  42 22" xfId="15230"/>
    <cellStyle name="C￥AØ_5-1±¤°i  42 23" xfId="15231"/>
    <cellStyle name="Ç¥ÁØ_5-1±¤°í  42 23" xfId="15232"/>
    <cellStyle name="C￥AØ_5-1±¤°i  42 24" xfId="15233"/>
    <cellStyle name="Ç¥ÁØ_5-1±¤°í  42 24" xfId="15234"/>
    <cellStyle name="C￥AØ_5-1±¤°i  42 25" xfId="15235"/>
    <cellStyle name="Ç¥ÁØ_5-1±¤°í  42 25" xfId="15236"/>
    <cellStyle name="C￥AØ_5-1±¤°i  42 26" xfId="15237"/>
    <cellStyle name="Ç¥ÁØ_5-1±¤°í  42 26" xfId="15238"/>
    <cellStyle name="C￥AØ_5-1±¤°i  42 27" xfId="15239"/>
    <cellStyle name="Ç¥ÁØ_5-1±¤°í  42 27" xfId="15240"/>
    <cellStyle name="C￥AØ_5-1±¤°i  42 28" xfId="15241"/>
    <cellStyle name="Ç¥ÁØ_5-1±¤°í  42 28" xfId="15242"/>
    <cellStyle name="C￥AØ_5-1±¤°i  42 29" xfId="15243"/>
    <cellStyle name="Ç¥ÁØ_5-1±¤°í  42 29" xfId="15244"/>
    <cellStyle name="C￥AØ_5-1±¤°i  42 3" xfId="15245"/>
    <cellStyle name="Ç¥ÁØ_5-1±¤°í  42 3" xfId="15246"/>
    <cellStyle name="C￥AØ_5-1±¤°i  42 30" xfId="15247"/>
    <cellStyle name="Ç¥ÁØ_5-1±¤°í  42 30" xfId="15248"/>
    <cellStyle name="C￥AØ_5-1±¤°i  42 31" xfId="15249"/>
    <cellStyle name="Ç¥ÁØ_5-1±¤°í  42 31" xfId="15250"/>
    <cellStyle name="C￥AØ_5-1±¤°i  42 32" xfId="15251"/>
    <cellStyle name="Ç¥ÁØ_5-1±¤°í  42 32" xfId="15252"/>
    <cellStyle name="C￥AØ_5-1±¤°i  42 33" xfId="15253"/>
    <cellStyle name="Ç¥ÁØ_5-1±¤°í  42 33" xfId="15254"/>
    <cellStyle name="C￥AØ_5-1±¤°i  42 34" xfId="15255"/>
    <cellStyle name="Ç¥ÁØ_5-1±¤°í  42 34" xfId="15256"/>
    <cellStyle name="C￥AØ_5-1±¤°i  42 4" xfId="15257"/>
    <cellStyle name="Ç¥ÁØ_5-1±¤°í  42 4" xfId="15258"/>
    <cellStyle name="C￥AØ_5-1±¤°i  42 5" xfId="15259"/>
    <cellStyle name="Ç¥ÁØ_5-1±¤°í  42 5" xfId="15260"/>
    <cellStyle name="C￥AØ_5-1±¤°i  42 6" xfId="15261"/>
    <cellStyle name="Ç¥ÁØ_5-1±¤°í  42 6" xfId="15262"/>
    <cellStyle name="C￥AØ_5-1±¤°i  42 7" xfId="15263"/>
    <cellStyle name="Ç¥ÁØ_5-1±¤°í  42 7" xfId="15264"/>
    <cellStyle name="C￥AØ_5-1±¤°i  42 8" xfId="15265"/>
    <cellStyle name="Ç¥ÁØ_5-1±¤°í  42 8" xfId="15266"/>
    <cellStyle name="C￥AØ_5-1±¤°i  42 9" xfId="15267"/>
    <cellStyle name="Ç¥ÁØ_5-1±¤°í  42 9" xfId="15268"/>
    <cellStyle name="C￥AØ_5-1±¤°i  43" xfId="15269"/>
    <cellStyle name="Ç¥ÁØ_5-1±¤°í  43" xfId="15270"/>
    <cellStyle name="C￥AØ_5-1±¤°i  43 10" xfId="15271"/>
    <cellStyle name="Ç¥ÁØ_5-1±¤°í  43 10" xfId="15272"/>
    <cellStyle name="C￥AØ_5-1±¤°i  43 11" xfId="15273"/>
    <cellStyle name="Ç¥ÁØ_5-1±¤°í  43 11" xfId="15274"/>
    <cellStyle name="C￥AØ_5-1±¤°i  43 12" xfId="15275"/>
    <cellStyle name="Ç¥ÁØ_5-1±¤°í  43 12" xfId="15276"/>
    <cellStyle name="C￥AØ_5-1±¤°i  43 13" xfId="15277"/>
    <cellStyle name="Ç¥ÁØ_5-1±¤°í  43 13" xfId="15278"/>
    <cellStyle name="C￥AØ_5-1±¤°i  43 14" xfId="15279"/>
    <cellStyle name="Ç¥ÁØ_5-1±¤°í  43 14" xfId="15280"/>
    <cellStyle name="C￥AØ_5-1±¤°i  43 15" xfId="15281"/>
    <cellStyle name="Ç¥ÁØ_5-1±¤°í  43 15" xfId="15282"/>
    <cellStyle name="C￥AØ_5-1±¤°i  43 16" xfId="15283"/>
    <cellStyle name="Ç¥ÁØ_5-1±¤°í  43 16" xfId="15284"/>
    <cellStyle name="C￥AØ_5-1±¤°i  43 17" xfId="15285"/>
    <cellStyle name="Ç¥ÁØ_5-1±¤°í  43 17" xfId="15286"/>
    <cellStyle name="C￥AØ_5-1±¤°i  43 18" xfId="15287"/>
    <cellStyle name="Ç¥ÁØ_5-1±¤°í  43 18" xfId="15288"/>
    <cellStyle name="C￥AØ_5-1±¤°i  43 19" xfId="15289"/>
    <cellStyle name="Ç¥ÁØ_5-1±¤°í  43 19" xfId="15290"/>
    <cellStyle name="C￥AØ_5-1±¤°i  43 2" xfId="15291"/>
    <cellStyle name="Ç¥ÁØ_5-1±¤°í  43 2" xfId="15292"/>
    <cellStyle name="C￥AØ_5-1±¤°i  43 20" xfId="15293"/>
    <cellStyle name="Ç¥ÁØ_5-1±¤°í  43 20" xfId="15294"/>
    <cellStyle name="C￥AØ_5-1±¤°i  43 21" xfId="15295"/>
    <cellStyle name="Ç¥ÁØ_5-1±¤°í  43 21" xfId="15296"/>
    <cellStyle name="C￥AØ_5-1±¤°i  43 22" xfId="15297"/>
    <cellStyle name="Ç¥ÁØ_5-1±¤°í  43 22" xfId="15298"/>
    <cellStyle name="C￥AØ_5-1±¤°i  43 23" xfId="15299"/>
    <cellStyle name="Ç¥ÁØ_5-1±¤°í  43 23" xfId="15300"/>
    <cellStyle name="C￥AØ_5-1±¤°i  43 24" xfId="15301"/>
    <cellStyle name="Ç¥ÁØ_5-1±¤°í  43 24" xfId="15302"/>
    <cellStyle name="C￥AØ_5-1±¤°i  43 25" xfId="15303"/>
    <cellStyle name="Ç¥ÁØ_5-1±¤°í  43 25" xfId="15304"/>
    <cellStyle name="C￥AØ_5-1±¤°i  43 26" xfId="15305"/>
    <cellStyle name="Ç¥ÁØ_5-1±¤°í  43 26" xfId="15306"/>
    <cellStyle name="C￥AØ_5-1±¤°i  43 27" xfId="15307"/>
    <cellStyle name="Ç¥ÁØ_5-1±¤°í  43 27" xfId="15308"/>
    <cellStyle name="C￥AØ_5-1±¤°i  43 28" xfId="15309"/>
    <cellStyle name="Ç¥ÁØ_5-1±¤°í  43 28" xfId="15310"/>
    <cellStyle name="C￥AØ_5-1±¤°i  43 29" xfId="15311"/>
    <cellStyle name="Ç¥ÁØ_5-1±¤°í  43 29" xfId="15312"/>
    <cellStyle name="C￥AØ_5-1±¤°i  43 3" xfId="15313"/>
    <cellStyle name="Ç¥ÁØ_5-1±¤°í  43 3" xfId="15314"/>
    <cellStyle name="C￥AØ_5-1±¤°i  43 30" xfId="15315"/>
    <cellStyle name="Ç¥ÁØ_5-1±¤°í  43 30" xfId="15316"/>
    <cellStyle name="C￥AØ_5-1±¤°i  43 31" xfId="15317"/>
    <cellStyle name="Ç¥ÁØ_5-1±¤°í  43 31" xfId="15318"/>
    <cellStyle name="C￥AØ_5-1±¤°i  43 32" xfId="15319"/>
    <cellStyle name="Ç¥ÁØ_5-1±¤°í  43 32" xfId="15320"/>
    <cellStyle name="C￥AØ_5-1±¤°i  43 33" xfId="15321"/>
    <cellStyle name="Ç¥ÁØ_5-1±¤°í  43 33" xfId="15322"/>
    <cellStyle name="C￥AØ_5-1±¤°i  43 34" xfId="15323"/>
    <cellStyle name="Ç¥ÁØ_5-1±¤°í  43 34" xfId="15324"/>
    <cellStyle name="C￥AØ_5-1±¤°i  43 4" xfId="15325"/>
    <cellStyle name="Ç¥ÁØ_5-1±¤°í  43 4" xfId="15326"/>
    <cellStyle name="C￥AØ_5-1±¤°i  43 5" xfId="15327"/>
    <cellStyle name="Ç¥ÁØ_5-1±¤°í  43 5" xfId="15328"/>
    <cellStyle name="C￥AØ_5-1±¤°i  43 6" xfId="15329"/>
    <cellStyle name="Ç¥ÁØ_5-1±¤°í  43 6" xfId="15330"/>
    <cellStyle name="C￥AØ_5-1±¤°i  43 7" xfId="15331"/>
    <cellStyle name="Ç¥ÁØ_5-1±¤°í  43 7" xfId="15332"/>
    <cellStyle name="C￥AØ_5-1±¤°i  43 8" xfId="15333"/>
    <cellStyle name="Ç¥ÁØ_5-1±¤°í  43 8" xfId="15334"/>
    <cellStyle name="C￥AØ_5-1±¤°i  43 9" xfId="15335"/>
    <cellStyle name="Ç¥ÁØ_5-1±¤°í  43 9" xfId="15336"/>
    <cellStyle name="C￥AØ_5-1±¤°i  5" xfId="15337"/>
    <cellStyle name="Ç¥ÁØ_5-1±¤°í  5" xfId="15338"/>
    <cellStyle name="C￥AØ_5-1±¤°i  5 10" xfId="15339"/>
    <cellStyle name="Ç¥ÁØ_5-1±¤°í  5 10" xfId="15340"/>
    <cellStyle name="C￥AØ_5-1±¤°i  5 11" xfId="15341"/>
    <cellStyle name="Ç¥ÁØ_5-1±¤°í  5 11" xfId="15342"/>
    <cellStyle name="C￥AØ_5-1±¤°i  5 12" xfId="15343"/>
    <cellStyle name="Ç¥ÁØ_5-1±¤°í  5 12" xfId="15344"/>
    <cellStyle name="C￥AØ_5-1±¤°i  5 13" xfId="15345"/>
    <cellStyle name="Ç¥ÁØ_5-1±¤°í  5 13" xfId="15346"/>
    <cellStyle name="C￥AØ_5-1±¤°i  5 14" xfId="15347"/>
    <cellStyle name="Ç¥ÁØ_5-1±¤°í  5 14" xfId="15348"/>
    <cellStyle name="C￥AØ_5-1±¤°i  5 15" xfId="15349"/>
    <cellStyle name="Ç¥ÁØ_5-1±¤°í  5 15" xfId="15350"/>
    <cellStyle name="C￥AØ_5-1±¤°i  5 16" xfId="15351"/>
    <cellStyle name="Ç¥ÁØ_5-1±¤°í  5 16" xfId="15352"/>
    <cellStyle name="C￥AØ_5-1±¤°i  5 17" xfId="15353"/>
    <cellStyle name="Ç¥ÁØ_5-1±¤°í  5 17" xfId="15354"/>
    <cellStyle name="C￥AØ_5-1±¤°i  5 18" xfId="15355"/>
    <cellStyle name="Ç¥ÁØ_5-1±¤°í  5 18" xfId="15356"/>
    <cellStyle name="C￥AØ_5-1±¤°i  5 19" xfId="15357"/>
    <cellStyle name="Ç¥ÁØ_5-1±¤°í  5 19" xfId="15358"/>
    <cellStyle name="C￥AØ_5-1±¤°i  5 2" xfId="15359"/>
    <cellStyle name="Ç¥ÁØ_5-1±¤°í  5 2" xfId="15360"/>
    <cellStyle name="C￥AØ_5-1±¤°i  5 20" xfId="15361"/>
    <cellStyle name="Ç¥ÁØ_5-1±¤°í  5 20" xfId="15362"/>
    <cellStyle name="C￥AØ_5-1±¤°i  5 21" xfId="15363"/>
    <cellStyle name="Ç¥ÁØ_5-1±¤°í  5 21" xfId="15364"/>
    <cellStyle name="C￥AØ_5-1±¤°i  5 22" xfId="15365"/>
    <cellStyle name="Ç¥ÁØ_5-1±¤°í  5 22" xfId="15366"/>
    <cellStyle name="C￥AØ_5-1±¤°i  5 23" xfId="15367"/>
    <cellStyle name="Ç¥ÁØ_5-1±¤°í  5 23" xfId="15368"/>
    <cellStyle name="C￥AØ_5-1±¤°i  5 24" xfId="15369"/>
    <cellStyle name="Ç¥ÁØ_5-1±¤°í  5 24" xfId="15370"/>
    <cellStyle name="C￥AØ_5-1±¤°i  5 25" xfId="15371"/>
    <cellStyle name="Ç¥ÁØ_5-1±¤°í  5 25" xfId="15372"/>
    <cellStyle name="C￥AØ_5-1±¤°i  5 26" xfId="15373"/>
    <cellStyle name="Ç¥ÁØ_5-1±¤°í  5 26" xfId="15374"/>
    <cellStyle name="C￥AØ_5-1±¤°i  5 27" xfId="15375"/>
    <cellStyle name="Ç¥ÁØ_5-1±¤°í  5 27" xfId="15376"/>
    <cellStyle name="C￥AØ_5-1±¤°i  5 28" xfId="15377"/>
    <cellStyle name="Ç¥ÁØ_5-1±¤°í  5 28" xfId="15378"/>
    <cellStyle name="C￥AØ_5-1±¤°i  5 29" xfId="15379"/>
    <cellStyle name="Ç¥ÁØ_5-1±¤°í  5 29" xfId="15380"/>
    <cellStyle name="C￥AØ_5-1±¤°i  5 3" xfId="15381"/>
    <cellStyle name="Ç¥ÁØ_5-1±¤°í  5 3" xfId="15382"/>
    <cellStyle name="C￥AØ_5-1±¤°i  5 30" xfId="15383"/>
    <cellStyle name="Ç¥ÁØ_5-1±¤°í  5 30" xfId="15384"/>
    <cellStyle name="C￥AØ_5-1±¤°i  5 31" xfId="15385"/>
    <cellStyle name="Ç¥ÁØ_5-1±¤°í  5 31" xfId="15386"/>
    <cellStyle name="C￥AØ_5-1±¤°i  5 32" xfId="15387"/>
    <cellStyle name="Ç¥ÁØ_5-1±¤°í  5 32" xfId="15388"/>
    <cellStyle name="C￥AØ_5-1±¤°i  5 33" xfId="15389"/>
    <cellStyle name="Ç¥ÁØ_5-1±¤°í  5 33" xfId="15390"/>
    <cellStyle name="C￥AØ_5-1±¤°i  5 34" xfId="15391"/>
    <cellStyle name="Ç¥ÁØ_5-1±¤°í  5 34" xfId="15392"/>
    <cellStyle name="C￥AØ_5-1±¤°i  5 4" xfId="15393"/>
    <cellStyle name="Ç¥ÁØ_5-1±¤°í  5 4" xfId="15394"/>
    <cellStyle name="C￥AØ_5-1±¤°i  5 5" xfId="15395"/>
    <cellStyle name="Ç¥ÁØ_5-1±¤°í  5 5" xfId="15396"/>
    <cellStyle name="C￥AØ_5-1±¤°i  5 6" xfId="15397"/>
    <cellStyle name="Ç¥ÁØ_5-1±¤°í  5 6" xfId="15398"/>
    <cellStyle name="C￥AØ_5-1±¤°i  5 7" xfId="15399"/>
    <cellStyle name="Ç¥ÁØ_5-1±¤°í  5 7" xfId="15400"/>
    <cellStyle name="C￥AØ_5-1±¤°i  5 8" xfId="15401"/>
    <cellStyle name="Ç¥ÁØ_5-1±¤°í  5 8" xfId="15402"/>
    <cellStyle name="C￥AØ_5-1±¤°i  5 9" xfId="15403"/>
    <cellStyle name="Ç¥ÁØ_5-1±¤°í  5 9" xfId="15404"/>
    <cellStyle name="C￥AØ_5-1±¤°i  6" xfId="15405"/>
    <cellStyle name="Ç¥ÁØ_5-1±¤°í  6" xfId="15406"/>
    <cellStyle name="C￥AØ_5-1±¤°i  6 10" xfId="15407"/>
    <cellStyle name="Ç¥ÁØ_5-1±¤°í  6 10" xfId="15408"/>
    <cellStyle name="C￥AØ_5-1±¤°i  6 11" xfId="15409"/>
    <cellStyle name="Ç¥ÁØ_5-1±¤°í  6 11" xfId="15410"/>
    <cellStyle name="C￥AØ_5-1±¤°i  6 12" xfId="15411"/>
    <cellStyle name="Ç¥ÁØ_5-1±¤°í  6 12" xfId="15412"/>
    <cellStyle name="C￥AØ_5-1±¤°i  6 13" xfId="15413"/>
    <cellStyle name="Ç¥ÁØ_5-1±¤°í  6 13" xfId="15414"/>
    <cellStyle name="C￥AØ_5-1±¤°i  6 14" xfId="15415"/>
    <cellStyle name="Ç¥ÁØ_5-1±¤°í  6 14" xfId="15416"/>
    <cellStyle name="C￥AØ_5-1±¤°i  6 15" xfId="15417"/>
    <cellStyle name="Ç¥ÁØ_5-1±¤°í  6 15" xfId="15418"/>
    <cellStyle name="C￥AØ_5-1±¤°i  6 16" xfId="15419"/>
    <cellStyle name="Ç¥ÁØ_5-1±¤°í  6 16" xfId="15420"/>
    <cellStyle name="C￥AØ_5-1±¤°i  6 17" xfId="15421"/>
    <cellStyle name="Ç¥ÁØ_5-1±¤°í  6 17" xfId="15422"/>
    <cellStyle name="C￥AØ_5-1±¤°i  6 18" xfId="15423"/>
    <cellStyle name="Ç¥ÁØ_5-1±¤°í  6 18" xfId="15424"/>
    <cellStyle name="C￥AØ_5-1±¤°i  6 19" xfId="15425"/>
    <cellStyle name="Ç¥ÁØ_5-1±¤°í  6 19" xfId="15426"/>
    <cellStyle name="C￥AØ_5-1±¤°i  6 2" xfId="15427"/>
    <cellStyle name="Ç¥ÁØ_5-1±¤°í  6 2" xfId="15428"/>
    <cellStyle name="C￥AØ_5-1±¤°i  6 20" xfId="15429"/>
    <cellStyle name="Ç¥ÁØ_5-1±¤°í  6 20" xfId="15430"/>
    <cellStyle name="C￥AØ_5-1±¤°i  6 21" xfId="15431"/>
    <cellStyle name="Ç¥ÁØ_5-1±¤°í  6 21" xfId="15432"/>
    <cellStyle name="C￥AØ_5-1±¤°i  6 22" xfId="15433"/>
    <cellStyle name="Ç¥ÁØ_5-1±¤°í  6 22" xfId="15434"/>
    <cellStyle name="C￥AØ_5-1±¤°i  6 23" xfId="15435"/>
    <cellStyle name="Ç¥ÁØ_5-1±¤°í  6 23" xfId="15436"/>
    <cellStyle name="C￥AØ_5-1±¤°i  6 24" xfId="15437"/>
    <cellStyle name="Ç¥ÁØ_5-1±¤°í  6 24" xfId="15438"/>
    <cellStyle name="C￥AØ_5-1±¤°i  6 25" xfId="15439"/>
    <cellStyle name="Ç¥ÁØ_5-1±¤°í  6 25" xfId="15440"/>
    <cellStyle name="C￥AØ_5-1±¤°i  6 26" xfId="15441"/>
    <cellStyle name="Ç¥ÁØ_5-1±¤°í  6 26" xfId="15442"/>
    <cellStyle name="C￥AØ_5-1±¤°i  6 27" xfId="15443"/>
    <cellStyle name="Ç¥ÁØ_5-1±¤°í  6 27" xfId="15444"/>
    <cellStyle name="C￥AØ_5-1±¤°i  6 28" xfId="15445"/>
    <cellStyle name="Ç¥ÁØ_5-1±¤°í  6 28" xfId="15446"/>
    <cellStyle name="C￥AØ_5-1±¤°i  6 29" xfId="15447"/>
    <cellStyle name="Ç¥ÁØ_5-1±¤°í  6 29" xfId="15448"/>
    <cellStyle name="C￥AØ_5-1±¤°i  6 3" xfId="15449"/>
    <cellStyle name="Ç¥ÁØ_5-1±¤°í  6 3" xfId="15450"/>
    <cellStyle name="C￥AØ_5-1±¤°i  6 30" xfId="15451"/>
    <cellStyle name="Ç¥ÁØ_5-1±¤°í  6 30" xfId="15452"/>
    <cellStyle name="C￥AØ_5-1±¤°i  6 31" xfId="15453"/>
    <cellStyle name="Ç¥ÁØ_5-1±¤°í  6 31" xfId="15454"/>
    <cellStyle name="C￥AØ_5-1±¤°i  6 32" xfId="15455"/>
    <cellStyle name="Ç¥ÁØ_5-1±¤°í  6 32" xfId="15456"/>
    <cellStyle name="C￥AØ_5-1±¤°i  6 33" xfId="15457"/>
    <cellStyle name="Ç¥ÁØ_5-1±¤°í  6 33" xfId="15458"/>
    <cellStyle name="C￥AØ_5-1±¤°i  6 34" xfId="15459"/>
    <cellStyle name="Ç¥ÁØ_5-1±¤°í  6 34" xfId="15460"/>
    <cellStyle name="C￥AØ_5-1±¤°i  6 4" xfId="15461"/>
    <cellStyle name="Ç¥ÁØ_5-1±¤°í  6 4" xfId="15462"/>
    <cellStyle name="C￥AØ_5-1±¤°i  6 5" xfId="15463"/>
    <cellStyle name="Ç¥ÁØ_5-1±¤°í  6 5" xfId="15464"/>
    <cellStyle name="C￥AØ_5-1±¤°i  6 6" xfId="15465"/>
    <cellStyle name="Ç¥ÁØ_5-1±¤°í  6 6" xfId="15466"/>
    <cellStyle name="C￥AØ_5-1±¤°i  6 7" xfId="15467"/>
    <cellStyle name="Ç¥ÁØ_5-1±¤°í  6 7" xfId="15468"/>
    <cellStyle name="C￥AØ_5-1±¤°i  6 8" xfId="15469"/>
    <cellStyle name="Ç¥ÁØ_5-1±¤°í  6 8" xfId="15470"/>
    <cellStyle name="C￥AØ_5-1±¤°i  6 9" xfId="15471"/>
    <cellStyle name="Ç¥ÁØ_5-1±¤°í  6 9" xfId="15472"/>
    <cellStyle name="C￥AØ_5-1±¤°i  7" xfId="15473"/>
    <cellStyle name="Ç¥ÁØ_5-1±¤°í  7" xfId="15474"/>
    <cellStyle name="C￥AØ_5-1±¤°i  7 10" xfId="15475"/>
    <cellStyle name="Ç¥ÁØ_5-1±¤°í  7 10" xfId="15476"/>
    <cellStyle name="C￥AØ_5-1±¤°i  7 11" xfId="15477"/>
    <cellStyle name="Ç¥ÁØ_5-1±¤°í  7 11" xfId="15478"/>
    <cellStyle name="C￥AØ_5-1±¤°i  7 12" xfId="15479"/>
    <cellStyle name="Ç¥ÁØ_5-1±¤°í  7 12" xfId="15480"/>
    <cellStyle name="C￥AØ_5-1±¤°i  7 13" xfId="15481"/>
    <cellStyle name="Ç¥ÁØ_5-1±¤°í  7 13" xfId="15482"/>
    <cellStyle name="C￥AØ_5-1±¤°i  7 14" xfId="15483"/>
    <cellStyle name="Ç¥ÁØ_5-1±¤°í  7 14" xfId="15484"/>
    <cellStyle name="C￥AØ_5-1±¤°i  7 15" xfId="15485"/>
    <cellStyle name="Ç¥ÁØ_5-1±¤°í  7 15" xfId="15486"/>
    <cellStyle name="C￥AØ_5-1±¤°i  7 16" xfId="15487"/>
    <cellStyle name="Ç¥ÁØ_5-1±¤°í  7 16" xfId="15488"/>
    <cellStyle name="C￥AØ_5-1±¤°i  7 17" xfId="15489"/>
    <cellStyle name="Ç¥ÁØ_5-1±¤°í  7 17" xfId="15490"/>
    <cellStyle name="C￥AØ_5-1±¤°i  7 18" xfId="15491"/>
    <cellStyle name="Ç¥ÁØ_5-1±¤°í  7 18" xfId="15492"/>
    <cellStyle name="C￥AØ_5-1±¤°i  7 19" xfId="15493"/>
    <cellStyle name="Ç¥ÁØ_5-1±¤°í  7 19" xfId="15494"/>
    <cellStyle name="C￥AØ_5-1±¤°i  7 2" xfId="15495"/>
    <cellStyle name="Ç¥ÁØ_5-1±¤°í  7 2" xfId="15496"/>
    <cellStyle name="C￥AØ_5-1±¤°i  7 20" xfId="15497"/>
    <cellStyle name="Ç¥ÁØ_5-1±¤°í  7 20" xfId="15498"/>
    <cellStyle name="C￥AØ_5-1±¤°i  7 21" xfId="15499"/>
    <cellStyle name="Ç¥ÁØ_5-1±¤°í  7 21" xfId="15500"/>
    <cellStyle name="C￥AØ_5-1±¤°i  7 22" xfId="15501"/>
    <cellStyle name="Ç¥ÁØ_5-1±¤°í  7 22" xfId="15502"/>
    <cellStyle name="C￥AØ_5-1±¤°i  7 23" xfId="15503"/>
    <cellStyle name="Ç¥ÁØ_5-1±¤°í  7 23" xfId="15504"/>
    <cellStyle name="C￥AØ_5-1±¤°i  7 24" xfId="15505"/>
    <cellStyle name="Ç¥ÁØ_5-1±¤°í  7 24" xfId="15506"/>
    <cellStyle name="C￥AØ_5-1±¤°i  7 25" xfId="15507"/>
    <cellStyle name="Ç¥ÁØ_5-1±¤°í  7 25" xfId="15508"/>
    <cellStyle name="C￥AØ_5-1±¤°i  7 26" xfId="15509"/>
    <cellStyle name="Ç¥ÁØ_5-1±¤°í  7 26" xfId="15510"/>
    <cellStyle name="C￥AØ_5-1±¤°i  7 27" xfId="15511"/>
    <cellStyle name="Ç¥ÁØ_5-1±¤°í  7 27" xfId="15512"/>
    <cellStyle name="C￥AØ_5-1±¤°i  7 28" xfId="15513"/>
    <cellStyle name="Ç¥ÁØ_5-1±¤°í  7 28" xfId="15514"/>
    <cellStyle name="C￥AØ_5-1±¤°i  7 29" xfId="15515"/>
    <cellStyle name="Ç¥ÁØ_5-1±¤°í  7 29" xfId="15516"/>
    <cellStyle name="C￥AØ_5-1±¤°i  7 3" xfId="15517"/>
    <cellStyle name="Ç¥ÁØ_5-1±¤°í  7 3" xfId="15518"/>
    <cellStyle name="C￥AØ_5-1±¤°i  7 30" xfId="15519"/>
    <cellStyle name="Ç¥ÁØ_5-1±¤°í  7 30" xfId="15520"/>
    <cellStyle name="C￥AØ_5-1±¤°i  7 31" xfId="15521"/>
    <cellStyle name="Ç¥ÁØ_5-1±¤°í  7 31" xfId="15522"/>
    <cellStyle name="C￥AØ_5-1±¤°i  7 32" xfId="15523"/>
    <cellStyle name="Ç¥ÁØ_5-1±¤°í  7 32" xfId="15524"/>
    <cellStyle name="C￥AØ_5-1±¤°i  7 33" xfId="15525"/>
    <cellStyle name="Ç¥ÁØ_5-1±¤°í  7 33" xfId="15526"/>
    <cellStyle name="C￥AØ_5-1±¤°i  7 34" xfId="15527"/>
    <cellStyle name="Ç¥ÁØ_5-1±¤°í  7 34" xfId="15528"/>
    <cellStyle name="C￥AØ_5-1±¤°i  7 4" xfId="15529"/>
    <cellStyle name="Ç¥ÁØ_5-1±¤°í  7 4" xfId="15530"/>
    <cellStyle name="C￥AØ_5-1±¤°i  7 5" xfId="15531"/>
    <cellStyle name="Ç¥ÁØ_5-1±¤°í  7 5" xfId="15532"/>
    <cellStyle name="C￥AØ_5-1±¤°i  7 6" xfId="15533"/>
    <cellStyle name="Ç¥ÁØ_5-1±¤°í  7 6" xfId="15534"/>
    <cellStyle name="C￥AØ_5-1±¤°i  7 7" xfId="15535"/>
    <cellStyle name="Ç¥ÁØ_5-1±¤°í  7 7" xfId="15536"/>
    <cellStyle name="C￥AØ_5-1±¤°i  7 8" xfId="15537"/>
    <cellStyle name="Ç¥ÁØ_5-1±¤°í  7 8" xfId="15538"/>
    <cellStyle name="C￥AØ_5-1±¤°i  7 9" xfId="15539"/>
    <cellStyle name="Ç¥ÁØ_5-1±¤°í  7 9" xfId="15540"/>
    <cellStyle name="C￥AØ_5-1±¤°i  8" xfId="15541"/>
    <cellStyle name="Ç¥ÁØ_5-1±¤°í  8" xfId="15542"/>
    <cellStyle name="C￥AØ_5-1±¤°i  8 10" xfId="15543"/>
    <cellStyle name="Ç¥ÁØ_5-1±¤°í  8 10" xfId="15544"/>
    <cellStyle name="C￥AØ_5-1±¤°i  8 11" xfId="15545"/>
    <cellStyle name="Ç¥ÁØ_5-1±¤°í  8 11" xfId="15546"/>
    <cellStyle name="C￥AØ_5-1±¤°i  8 12" xfId="15547"/>
    <cellStyle name="Ç¥ÁØ_5-1±¤°í  8 12" xfId="15548"/>
    <cellStyle name="C￥AØ_5-1±¤°i  8 13" xfId="15549"/>
    <cellStyle name="Ç¥ÁØ_5-1±¤°í  8 13" xfId="15550"/>
    <cellStyle name="C￥AØ_5-1±¤°i  8 14" xfId="15551"/>
    <cellStyle name="Ç¥ÁØ_5-1±¤°í  8 14" xfId="15552"/>
    <cellStyle name="C￥AØ_5-1±¤°i  8 15" xfId="15553"/>
    <cellStyle name="Ç¥ÁØ_5-1±¤°í  8 15" xfId="15554"/>
    <cellStyle name="C￥AØ_5-1±¤°i  8 16" xfId="15555"/>
    <cellStyle name="Ç¥ÁØ_5-1±¤°í  8 16" xfId="15556"/>
    <cellStyle name="C￥AØ_5-1±¤°i  8 17" xfId="15557"/>
    <cellStyle name="Ç¥ÁØ_5-1±¤°í  8 17" xfId="15558"/>
    <cellStyle name="C￥AØ_5-1±¤°i  8 18" xfId="15559"/>
    <cellStyle name="Ç¥ÁØ_5-1±¤°í  8 18" xfId="15560"/>
    <cellStyle name="C￥AØ_5-1±¤°i  8 19" xfId="15561"/>
    <cellStyle name="Ç¥ÁØ_5-1±¤°í  8 19" xfId="15562"/>
    <cellStyle name="C￥AØ_5-1±¤°i  8 2" xfId="15563"/>
    <cellStyle name="Ç¥ÁØ_5-1±¤°í  8 2" xfId="15564"/>
    <cellStyle name="C￥AØ_5-1±¤°i  8 20" xfId="15565"/>
    <cellStyle name="Ç¥ÁØ_5-1±¤°í  8 20" xfId="15566"/>
    <cellStyle name="C￥AØ_5-1±¤°i  8 21" xfId="15567"/>
    <cellStyle name="Ç¥ÁØ_5-1±¤°í  8 21" xfId="15568"/>
    <cellStyle name="C￥AØ_5-1±¤°i  8 22" xfId="15569"/>
    <cellStyle name="Ç¥ÁØ_5-1±¤°í  8 22" xfId="15570"/>
    <cellStyle name="C￥AØ_5-1±¤°i  8 23" xfId="15571"/>
    <cellStyle name="Ç¥ÁØ_5-1±¤°í  8 23" xfId="15572"/>
    <cellStyle name="C￥AØ_5-1±¤°i  8 24" xfId="15573"/>
    <cellStyle name="Ç¥ÁØ_5-1±¤°í  8 24" xfId="15574"/>
    <cellStyle name="C￥AØ_5-1±¤°i  8 25" xfId="15575"/>
    <cellStyle name="Ç¥ÁØ_5-1±¤°í  8 25" xfId="15576"/>
    <cellStyle name="C￥AØ_5-1±¤°i  8 26" xfId="15577"/>
    <cellStyle name="Ç¥ÁØ_5-1±¤°í  8 26" xfId="15578"/>
    <cellStyle name="C￥AØ_5-1±¤°i  8 27" xfId="15579"/>
    <cellStyle name="Ç¥ÁØ_5-1±¤°í  8 27" xfId="15580"/>
    <cellStyle name="C￥AØ_5-1±¤°i  8 28" xfId="15581"/>
    <cellStyle name="Ç¥ÁØ_5-1±¤°í  8 28" xfId="15582"/>
    <cellStyle name="C￥AØ_5-1±¤°i  8 29" xfId="15583"/>
    <cellStyle name="Ç¥ÁØ_5-1±¤°í  8 29" xfId="15584"/>
    <cellStyle name="C￥AØ_5-1±¤°i  8 3" xfId="15585"/>
    <cellStyle name="Ç¥ÁØ_5-1±¤°í  8 3" xfId="15586"/>
    <cellStyle name="C￥AØ_5-1±¤°i  8 30" xfId="15587"/>
    <cellStyle name="Ç¥ÁØ_5-1±¤°í  8 30" xfId="15588"/>
    <cellStyle name="C￥AØ_5-1±¤°i  8 31" xfId="15589"/>
    <cellStyle name="Ç¥ÁØ_5-1±¤°í  8 31" xfId="15590"/>
    <cellStyle name="C￥AØ_5-1±¤°i  8 32" xfId="15591"/>
    <cellStyle name="Ç¥ÁØ_5-1±¤°í  8 32" xfId="15592"/>
    <cellStyle name="C￥AØ_5-1±¤°i  8 33" xfId="15593"/>
    <cellStyle name="Ç¥ÁØ_5-1±¤°í  8 33" xfId="15594"/>
    <cellStyle name="C￥AØ_5-1±¤°i  8 34" xfId="15595"/>
    <cellStyle name="Ç¥ÁØ_5-1±¤°í  8 34" xfId="15596"/>
    <cellStyle name="C￥AØ_5-1±¤°i  8 4" xfId="15597"/>
    <cellStyle name="Ç¥ÁØ_5-1±¤°í  8 4" xfId="15598"/>
    <cellStyle name="C￥AØ_5-1±¤°i  8 5" xfId="15599"/>
    <cellStyle name="Ç¥ÁØ_5-1±¤°í  8 5" xfId="15600"/>
    <cellStyle name="C￥AØ_5-1±¤°i  8 6" xfId="15601"/>
    <cellStyle name="Ç¥ÁØ_5-1±¤°í  8 6" xfId="15602"/>
    <cellStyle name="C￥AØ_5-1±¤°i  8 7" xfId="15603"/>
    <cellStyle name="Ç¥ÁØ_5-1±¤°í  8 7" xfId="15604"/>
    <cellStyle name="C￥AØ_5-1±¤°i  8 8" xfId="15605"/>
    <cellStyle name="Ç¥ÁØ_5-1±¤°í  8 8" xfId="15606"/>
    <cellStyle name="C￥AØ_5-1±¤°i  8 9" xfId="15607"/>
    <cellStyle name="Ç¥ÁØ_5-1±¤°í  8 9" xfId="15608"/>
    <cellStyle name="C￥AØ_5-1±¤°i  9" xfId="15609"/>
    <cellStyle name="Ç¥ÁØ_5-1±¤°í  9" xfId="15610"/>
    <cellStyle name="C￥AØ_5-1±¤°i  9 10" xfId="15611"/>
    <cellStyle name="Ç¥ÁØ_5-1±¤°í  9 10" xfId="15612"/>
    <cellStyle name="C￥AØ_5-1±¤°i  9 11" xfId="15613"/>
    <cellStyle name="Ç¥ÁØ_5-1±¤°í  9 11" xfId="15614"/>
    <cellStyle name="C￥AØ_5-1±¤°i  9 12" xfId="15615"/>
    <cellStyle name="Ç¥ÁØ_5-1±¤°í  9 12" xfId="15616"/>
    <cellStyle name="C￥AØ_5-1±¤°i  9 13" xfId="15617"/>
    <cellStyle name="Ç¥ÁØ_5-1±¤°í  9 13" xfId="15618"/>
    <cellStyle name="C￥AØ_5-1±¤°i  9 14" xfId="15619"/>
    <cellStyle name="Ç¥ÁØ_5-1±¤°í  9 14" xfId="15620"/>
    <cellStyle name="C￥AØ_5-1±¤°i  9 15" xfId="15621"/>
    <cellStyle name="Ç¥ÁØ_5-1±¤°í  9 15" xfId="15622"/>
    <cellStyle name="C￥AØ_5-1±¤°i  9 16" xfId="15623"/>
    <cellStyle name="Ç¥ÁØ_5-1±¤°í  9 16" xfId="15624"/>
    <cellStyle name="C￥AØ_5-1±¤°i  9 17" xfId="15625"/>
    <cellStyle name="Ç¥ÁØ_5-1±¤°í  9 17" xfId="15626"/>
    <cellStyle name="C￥AØ_5-1±¤°i  9 18" xfId="15627"/>
    <cellStyle name="Ç¥ÁØ_5-1±¤°í  9 18" xfId="15628"/>
    <cellStyle name="C￥AØ_5-1±¤°i  9 19" xfId="15629"/>
    <cellStyle name="Ç¥ÁØ_5-1±¤°í  9 19" xfId="15630"/>
    <cellStyle name="C￥AØ_5-1±¤°i  9 2" xfId="15631"/>
    <cellStyle name="Ç¥ÁØ_5-1±¤°í  9 2" xfId="15632"/>
    <cellStyle name="C￥AØ_5-1±¤°i  9 20" xfId="15633"/>
    <cellStyle name="Ç¥ÁØ_5-1±¤°í  9 20" xfId="15634"/>
    <cellStyle name="C￥AØ_5-1±¤°i  9 21" xfId="15635"/>
    <cellStyle name="Ç¥ÁØ_5-1±¤°í  9 21" xfId="15636"/>
    <cellStyle name="C￥AØ_5-1±¤°i  9 22" xfId="15637"/>
    <cellStyle name="Ç¥ÁØ_5-1±¤°í  9 22" xfId="15638"/>
    <cellStyle name="C￥AØ_5-1±¤°i  9 23" xfId="15639"/>
    <cellStyle name="Ç¥ÁØ_5-1±¤°í  9 23" xfId="15640"/>
    <cellStyle name="C￥AØ_5-1±¤°i  9 24" xfId="15641"/>
    <cellStyle name="Ç¥ÁØ_5-1±¤°í  9 24" xfId="15642"/>
    <cellStyle name="C￥AØ_5-1±¤°i  9 25" xfId="15643"/>
    <cellStyle name="Ç¥ÁØ_5-1±¤°í  9 25" xfId="15644"/>
    <cellStyle name="C￥AØ_5-1±¤°i  9 26" xfId="15645"/>
    <cellStyle name="Ç¥ÁØ_5-1±¤°í  9 26" xfId="15646"/>
    <cellStyle name="C￥AØ_5-1±¤°i  9 27" xfId="15647"/>
    <cellStyle name="Ç¥ÁØ_5-1±¤°í  9 27" xfId="15648"/>
    <cellStyle name="C￥AØ_5-1±¤°i  9 28" xfId="15649"/>
    <cellStyle name="Ç¥ÁØ_5-1±¤°í  9 28" xfId="15650"/>
    <cellStyle name="C￥AØ_5-1±¤°i  9 29" xfId="15651"/>
    <cellStyle name="Ç¥ÁØ_5-1±¤°í  9 29" xfId="15652"/>
    <cellStyle name="C￥AØ_5-1±¤°i  9 3" xfId="15653"/>
    <cellStyle name="Ç¥ÁØ_5-1±¤°í  9 3" xfId="15654"/>
    <cellStyle name="C￥AØ_5-1±¤°i  9 30" xfId="15655"/>
    <cellStyle name="Ç¥ÁØ_5-1±¤°í  9 30" xfId="15656"/>
    <cellStyle name="C￥AØ_5-1±¤°i  9 31" xfId="15657"/>
    <cellStyle name="Ç¥ÁØ_5-1±¤°í  9 31" xfId="15658"/>
    <cellStyle name="C￥AØ_5-1±¤°i  9 32" xfId="15659"/>
    <cellStyle name="Ç¥ÁØ_5-1±¤°í  9 32" xfId="15660"/>
    <cellStyle name="C￥AØ_5-1±¤°i  9 33" xfId="15661"/>
    <cellStyle name="Ç¥ÁØ_5-1±¤°í  9 33" xfId="15662"/>
    <cellStyle name="C￥AØ_5-1±¤°i  9 34" xfId="15663"/>
    <cellStyle name="Ç¥ÁØ_5-1±¤°í  9 34" xfId="15664"/>
    <cellStyle name="C￥AØ_5-1±¤°i  9 4" xfId="15665"/>
    <cellStyle name="Ç¥ÁØ_5-1±¤°í  9 4" xfId="15666"/>
    <cellStyle name="C￥AØ_5-1±¤°i  9 5" xfId="15667"/>
    <cellStyle name="Ç¥ÁØ_5-1±¤°í  9 5" xfId="15668"/>
    <cellStyle name="C￥AØ_5-1±¤°i  9 6" xfId="15669"/>
    <cellStyle name="Ç¥ÁØ_5-1±¤°í  9 6" xfId="15670"/>
    <cellStyle name="C￥AØ_5-1±¤°i  9 7" xfId="15671"/>
    <cellStyle name="Ç¥ÁØ_5-1±¤°í  9 7" xfId="15672"/>
    <cellStyle name="C￥AØ_5-1±¤°i  9 8" xfId="15673"/>
    <cellStyle name="Ç¥ÁØ_5-1±¤°í  9 8" xfId="15674"/>
    <cellStyle name="C￥AØ_5-1±¤°i  9 9" xfId="15675"/>
    <cellStyle name="Ç¥ÁØ_5-1±¤°í  9 9" xfId="15676"/>
    <cellStyle name="C￥AØ_5-1±¤°i _6RCB1 " xfId="15677"/>
    <cellStyle name="Ç¥ÁØ_Æ¯±â3_p.mix " xfId="15678"/>
    <cellStyle name="C￥AØ_AN°y(1.25) " xfId="15679"/>
    <cellStyle name="Ç¥ÁØ_ÃßÁ¤´ëÂ÷ " xfId="15680"/>
    <cellStyle name="C￥AØ_AU±Y_1_AßA¤´eA÷ " xfId="15681"/>
    <cellStyle name="Ç¥ÁØ_ÀÚ±Ý_1_ÃßÁ¤´ëÂ÷ " xfId="15682"/>
    <cellStyle name="C￥AØ_AU±Y_AßA¤´eA÷ " xfId="15683"/>
    <cellStyle name="Ç¥ÁØ_ÀÚ±Ý_ÃßÁ¤´ëÂ÷ " xfId="15684"/>
    <cellStyle name="C￥AØ_Ay°eC￥(2¿u) " xfId="15685"/>
    <cellStyle name="Ç¥ÁØ_Áý°èÇ¥(2¿ù) " xfId="15686"/>
    <cellStyle name="C￥AØ_Ay°eC￥(2¿u)  10" xfId="15687"/>
    <cellStyle name="Ç¥ÁØ_Áý°èÇ¥(2¿ù)  10" xfId="15688"/>
    <cellStyle name="C￥AØ_Ay°eC￥(2¿u)  10 10" xfId="15689"/>
    <cellStyle name="Ç¥ÁØ_Áý°èÇ¥(2¿ù)  10 10" xfId="15690"/>
    <cellStyle name="C￥AØ_Ay°eC￥(2¿u)  10 11" xfId="15691"/>
    <cellStyle name="Ç¥ÁØ_Áý°èÇ¥(2¿ù)  10 11" xfId="15692"/>
    <cellStyle name="C￥AØ_Ay°eC￥(2¿u)  10 12" xfId="15693"/>
    <cellStyle name="Ç¥ÁØ_Áý°èÇ¥(2¿ù)  10 12" xfId="15694"/>
    <cellStyle name="C￥AØ_Ay°eC￥(2¿u)  10 13" xfId="15695"/>
    <cellStyle name="Ç¥ÁØ_Áý°èÇ¥(2¿ù)  10 13" xfId="15696"/>
    <cellStyle name="C￥AØ_Ay°eC￥(2¿u)  10 14" xfId="15697"/>
    <cellStyle name="Ç¥ÁØ_Áý°èÇ¥(2¿ù)  10 14" xfId="15698"/>
    <cellStyle name="C￥AØ_Ay°eC￥(2¿u)  10 15" xfId="15699"/>
    <cellStyle name="Ç¥ÁØ_Áý°èÇ¥(2¿ù)  10 15" xfId="15700"/>
    <cellStyle name="C￥AØ_Ay°eC￥(2¿u)  10 16" xfId="15701"/>
    <cellStyle name="Ç¥ÁØ_Áý°èÇ¥(2¿ù)  10 16" xfId="15702"/>
    <cellStyle name="C￥AØ_Ay°eC￥(2¿u)  10 17" xfId="15703"/>
    <cellStyle name="Ç¥ÁØ_Áý°èÇ¥(2¿ù)  10 17" xfId="15704"/>
    <cellStyle name="C￥AØ_Ay°eC￥(2¿u)  10 18" xfId="15705"/>
    <cellStyle name="Ç¥ÁØ_Áý°èÇ¥(2¿ù)  10 18" xfId="15706"/>
    <cellStyle name="C￥AØ_Ay°eC￥(2¿u)  10 19" xfId="15707"/>
    <cellStyle name="Ç¥ÁØ_Áý°èÇ¥(2¿ù)  10 19" xfId="15708"/>
    <cellStyle name="C￥AØ_Ay°eC￥(2¿u)  10 2" xfId="15709"/>
    <cellStyle name="Ç¥ÁØ_Áý°èÇ¥(2¿ù)  10 2" xfId="15710"/>
    <cellStyle name="C￥AØ_Ay°eC￥(2¿u)  10 20" xfId="15711"/>
    <cellStyle name="Ç¥ÁØ_Áý°èÇ¥(2¿ù)  10 20" xfId="15712"/>
    <cellStyle name="C￥AØ_Ay°eC￥(2¿u)  10 21" xfId="15713"/>
    <cellStyle name="Ç¥ÁØ_Áý°èÇ¥(2¿ù)  10 21" xfId="15714"/>
    <cellStyle name="C￥AØ_Ay°eC￥(2¿u)  10 22" xfId="15715"/>
    <cellStyle name="Ç¥ÁØ_Áý°èÇ¥(2¿ù)  10 22" xfId="15716"/>
    <cellStyle name="C￥AØ_Ay°eC￥(2¿u)  10 23" xfId="15717"/>
    <cellStyle name="Ç¥ÁØ_Áý°èÇ¥(2¿ù)  10 23" xfId="15718"/>
    <cellStyle name="C￥AØ_Ay°eC￥(2¿u)  10 24" xfId="15719"/>
    <cellStyle name="Ç¥ÁØ_Áý°èÇ¥(2¿ù)  10 24" xfId="15720"/>
    <cellStyle name="C￥AØ_Ay°eC￥(2¿u)  10 25" xfId="15721"/>
    <cellStyle name="Ç¥ÁØ_Áý°èÇ¥(2¿ù)  10 25" xfId="15722"/>
    <cellStyle name="C￥AØ_Ay°eC￥(2¿u)  10 26" xfId="15723"/>
    <cellStyle name="Ç¥ÁØ_Áý°èÇ¥(2¿ù)  10 26" xfId="15724"/>
    <cellStyle name="C￥AØ_Ay°eC￥(2¿u)  10 27" xfId="15725"/>
    <cellStyle name="Ç¥ÁØ_Áý°èÇ¥(2¿ù)  10 27" xfId="15726"/>
    <cellStyle name="C￥AØ_Ay°eC￥(2¿u)  10 28" xfId="15727"/>
    <cellStyle name="Ç¥ÁØ_Áý°èÇ¥(2¿ù)  10 28" xfId="15728"/>
    <cellStyle name="C￥AØ_Ay°eC￥(2¿u)  10 29" xfId="15729"/>
    <cellStyle name="Ç¥ÁØ_Áý°èÇ¥(2¿ù)  10 29" xfId="15730"/>
    <cellStyle name="C￥AØ_Ay°eC￥(2¿u)  10 3" xfId="15731"/>
    <cellStyle name="Ç¥ÁØ_Áý°èÇ¥(2¿ù)  10 3" xfId="15732"/>
    <cellStyle name="C￥AØ_Ay°eC￥(2¿u)  10 30" xfId="15733"/>
    <cellStyle name="Ç¥ÁØ_Áý°èÇ¥(2¿ù)  10 30" xfId="15734"/>
    <cellStyle name="C￥AØ_Ay°eC￥(2¿u)  10 31" xfId="15735"/>
    <cellStyle name="Ç¥ÁØ_Áý°èÇ¥(2¿ù)  10 31" xfId="15736"/>
    <cellStyle name="C￥AØ_Ay°eC￥(2¿u)  10 32" xfId="15737"/>
    <cellStyle name="Ç¥ÁØ_Áý°èÇ¥(2¿ù)  10 32" xfId="15738"/>
    <cellStyle name="C￥AØ_Ay°eC￥(2¿u)  10 33" xfId="15739"/>
    <cellStyle name="Ç¥ÁØ_Áý°èÇ¥(2¿ù)  10 33" xfId="15740"/>
    <cellStyle name="C￥AØ_Ay°eC￥(2¿u)  10 34" xfId="15741"/>
    <cellStyle name="Ç¥ÁØ_Áý°èÇ¥(2¿ù)  10 34" xfId="15742"/>
    <cellStyle name="C￥AØ_Ay°eC￥(2¿u)  10 4" xfId="15743"/>
    <cellStyle name="Ç¥ÁØ_Áý°èÇ¥(2¿ù)  10 4" xfId="15744"/>
    <cellStyle name="C￥AØ_Ay°eC￥(2¿u)  10 5" xfId="15745"/>
    <cellStyle name="Ç¥ÁØ_Áý°èÇ¥(2¿ù)  10 5" xfId="15746"/>
    <cellStyle name="C￥AØ_Ay°eC￥(2¿u)  10 6" xfId="15747"/>
    <cellStyle name="Ç¥ÁØ_Áý°èÇ¥(2¿ù)  10 6" xfId="15748"/>
    <cellStyle name="C￥AØ_Ay°eC￥(2¿u)  10 7" xfId="15749"/>
    <cellStyle name="Ç¥ÁØ_Áý°èÇ¥(2¿ù)  10 7" xfId="15750"/>
    <cellStyle name="C￥AØ_Ay°eC￥(2¿u)  10 8" xfId="15751"/>
    <cellStyle name="Ç¥ÁØ_Áý°èÇ¥(2¿ù)  10 8" xfId="15752"/>
    <cellStyle name="C￥AØ_Ay°eC￥(2¿u)  10 9" xfId="15753"/>
    <cellStyle name="Ç¥ÁØ_Áý°èÇ¥(2¿ù)  10 9" xfId="15754"/>
    <cellStyle name="C￥AØ_Ay°eC￥(2¿u)  11" xfId="15755"/>
    <cellStyle name="Ç¥ÁØ_Áý°èÇ¥(2¿ù)  11" xfId="15756"/>
    <cellStyle name="C￥AØ_Ay°eC￥(2¿u)  11 10" xfId="15757"/>
    <cellStyle name="Ç¥ÁØ_Áý°èÇ¥(2¿ù)  11 10" xfId="15758"/>
    <cellStyle name="C￥AØ_Ay°eC￥(2¿u)  11 11" xfId="15759"/>
    <cellStyle name="Ç¥ÁØ_Áý°èÇ¥(2¿ù)  11 11" xfId="15760"/>
    <cellStyle name="C￥AØ_Ay°eC￥(2¿u)  11 12" xfId="15761"/>
    <cellStyle name="Ç¥ÁØ_Áý°èÇ¥(2¿ù)  11 12" xfId="15762"/>
    <cellStyle name="C￥AØ_Ay°eC￥(2¿u)  11 13" xfId="15763"/>
    <cellStyle name="Ç¥ÁØ_Áý°èÇ¥(2¿ù)  11 13" xfId="15764"/>
    <cellStyle name="C￥AØ_Ay°eC￥(2¿u)  11 14" xfId="15765"/>
    <cellStyle name="Ç¥ÁØ_Áý°èÇ¥(2¿ù)  11 14" xfId="15766"/>
    <cellStyle name="C￥AØ_Ay°eC￥(2¿u)  11 15" xfId="15767"/>
    <cellStyle name="Ç¥ÁØ_Áý°èÇ¥(2¿ù)  11 15" xfId="15768"/>
    <cellStyle name="C￥AØ_Ay°eC￥(2¿u)  11 16" xfId="15769"/>
    <cellStyle name="Ç¥ÁØ_Áý°èÇ¥(2¿ù)  11 16" xfId="15770"/>
    <cellStyle name="C￥AØ_Ay°eC￥(2¿u)  11 17" xfId="15771"/>
    <cellStyle name="Ç¥ÁØ_Áý°èÇ¥(2¿ù)  11 17" xfId="15772"/>
    <cellStyle name="C￥AØ_Ay°eC￥(2¿u)  11 18" xfId="15773"/>
    <cellStyle name="Ç¥ÁØ_Áý°èÇ¥(2¿ù)  11 18" xfId="15774"/>
    <cellStyle name="C￥AØ_Ay°eC￥(2¿u)  11 19" xfId="15775"/>
    <cellStyle name="Ç¥ÁØ_Áý°èÇ¥(2¿ù)  11 19" xfId="15776"/>
    <cellStyle name="C￥AØ_Ay°eC￥(2¿u)  11 2" xfId="15777"/>
    <cellStyle name="Ç¥ÁØ_Áý°èÇ¥(2¿ù)  11 2" xfId="15778"/>
    <cellStyle name="C￥AØ_Ay°eC￥(2¿u)  11 20" xfId="15779"/>
    <cellStyle name="Ç¥ÁØ_Áý°èÇ¥(2¿ù)  11 20" xfId="15780"/>
    <cellStyle name="C￥AØ_Ay°eC￥(2¿u)  11 21" xfId="15781"/>
    <cellStyle name="Ç¥ÁØ_Áý°èÇ¥(2¿ù)  11 21" xfId="15782"/>
    <cellStyle name="C￥AØ_Ay°eC￥(2¿u)  11 22" xfId="15783"/>
    <cellStyle name="Ç¥ÁØ_Áý°èÇ¥(2¿ù)  11 22" xfId="15784"/>
    <cellStyle name="C￥AØ_Ay°eC￥(2¿u)  11 23" xfId="15785"/>
    <cellStyle name="Ç¥ÁØ_Áý°èÇ¥(2¿ù)  11 23" xfId="15786"/>
    <cellStyle name="C￥AØ_Ay°eC￥(2¿u)  11 24" xfId="15787"/>
    <cellStyle name="Ç¥ÁØ_Áý°èÇ¥(2¿ù)  11 24" xfId="15788"/>
    <cellStyle name="C￥AØ_Ay°eC￥(2¿u)  11 25" xfId="15789"/>
    <cellStyle name="Ç¥ÁØ_Áý°èÇ¥(2¿ù)  11 25" xfId="15790"/>
    <cellStyle name="C￥AØ_Ay°eC￥(2¿u)  11 26" xfId="15791"/>
    <cellStyle name="Ç¥ÁØ_Áý°èÇ¥(2¿ù)  11 26" xfId="15792"/>
    <cellStyle name="C￥AØ_Ay°eC￥(2¿u)  11 27" xfId="15793"/>
    <cellStyle name="Ç¥ÁØ_Áý°èÇ¥(2¿ù)  11 27" xfId="15794"/>
    <cellStyle name="C￥AØ_Ay°eC￥(2¿u)  11 28" xfId="15795"/>
    <cellStyle name="Ç¥ÁØ_Áý°èÇ¥(2¿ù)  11 28" xfId="15796"/>
    <cellStyle name="C￥AØ_Ay°eC￥(2¿u)  11 29" xfId="15797"/>
    <cellStyle name="Ç¥ÁØ_Áý°èÇ¥(2¿ù)  11 29" xfId="15798"/>
    <cellStyle name="C￥AØ_Ay°eC￥(2¿u)  11 3" xfId="15799"/>
    <cellStyle name="Ç¥ÁØ_Áý°èÇ¥(2¿ù)  11 3" xfId="15800"/>
    <cellStyle name="C￥AØ_Ay°eC￥(2¿u)  11 30" xfId="15801"/>
    <cellStyle name="Ç¥ÁØ_Áý°èÇ¥(2¿ù)  11 30" xfId="15802"/>
    <cellStyle name="C￥AØ_Ay°eC￥(2¿u)  11 31" xfId="15803"/>
    <cellStyle name="Ç¥ÁØ_Áý°èÇ¥(2¿ù)  11 31" xfId="15804"/>
    <cellStyle name="C￥AØ_Ay°eC￥(2¿u)  11 32" xfId="15805"/>
    <cellStyle name="Ç¥ÁØ_Áý°èÇ¥(2¿ù)  11 32" xfId="15806"/>
    <cellStyle name="C￥AØ_Ay°eC￥(2¿u)  11 33" xfId="15807"/>
    <cellStyle name="Ç¥ÁØ_Áý°èÇ¥(2¿ù)  11 33" xfId="15808"/>
    <cellStyle name="C￥AØ_Ay°eC￥(2¿u)  11 34" xfId="15809"/>
    <cellStyle name="Ç¥ÁØ_Áý°èÇ¥(2¿ù)  11 34" xfId="15810"/>
    <cellStyle name="C￥AØ_Ay°eC￥(2¿u)  11 4" xfId="15811"/>
    <cellStyle name="Ç¥ÁØ_Áý°èÇ¥(2¿ù)  11 4" xfId="15812"/>
    <cellStyle name="C￥AØ_Ay°eC￥(2¿u)  11 5" xfId="15813"/>
    <cellStyle name="Ç¥ÁØ_Áý°èÇ¥(2¿ù)  11 5" xfId="15814"/>
    <cellStyle name="C￥AØ_Ay°eC￥(2¿u)  11 6" xfId="15815"/>
    <cellStyle name="Ç¥ÁØ_Áý°èÇ¥(2¿ù)  11 6" xfId="15816"/>
    <cellStyle name="C￥AØ_Ay°eC￥(2¿u)  11 7" xfId="15817"/>
    <cellStyle name="Ç¥ÁØ_Áý°èÇ¥(2¿ù)  11 7" xfId="15818"/>
    <cellStyle name="C￥AØ_Ay°eC￥(2¿u)  11 8" xfId="15819"/>
    <cellStyle name="Ç¥ÁØ_Áý°èÇ¥(2¿ù)  11 8" xfId="15820"/>
    <cellStyle name="C￥AØ_Ay°eC￥(2¿u)  11 9" xfId="15821"/>
    <cellStyle name="Ç¥ÁØ_Áý°èÇ¥(2¿ù)  11 9" xfId="15822"/>
    <cellStyle name="C￥AØ_Ay°eC￥(2¿u)  12" xfId="15823"/>
    <cellStyle name="Ç¥ÁØ_Áý°èÇ¥(2¿ù)  12" xfId="15824"/>
    <cellStyle name="C￥AØ_Ay°eC￥(2¿u)  12 10" xfId="15825"/>
    <cellStyle name="Ç¥ÁØ_Áý°èÇ¥(2¿ù)  12 10" xfId="15826"/>
    <cellStyle name="C￥AØ_Ay°eC￥(2¿u)  12 11" xfId="15827"/>
    <cellStyle name="Ç¥ÁØ_Áý°èÇ¥(2¿ù)  12 11" xfId="15828"/>
    <cellStyle name="C￥AØ_Ay°eC￥(2¿u)  12 12" xfId="15829"/>
    <cellStyle name="Ç¥ÁØ_Áý°èÇ¥(2¿ù)  12 12" xfId="15830"/>
    <cellStyle name="C￥AØ_Ay°eC￥(2¿u)  12 13" xfId="15831"/>
    <cellStyle name="Ç¥ÁØ_Áý°èÇ¥(2¿ù)  12 13" xfId="15832"/>
    <cellStyle name="C￥AØ_Ay°eC￥(2¿u)  12 14" xfId="15833"/>
    <cellStyle name="Ç¥ÁØ_Áý°èÇ¥(2¿ù)  12 14" xfId="15834"/>
    <cellStyle name="C￥AØ_Ay°eC￥(2¿u)  12 15" xfId="15835"/>
    <cellStyle name="Ç¥ÁØ_Áý°èÇ¥(2¿ù)  12 15" xfId="15836"/>
    <cellStyle name="C￥AØ_Ay°eC￥(2¿u)  12 16" xfId="15837"/>
    <cellStyle name="Ç¥ÁØ_Áý°èÇ¥(2¿ù)  12 16" xfId="15838"/>
    <cellStyle name="C￥AØ_Ay°eC￥(2¿u)  12 17" xfId="15839"/>
    <cellStyle name="Ç¥ÁØ_Áý°èÇ¥(2¿ù)  12 17" xfId="15840"/>
    <cellStyle name="C￥AØ_Ay°eC￥(2¿u)  12 18" xfId="15841"/>
    <cellStyle name="Ç¥ÁØ_Áý°èÇ¥(2¿ù)  12 18" xfId="15842"/>
    <cellStyle name="C￥AØ_Ay°eC￥(2¿u)  12 19" xfId="15843"/>
    <cellStyle name="Ç¥ÁØ_Áý°èÇ¥(2¿ù)  12 19" xfId="15844"/>
    <cellStyle name="C￥AØ_Ay°eC￥(2¿u)  12 2" xfId="15845"/>
    <cellStyle name="Ç¥ÁØ_Áý°èÇ¥(2¿ù)  12 2" xfId="15846"/>
    <cellStyle name="C￥AØ_Ay°eC￥(2¿u)  12 20" xfId="15847"/>
    <cellStyle name="Ç¥ÁØ_Áý°èÇ¥(2¿ù)  12 20" xfId="15848"/>
    <cellStyle name="C￥AØ_Ay°eC￥(2¿u)  12 21" xfId="15849"/>
    <cellStyle name="Ç¥ÁØ_Áý°èÇ¥(2¿ù)  12 21" xfId="15850"/>
    <cellStyle name="C￥AØ_Ay°eC￥(2¿u)  12 22" xfId="15851"/>
    <cellStyle name="Ç¥ÁØ_Áý°èÇ¥(2¿ù)  12 22" xfId="15852"/>
    <cellStyle name="C￥AØ_Ay°eC￥(2¿u)  12 23" xfId="15853"/>
    <cellStyle name="Ç¥ÁØ_Áý°èÇ¥(2¿ù)  12 23" xfId="15854"/>
    <cellStyle name="C￥AØ_Ay°eC￥(2¿u)  12 24" xfId="15855"/>
    <cellStyle name="Ç¥ÁØ_Áý°èÇ¥(2¿ù)  12 24" xfId="15856"/>
    <cellStyle name="C￥AØ_Ay°eC￥(2¿u)  12 25" xfId="15857"/>
    <cellStyle name="Ç¥ÁØ_Áý°èÇ¥(2¿ù)  12 25" xfId="15858"/>
    <cellStyle name="C￥AØ_Ay°eC￥(2¿u)  12 26" xfId="15859"/>
    <cellStyle name="Ç¥ÁØ_Áý°èÇ¥(2¿ù)  12 26" xfId="15860"/>
    <cellStyle name="C￥AØ_Ay°eC￥(2¿u)  12 27" xfId="15861"/>
    <cellStyle name="Ç¥ÁØ_Áý°èÇ¥(2¿ù)  12 27" xfId="15862"/>
    <cellStyle name="C￥AØ_Ay°eC￥(2¿u)  12 28" xfId="15863"/>
    <cellStyle name="Ç¥ÁØ_Áý°èÇ¥(2¿ù)  12 28" xfId="15864"/>
    <cellStyle name="C￥AØ_Ay°eC￥(2¿u)  12 29" xfId="15865"/>
    <cellStyle name="Ç¥ÁØ_Áý°èÇ¥(2¿ù)  12 29" xfId="15866"/>
    <cellStyle name="C￥AØ_Ay°eC￥(2¿u)  12 3" xfId="15867"/>
    <cellStyle name="Ç¥ÁØ_Áý°èÇ¥(2¿ù)  12 3" xfId="15868"/>
    <cellStyle name="C￥AØ_Ay°eC￥(2¿u)  12 30" xfId="15869"/>
    <cellStyle name="Ç¥ÁØ_Áý°èÇ¥(2¿ù)  12 30" xfId="15870"/>
    <cellStyle name="C￥AØ_Ay°eC￥(2¿u)  12 31" xfId="15871"/>
    <cellStyle name="Ç¥ÁØ_Áý°èÇ¥(2¿ù)  12 31" xfId="15872"/>
    <cellStyle name="C￥AØ_Ay°eC￥(2¿u)  12 32" xfId="15873"/>
    <cellStyle name="Ç¥ÁØ_Áý°èÇ¥(2¿ù)  12 32" xfId="15874"/>
    <cellStyle name="C￥AØ_Ay°eC￥(2¿u)  12 33" xfId="15875"/>
    <cellStyle name="Ç¥ÁØ_Áý°èÇ¥(2¿ù)  12 33" xfId="15876"/>
    <cellStyle name="C￥AØ_Ay°eC￥(2¿u)  12 34" xfId="15877"/>
    <cellStyle name="Ç¥ÁØ_Áý°èÇ¥(2¿ù)  12 34" xfId="15878"/>
    <cellStyle name="C￥AØ_Ay°eC￥(2¿u)  12 4" xfId="15879"/>
    <cellStyle name="Ç¥ÁØ_Áý°èÇ¥(2¿ù)  12 4" xfId="15880"/>
    <cellStyle name="C￥AØ_Ay°eC￥(2¿u)  12 5" xfId="15881"/>
    <cellStyle name="Ç¥ÁØ_Áý°èÇ¥(2¿ù)  12 5" xfId="15882"/>
    <cellStyle name="C￥AØ_Ay°eC￥(2¿u)  12 6" xfId="15883"/>
    <cellStyle name="Ç¥ÁØ_Áý°èÇ¥(2¿ù)  12 6" xfId="15884"/>
    <cellStyle name="C￥AØ_Ay°eC￥(2¿u)  12 7" xfId="15885"/>
    <cellStyle name="Ç¥ÁØ_Áý°èÇ¥(2¿ù)  12 7" xfId="15886"/>
    <cellStyle name="C￥AØ_Ay°eC￥(2¿u)  12 8" xfId="15887"/>
    <cellStyle name="Ç¥ÁØ_Áý°èÇ¥(2¿ù)  12 8" xfId="15888"/>
    <cellStyle name="C￥AØ_Ay°eC￥(2¿u)  12 9" xfId="15889"/>
    <cellStyle name="Ç¥ÁØ_Áý°èÇ¥(2¿ù)  12 9" xfId="15890"/>
    <cellStyle name="C￥AØ_Ay°eC￥(2¿u)  13" xfId="15891"/>
    <cellStyle name="Ç¥ÁØ_Áý°èÇ¥(2¿ù)  13" xfId="15892"/>
    <cellStyle name="C￥AØ_Ay°eC￥(2¿u)  13 10" xfId="15893"/>
    <cellStyle name="Ç¥ÁØ_Áý°èÇ¥(2¿ù)  13 10" xfId="15894"/>
    <cellStyle name="C￥AØ_Ay°eC￥(2¿u)  13 11" xfId="15895"/>
    <cellStyle name="Ç¥ÁØ_Áý°èÇ¥(2¿ù)  13 11" xfId="15896"/>
    <cellStyle name="C￥AØ_Ay°eC￥(2¿u)  13 12" xfId="15897"/>
    <cellStyle name="Ç¥ÁØ_Áý°èÇ¥(2¿ù)  13 12" xfId="15898"/>
    <cellStyle name="C￥AØ_Ay°eC￥(2¿u)  13 13" xfId="15899"/>
    <cellStyle name="Ç¥ÁØ_Áý°èÇ¥(2¿ù)  13 13" xfId="15900"/>
    <cellStyle name="C￥AØ_Ay°eC￥(2¿u)  13 14" xfId="15901"/>
    <cellStyle name="Ç¥ÁØ_Áý°èÇ¥(2¿ù)  13 14" xfId="15902"/>
    <cellStyle name="C￥AØ_Ay°eC￥(2¿u)  13 15" xfId="15903"/>
    <cellStyle name="Ç¥ÁØ_Áý°èÇ¥(2¿ù)  13 15" xfId="15904"/>
    <cellStyle name="C￥AØ_Ay°eC￥(2¿u)  13 16" xfId="15905"/>
    <cellStyle name="Ç¥ÁØ_Áý°èÇ¥(2¿ù)  13 16" xfId="15906"/>
    <cellStyle name="C￥AØ_Ay°eC￥(2¿u)  13 17" xfId="15907"/>
    <cellStyle name="Ç¥ÁØ_Áý°èÇ¥(2¿ù)  13 17" xfId="15908"/>
    <cellStyle name="C￥AØ_Ay°eC￥(2¿u)  13 18" xfId="15909"/>
    <cellStyle name="Ç¥ÁØ_Áý°èÇ¥(2¿ù)  13 18" xfId="15910"/>
    <cellStyle name="C￥AØ_Ay°eC￥(2¿u)  13 19" xfId="15911"/>
    <cellStyle name="Ç¥ÁØ_Áý°èÇ¥(2¿ù)  13 19" xfId="15912"/>
    <cellStyle name="C￥AØ_Ay°eC￥(2¿u)  13 2" xfId="15913"/>
    <cellStyle name="Ç¥ÁØ_Áý°èÇ¥(2¿ù)  13 2" xfId="15914"/>
    <cellStyle name="C￥AØ_Ay°eC￥(2¿u)  13 20" xfId="15915"/>
    <cellStyle name="Ç¥ÁØ_Áý°èÇ¥(2¿ù)  13 20" xfId="15916"/>
    <cellStyle name="C￥AØ_Ay°eC￥(2¿u)  13 21" xfId="15917"/>
    <cellStyle name="Ç¥ÁØ_Áý°èÇ¥(2¿ù)  13 21" xfId="15918"/>
    <cellStyle name="C￥AØ_Ay°eC￥(2¿u)  13 22" xfId="15919"/>
    <cellStyle name="Ç¥ÁØ_Áý°èÇ¥(2¿ù)  13 22" xfId="15920"/>
    <cellStyle name="C￥AØ_Ay°eC￥(2¿u)  13 23" xfId="15921"/>
    <cellStyle name="Ç¥ÁØ_Áý°èÇ¥(2¿ù)  13 23" xfId="15922"/>
    <cellStyle name="C￥AØ_Ay°eC￥(2¿u)  13 24" xfId="15923"/>
    <cellStyle name="Ç¥ÁØ_Áý°èÇ¥(2¿ù)  13 24" xfId="15924"/>
    <cellStyle name="C￥AØ_Ay°eC￥(2¿u)  13 25" xfId="15925"/>
    <cellStyle name="Ç¥ÁØ_Áý°èÇ¥(2¿ù)  13 25" xfId="15926"/>
    <cellStyle name="C￥AØ_Ay°eC￥(2¿u)  13 26" xfId="15927"/>
    <cellStyle name="Ç¥ÁØ_Áý°èÇ¥(2¿ù)  13 26" xfId="15928"/>
    <cellStyle name="C￥AØ_Ay°eC￥(2¿u)  13 27" xfId="15929"/>
    <cellStyle name="Ç¥ÁØ_Áý°èÇ¥(2¿ù)  13 27" xfId="15930"/>
    <cellStyle name="C￥AØ_Ay°eC￥(2¿u)  13 28" xfId="15931"/>
    <cellStyle name="Ç¥ÁØ_Áý°èÇ¥(2¿ù)  13 28" xfId="15932"/>
    <cellStyle name="C￥AØ_Ay°eC￥(2¿u)  13 29" xfId="15933"/>
    <cellStyle name="Ç¥ÁØ_Áý°èÇ¥(2¿ù)  13 29" xfId="15934"/>
    <cellStyle name="C￥AØ_Ay°eC￥(2¿u)  13 3" xfId="15935"/>
    <cellStyle name="Ç¥ÁØ_Áý°èÇ¥(2¿ù)  13 3" xfId="15936"/>
    <cellStyle name="C￥AØ_Ay°eC￥(2¿u)  13 30" xfId="15937"/>
    <cellStyle name="Ç¥ÁØ_Áý°èÇ¥(2¿ù)  13 30" xfId="15938"/>
    <cellStyle name="C￥AØ_Ay°eC￥(2¿u)  13 31" xfId="15939"/>
    <cellStyle name="Ç¥ÁØ_Áý°èÇ¥(2¿ù)  13 31" xfId="15940"/>
    <cellStyle name="C￥AØ_Ay°eC￥(2¿u)  13 32" xfId="15941"/>
    <cellStyle name="Ç¥ÁØ_Áý°èÇ¥(2¿ù)  13 32" xfId="15942"/>
    <cellStyle name="C￥AØ_Ay°eC￥(2¿u)  13 33" xfId="15943"/>
    <cellStyle name="Ç¥ÁØ_Áý°èÇ¥(2¿ù)  13 33" xfId="15944"/>
    <cellStyle name="C￥AØ_Ay°eC￥(2¿u)  13 34" xfId="15945"/>
    <cellStyle name="Ç¥ÁØ_Áý°èÇ¥(2¿ù)  13 34" xfId="15946"/>
    <cellStyle name="C￥AØ_Ay°eC￥(2¿u)  13 4" xfId="15947"/>
    <cellStyle name="Ç¥ÁØ_Áý°èÇ¥(2¿ù)  13 4" xfId="15948"/>
    <cellStyle name="C￥AØ_Ay°eC￥(2¿u)  13 5" xfId="15949"/>
    <cellStyle name="Ç¥ÁØ_Áý°èÇ¥(2¿ù)  13 5" xfId="15950"/>
    <cellStyle name="C￥AØ_Ay°eC￥(2¿u)  13 6" xfId="15951"/>
    <cellStyle name="Ç¥ÁØ_Áý°èÇ¥(2¿ù)  13 6" xfId="15952"/>
    <cellStyle name="C￥AØ_Ay°eC￥(2¿u)  13 7" xfId="15953"/>
    <cellStyle name="Ç¥ÁØ_Áý°èÇ¥(2¿ù)  13 7" xfId="15954"/>
    <cellStyle name="C￥AØ_Ay°eC￥(2¿u)  13 8" xfId="15955"/>
    <cellStyle name="Ç¥ÁØ_Áý°èÇ¥(2¿ù)  13 8" xfId="15956"/>
    <cellStyle name="C￥AØ_Ay°eC￥(2¿u)  13 9" xfId="15957"/>
    <cellStyle name="Ç¥ÁØ_Áý°èÇ¥(2¿ù)  13 9" xfId="15958"/>
    <cellStyle name="C￥AØ_Ay°eC￥(2¿u)  14" xfId="15959"/>
    <cellStyle name="Ç¥ÁØ_Áý°èÇ¥(2¿ù)  14" xfId="15960"/>
    <cellStyle name="C￥AØ_Ay°eC￥(2¿u)  14 10" xfId="15961"/>
    <cellStyle name="Ç¥ÁØ_Áý°èÇ¥(2¿ù)  14 10" xfId="15962"/>
    <cellStyle name="C￥AØ_Ay°eC￥(2¿u)  14 11" xfId="15963"/>
    <cellStyle name="Ç¥ÁØ_Áý°èÇ¥(2¿ù)  14 11" xfId="15964"/>
    <cellStyle name="C￥AØ_Ay°eC￥(2¿u)  14 12" xfId="15965"/>
    <cellStyle name="Ç¥ÁØ_Áý°èÇ¥(2¿ù)  14 12" xfId="15966"/>
    <cellStyle name="C￥AØ_Ay°eC￥(2¿u)  14 13" xfId="15967"/>
    <cellStyle name="Ç¥ÁØ_Áý°èÇ¥(2¿ù)  14 13" xfId="15968"/>
    <cellStyle name="C￥AØ_Ay°eC￥(2¿u)  14 14" xfId="15969"/>
    <cellStyle name="Ç¥ÁØ_Áý°èÇ¥(2¿ù)  14 14" xfId="15970"/>
    <cellStyle name="C￥AØ_Ay°eC￥(2¿u)  14 15" xfId="15971"/>
    <cellStyle name="Ç¥ÁØ_Áý°èÇ¥(2¿ù)  14 15" xfId="15972"/>
    <cellStyle name="C￥AØ_Ay°eC￥(2¿u)  14 16" xfId="15973"/>
    <cellStyle name="Ç¥ÁØ_Áý°èÇ¥(2¿ù)  14 16" xfId="15974"/>
    <cellStyle name="C￥AØ_Ay°eC￥(2¿u)  14 17" xfId="15975"/>
    <cellStyle name="Ç¥ÁØ_Áý°èÇ¥(2¿ù)  14 17" xfId="15976"/>
    <cellStyle name="C￥AØ_Ay°eC￥(2¿u)  14 18" xfId="15977"/>
    <cellStyle name="Ç¥ÁØ_Áý°èÇ¥(2¿ù)  14 18" xfId="15978"/>
    <cellStyle name="C￥AØ_Ay°eC￥(2¿u)  14 19" xfId="15979"/>
    <cellStyle name="Ç¥ÁØ_Áý°èÇ¥(2¿ù)  14 19" xfId="15980"/>
    <cellStyle name="C￥AØ_Ay°eC￥(2¿u)  14 2" xfId="15981"/>
    <cellStyle name="Ç¥ÁØ_Áý°èÇ¥(2¿ù)  14 2" xfId="15982"/>
    <cellStyle name="C￥AØ_Ay°eC￥(2¿u)  14 20" xfId="15983"/>
    <cellStyle name="Ç¥ÁØ_Áý°èÇ¥(2¿ù)  14 20" xfId="15984"/>
    <cellStyle name="C￥AØ_Ay°eC￥(2¿u)  14 21" xfId="15985"/>
    <cellStyle name="Ç¥ÁØ_Áý°èÇ¥(2¿ù)  14 21" xfId="15986"/>
    <cellStyle name="C￥AØ_Ay°eC￥(2¿u)  14 22" xfId="15987"/>
    <cellStyle name="Ç¥ÁØ_Áý°èÇ¥(2¿ù)  14 22" xfId="15988"/>
    <cellStyle name="C￥AØ_Ay°eC￥(2¿u)  14 23" xfId="15989"/>
    <cellStyle name="Ç¥ÁØ_Áý°èÇ¥(2¿ù)  14 23" xfId="15990"/>
    <cellStyle name="C￥AØ_Ay°eC￥(2¿u)  14 24" xfId="15991"/>
    <cellStyle name="Ç¥ÁØ_Áý°èÇ¥(2¿ù)  14 24" xfId="15992"/>
    <cellStyle name="C￥AØ_Ay°eC￥(2¿u)  14 25" xfId="15993"/>
    <cellStyle name="Ç¥ÁØ_Áý°èÇ¥(2¿ù)  14 25" xfId="15994"/>
    <cellStyle name="C￥AØ_Ay°eC￥(2¿u)  14 26" xfId="15995"/>
    <cellStyle name="Ç¥ÁØ_Áý°èÇ¥(2¿ù)  14 26" xfId="15996"/>
    <cellStyle name="C￥AØ_Ay°eC￥(2¿u)  14 27" xfId="15997"/>
    <cellStyle name="Ç¥ÁØ_Áý°èÇ¥(2¿ù)  14 27" xfId="15998"/>
    <cellStyle name="C￥AØ_Ay°eC￥(2¿u)  14 28" xfId="15999"/>
    <cellStyle name="Ç¥ÁØ_Áý°èÇ¥(2¿ù)  14 28" xfId="16000"/>
    <cellStyle name="C￥AØ_Ay°eC￥(2¿u)  14 29" xfId="16001"/>
    <cellStyle name="Ç¥ÁØ_Áý°èÇ¥(2¿ù)  14 29" xfId="16002"/>
    <cellStyle name="C￥AØ_Ay°eC￥(2¿u)  14 3" xfId="16003"/>
    <cellStyle name="Ç¥ÁØ_Áý°èÇ¥(2¿ù)  14 3" xfId="16004"/>
    <cellStyle name="C￥AØ_Ay°eC￥(2¿u)  14 30" xfId="16005"/>
    <cellStyle name="Ç¥ÁØ_Áý°èÇ¥(2¿ù)  14 30" xfId="16006"/>
    <cellStyle name="C￥AØ_Ay°eC￥(2¿u)  14 31" xfId="16007"/>
    <cellStyle name="Ç¥ÁØ_Áý°èÇ¥(2¿ù)  14 31" xfId="16008"/>
    <cellStyle name="C￥AØ_Ay°eC￥(2¿u)  14 32" xfId="16009"/>
    <cellStyle name="Ç¥ÁØ_Áý°èÇ¥(2¿ù)  14 32" xfId="16010"/>
    <cellStyle name="C￥AØ_Ay°eC￥(2¿u)  14 33" xfId="16011"/>
    <cellStyle name="Ç¥ÁØ_Áý°èÇ¥(2¿ù)  14 33" xfId="16012"/>
    <cellStyle name="C￥AØ_Ay°eC￥(2¿u)  14 34" xfId="16013"/>
    <cellStyle name="Ç¥ÁØ_Áý°èÇ¥(2¿ù)  14 34" xfId="16014"/>
    <cellStyle name="C￥AØ_Ay°eC￥(2¿u)  14 4" xfId="16015"/>
    <cellStyle name="Ç¥ÁØ_Áý°èÇ¥(2¿ù)  14 4" xfId="16016"/>
    <cellStyle name="C￥AØ_Ay°eC￥(2¿u)  14 5" xfId="16017"/>
    <cellStyle name="Ç¥ÁØ_Áý°èÇ¥(2¿ù)  14 5" xfId="16018"/>
    <cellStyle name="C￥AØ_Ay°eC￥(2¿u)  14 6" xfId="16019"/>
    <cellStyle name="Ç¥ÁØ_Áý°èÇ¥(2¿ù)  14 6" xfId="16020"/>
    <cellStyle name="C￥AØ_Ay°eC￥(2¿u)  14 7" xfId="16021"/>
    <cellStyle name="Ç¥ÁØ_Áý°èÇ¥(2¿ù)  14 7" xfId="16022"/>
    <cellStyle name="C￥AØ_Ay°eC￥(2¿u)  14 8" xfId="16023"/>
    <cellStyle name="Ç¥ÁØ_Áý°èÇ¥(2¿ù)  14 8" xfId="16024"/>
    <cellStyle name="C￥AØ_Ay°eC￥(2¿u)  14 9" xfId="16025"/>
    <cellStyle name="Ç¥ÁØ_Áý°èÇ¥(2¿ù)  14 9" xfId="16026"/>
    <cellStyle name="C￥AØ_Ay°eC￥(2¿u)  15" xfId="16027"/>
    <cellStyle name="Ç¥ÁØ_Áý°èÇ¥(2¿ù)  15" xfId="16028"/>
    <cellStyle name="C￥AØ_Ay°eC￥(2¿u)  15 10" xfId="16029"/>
    <cellStyle name="Ç¥ÁØ_Áý°èÇ¥(2¿ù)  15 10" xfId="16030"/>
    <cellStyle name="C￥AØ_Ay°eC￥(2¿u)  15 11" xfId="16031"/>
    <cellStyle name="Ç¥ÁØ_Áý°èÇ¥(2¿ù)  15 11" xfId="16032"/>
    <cellStyle name="C￥AØ_Ay°eC￥(2¿u)  15 12" xfId="16033"/>
    <cellStyle name="Ç¥ÁØ_Áý°èÇ¥(2¿ù)  15 12" xfId="16034"/>
    <cellStyle name="C￥AØ_Ay°eC￥(2¿u)  15 13" xfId="16035"/>
    <cellStyle name="Ç¥ÁØ_Áý°èÇ¥(2¿ù)  15 13" xfId="16036"/>
    <cellStyle name="C￥AØ_Ay°eC￥(2¿u)  15 14" xfId="16037"/>
    <cellStyle name="Ç¥ÁØ_Áý°èÇ¥(2¿ù)  15 14" xfId="16038"/>
    <cellStyle name="C￥AØ_Ay°eC￥(2¿u)  15 15" xfId="16039"/>
    <cellStyle name="Ç¥ÁØ_Áý°èÇ¥(2¿ù)  15 15" xfId="16040"/>
    <cellStyle name="C￥AØ_Ay°eC￥(2¿u)  15 16" xfId="16041"/>
    <cellStyle name="Ç¥ÁØ_Áý°èÇ¥(2¿ù)  15 16" xfId="16042"/>
    <cellStyle name="C￥AØ_Ay°eC￥(2¿u)  15 17" xfId="16043"/>
    <cellStyle name="Ç¥ÁØ_Áý°èÇ¥(2¿ù)  15 17" xfId="16044"/>
    <cellStyle name="C￥AØ_Ay°eC￥(2¿u)  15 18" xfId="16045"/>
    <cellStyle name="Ç¥ÁØ_Áý°èÇ¥(2¿ù)  15 18" xfId="16046"/>
    <cellStyle name="C￥AØ_Ay°eC￥(2¿u)  15 19" xfId="16047"/>
    <cellStyle name="Ç¥ÁØ_Áý°èÇ¥(2¿ù)  15 19" xfId="16048"/>
    <cellStyle name="C￥AØ_Ay°eC￥(2¿u)  15 2" xfId="16049"/>
    <cellStyle name="Ç¥ÁØ_Áý°èÇ¥(2¿ù)  15 2" xfId="16050"/>
    <cellStyle name="C￥AØ_Ay°eC￥(2¿u)  15 20" xfId="16051"/>
    <cellStyle name="Ç¥ÁØ_Áý°èÇ¥(2¿ù)  15 20" xfId="16052"/>
    <cellStyle name="C￥AØ_Ay°eC￥(2¿u)  15 21" xfId="16053"/>
    <cellStyle name="Ç¥ÁØ_Áý°èÇ¥(2¿ù)  15 21" xfId="16054"/>
    <cellStyle name="C￥AØ_Ay°eC￥(2¿u)  15 22" xfId="16055"/>
    <cellStyle name="Ç¥ÁØ_Áý°èÇ¥(2¿ù)  15 22" xfId="16056"/>
    <cellStyle name="C￥AØ_Ay°eC￥(2¿u)  15 23" xfId="16057"/>
    <cellStyle name="Ç¥ÁØ_Áý°èÇ¥(2¿ù)  15 23" xfId="16058"/>
    <cellStyle name="C￥AØ_Ay°eC￥(2¿u)  15 24" xfId="16059"/>
    <cellStyle name="Ç¥ÁØ_Áý°èÇ¥(2¿ù)  15 24" xfId="16060"/>
    <cellStyle name="C￥AØ_Ay°eC￥(2¿u)  15 25" xfId="16061"/>
    <cellStyle name="Ç¥ÁØ_Áý°èÇ¥(2¿ù)  15 25" xfId="16062"/>
    <cellStyle name="C￥AØ_Ay°eC￥(2¿u)  15 26" xfId="16063"/>
    <cellStyle name="Ç¥ÁØ_Áý°èÇ¥(2¿ù)  15 26" xfId="16064"/>
    <cellStyle name="C￥AØ_Ay°eC￥(2¿u)  15 27" xfId="16065"/>
    <cellStyle name="Ç¥ÁØ_Áý°èÇ¥(2¿ù)  15 27" xfId="16066"/>
    <cellStyle name="C￥AØ_Ay°eC￥(2¿u)  15 28" xfId="16067"/>
    <cellStyle name="Ç¥ÁØ_Áý°èÇ¥(2¿ù)  15 28" xfId="16068"/>
    <cellStyle name="C￥AØ_Ay°eC￥(2¿u)  15 29" xfId="16069"/>
    <cellStyle name="Ç¥ÁØ_Áý°èÇ¥(2¿ù)  15 29" xfId="16070"/>
    <cellStyle name="C￥AØ_Ay°eC￥(2¿u)  15 3" xfId="16071"/>
    <cellStyle name="Ç¥ÁØ_Áý°èÇ¥(2¿ù)  15 3" xfId="16072"/>
    <cellStyle name="C￥AØ_Ay°eC￥(2¿u)  15 30" xfId="16073"/>
    <cellStyle name="Ç¥ÁØ_Áý°èÇ¥(2¿ù)  15 30" xfId="16074"/>
    <cellStyle name="C￥AØ_Ay°eC￥(2¿u)  15 31" xfId="16075"/>
    <cellStyle name="Ç¥ÁØ_Áý°èÇ¥(2¿ù)  15 31" xfId="16076"/>
    <cellStyle name="C￥AØ_Ay°eC￥(2¿u)  15 32" xfId="16077"/>
    <cellStyle name="Ç¥ÁØ_Áý°èÇ¥(2¿ù)  15 32" xfId="16078"/>
    <cellStyle name="C￥AØ_Ay°eC￥(2¿u)  15 33" xfId="16079"/>
    <cellStyle name="Ç¥ÁØ_Áý°èÇ¥(2¿ù)  15 33" xfId="16080"/>
    <cellStyle name="C￥AØ_Ay°eC￥(2¿u)  15 34" xfId="16081"/>
    <cellStyle name="Ç¥ÁØ_Áý°èÇ¥(2¿ù)  15 34" xfId="16082"/>
    <cellStyle name="C￥AØ_Ay°eC￥(2¿u)  15 4" xfId="16083"/>
    <cellStyle name="Ç¥ÁØ_Áý°èÇ¥(2¿ù)  15 4" xfId="16084"/>
    <cellStyle name="C￥AØ_Ay°eC￥(2¿u)  15 5" xfId="16085"/>
    <cellStyle name="Ç¥ÁØ_Áý°èÇ¥(2¿ù)  15 5" xfId="16086"/>
    <cellStyle name="C￥AØ_Ay°eC￥(2¿u)  15 6" xfId="16087"/>
    <cellStyle name="Ç¥ÁØ_Áý°èÇ¥(2¿ù)  15 6" xfId="16088"/>
    <cellStyle name="C￥AØ_Ay°eC￥(2¿u)  15 7" xfId="16089"/>
    <cellStyle name="Ç¥ÁØ_Áý°èÇ¥(2¿ù)  15 7" xfId="16090"/>
    <cellStyle name="C￥AØ_Ay°eC￥(2¿u)  15 8" xfId="16091"/>
    <cellStyle name="Ç¥ÁØ_Áý°èÇ¥(2¿ù)  15 8" xfId="16092"/>
    <cellStyle name="C￥AØ_Ay°eC￥(2¿u)  15 9" xfId="16093"/>
    <cellStyle name="Ç¥ÁØ_Áý°èÇ¥(2¿ù)  15 9" xfId="16094"/>
    <cellStyle name="C￥AØ_Ay°eC￥(2¿u)  16" xfId="16095"/>
    <cellStyle name="Ç¥ÁØ_Áý°èÇ¥(2¿ù)  16" xfId="16096"/>
    <cellStyle name="C￥AØ_Ay°eC￥(2¿u)  16 10" xfId="16097"/>
    <cellStyle name="Ç¥ÁØ_Áý°èÇ¥(2¿ù)  16 10" xfId="16098"/>
    <cellStyle name="C￥AØ_Ay°eC￥(2¿u)  16 11" xfId="16099"/>
    <cellStyle name="Ç¥ÁØ_Áý°èÇ¥(2¿ù)  16 11" xfId="16100"/>
    <cellStyle name="C￥AØ_Ay°eC￥(2¿u)  16 12" xfId="16101"/>
    <cellStyle name="Ç¥ÁØ_Áý°èÇ¥(2¿ù)  16 12" xfId="16102"/>
    <cellStyle name="C￥AØ_Ay°eC￥(2¿u)  16 13" xfId="16103"/>
    <cellStyle name="Ç¥ÁØ_Áý°èÇ¥(2¿ù)  16 13" xfId="16104"/>
    <cellStyle name="C￥AØ_Ay°eC￥(2¿u)  16 14" xfId="16105"/>
    <cellStyle name="Ç¥ÁØ_Áý°èÇ¥(2¿ù)  16 14" xfId="16106"/>
    <cellStyle name="C￥AØ_Ay°eC￥(2¿u)  16 15" xfId="16107"/>
    <cellStyle name="Ç¥ÁØ_Áý°èÇ¥(2¿ù)  16 15" xfId="16108"/>
    <cellStyle name="C￥AØ_Ay°eC￥(2¿u)  16 16" xfId="16109"/>
    <cellStyle name="Ç¥ÁØ_Áý°èÇ¥(2¿ù)  16 16" xfId="16110"/>
    <cellStyle name="C￥AØ_Ay°eC￥(2¿u)  16 17" xfId="16111"/>
    <cellStyle name="Ç¥ÁØ_Áý°èÇ¥(2¿ù)  16 17" xfId="16112"/>
    <cellStyle name="C￥AØ_Ay°eC￥(2¿u)  16 18" xfId="16113"/>
    <cellStyle name="Ç¥ÁØ_Áý°èÇ¥(2¿ù)  16 18" xfId="16114"/>
    <cellStyle name="C￥AØ_Ay°eC￥(2¿u)  16 19" xfId="16115"/>
    <cellStyle name="Ç¥ÁØ_Áý°èÇ¥(2¿ù)  16 19" xfId="16116"/>
    <cellStyle name="C￥AØ_Ay°eC￥(2¿u)  16 2" xfId="16117"/>
    <cellStyle name="Ç¥ÁØ_Áý°èÇ¥(2¿ù)  16 2" xfId="16118"/>
    <cellStyle name="C￥AØ_Ay°eC￥(2¿u)  16 20" xfId="16119"/>
    <cellStyle name="Ç¥ÁØ_Áý°èÇ¥(2¿ù)  16 20" xfId="16120"/>
    <cellStyle name="C￥AØ_Ay°eC￥(2¿u)  16 21" xfId="16121"/>
    <cellStyle name="Ç¥ÁØ_Áý°èÇ¥(2¿ù)  16 21" xfId="16122"/>
    <cellStyle name="C￥AØ_Ay°eC￥(2¿u)  16 22" xfId="16123"/>
    <cellStyle name="Ç¥ÁØ_Áý°èÇ¥(2¿ù)  16 22" xfId="16124"/>
    <cellStyle name="C￥AØ_Ay°eC￥(2¿u)  16 23" xfId="16125"/>
    <cellStyle name="Ç¥ÁØ_Áý°èÇ¥(2¿ù)  16 23" xfId="16126"/>
    <cellStyle name="C￥AØ_Ay°eC￥(2¿u)  16 24" xfId="16127"/>
    <cellStyle name="Ç¥ÁØ_Áý°èÇ¥(2¿ù)  16 24" xfId="16128"/>
    <cellStyle name="C￥AØ_Ay°eC￥(2¿u)  16 25" xfId="16129"/>
    <cellStyle name="Ç¥ÁØ_Áý°èÇ¥(2¿ù)  16 25" xfId="16130"/>
    <cellStyle name="C￥AØ_Ay°eC￥(2¿u)  16 26" xfId="16131"/>
    <cellStyle name="Ç¥ÁØ_Áý°èÇ¥(2¿ù)  16 26" xfId="16132"/>
    <cellStyle name="C￥AØ_Ay°eC￥(2¿u)  16 27" xfId="16133"/>
    <cellStyle name="Ç¥ÁØ_Áý°èÇ¥(2¿ù)  16 27" xfId="16134"/>
    <cellStyle name="C￥AØ_Ay°eC￥(2¿u)  16 28" xfId="16135"/>
    <cellStyle name="Ç¥ÁØ_Áý°èÇ¥(2¿ù)  16 28" xfId="16136"/>
    <cellStyle name="C￥AØ_Ay°eC￥(2¿u)  16 29" xfId="16137"/>
    <cellStyle name="Ç¥ÁØ_Áý°èÇ¥(2¿ù)  16 29" xfId="16138"/>
    <cellStyle name="C￥AØ_Ay°eC￥(2¿u)  16 3" xfId="16139"/>
    <cellStyle name="Ç¥ÁØ_Áý°èÇ¥(2¿ù)  16 3" xfId="16140"/>
    <cellStyle name="C￥AØ_Ay°eC￥(2¿u)  16 30" xfId="16141"/>
    <cellStyle name="Ç¥ÁØ_Áý°èÇ¥(2¿ù)  16 30" xfId="16142"/>
    <cellStyle name="C￥AØ_Ay°eC￥(2¿u)  16 31" xfId="16143"/>
    <cellStyle name="Ç¥ÁØ_Áý°èÇ¥(2¿ù)  16 31" xfId="16144"/>
    <cellStyle name="C￥AØ_Ay°eC￥(2¿u)  16 32" xfId="16145"/>
    <cellStyle name="Ç¥ÁØ_Áý°èÇ¥(2¿ù)  16 32" xfId="16146"/>
    <cellStyle name="C￥AØ_Ay°eC￥(2¿u)  16 33" xfId="16147"/>
    <cellStyle name="Ç¥ÁØ_Áý°èÇ¥(2¿ù)  16 33" xfId="16148"/>
    <cellStyle name="C￥AØ_Ay°eC￥(2¿u)  16 34" xfId="16149"/>
    <cellStyle name="Ç¥ÁØ_Áý°èÇ¥(2¿ù)  16 34" xfId="16150"/>
    <cellStyle name="C￥AØ_Ay°eC￥(2¿u)  16 4" xfId="16151"/>
    <cellStyle name="Ç¥ÁØ_Áý°èÇ¥(2¿ù)  16 4" xfId="16152"/>
    <cellStyle name="C￥AØ_Ay°eC￥(2¿u)  16 5" xfId="16153"/>
    <cellStyle name="Ç¥ÁØ_Áý°èÇ¥(2¿ù)  16 5" xfId="16154"/>
    <cellStyle name="C￥AØ_Ay°eC￥(2¿u)  16 6" xfId="16155"/>
    <cellStyle name="Ç¥ÁØ_Áý°èÇ¥(2¿ù)  16 6" xfId="16156"/>
    <cellStyle name="C￥AØ_Ay°eC￥(2¿u)  16 7" xfId="16157"/>
    <cellStyle name="Ç¥ÁØ_Áý°èÇ¥(2¿ù)  16 7" xfId="16158"/>
    <cellStyle name="C￥AØ_Ay°eC￥(2¿u)  16 8" xfId="16159"/>
    <cellStyle name="Ç¥ÁØ_Áý°èÇ¥(2¿ù)  16 8" xfId="16160"/>
    <cellStyle name="C￥AØ_Ay°eC￥(2¿u)  16 9" xfId="16161"/>
    <cellStyle name="Ç¥ÁØ_Áý°èÇ¥(2¿ù)  16 9" xfId="16162"/>
    <cellStyle name="C￥AØ_Ay°eC￥(2¿u)  17" xfId="16163"/>
    <cellStyle name="Ç¥ÁØ_Áý°èÇ¥(2¿ù)  17" xfId="16164"/>
    <cellStyle name="C￥AØ_Ay°eC￥(2¿u)  17 10" xfId="16165"/>
    <cellStyle name="Ç¥ÁØ_Áý°èÇ¥(2¿ù)  17 10" xfId="16166"/>
    <cellStyle name="C￥AØ_Ay°eC￥(2¿u)  17 11" xfId="16167"/>
    <cellStyle name="Ç¥ÁØ_Áý°èÇ¥(2¿ù)  17 11" xfId="16168"/>
    <cellStyle name="C￥AØ_Ay°eC￥(2¿u)  17 12" xfId="16169"/>
    <cellStyle name="Ç¥ÁØ_Áý°èÇ¥(2¿ù)  17 12" xfId="16170"/>
    <cellStyle name="C￥AØ_Ay°eC￥(2¿u)  17 13" xfId="16171"/>
    <cellStyle name="Ç¥ÁØ_Áý°èÇ¥(2¿ù)  17 13" xfId="16172"/>
    <cellStyle name="C￥AØ_Ay°eC￥(2¿u)  17 14" xfId="16173"/>
    <cellStyle name="Ç¥ÁØ_Áý°èÇ¥(2¿ù)  17 14" xfId="16174"/>
    <cellStyle name="C￥AØ_Ay°eC￥(2¿u)  17 15" xfId="16175"/>
    <cellStyle name="Ç¥ÁØ_Áý°èÇ¥(2¿ù)  17 15" xfId="16176"/>
    <cellStyle name="C￥AØ_Ay°eC￥(2¿u)  17 16" xfId="16177"/>
    <cellStyle name="Ç¥ÁØ_Áý°èÇ¥(2¿ù)  17 16" xfId="16178"/>
    <cellStyle name="C￥AØ_Ay°eC￥(2¿u)  17 17" xfId="16179"/>
    <cellStyle name="Ç¥ÁØ_Áý°èÇ¥(2¿ù)  17 17" xfId="16180"/>
    <cellStyle name="C￥AØ_Ay°eC￥(2¿u)  17 18" xfId="16181"/>
    <cellStyle name="Ç¥ÁØ_Áý°èÇ¥(2¿ù)  17 18" xfId="16182"/>
    <cellStyle name="C￥AØ_Ay°eC￥(2¿u)  17 19" xfId="16183"/>
    <cellStyle name="Ç¥ÁØ_Áý°èÇ¥(2¿ù)  17 19" xfId="16184"/>
    <cellStyle name="C￥AØ_Ay°eC￥(2¿u)  17 2" xfId="16185"/>
    <cellStyle name="Ç¥ÁØ_Áý°èÇ¥(2¿ù)  17 2" xfId="16186"/>
    <cellStyle name="C￥AØ_Ay°eC￥(2¿u)  17 20" xfId="16187"/>
    <cellStyle name="Ç¥ÁØ_Áý°èÇ¥(2¿ù)  17 20" xfId="16188"/>
    <cellStyle name="C￥AØ_Ay°eC￥(2¿u)  17 21" xfId="16189"/>
    <cellStyle name="Ç¥ÁØ_Áý°èÇ¥(2¿ù)  17 21" xfId="16190"/>
    <cellStyle name="C￥AØ_Ay°eC￥(2¿u)  17 22" xfId="16191"/>
    <cellStyle name="Ç¥ÁØ_Áý°èÇ¥(2¿ù)  17 22" xfId="16192"/>
    <cellStyle name="C￥AØ_Ay°eC￥(2¿u)  17 23" xfId="16193"/>
    <cellStyle name="Ç¥ÁØ_Áý°èÇ¥(2¿ù)  17 23" xfId="16194"/>
    <cellStyle name="C￥AØ_Ay°eC￥(2¿u)  17 24" xfId="16195"/>
    <cellStyle name="Ç¥ÁØ_Áý°èÇ¥(2¿ù)  17 24" xfId="16196"/>
    <cellStyle name="C￥AØ_Ay°eC￥(2¿u)  17 25" xfId="16197"/>
    <cellStyle name="Ç¥ÁØ_Áý°èÇ¥(2¿ù)  17 25" xfId="16198"/>
    <cellStyle name="C￥AØ_Ay°eC￥(2¿u)  17 26" xfId="16199"/>
    <cellStyle name="Ç¥ÁØ_Áý°èÇ¥(2¿ù)  17 26" xfId="16200"/>
    <cellStyle name="C￥AØ_Ay°eC￥(2¿u)  17 27" xfId="16201"/>
    <cellStyle name="Ç¥ÁØ_Áý°èÇ¥(2¿ù)  17 27" xfId="16202"/>
    <cellStyle name="C￥AØ_Ay°eC￥(2¿u)  17 28" xfId="16203"/>
    <cellStyle name="Ç¥ÁØ_Áý°èÇ¥(2¿ù)  17 28" xfId="16204"/>
    <cellStyle name="C￥AØ_Ay°eC￥(2¿u)  17 29" xfId="16205"/>
    <cellStyle name="Ç¥ÁØ_Áý°èÇ¥(2¿ù)  17 29" xfId="16206"/>
    <cellStyle name="C￥AØ_Ay°eC￥(2¿u)  17 3" xfId="16207"/>
    <cellStyle name="Ç¥ÁØ_Áý°èÇ¥(2¿ù)  17 3" xfId="16208"/>
    <cellStyle name="C￥AØ_Ay°eC￥(2¿u)  17 30" xfId="16209"/>
    <cellStyle name="Ç¥ÁØ_Áý°èÇ¥(2¿ù)  17 30" xfId="16210"/>
    <cellStyle name="C￥AØ_Ay°eC￥(2¿u)  17 31" xfId="16211"/>
    <cellStyle name="Ç¥ÁØ_Áý°èÇ¥(2¿ù)  17 31" xfId="16212"/>
    <cellStyle name="C￥AØ_Ay°eC￥(2¿u)  17 32" xfId="16213"/>
    <cellStyle name="Ç¥ÁØ_Áý°èÇ¥(2¿ù)  17 32" xfId="16214"/>
    <cellStyle name="C￥AØ_Ay°eC￥(2¿u)  17 33" xfId="16215"/>
    <cellStyle name="Ç¥ÁØ_Áý°èÇ¥(2¿ù)  17 33" xfId="16216"/>
    <cellStyle name="C￥AØ_Ay°eC￥(2¿u)  17 34" xfId="16217"/>
    <cellStyle name="Ç¥ÁØ_Áý°èÇ¥(2¿ù)  17 34" xfId="16218"/>
    <cellStyle name="C￥AØ_Ay°eC￥(2¿u)  17 4" xfId="16219"/>
    <cellStyle name="Ç¥ÁØ_Áý°èÇ¥(2¿ù)  17 4" xfId="16220"/>
    <cellStyle name="C￥AØ_Ay°eC￥(2¿u)  17 5" xfId="16221"/>
    <cellStyle name="Ç¥ÁØ_Áý°èÇ¥(2¿ù)  17 5" xfId="16222"/>
    <cellStyle name="C￥AØ_Ay°eC￥(2¿u)  17 6" xfId="16223"/>
    <cellStyle name="Ç¥ÁØ_Áý°èÇ¥(2¿ù)  17 6" xfId="16224"/>
    <cellStyle name="C￥AØ_Ay°eC￥(2¿u)  17 7" xfId="16225"/>
    <cellStyle name="Ç¥ÁØ_Áý°èÇ¥(2¿ù)  17 7" xfId="16226"/>
    <cellStyle name="C￥AØ_Ay°eC￥(2¿u)  17 8" xfId="16227"/>
    <cellStyle name="Ç¥ÁØ_Áý°èÇ¥(2¿ù)  17 8" xfId="16228"/>
    <cellStyle name="C￥AØ_Ay°eC￥(2¿u)  17 9" xfId="16229"/>
    <cellStyle name="Ç¥ÁØ_Áý°èÇ¥(2¿ù)  17 9" xfId="16230"/>
    <cellStyle name="C￥AØ_Ay°eC￥(2¿u)  18" xfId="16231"/>
    <cellStyle name="Ç¥ÁØ_Áý°èÇ¥(2¿ù)  18" xfId="16232"/>
    <cellStyle name="C￥AØ_Ay°eC￥(2¿u)  18 10" xfId="16233"/>
    <cellStyle name="Ç¥ÁØ_Áý°èÇ¥(2¿ù)  18 10" xfId="16234"/>
    <cellStyle name="C￥AØ_Ay°eC￥(2¿u)  18 11" xfId="16235"/>
    <cellStyle name="Ç¥ÁØ_Áý°èÇ¥(2¿ù)  18 11" xfId="16236"/>
    <cellStyle name="C￥AØ_Ay°eC￥(2¿u)  18 12" xfId="16237"/>
    <cellStyle name="Ç¥ÁØ_Áý°èÇ¥(2¿ù)  18 12" xfId="16238"/>
    <cellStyle name="C￥AØ_Ay°eC￥(2¿u)  18 13" xfId="16239"/>
    <cellStyle name="Ç¥ÁØ_Áý°èÇ¥(2¿ù)  18 13" xfId="16240"/>
    <cellStyle name="C￥AØ_Ay°eC￥(2¿u)  18 14" xfId="16241"/>
    <cellStyle name="Ç¥ÁØ_Áý°èÇ¥(2¿ù)  18 14" xfId="16242"/>
    <cellStyle name="C￥AØ_Ay°eC￥(2¿u)  18 15" xfId="16243"/>
    <cellStyle name="Ç¥ÁØ_Áý°èÇ¥(2¿ù)  18 15" xfId="16244"/>
    <cellStyle name="C￥AØ_Ay°eC￥(2¿u)  18 16" xfId="16245"/>
    <cellStyle name="Ç¥ÁØ_Áý°èÇ¥(2¿ù)  18 16" xfId="16246"/>
    <cellStyle name="C￥AØ_Ay°eC￥(2¿u)  18 17" xfId="16247"/>
    <cellStyle name="Ç¥ÁØ_Áý°èÇ¥(2¿ù)  18 17" xfId="16248"/>
    <cellStyle name="C￥AØ_Ay°eC￥(2¿u)  18 18" xfId="16249"/>
    <cellStyle name="Ç¥ÁØ_Áý°èÇ¥(2¿ù)  18 18" xfId="16250"/>
    <cellStyle name="C￥AØ_Ay°eC￥(2¿u)  18 19" xfId="16251"/>
    <cellStyle name="Ç¥ÁØ_Áý°èÇ¥(2¿ù)  18 19" xfId="16252"/>
    <cellStyle name="C￥AØ_Ay°eC￥(2¿u)  18 2" xfId="16253"/>
    <cellStyle name="Ç¥ÁØ_Áý°èÇ¥(2¿ù)  18 2" xfId="16254"/>
    <cellStyle name="C￥AØ_Ay°eC￥(2¿u)  18 20" xfId="16255"/>
    <cellStyle name="Ç¥ÁØ_Áý°èÇ¥(2¿ù)  18 20" xfId="16256"/>
    <cellStyle name="C￥AØ_Ay°eC￥(2¿u)  18 21" xfId="16257"/>
    <cellStyle name="Ç¥ÁØ_Áý°èÇ¥(2¿ù)  18 21" xfId="16258"/>
    <cellStyle name="C￥AØ_Ay°eC￥(2¿u)  18 22" xfId="16259"/>
    <cellStyle name="Ç¥ÁØ_Áý°èÇ¥(2¿ù)  18 22" xfId="16260"/>
    <cellStyle name="C￥AØ_Ay°eC￥(2¿u)  18 23" xfId="16261"/>
    <cellStyle name="Ç¥ÁØ_Áý°èÇ¥(2¿ù)  18 23" xfId="16262"/>
    <cellStyle name="C￥AØ_Ay°eC￥(2¿u)  18 24" xfId="16263"/>
    <cellStyle name="Ç¥ÁØ_Áý°èÇ¥(2¿ù)  18 24" xfId="16264"/>
    <cellStyle name="C￥AØ_Ay°eC￥(2¿u)  18 25" xfId="16265"/>
    <cellStyle name="Ç¥ÁØ_Áý°èÇ¥(2¿ù)  18 25" xfId="16266"/>
    <cellStyle name="C￥AØ_Ay°eC￥(2¿u)  18 26" xfId="16267"/>
    <cellStyle name="Ç¥ÁØ_Áý°èÇ¥(2¿ù)  18 26" xfId="16268"/>
    <cellStyle name="C￥AØ_Ay°eC￥(2¿u)  18 27" xfId="16269"/>
    <cellStyle name="Ç¥ÁØ_Áý°èÇ¥(2¿ù)  18 27" xfId="16270"/>
    <cellStyle name="C￥AØ_Ay°eC￥(2¿u)  18 28" xfId="16271"/>
    <cellStyle name="Ç¥ÁØ_Áý°èÇ¥(2¿ù)  18 28" xfId="16272"/>
    <cellStyle name="C￥AØ_Ay°eC￥(2¿u)  18 29" xfId="16273"/>
    <cellStyle name="Ç¥ÁØ_Áý°èÇ¥(2¿ù)  18 29" xfId="16274"/>
    <cellStyle name="C￥AØ_Ay°eC￥(2¿u)  18 3" xfId="16275"/>
    <cellStyle name="Ç¥ÁØ_Áý°èÇ¥(2¿ù)  18 3" xfId="16276"/>
    <cellStyle name="C￥AØ_Ay°eC￥(2¿u)  18 30" xfId="16277"/>
    <cellStyle name="Ç¥ÁØ_Áý°èÇ¥(2¿ù)  18 30" xfId="16278"/>
    <cellStyle name="C￥AØ_Ay°eC￥(2¿u)  18 31" xfId="16279"/>
    <cellStyle name="Ç¥ÁØ_Áý°èÇ¥(2¿ù)  18 31" xfId="16280"/>
    <cellStyle name="C￥AØ_Ay°eC￥(2¿u)  18 32" xfId="16281"/>
    <cellStyle name="Ç¥ÁØ_Áý°èÇ¥(2¿ù)  18 32" xfId="16282"/>
    <cellStyle name="C￥AØ_Ay°eC￥(2¿u)  18 33" xfId="16283"/>
    <cellStyle name="Ç¥ÁØ_Áý°èÇ¥(2¿ù)  18 33" xfId="16284"/>
    <cellStyle name="C￥AØ_Ay°eC￥(2¿u)  18 34" xfId="16285"/>
    <cellStyle name="Ç¥ÁØ_Áý°èÇ¥(2¿ù)  18 34" xfId="16286"/>
    <cellStyle name="C￥AØ_Ay°eC￥(2¿u)  18 4" xfId="16287"/>
    <cellStyle name="Ç¥ÁØ_Áý°èÇ¥(2¿ù)  18 4" xfId="16288"/>
    <cellStyle name="C￥AØ_Ay°eC￥(2¿u)  18 5" xfId="16289"/>
    <cellStyle name="Ç¥ÁØ_Áý°èÇ¥(2¿ù)  18 5" xfId="16290"/>
    <cellStyle name="C￥AØ_Ay°eC￥(2¿u)  18 6" xfId="16291"/>
    <cellStyle name="Ç¥ÁØ_Áý°èÇ¥(2¿ù)  18 6" xfId="16292"/>
    <cellStyle name="C￥AØ_Ay°eC￥(2¿u)  18 7" xfId="16293"/>
    <cellStyle name="Ç¥ÁØ_Áý°èÇ¥(2¿ù)  18 7" xfId="16294"/>
    <cellStyle name="C￥AØ_Ay°eC￥(2¿u)  18 8" xfId="16295"/>
    <cellStyle name="Ç¥ÁØ_Áý°èÇ¥(2¿ù)  18 8" xfId="16296"/>
    <cellStyle name="C￥AØ_Ay°eC￥(2¿u)  18 9" xfId="16297"/>
    <cellStyle name="Ç¥ÁØ_Áý°èÇ¥(2¿ù)  18 9" xfId="16298"/>
    <cellStyle name="C￥AØ_Ay°eC￥(2¿u)  19" xfId="16299"/>
    <cellStyle name="Ç¥ÁØ_Áý°èÇ¥(2¿ù)  19" xfId="16300"/>
    <cellStyle name="C￥AØ_Ay°eC￥(2¿u)  19 10" xfId="16301"/>
    <cellStyle name="Ç¥ÁØ_Áý°èÇ¥(2¿ù)  19 10" xfId="16302"/>
    <cellStyle name="C￥AØ_Ay°eC￥(2¿u)  19 11" xfId="16303"/>
    <cellStyle name="Ç¥ÁØ_Áý°èÇ¥(2¿ù)  19 11" xfId="16304"/>
    <cellStyle name="C￥AØ_Ay°eC￥(2¿u)  19 12" xfId="16305"/>
    <cellStyle name="Ç¥ÁØ_Áý°èÇ¥(2¿ù)  19 12" xfId="16306"/>
    <cellStyle name="C￥AØ_Ay°eC￥(2¿u)  19 13" xfId="16307"/>
    <cellStyle name="Ç¥ÁØ_Áý°èÇ¥(2¿ù)  19 13" xfId="16308"/>
    <cellStyle name="C￥AØ_Ay°eC￥(2¿u)  19 14" xfId="16309"/>
    <cellStyle name="Ç¥ÁØ_Áý°èÇ¥(2¿ù)  19 14" xfId="16310"/>
    <cellStyle name="C￥AØ_Ay°eC￥(2¿u)  19 15" xfId="16311"/>
    <cellStyle name="Ç¥ÁØ_Áý°èÇ¥(2¿ù)  19 15" xfId="16312"/>
    <cellStyle name="C￥AØ_Ay°eC￥(2¿u)  19 16" xfId="16313"/>
    <cellStyle name="Ç¥ÁØ_Áý°èÇ¥(2¿ù)  19 16" xfId="16314"/>
    <cellStyle name="C￥AØ_Ay°eC￥(2¿u)  19 17" xfId="16315"/>
    <cellStyle name="Ç¥ÁØ_Áý°èÇ¥(2¿ù)  19 17" xfId="16316"/>
    <cellStyle name="C￥AØ_Ay°eC￥(2¿u)  19 18" xfId="16317"/>
    <cellStyle name="Ç¥ÁØ_Áý°èÇ¥(2¿ù)  19 18" xfId="16318"/>
    <cellStyle name="C￥AØ_Ay°eC￥(2¿u)  19 19" xfId="16319"/>
    <cellStyle name="Ç¥ÁØ_Áý°èÇ¥(2¿ù)  19 19" xfId="16320"/>
    <cellStyle name="C￥AØ_Ay°eC￥(2¿u)  19 2" xfId="16321"/>
    <cellStyle name="Ç¥ÁØ_Áý°èÇ¥(2¿ù)  19 2" xfId="16322"/>
    <cellStyle name="C￥AØ_Ay°eC￥(2¿u)  19 20" xfId="16323"/>
    <cellStyle name="Ç¥ÁØ_Áý°èÇ¥(2¿ù)  19 20" xfId="16324"/>
    <cellStyle name="C￥AØ_Ay°eC￥(2¿u)  19 21" xfId="16325"/>
    <cellStyle name="Ç¥ÁØ_Áý°èÇ¥(2¿ù)  19 21" xfId="16326"/>
    <cellStyle name="C￥AØ_Ay°eC￥(2¿u)  19 22" xfId="16327"/>
    <cellStyle name="Ç¥ÁØ_Áý°èÇ¥(2¿ù)  19 22" xfId="16328"/>
    <cellStyle name="C￥AØ_Ay°eC￥(2¿u)  19 23" xfId="16329"/>
    <cellStyle name="Ç¥ÁØ_Áý°èÇ¥(2¿ù)  19 23" xfId="16330"/>
    <cellStyle name="C￥AØ_Ay°eC￥(2¿u)  19 24" xfId="16331"/>
    <cellStyle name="Ç¥ÁØ_Áý°èÇ¥(2¿ù)  19 24" xfId="16332"/>
    <cellStyle name="C￥AØ_Ay°eC￥(2¿u)  19 25" xfId="16333"/>
    <cellStyle name="Ç¥ÁØ_Áý°èÇ¥(2¿ù)  19 25" xfId="16334"/>
    <cellStyle name="C￥AØ_Ay°eC￥(2¿u)  19 26" xfId="16335"/>
    <cellStyle name="Ç¥ÁØ_Áý°èÇ¥(2¿ù)  19 26" xfId="16336"/>
    <cellStyle name="C￥AØ_Ay°eC￥(2¿u)  19 27" xfId="16337"/>
    <cellStyle name="Ç¥ÁØ_Áý°èÇ¥(2¿ù)  19 27" xfId="16338"/>
    <cellStyle name="C￥AØ_Ay°eC￥(2¿u)  19 28" xfId="16339"/>
    <cellStyle name="Ç¥ÁØ_Áý°èÇ¥(2¿ù)  19 28" xfId="16340"/>
    <cellStyle name="C￥AØ_Ay°eC￥(2¿u)  19 29" xfId="16341"/>
    <cellStyle name="Ç¥ÁØ_Áý°èÇ¥(2¿ù)  19 29" xfId="16342"/>
    <cellStyle name="C￥AØ_Ay°eC￥(2¿u)  19 3" xfId="16343"/>
    <cellStyle name="Ç¥ÁØ_Áý°èÇ¥(2¿ù)  19 3" xfId="16344"/>
    <cellStyle name="C￥AØ_Ay°eC￥(2¿u)  19 30" xfId="16345"/>
    <cellStyle name="Ç¥ÁØ_Áý°èÇ¥(2¿ù)  19 30" xfId="16346"/>
    <cellStyle name="C￥AØ_Ay°eC￥(2¿u)  19 31" xfId="16347"/>
    <cellStyle name="Ç¥ÁØ_Áý°èÇ¥(2¿ù)  19 31" xfId="16348"/>
    <cellStyle name="C￥AØ_Ay°eC￥(2¿u)  19 32" xfId="16349"/>
    <cellStyle name="Ç¥ÁØ_Áý°èÇ¥(2¿ù)  19 32" xfId="16350"/>
    <cellStyle name="C￥AØ_Ay°eC￥(2¿u)  19 33" xfId="16351"/>
    <cellStyle name="Ç¥ÁØ_Áý°èÇ¥(2¿ù)  19 33" xfId="16352"/>
    <cellStyle name="C￥AØ_Ay°eC￥(2¿u)  19 34" xfId="16353"/>
    <cellStyle name="Ç¥ÁØ_Áý°èÇ¥(2¿ù)  19 34" xfId="16354"/>
    <cellStyle name="C￥AØ_Ay°eC￥(2¿u)  19 4" xfId="16355"/>
    <cellStyle name="Ç¥ÁØ_Áý°èÇ¥(2¿ù)  19 4" xfId="16356"/>
    <cellStyle name="C￥AØ_Ay°eC￥(2¿u)  19 5" xfId="16357"/>
    <cellStyle name="Ç¥ÁØ_Áý°èÇ¥(2¿ù)  19 5" xfId="16358"/>
    <cellStyle name="C￥AØ_Ay°eC￥(2¿u)  19 6" xfId="16359"/>
    <cellStyle name="Ç¥ÁØ_Áý°èÇ¥(2¿ù)  19 6" xfId="16360"/>
    <cellStyle name="C￥AØ_Ay°eC￥(2¿u)  19 7" xfId="16361"/>
    <cellStyle name="Ç¥ÁØ_Áý°èÇ¥(2¿ù)  19 7" xfId="16362"/>
    <cellStyle name="C￥AØ_Ay°eC￥(2¿u)  19 8" xfId="16363"/>
    <cellStyle name="Ç¥ÁØ_Áý°èÇ¥(2¿ù)  19 8" xfId="16364"/>
    <cellStyle name="C￥AØ_Ay°eC￥(2¿u)  19 9" xfId="16365"/>
    <cellStyle name="Ç¥ÁØ_Áý°èÇ¥(2¿ù)  19 9" xfId="16366"/>
    <cellStyle name="C￥AØ_Ay°eC￥(2¿u)  2" xfId="16367"/>
    <cellStyle name="Ç¥ÁØ_Áý°èÇ¥(2¿ù)  2" xfId="16368"/>
    <cellStyle name="C￥AØ_Ay°eC￥(2¿u)  2 10" xfId="16369"/>
    <cellStyle name="Ç¥ÁØ_Áý°èÇ¥(2¿ù)  2 10" xfId="16370"/>
    <cellStyle name="C￥AØ_Ay°eC￥(2¿u)  2 11" xfId="16371"/>
    <cellStyle name="Ç¥ÁØ_Áý°èÇ¥(2¿ù)  2 11" xfId="16372"/>
    <cellStyle name="C￥AØ_Ay°eC￥(2¿u)  2 12" xfId="16373"/>
    <cellStyle name="Ç¥ÁØ_Áý°èÇ¥(2¿ù)  2 12" xfId="16374"/>
    <cellStyle name="C￥AØ_Ay°eC￥(2¿u)  2 13" xfId="16375"/>
    <cellStyle name="Ç¥ÁØ_Áý°èÇ¥(2¿ù)  2 13" xfId="16376"/>
    <cellStyle name="C￥AØ_Ay°eC￥(2¿u)  2 14" xfId="16377"/>
    <cellStyle name="Ç¥ÁØ_Áý°èÇ¥(2¿ù)  2 14" xfId="16378"/>
    <cellStyle name="C￥AØ_Ay°eC￥(2¿u)  2 15" xfId="16379"/>
    <cellStyle name="Ç¥ÁØ_Áý°èÇ¥(2¿ù)  2 15" xfId="16380"/>
    <cellStyle name="C￥AØ_Ay°eC￥(2¿u)  2 16" xfId="16381"/>
    <cellStyle name="Ç¥ÁØ_Áý°èÇ¥(2¿ù)  2 16" xfId="16382"/>
    <cellStyle name="C￥AØ_Ay°eC￥(2¿u)  2 17" xfId="16383"/>
    <cellStyle name="Ç¥ÁØ_Áý°èÇ¥(2¿ù)  2 17" xfId="16384"/>
    <cellStyle name="C￥AØ_Ay°eC￥(2¿u)  2 18" xfId="16385"/>
    <cellStyle name="Ç¥ÁØ_Áý°èÇ¥(2¿ù)  2 18" xfId="16386"/>
    <cellStyle name="C￥AØ_Ay°eC￥(2¿u)  2 19" xfId="16387"/>
    <cellStyle name="Ç¥ÁØ_Áý°èÇ¥(2¿ù)  2 19" xfId="16388"/>
    <cellStyle name="C￥AØ_Ay°eC￥(2¿u)  2 2" xfId="16389"/>
    <cellStyle name="Ç¥ÁØ_Áý°èÇ¥(2¿ù)  2 2" xfId="16390"/>
    <cellStyle name="C￥AØ_Ay°eC￥(2¿u)  2 20" xfId="16391"/>
    <cellStyle name="Ç¥ÁØ_Áý°èÇ¥(2¿ù)  2 20" xfId="16392"/>
    <cellStyle name="C￥AØ_Ay°eC￥(2¿u)  2 21" xfId="16393"/>
    <cellStyle name="Ç¥ÁØ_Áý°èÇ¥(2¿ù)  2 21" xfId="16394"/>
    <cellStyle name="C￥AØ_Ay°eC￥(2¿u)  2 22" xfId="16395"/>
    <cellStyle name="Ç¥ÁØ_Áý°èÇ¥(2¿ù)  2 22" xfId="16396"/>
    <cellStyle name="C￥AØ_Ay°eC￥(2¿u)  2 23" xfId="16397"/>
    <cellStyle name="Ç¥ÁØ_Áý°èÇ¥(2¿ù)  2 23" xfId="16398"/>
    <cellStyle name="C￥AØ_Ay°eC￥(2¿u)  2 24" xfId="16399"/>
    <cellStyle name="Ç¥ÁØ_Áý°èÇ¥(2¿ù)  2 24" xfId="16400"/>
    <cellStyle name="C￥AØ_Ay°eC￥(2¿u)  2 25" xfId="16401"/>
    <cellStyle name="Ç¥ÁØ_Áý°èÇ¥(2¿ù)  2 25" xfId="16402"/>
    <cellStyle name="C￥AØ_Ay°eC￥(2¿u)  2 26" xfId="16403"/>
    <cellStyle name="Ç¥ÁØ_Áý°èÇ¥(2¿ù)  2 26" xfId="16404"/>
    <cellStyle name="C￥AØ_Ay°eC￥(2¿u)  2 27" xfId="16405"/>
    <cellStyle name="Ç¥ÁØ_Áý°èÇ¥(2¿ù)  2 27" xfId="16406"/>
    <cellStyle name="C￥AØ_Ay°eC￥(2¿u)  2 28" xfId="16407"/>
    <cellStyle name="Ç¥ÁØ_Áý°èÇ¥(2¿ù)  2 28" xfId="16408"/>
    <cellStyle name="C￥AØ_Ay°eC￥(2¿u)  2 29" xfId="16409"/>
    <cellStyle name="Ç¥ÁØ_Áý°èÇ¥(2¿ù)  2 29" xfId="16410"/>
    <cellStyle name="C￥AØ_Ay°eC￥(2¿u)  2 3" xfId="16411"/>
    <cellStyle name="Ç¥ÁØ_Áý°èÇ¥(2¿ù)  2 3" xfId="16412"/>
    <cellStyle name="C￥AØ_Ay°eC￥(2¿u)  2 30" xfId="16413"/>
    <cellStyle name="Ç¥ÁØ_Áý°èÇ¥(2¿ù)  2 30" xfId="16414"/>
    <cellStyle name="C￥AØ_Ay°eC￥(2¿u)  2 31" xfId="16415"/>
    <cellStyle name="Ç¥ÁØ_Áý°èÇ¥(2¿ù)  2 31" xfId="16416"/>
    <cellStyle name="C￥AØ_Ay°eC￥(2¿u)  2 32" xfId="16417"/>
    <cellStyle name="Ç¥ÁØ_Áý°èÇ¥(2¿ù)  2 32" xfId="16418"/>
    <cellStyle name="C￥AØ_Ay°eC￥(2¿u)  2 33" xfId="16419"/>
    <cellStyle name="Ç¥ÁØ_Áý°èÇ¥(2¿ù)  2 33" xfId="16420"/>
    <cellStyle name="C￥AØ_Ay°eC￥(2¿u)  2 34" xfId="16421"/>
    <cellStyle name="Ç¥ÁØ_Áý°èÇ¥(2¿ù)  2 34" xfId="16422"/>
    <cellStyle name="C￥AØ_Ay°eC￥(2¿u)  2 4" xfId="16423"/>
    <cellStyle name="Ç¥ÁØ_Áý°èÇ¥(2¿ù)  2 4" xfId="16424"/>
    <cellStyle name="C￥AØ_Ay°eC￥(2¿u)  2 5" xfId="16425"/>
    <cellStyle name="Ç¥ÁØ_Áý°èÇ¥(2¿ù)  2 5" xfId="16426"/>
    <cellStyle name="C￥AØ_Ay°eC￥(2¿u)  2 6" xfId="16427"/>
    <cellStyle name="Ç¥ÁØ_Áý°èÇ¥(2¿ù)  2 6" xfId="16428"/>
    <cellStyle name="C￥AØ_Ay°eC￥(2¿u)  2 7" xfId="16429"/>
    <cellStyle name="Ç¥ÁØ_Áý°èÇ¥(2¿ù)  2 7" xfId="16430"/>
    <cellStyle name="C￥AØ_Ay°eC￥(2¿u)  2 8" xfId="16431"/>
    <cellStyle name="Ç¥ÁØ_Áý°èÇ¥(2¿ù)  2 8" xfId="16432"/>
    <cellStyle name="C￥AØ_Ay°eC￥(2¿u)  2 9" xfId="16433"/>
    <cellStyle name="Ç¥ÁØ_Áý°èÇ¥(2¿ù)  2 9" xfId="16434"/>
    <cellStyle name="C￥AØ_Ay°eC￥(2¿u)  20" xfId="16435"/>
    <cellStyle name="Ç¥ÁØ_Áý°èÇ¥(2¿ù)  20" xfId="16436"/>
    <cellStyle name="C￥AØ_Ay°eC￥(2¿u)  20 10" xfId="16437"/>
    <cellStyle name="Ç¥ÁØ_Áý°èÇ¥(2¿ù)  20 10" xfId="16438"/>
    <cellStyle name="C￥AØ_Ay°eC￥(2¿u)  20 11" xfId="16439"/>
    <cellStyle name="Ç¥ÁØ_Áý°èÇ¥(2¿ù)  20 11" xfId="16440"/>
    <cellStyle name="C￥AØ_Ay°eC￥(2¿u)  20 12" xfId="16441"/>
    <cellStyle name="Ç¥ÁØ_Áý°èÇ¥(2¿ù)  20 12" xfId="16442"/>
    <cellStyle name="C￥AØ_Ay°eC￥(2¿u)  20 13" xfId="16443"/>
    <cellStyle name="Ç¥ÁØ_Áý°èÇ¥(2¿ù)  20 13" xfId="16444"/>
    <cellStyle name="C￥AØ_Ay°eC￥(2¿u)  20 14" xfId="16445"/>
    <cellStyle name="Ç¥ÁØ_Áý°èÇ¥(2¿ù)  20 14" xfId="16446"/>
    <cellStyle name="C￥AØ_Ay°eC￥(2¿u)  20 15" xfId="16447"/>
    <cellStyle name="Ç¥ÁØ_Áý°èÇ¥(2¿ù)  20 15" xfId="16448"/>
    <cellStyle name="C￥AØ_Ay°eC￥(2¿u)  20 16" xfId="16449"/>
    <cellStyle name="Ç¥ÁØ_Áý°èÇ¥(2¿ù)  20 16" xfId="16450"/>
    <cellStyle name="C￥AØ_Ay°eC￥(2¿u)  20 17" xfId="16451"/>
    <cellStyle name="Ç¥ÁØ_Áý°èÇ¥(2¿ù)  20 17" xfId="16452"/>
    <cellStyle name="C￥AØ_Ay°eC￥(2¿u)  20 18" xfId="16453"/>
    <cellStyle name="Ç¥ÁØ_Áý°èÇ¥(2¿ù)  20 18" xfId="16454"/>
    <cellStyle name="C￥AØ_Ay°eC￥(2¿u)  20 19" xfId="16455"/>
    <cellStyle name="Ç¥ÁØ_Áý°èÇ¥(2¿ù)  20 19" xfId="16456"/>
    <cellStyle name="C￥AØ_Ay°eC￥(2¿u)  20 2" xfId="16457"/>
    <cellStyle name="Ç¥ÁØ_Áý°èÇ¥(2¿ù)  20 2" xfId="16458"/>
    <cellStyle name="C￥AØ_Ay°eC￥(2¿u)  20 20" xfId="16459"/>
    <cellStyle name="Ç¥ÁØ_Áý°èÇ¥(2¿ù)  20 20" xfId="16460"/>
    <cellStyle name="C￥AØ_Ay°eC￥(2¿u)  20 21" xfId="16461"/>
    <cellStyle name="Ç¥ÁØ_Áý°èÇ¥(2¿ù)  20 21" xfId="16462"/>
    <cellStyle name="C￥AØ_Ay°eC￥(2¿u)  20 22" xfId="16463"/>
    <cellStyle name="Ç¥ÁØ_Áý°èÇ¥(2¿ù)  20 22" xfId="16464"/>
    <cellStyle name="C￥AØ_Ay°eC￥(2¿u)  20 23" xfId="16465"/>
    <cellStyle name="Ç¥ÁØ_Áý°èÇ¥(2¿ù)  20 23" xfId="16466"/>
    <cellStyle name="C￥AØ_Ay°eC￥(2¿u)  20 24" xfId="16467"/>
    <cellStyle name="Ç¥ÁØ_Áý°èÇ¥(2¿ù)  20 24" xfId="16468"/>
    <cellStyle name="C￥AØ_Ay°eC￥(2¿u)  20 25" xfId="16469"/>
    <cellStyle name="Ç¥ÁØ_Áý°èÇ¥(2¿ù)  20 25" xfId="16470"/>
    <cellStyle name="C￥AØ_Ay°eC￥(2¿u)  20 26" xfId="16471"/>
    <cellStyle name="Ç¥ÁØ_Áý°èÇ¥(2¿ù)  20 26" xfId="16472"/>
    <cellStyle name="C￥AØ_Ay°eC￥(2¿u)  20 27" xfId="16473"/>
    <cellStyle name="Ç¥ÁØ_Áý°èÇ¥(2¿ù)  20 27" xfId="16474"/>
    <cellStyle name="C￥AØ_Ay°eC￥(2¿u)  20 28" xfId="16475"/>
    <cellStyle name="Ç¥ÁØ_Áý°èÇ¥(2¿ù)  20 28" xfId="16476"/>
    <cellStyle name="C￥AØ_Ay°eC￥(2¿u)  20 29" xfId="16477"/>
    <cellStyle name="Ç¥ÁØ_Áý°èÇ¥(2¿ù)  20 29" xfId="16478"/>
    <cellStyle name="C￥AØ_Ay°eC￥(2¿u)  20 3" xfId="16479"/>
    <cellStyle name="Ç¥ÁØ_Áý°èÇ¥(2¿ù)  20 3" xfId="16480"/>
    <cellStyle name="C￥AØ_Ay°eC￥(2¿u)  20 30" xfId="16481"/>
    <cellStyle name="Ç¥ÁØ_Áý°èÇ¥(2¿ù)  20 30" xfId="16482"/>
    <cellStyle name="C￥AØ_Ay°eC￥(2¿u)  20 31" xfId="16483"/>
    <cellStyle name="Ç¥ÁØ_Áý°èÇ¥(2¿ù)  20 31" xfId="16484"/>
    <cellStyle name="C￥AØ_Ay°eC￥(2¿u)  20 32" xfId="16485"/>
    <cellStyle name="Ç¥ÁØ_Áý°èÇ¥(2¿ù)  20 32" xfId="16486"/>
    <cellStyle name="C￥AØ_Ay°eC￥(2¿u)  20 33" xfId="16487"/>
    <cellStyle name="Ç¥ÁØ_Áý°èÇ¥(2¿ù)  20 33" xfId="16488"/>
    <cellStyle name="C￥AØ_Ay°eC￥(2¿u)  20 34" xfId="16489"/>
    <cellStyle name="Ç¥ÁØ_Áý°èÇ¥(2¿ù)  20 34" xfId="16490"/>
    <cellStyle name="C￥AØ_Ay°eC￥(2¿u)  20 4" xfId="16491"/>
    <cellStyle name="Ç¥ÁØ_Áý°èÇ¥(2¿ù)  20 4" xfId="16492"/>
    <cellStyle name="C￥AØ_Ay°eC￥(2¿u)  20 5" xfId="16493"/>
    <cellStyle name="Ç¥ÁØ_Áý°èÇ¥(2¿ù)  20 5" xfId="16494"/>
    <cellStyle name="C￥AØ_Ay°eC￥(2¿u)  20 6" xfId="16495"/>
    <cellStyle name="Ç¥ÁØ_Áý°èÇ¥(2¿ù)  20 6" xfId="16496"/>
    <cellStyle name="C￥AØ_Ay°eC￥(2¿u)  20 7" xfId="16497"/>
    <cellStyle name="Ç¥ÁØ_Áý°èÇ¥(2¿ù)  20 7" xfId="16498"/>
    <cellStyle name="C￥AØ_Ay°eC￥(2¿u)  20 8" xfId="16499"/>
    <cellStyle name="Ç¥ÁØ_Áý°èÇ¥(2¿ù)  20 8" xfId="16500"/>
    <cellStyle name="C￥AØ_Ay°eC￥(2¿u)  20 9" xfId="16501"/>
    <cellStyle name="Ç¥ÁØ_Áý°èÇ¥(2¿ù)  20 9" xfId="16502"/>
    <cellStyle name="C￥AØ_Ay°eC￥(2¿u)  21" xfId="16503"/>
    <cellStyle name="Ç¥ÁØ_Áý°èÇ¥(2¿ù)  21" xfId="16504"/>
    <cellStyle name="C￥AØ_Ay°eC￥(2¿u)  21 10" xfId="16505"/>
    <cellStyle name="Ç¥ÁØ_Áý°èÇ¥(2¿ù)  21 10" xfId="16506"/>
    <cellStyle name="C￥AØ_Ay°eC￥(2¿u)  21 11" xfId="16507"/>
    <cellStyle name="Ç¥ÁØ_Áý°èÇ¥(2¿ù)  21 11" xfId="16508"/>
    <cellStyle name="C￥AØ_Ay°eC￥(2¿u)  21 12" xfId="16509"/>
    <cellStyle name="Ç¥ÁØ_Áý°èÇ¥(2¿ù)  21 12" xfId="16510"/>
    <cellStyle name="C￥AØ_Ay°eC￥(2¿u)  21 13" xfId="16511"/>
    <cellStyle name="Ç¥ÁØ_Áý°èÇ¥(2¿ù)  21 13" xfId="16512"/>
    <cellStyle name="C￥AØ_Ay°eC￥(2¿u)  21 14" xfId="16513"/>
    <cellStyle name="Ç¥ÁØ_Áý°èÇ¥(2¿ù)  21 14" xfId="16514"/>
    <cellStyle name="C￥AØ_Ay°eC￥(2¿u)  21 15" xfId="16515"/>
    <cellStyle name="Ç¥ÁØ_Áý°èÇ¥(2¿ù)  21 15" xfId="16516"/>
    <cellStyle name="C￥AØ_Ay°eC￥(2¿u)  21 16" xfId="16517"/>
    <cellStyle name="Ç¥ÁØ_Áý°èÇ¥(2¿ù)  21 16" xfId="16518"/>
    <cellStyle name="C￥AØ_Ay°eC￥(2¿u)  21 17" xfId="16519"/>
    <cellStyle name="Ç¥ÁØ_Áý°èÇ¥(2¿ù)  21 17" xfId="16520"/>
    <cellStyle name="C￥AØ_Ay°eC￥(2¿u)  21 18" xfId="16521"/>
    <cellStyle name="Ç¥ÁØ_Áý°èÇ¥(2¿ù)  21 18" xfId="16522"/>
    <cellStyle name="C￥AØ_Ay°eC￥(2¿u)  21 19" xfId="16523"/>
    <cellStyle name="Ç¥ÁØ_Áý°èÇ¥(2¿ù)  21 19" xfId="16524"/>
    <cellStyle name="C￥AØ_Ay°eC￥(2¿u)  21 2" xfId="16525"/>
    <cellStyle name="Ç¥ÁØ_Áý°èÇ¥(2¿ù)  21 2" xfId="16526"/>
    <cellStyle name="C￥AØ_Ay°eC￥(2¿u)  21 20" xfId="16527"/>
    <cellStyle name="Ç¥ÁØ_Áý°èÇ¥(2¿ù)  21 20" xfId="16528"/>
    <cellStyle name="C￥AØ_Ay°eC￥(2¿u)  21 21" xfId="16529"/>
    <cellStyle name="Ç¥ÁØ_Áý°èÇ¥(2¿ù)  21 21" xfId="16530"/>
    <cellStyle name="C￥AØ_Ay°eC￥(2¿u)  21 22" xfId="16531"/>
    <cellStyle name="Ç¥ÁØ_Áý°èÇ¥(2¿ù)  21 22" xfId="16532"/>
    <cellStyle name="C￥AØ_Ay°eC￥(2¿u)  21 23" xfId="16533"/>
    <cellStyle name="Ç¥ÁØ_Áý°èÇ¥(2¿ù)  21 23" xfId="16534"/>
    <cellStyle name="C￥AØ_Ay°eC￥(2¿u)  21 24" xfId="16535"/>
    <cellStyle name="Ç¥ÁØ_Áý°èÇ¥(2¿ù)  21 24" xfId="16536"/>
    <cellStyle name="C￥AØ_Ay°eC￥(2¿u)  21 25" xfId="16537"/>
    <cellStyle name="Ç¥ÁØ_Áý°èÇ¥(2¿ù)  21 25" xfId="16538"/>
    <cellStyle name="C￥AØ_Ay°eC￥(2¿u)  21 26" xfId="16539"/>
    <cellStyle name="Ç¥ÁØ_Áý°èÇ¥(2¿ù)  21 26" xfId="16540"/>
    <cellStyle name="C￥AØ_Ay°eC￥(2¿u)  21 27" xfId="16541"/>
    <cellStyle name="Ç¥ÁØ_Áý°èÇ¥(2¿ù)  21 27" xfId="16542"/>
    <cellStyle name="C￥AØ_Ay°eC￥(2¿u)  21 28" xfId="16543"/>
    <cellStyle name="Ç¥ÁØ_Áý°èÇ¥(2¿ù)  21 28" xfId="16544"/>
    <cellStyle name="C￥AØ_Ay°eC￥(2¿u)  21 29" xfId="16545"/>
    <cellStyle name="Ç¥ÁØ_Áý°èÇ¥(2¿ù)  21 29" xfId="16546"/>
    <cellStyle name="C￥AØ_Ay°eC￥(2¿u)  21 3" xfId="16547"/>
    <cellStyle name="Ç¥ÁØ_Áý°èÇ¥(2¿ù)  21 3" xfId="16548"/>
    <cellStyle name="C￥AØ_Ay°eC￥(2¿u)  21 30" xfId="16549"/>
    <cellStyle name="Ç¥ÁØ_Áý°èÇ¥(2¿ù)  21 30" xfId="16550"/>
    <cellStyle name="C￥AØ_Ay°eC￥(2¿u)  21 31" xfId="16551"/>
    <cellStyle name="Ç¥ÁØ_Áý°èÇ¥(2¿ù)  21 31" xfId="16552"/>
    <cellStyle name="C￥AØ_Ay°eC￥(2¿u)  21 32" xfId="16553"/>
    <cellStyle name="Ç¥ÁØ_Áý°èÇ¥(2¿ù)  21 32" xfId="16554"/>
    <cellStyle name="C￥AØ_Ay°eC￥(2¿u)  21 33" xfId="16555"/>
    <cellStyle name="Ç¥ÁØ_Áý°èÇ¥(2¿ù)  21 33" xfId="16556"/>
    <cellStyle name="C￥AØ_Ay°eC￥(2¿u)  21 34" xfId="16557"/>
    <cellStyle name="Ç¥ÁØ_Áý°èÇ¥(2¿ù)  21 34" xfId="16558"/>
    <cellStyle name="C￥AØ_Ay°eC￥(2¿u)  21 4" xfId="16559"/>
    <cellStyle name="Ç¥ÁØ_Áý°èÇ¥(2¿ù)  21 4" xfId="16560"/>
    <cellStyle name="C￥AØ_Ay°eC￥(2¿u)  21 5" xfId="16561"/>
    <cellStyle name="Ç¥ÁØ_Áý°èÇ¥(2¿ù)  21 5" xfId="16562"/>
    <cellStyle name="C￥AØ_Ay°eC￥(2¿u)  21 6" xfId="16563"/>
    <cellStyle name="Ç¥ÁØ_Áý°èÇ¥(2¿ù)  21 6" xfId="16564"/>
    <cellStyle name="C￥AØ_Ay°eC￥(2¿u)  21 7" xfId="16565"/>
    <cellStyle name="Ç¥ÁØ_Áý°èÇ¥(2¿ù)  21 7" xfId="16566"/>
    <cellStyle name="C￥AØ_Ay°eC￥(2¿u)  21 8" xfId="16567"/>
    <cellStyle name="Ç¥ÁØ_Áý°èÇ¥(2¿ù)  21 8" xfId="16568"/>
    <cellStyle name="C￥AØ_Ay°eC￥(2¿u)  21 9" xfId="16569"/>
    <cellStyle name="Ç¥ÁØ_Áý°èÇ¥(2¿ù)  21 9" xfId="16570"/>
    <cellStyle name="C￥AØ_Ay°eC￥(2¿u)  22" xfId="16571"/>
    <cellStyle name="Ç¥ÁØ_Áý°èÇ¥(2¿ù)  22" xfId="16572"/>
    <cellStyle name="C￥AØ_Ay°eC￥(2¿u)  22 10" xfId="16573"/>
    <cellStyle name="Ç¥ÁØ_Áý°èÇ¥(2¿ù)  22 10" xfId="16574"/>
    <cellStyle name="C￥AØ_Ay°eC￥(2¿u)  22 11" xfId="16575"/>
    <cellStyle name="Ç¥ÁØ_Áý°èÇ¥(2¿ù)  22 11" xfId="16576"/>
    <cellStyle name="C￥AØ_Ay°eC￥(2¿u)  22 12" xfId="16577"/>
    <cellStyle name="Ç¥ÁØ_Áý°èÇ¥(2¿ù)  22 12" xfId="16578"/>
    <cellStyle name="C￥AØ_Ay°eC￥(2¿u)  22 13" xfId="16579"/>
    <cellStyle name="Ç¥ÁØ_Áý°èÇ¥(2¿ù)  22 13" xfId="16580"/>
    <cellStyle name="C￥AØ_Ay°eC￥(2¿u)  22 14" xfId="16581"/>
    <cellStyle name="Ç¥ÁØ_Áý°èÇ¥(2¿ù)  22 14" xfId="16582"/>
    <cellStyle name="C￥AØ_Ay°eC￥(2¿u)  22 15" xfId="16583"/>
    <cellStyle name="Ç¥ÁØ_Áý°èÇ¥(2¿ù)  22 15" xfId="16584"/>
    <cellStyle name="C￥AØ_Ay°eC￥(2¿u)  22 16" xfId="16585"/>
    <cellStyle name="Ç¥ÁØ_Áý°èÇ¥(2¿ù)  22 16" xfId="16586"/>
    <cellStyle name="C￥AØ_Ay°eC￥(2¿u)  22 17" xfId="16587"/>
    <cellStyle name="Ç¥ÁØ_Áý°èÇ¥(2¿ù)  22 17" xfId="16588"/>
    <cellStyle name="C￥AØ_Ay°eC￥(2¿u)  22 18" xfId="16589"/>
    <cellStyle name="Ç¥ÁØ_Áý°èÇ¥(2¿ù)  22 18" xfId="16590"/>
    <cellStyle name="C￥AØ_Ay°eC￥(2¿u)  22 19" xfId="16591"/>
    <cellStyle name="Ç¥ÁØ_Áý°èÇ¥(2¿ù)  22 19" xfId="16592"/>
    <cellStyle name="C￥AØ_Ay°eC￥(2¿u)  22 2" xfId="16593"/>
    <cellStyle name="Ç¥ÁØ_Áý°èÇ¥(2¿ù)  22 2" xfId="16594"/>
    <cellStyle name="C￥AØ_Ay°eC￥(2¿u)  22 20" xfId="16595"/>
    <cellStyle name="Ç¥ÁØ_Áý°èÇ¥(2¿ù)  22 20" xfId="16596"/>
    <cellStyle name="C￥AØ_Ay°eC￥(2¿u)  22 21" xfId="16597"/>
    <cellStyle name="Ç¥ÁØ_Áý°èÇ¥(2¿ù)  22 21" xfId="16598"/>
    <cellStyle name="C￥AØ_Ay°eC￥(2¿u)  22 22" xfId="16599"/>
    <cellStyle name="Ç¥ÁØ_Áý°èÇ¥(2¿ù)  22 22" xfId="16600"/>
    <cellStyle name="C￥AØ_Ay°eC￥(2¿u)  22 23" xfId="16601"/>
    <cellStyle name="Ç¥ÁØ_Áý°èÇ¥(2¿ù)  22 23" xfId="16602"/>
    <cellStyle name="C￥AØ_Ay°eC￥(2¿u)  22 24" xfId="16603"/>
    <cellStyle name="Ç¥ÁØ_Áý°èÇ¥(2¿ù)  22 24" xfId="16604"/>
    <cellStyle name="C￥AØ_Ay°eC￥(2¿u)  22 25" xfId="16605"/>
    <cellStyle name="Ç¥ÁØ_Áý°èÇ¥(2¿ù)  22 25" xfId="16606"/>
    <cellStyle name="C￥AØ_Ay°eC￥(2¿u)  22 26" xfId="16607"/>
    <cellStyle name="Ç¥ÁØ_Áý°èÇ¥(2¿ù)  22 26" xfId="16608"/>
    <cellStyle name="C￥AØ_Ay°eC￥(2¿u)  22 27" xfId="16609"/>
    <cellStyle name="Ç¥ÁØ_Áý°èÇ¥(2¿ù)  22 27" xfId="16610"/>
    <cellStyle name="C￥AØ_Ay°eC￥(2¿u)  22 28" xfId="16611"/>
    <cellStyle name="Ç¥ÁØ_Áý°èÇ¥(2¿ù)  22 28" xfId="16612"/>
    <cellStyle name="C￥AØ_Ay°eC￥(2¿u)  22 29" xfId="16613"/>
    <cellStyle name="Ç¥ÁØ_Áý°èÇ¥(2¿ù)  22 29" xfId="16614"/>
    <cellStyle name="C￥AØ_Ay°eC￥(2¿u)  22 3" xfId="16615"/>
    <cellStyle name="Ç¥ÁØ_Áý°èÇ¥(2¿ù)  22 3" xfId="16616"/>
    <cellStyle name="C￥AØ_Ay°eC￥(2¿u)  22 30" xfId="16617"/>
    <cellStyle name="Ç¥ÁØ_Áý°èÇ¥(2¿ù)  22 30" xfId="16618"/>
    <cellStyle name="C￥AØ_Ay°eC￥(2¿u)  22 31" xfId="16619"/>
    <cellStyle name="Ç¥ÁØ_Áý°èÇ¥(2¿ù)  22 31" xfId="16620"/>
    <cellStyle name="C￥AØ_Ay°eC￥(2¿u)  22 32" xfId="16621"/>
    <cellStyle name="Ç¥ÁØ_Áý°èÇ¥(2¿ù)  22 32" xfId="16622"/>
    <cellStyle name="C￥AØ_Ay°eC￥(2¿u)  22 33" xfId="16623"/>
    <cellStyle name="Ç¥ÁØ_Áý°èÇ¥(2¿ù)  22 33" xfId="16624"/>
    <cellStyle name="C￥AØ_Ay°eC￥(2¿u)  22 34" xfId="16625"/>
    <cellStyle name="Ç¥ÁØ_Áý°èÇ¥(2¿ù)  22 34" xfId="16626"/>
    <cellStyle name="C￥AØ_Ay°eC￥(2¿u)  22 4" xfId="16627"/>
    <cellStyle name="Ç¥ÁØ_Áý°èÇ¥(2¿ù)  22 4" xfId="16628"/>
    <cellStyle name="C￥AØ_Ay°eC￥(2¿u)  22 5" xfId="16629"/>
    <cellStyle name="Ç¥ÁØ_Áý°èÇ¥(2¿ù)  22 5" xfId="16630"/>
    <cellStyle name="C￥AØ_Ay°eC￥(2¿u)  22 6" xfId="16631"/>
    <cellStyle name="Ç¥ÁØ_Áý°èÇ¥(2¿ù)  22 6" xfId="16632"/>
    <cellStyle name="C￥AØ_Ay°eC￥(2¿u)  22 7" xfId="16633"/>
    <cellStyle name="Ç¥ÁØ_Áý°èÇ¥(2¿ù)  22 7" xfId="16634"/>
    <cellStyle name="C￥AØ_Ay°eC￥(2¿u)  22 8" xfId="16635"/>
    <cellStyle name="Ç¥ÁØ_Áý°èÇ¥(2¿ù)  22 8" xfId="16636"/>
    <cellStyle name="C￥AØ_Ay°eC￥(2¿u)  22 9" xfId="16637"/>
    <cellStyle name="Ç¥ÁØ_Áý°èÇ¥(2¿ù)  22 9" xfId="16638"/>
    <cellStyle name="C￥AØ_Ay°eC￥(2¿u)  23" xfId="16639"/>
    <cellStyle name="Ç¥ÁØ_Áý°èÇ¥(2¿ù)  23" xfId="16640"/>
    <cellStyle name="C￥AØ_Ay°eC￥(2¿u)  23 10" xfId="16641"/>
    <cellStyle name="Ç¥ÁØ_Áý°èÇ¥(2¿ù)  23 10" xfId="16642"/>
    <cellStyle name="C￥AØ_Ay°eC￥(2¿u)  23 11" xfId="16643"/>
    <cellStyle name="Ç¥ÁØ_Áý°èÇ¥(2¿ù)  23 11" xfId="16644"/>
    <cellStyle name="C￥AØ_Ay°eC￥(2¿u)  23 12" xfId="16645"/>
    <cellStyle name="Ç¥ÁØ_Áý°èÇ¥(2¿ù)  23 12" xfId="16646"/>
    <cellStyle name="C￥AØ_Ay°eC￥(2¿u)  23 13" xfId="16647"/>
    <cellStyle name="Ç¥ÁØ_Áý°èÇ¥(2¿ù)  23 13" xfId="16648"/>
    <cellStyle name="C￥AØ_Ay°eC￥(2¿u)  23 14" xfId="16649"/>
    <cellStyle name="Ç¥ÁØ_Áý°èÇ¥(2¿ù)  23 14" xfId="16650"/>
    <cellStyle name="C￥AØ_Ay°eC￥(2¿u)  23 15" xfId="16651"/>
    <cellStyle name="Ç¥ÁØ_Áý°èÇ¥(2¿ù)  23 15" xfId="16652"/>
    <cellStyle name="C￥AØ_Ay°eC￥(2¿u)  23 16" xfId="16653"/>
    <cellStyle name="Ç¥ÁØ_Áý°èÇ¥(2¿ù)  23 16" xfId="16654"/>
    <cellStyle name="C￥AØ_Ay°eC￥(2¿u)  23 17" xfId="16655"/>
    <cellStyle name="Ç¥ÁØ_Áý°èÇ¥(2¿ù)  23 17" xfId="16656"/>
    <cellStyle name="C￥AØ_Ay°eC￥(2¿u)  23 18" xfId="16657"/>
    <cellStyle name="Ç¥ÁØ_Áý°èÇ¥(2¿ù)  23 18" xfId="16658"/>
    <cellStyle name="C￥AØ_Ay°eC￥(2¿u)  23 19" xfId="16659"/>
    <cellStyle name="Ç¥ÁØ_Áý°èÇ¥(2¿ù)  23 19" xfId="16660"/>
    <cellStyle name="C￥AØ_Ay°eC￥(2¿u)  23 2" xfId="16661"/>
    <cellStyle name="Ç¥ÁØ_Áý°èÇ¥(2¿ù)  23 2" xfId="16662"/>
    <cellStyle name="C￥AØ_Ay°eC￥(2¿u)  23 20" xfId="16663"/>
    <cellStyle name="Ç¥ÁØ_Áý°èÇ¥(2¿ù)  23 20" xfId="16664"/>
    <cellStyle name="C￥AØ_Ay°eC￥(2¿u)  23 21" xfId="16665"/>
    <cellStyle name="Ç¥ÁØ_Áý°èÇ¥(2¿ù)  23 21" xfId="16666"/>
    <cellStyle name="C￥AØ_Ay°eC￥(2¿u)  23 22" xfId="16667"/>
    <cellStyle name="Ç¥ÁØ_Áý°èÇ¥(2¿ù)  23 22" xfId="16668"/>
    <cellStyle name="C￥AØ_Ay°eC￥(2¿u)  23 23" xfId="16669"/>
    <cellStyle name="Ç¥ÁØ_Áý°èÇ¥(2¿ù)  23 23" xfId="16670"/>
    <cellStyle name="C￥AØ_Ay°eC￥(2¿u)  23 24" xfId="16671"/>
    <cellStyle name="Ç¥ÁØ_Áý°èÇ¥(2¿ù)  23 24" xfId="16672"/>
    <cellStyle name="C￥AØ_Ay°eC￥(2¿u)  23 25" xfId="16673"/>
    <cellStyle name="Ç¥ÁØ_Áý°èÇ¥(2¿ù)  23 25" xfId="16674"/>
    <cellStyle name="C￥AØ_Ay°eC￥(2¿u)  23 26" xfId="16675"/>
    <cellStyle name="Ç¥ÁØ_Áý°èÇ¥(2¿ù)  23 26" xfId="16676"/>
    <cellStyle name="C￥AØ_Ay°eC￥(2¿u)  23 27" xfId="16677"/>
    <cellStyle name="Ç¥ÁØ_Áý°èÇ¥(2¿ù)  23 27" xfId="16678"/>
    <cellStyle name="C￥AØ_Ay°eC￥(2¿u)  23 28" xfId="16679"/>
    <cellStyle name="Ç¥ÁØ_Áý°èÇ¥(2¿ù)  23 28" xfId="16680"/>
    <cellStyle name="C￥AØ_Ay°eC￥(2¿u)  23 29" xfId="16681"/>
    <cellStyle name="Ç¥ÁØ_Áý°èÇ¥(2¿ù)  23 29" xfId="16682"/>
    <cellStyle name="C￥AØ_Ay°eC￥(2¿u)  23 3" xfId="16683"/>
    <cellStyle name="Ç¥ÁØ_Áý°èÇ¥(2¿ù)  23 3" xfId="16684"/>
    <cellStyle name="C￥AØ_Ay°eC￥(2¿u)  23 30" xfId="16685"/>
    <cellStyle name="Ç¥ÁØ_Áý°èÇ¥(2¿ù)  23 30" xfId="16686"/>
    <cellStyle name="C￥AØ_Ay°eC￥(2¿u)  23 31" xfId="16687"/>
    <cellStyle name="Ç¥ÁØ_Áý°èÇ¥(2¿ù)  23 31" xfId="16688"/>
    <cellStyle name="C￥AØ_Ay°eC￥(2¿u)  23 32" xfId="16689"/>
    <cellStyle name="Ç¥ÁØ_Áý°èÇ¥(2¿ù)  23 32" xfId="16690"/>
    <cellStyle name="C￥AØ_Ay°eC￥(2¿u)  23 33" xfId="16691"/>
    <cellStyle name="Ç¥ÁØ_Áý°èÇ¥(2¿ù)  23 33" xfId="16692"/>
    <cellStyle name="C￥AØ_Ay°eC￥(2¿u)  23 34" xfId="16693"/>
    <cellStyle name="Ç¥ÁØ_Áý°èÇ¥(2¿ù)  23 34" xfId="16694"/>
    <cellStyle name="C￥AØ_Ay°eC￥(2¿u)  23 4" xfId="16695"/>
    <cellStyle name="Ç¥ÁØ_Áý°èÇ¥(2¿ù)  23 4" xfId="16696"/>
    <cellStyle name="C￥AØ_Ay°eC￥(2¿u)  23 5" xfId="16697"/>
    <cellStyle name="Ç¥ÁØ_Áý°èÇ¥(2¿ù)  23 5" xfId="16698"/>
    <cellStyle name="C￥AØ_Ay°eC￥(2¿u)  23 6" xfId="16699"/>
    <cellStyle name="Ç¥ÁØ_Áý°èÇ¥(2¿ù)  23 6" xfId="16700"/>
    <cellStyle name="C￥AØ_Ay°eC￥(2¿u)  23 7" xfId="16701"/>
    <cellStyle name="Ç¥ÁØ_Áý°èÇ¥(2¿ù)  23 7" xfId="16702"/>
    <cellStyle name="C￥AØ_Ay°eC￥(2¿u)  23 8" xfId="16703"/>
    <cellStyle name="Ç¥ÁØ_Áý°èÇ¥(2¿ù)  23 8" xfId="16704"/>
    <cellStyle name="C￥AØ_Ay°eC￥(2¿u)  23 9" xfId="16705"/>
    <cellStyle name="Ç¥ÁØ_Áý°èÇ¥(2¿ù)  23 9" xfId="16706"/>
    <cellStyle name="C￥AØ_Ay°eC￥(2¿u)  24" xfId="16707"/>
    <cellStyle name="Ç¥ÁØ_Áý°èÇ¥(2¿ù)  24" xfId="16708"/>
    <cellStyle name="C￥AØ_Ay°eC￥(2¿u)  24 10" xfId="16709"/>
    <cellStyle name="Ç¥ÁØ_Áý°èÇ¥(2¿ù)  24 10" xfId="16710"/>
    <cellStyle name="C￥AØ_Ay°eC￥(2¿u)  24 11" xfId="16711"/>
    <cellStyle name="Ç¥ÁØ_Áý°èÇ¥(2¿ù)  24 11" xfId="16712"/>
    <cellStyle name="C￥AØ_Ay°eC￥(2¿u)  24 12" xfId="16713"/>
    <cellStyle name="Ç¥ÁØ_Áý°èÇ¥(2¿ù)  24 12" xfId="16714"/>
    <cellStyle name="C￥AØ_Ay°eC￥(2¿u)  24 13" xfId="16715"/>
    <cellStyle name="Ç¥ÁØ_Áý°èÇ¥(2¿ù)  24 13" xfId="16716"/>
    <cellStyle name="C￥AØ_Ay°eC￥(2¿u)  24 14" xfId="16717"/>
    <cellStyle name="Ç¥ÁØ_Áý°èÇ¥(2¿ù)  24 14" xfId="16718"/>
    <cellStyle name="C￥AØ_Ay°eC￥(2¿u)  24 15" xfId="16719"/>
    <cellStyle name="Ç¥ÁØ_Áý°èÇ¥(2¿ù)  24 15" xfId="16720"/>
    <cellStyle name="C￥AØ_Ay°eC￥(2¿u)  24 16" xfId="16721"/>
    <cellStyle name="Ç¥ÁØ_Áý°èÇ¥(2¿ù)  24 16" xfId="16722"/>
    <cellStyle name="C￥AØ_Ay°eC￥(2¿u)  24 17" xfId="16723"/>
    <cellStyle name="Ç¥ÁØ_Áý°èÇ¥(2¿ù)  24 17" xfId="16724"/>
    <cellStyle name="C￥AØ_Ay°eC￥(2¿u)  24 18" xfId="16725"/>
    <cellStyle name="Ç¥ÁØ_Áý°èÇ¥(2¿ù)  24 18" xfId="16726"/>
    <cellStyle name="C￥AØ_Ay°eC￥(2¿u)  24 19" xfId="16727"/>
    <cellStyle name="Ç¥ÁØ_Áý°èÇ¥(2¿ù)  24 19" xfId="16728"/>
    <cellStyle name="C￥AØ_Ay°eC￥(2¿u)  24 2" xfId="16729"/>
    <cellStyle name="Ç¥ÁØ_Áý°èÇ¥(2¿ù)  24 2" xfId="16730"/>
    <cellStyle name="C￥AØ_Ay°eC￥(2¿u)  24 20" xfId="16731"/>
    <cellStyle name="Ç¥ÁØ_Áý°èÇ¥(2¿ù)  24 20" xfId="16732"/>
    <cellStyle name="C￥AØ_Ay°eC￥(2¿u)  24 21" xfId="16733"/>
    <cellStyle name="Ç¥ÁØ_Áý°èÇ¥(2¿ù)  24 21" xfId="16734"/>
    <cellStyle name="C￥AØ_Ay°eC￥(2¿u)  24 22" xfId="16735"/>
    <cellStyle name="Ç¥ÁØ_Áý°èÇ¥(2¿ù)  24 22" xfId="16736"/>
    <cellStyle name="C￥AØ_Ay°eC￥(2¿u)  24 23" xfId="16737"/>
    <cellStyle name="Ç¥ÁØ_Áý°èÇ¥(2¿ù)  24 23" xfId="16738"/>
    <cellStyle name="C￥AØ_Ay°eC￥(2¿u)  24 24" xfId="16739"/>
    <cellStyle name="Ç¥ÁØ_Áý°èÇ¥(2¿ù)  24 24" xfId="16740"/>
    <cellStyle name="C￥AØ_Ay°eC￥(2¿u)  24 25" xfId="16741"/>
    <cellStyle name="Ç¥ÁØ_Áý°èÇ¥(2¿ù)  24 25" xfId="16742"/>
    <cellStyle name="C￥AØ_Ay°eC￥(2¿u)  24 26" xfId="16743"/>
    <cellStyle name="Ç¥ÁØ_Áý°èÇ¥(2¿ù)  24 26" xfId="16744"/>
    <cellStyle name="C￥AØ_Ay°eC￥(2¿u)  24 27" xfId="16745"/>
    <cellStyle name="Ç¥ÁØ_Áý°èÇ¥(2¿ù)  24 27" xfId="16746"/>
    <cellStyle name="C￥AØ_Ay°eC￥(2¿u)  24 28" xfId="16747"/>
    <cellStyle name="Ç¥ÁØ_Áý°èÇ¥(2¿ù)  24 28" xfId="16748"/>
    <cellStyle name="C￥AØ_Ay°eC￥(2¿u)  24 29" xfId="16749"/>
    <cellStyle name="Ç¥ÁØ_Áý°èÇ¥(2¿ù)  24 29" xfId="16750"/>
    <cellStyle name="C￥AØ_Ay°eC￥(2¿u)  24 3" xfId="16751"/>
    <cellStyle name="Ç¥ÁØ_Áý°èÇ¥(2¿ù)  24 3" xfId="16752"/>
    <cellStyle name="C￥AØ_Ay°eC￥(2¿u)  24 30" xfId="16753"/>
    <cellStyle name="Ç¥ÁØ_Áý°èÇ¥(2¿ù)  24 30" xfId="16754"/>
    <cellStyle name="C￥AØ_Ay°eC￥(2¿u)  24 31" xfId="16755"/>
    <cellStyle name="Ç¥ÁØ_Áý°èÇ¥(2¿ù)  24 31" xfId="16756"/>
    <cellStyle name="C￥AØ_Ay°eC￥(2¿u)  24 32" xfId="16757"/>
    <cellStyle name="Ç¥ÁØ_Áý°èÇ¥(2¿ù)  24 32" xfId="16758"/>
    <cellStyle name="C￥AØ_Ay°eC￥(2¿u)  24 33" xfId="16759"/>
    <cellStyle name="Ç¥ÁØ_Áý°èÇ¥(2¿ù)  24 33" xfId="16760"/>
    <cellStyle name="C￥AØ_Ay°eC￥(2¿u)  24 34" xfId="16761"/>
    <cellStyle name="Ç¥ÁØ_Áý°èÇ¥(2¿ù)  24 34" xfId="16762"/>
    <cellStyle name="C￥AØ_Ay°eC￥(2¿u)  24 4" xfId="16763"/>
    <cellStyle name="Ç¥ÁØ_Áý°èÇ¥(2¿ù)  24 4" xfId="16764"/>
    <cellStyle name="C￥AØ_Ay°eC￥(2¿u)  24 5" xfId="16765"/>
    <cellStyle name="Ç¥ÁØ_Áý°èÇ¥(2¿ù)  24 5" xfId="16766"/>
    <cellStyle name="C￥AØ_Ay°eC￥(2¿u)  24 6" xfId="16767"/>
    <cellStyle name="Ç¥ÁØ_Áý°èÇ¥(2¿ù)  24 6" xfId="16768"/>
    <cellStyle name="C￥AØ_Ay°eC￥(2¿u)  24 7" xfId="16769"/>
    <cellStyle name="Ç¥ÁØ_Áý°èÇ¥(2¿ù)  24 7" xfId="16770"/>
    <cellStyle name="C￥AØ_Ay°eC￥(2¿u)  24 8" xfId="16771"/>
    <cellStyle name="Ç¥ÁØ_Áý°èÇ¥(2¿ù)  24 8" xfId="16772"/>
    <cellStyle name="C￥AØ_Ay°eC￥(2¿u)  24 9" xfId="16773"/>
    <cellStyle name="Ç¥ÁØ_Áý°èÇ¥(2¿ù)  24 9" xfId="16774"/>
    <cellStyle name="C￥AØ_Ay°eC￥(2¿u)  25" xfId="16775"/>
    <cellStyle name="Ç¥ÁØ_Áý°èÇ¥(2¿ù)  25" xfId="16776"/>
    <cellStyle name="C￥AØ_Ay°eC￥(2¿u)  25 10" xfId="16777"/>
    <cellStyle name="Ç¥ÁØ_Áý°èÇ¥(2¿ù)  25 10" xfId="16778"/>
    <cellStyle name="C￥AØ_Ay°eC￥(2¿u)  25 11" xfId="16779"/>
    <cellStyle name="Ç¥ÁØ_Áý°èÇ¥(2¿ù)  25 11" xfId="16780"/>
    <cellStyle name="C￥AØ_Ay°eC￥(2¿u)  25 12" xfId="16781"/>
    <cellStyle name="Ç¥ÁØ_Áý°èÇ¥(2¿ù)  25 12" xfId="16782"/>
    <cellStyle name="C￥AØ_Ay°eC￥(2¿u)  25 13" xfId="16783"/>
    <cellStyle name="Ç¥ÁØ_Áý°èÇ¥(2¿ù)  25 13" xfId="16784"/>
    <cellStyle name="C￥AØ_Ay°eC￥(2¿u)  25 14" xfId="16785"/>
    <cellStyle name="Ç¥ÁØ_Áý°èÇ¥(2¿ù)  25 14" xfId="16786"/>
    <cellStyle name="C￥AØ_Ay°eC￥(2¿u)  25 15" xfId="16787"/>
    <cellStyle name="Ç¥ÁØ_Áý°èÇ¥(2¿ù)  25 15" xfId="16788"/>
    <cellStyle name="C￥AØ_Ay°eC￥(2¿u)  25 16" xfId="16789"/>
    <cellStyle name="Ç¥ÁØ_Áý°èÇ¥(2¿ù)  25 16" xfId="16790"/>
    <cellStyle name="C￥AØ_Ay°eC￥(2¿u)  25 17" xfId="16791"/>
    <cellStyle name="Ç¥ÁØ_Áý°èÇ¥(2¿ù)  25 17" xfId="16792"/>
    <cellStyle name="C￥AØ_Ay°eC￥(2¿u)  25 18" xfId="16793"/>
    <cellStyle name="Ç¥ÁØ_Áý°èÇ¥(2¿ù)  25 18" xfId="16794"/>
    <cellStyle name="C￥AØ_Ay°eC￥(2¿u)  25 19" xfId="16795"/>
    <cellStyle name="Ç¥ÁØ_Áý°èÇ¥(2¿ù)  25 19" xfId="16796"/>
    <cellStyle name="C￥AØ_Ay°eC￥(2¿u)  25 2" xfId="16797"/>
    <cellStyle name="Ç¥ÁØ_Áý°èÇ¥(2¿ù)  25 2" xfId="16798"/>
    <cellStyle name="C￥AØ_Ay°eC￥(2¿u)  25 20" xfId="16799"/>
    <cellStyle name="Ç¥ÁØ_Áý°èÇ¥(2¿ù)  25 20" xfId="16800"/>
    <cellStyle name="C￥AØ_Ay°eC￥(2¿u)  25 21" xfId="16801"/>
    <cellStyle name="Ç¥ÁØ_Áý°èÇ¥(2¿ù)  25 21" xfId="16802"/>
    <cellStyle name="C￥AØ_Ay°eC￥(2¿u)  25 22" xfId="16803"/>
    <cellStyle name="Ç¥ÁØ_Áý°èÇ¥(2¿ù)  25 22" xfId="16804"/>
    <cellStyle name="C￥AØ_Ay°eC￥(2¿u)  25 23" xfId="16805"/>
    <cellStyle name="Ç¥ÁØ_Áý°èÇ¥(2¿ù)  25 23" xfId="16806"/>
    <cellStyle name="C￥AØ_Ay°eC￥(2¿u)  25 24" xfId="16807"/>
    <cellStyle name="Ç¥ÁØ_Áý°èÇ¥(2¿ù)  25 24" xfId="16808"/>
    <cellStyle name="C￥AØ_Ay°eC￥(2¿u)  25 25" xfId="16809"/>
    <cellStyle name="Ç¥ÁØ_Áý°èÇ¥(2¿ù)  25 25" xfId="16810"/>
    <cellStyle name="C￥AØ_Ay°eC￥(2¿u)  25 26" xfId="16811"/>
    <cellStyle name="Ç¥ÁØ_Áý°èÇ¥(2¿ù)  25 26" xfId="16812"/>
    <cellStyle name="C￥AØ_Ay°eC￥(2¿u)  25 27" xfId="16813"/>
    <cellStyle name="Ç¥ÁØ_Áý°èÇ¥(2¿ù)  25 27" xfId="16814"/>
    <cellStyle name="C￥AØ_Ay°eC￥(2¿u)  25 28" xfId="16815"/>
    <cellStyle name="Ç¥ÁØ_Áý°èÇ¥(2¿ù)  25 28" xfId="16816"/>
    <cellStyle name="C￥AØ_Ay°eC￥(2¿u)  25 29" xfId="16817"/>
    <cellStyle name="Ç¥ÁØ_Áý°èÇ¥(2¿ù)  25 29" xfId="16818"/>
    <cellStyle name="C￥AØ_Ay°eC￥(2¿u)  25 3" xfId="16819"/>
    <cellStyle name="Ç¥ÁØ_Áý°èÇ¥(2¿ù)  25 3" xfId="16820"/>
    <cellStyle name="C￥AØ_Ay°eC￥(2¿u)  25 30" xfId="16821"/>
    <cellStyle name="Ç¥ÁØ_Áý°èÇ¥(2¿ù)  25 30" xfId="16822"/>
    <cellStyle name="C￥AØ_Ay°eC￥(2¿u)  25 31" xfId="16823"/>
    <cellStyle name="Ç¥ÁØ_Áý°èÇ¥(2¿ù)  25 31" xfId="16824"/>
    <cellStyle name="C￥AØ_Ay°eC￥(2¿u)  25 32" xfId="16825"/>
    <cellStyle name="Ç¥ÁØ_Áý°èÇ¥(2¿ù)  25 32" xfId="16826"/>
    <cellStyle name="C￥AØ_Ay°eC￥(2¿u)  25 33" xfId="16827"/>
    <cellStyle name="Ç¥ÁØ_Áý°èÇ¥(2¿ù)  25 33" xfId="16828"/>
    <cellStyle name="C￥AØ_Ay°eC￥(2¿u)  25 34" xfId="16829"/>
    <cellStyle name="Ç¥ÁØ_Áý°èÇ¥(2¿ù)  25 34" xfId="16830"/>
    <cellStyle name="C￥AØ_Ay°eC￥(2¿u)  25 4" xfId="16831"/>
    <cellStyle name="Ç¥ÁØ_Áý°èÇ¥(2¿ù)  25 4" xfId="16832"/>
    <cellStyle name="C￥AØ_Ay°eC￥(2¿u)  25 5" xfId="16833"/>
    <cellStyle name="Ç¥ÁØ_Áý°èÇ¥(2¿ù)  25 5" xfId="16834"/>
    <cellStyle name="C￥AØ_Ay°eC￥(2¿u)  25 6" xfId="16835"/>
    <cellStyle name="Ç¥ÁØ_Áý°èÇ¥(2¿ù)  25 6" xfId="16836"/>
    <cellStyle name="C￥AØ_Ay°eC￥(2¿u)  25 7" xfId="16837"/>
    <cellStyle name="Ç¥ÁØ_Áý°èÇ¥(2¿ù)  25 7" xfId="16838"/>
    <cellStyle name="C￥AØ_Ay°eC￥(2¿u)  25 8" xfId="16839"/>
    <cellStyle name="Ç¥ÁØ_Áý°èÇ¥(2¿ù)  25 8" xfId="16840"/>
    <cellStyle name="C￥AØ_Ay°eC￥(2¿u)  25 9" xfId="16841"/>
    <cellStyle name="Ç¥ÁØ_Áý°èÇ¥(2¿ù)  25 9" xfId="16842"/>
    <cellStyle name="C￥AØ_Ay°eC￥(2¿u)  26" xfId="16843"/>
    <cellStyle name="Ç¥ÁØ_Áý°èÇ¥(2¿ù)  26" xfId="16844"/>
    <cellStyle name="C￥AØ_Ay°eC￥(2¿u)  26 10" xfId="16845"/>
    <cellStyle name="Ç¥ÁØ_Áý°èÇ¥(2¿ù)  26 10" xfId="16846"/>
    <cellStyle name="C￥AØ_Ay°eC￥(2¿u)  26 11" xfId="16847"/>
    <cellStyle name="Ç¥ÁØ_Áý°èÇ¥(2¿ù)  26 11" xfId="16848"/>
    <cellStyle name="C￥AØ_Ay°eC￥(2¿u)  26 12" xfId="16849"/>
    <cellStyle name="Ç¥ÁØ_Áý°èÇ¥(2¿ù)  26 12" xfId="16850"/>
    <cellStyle name="C￥AØ_Ay°eC￥(2¿u)  26 13" xfId="16851"/>
    <cellStyle name="Ç¥ÁØ_Áý°èÇ¥(2¿ù)  26 13" xfId="16852"/>
    <cellStyle name="C￥AØ_Ay°eC￥(2¿u)  26 14" xfId="16853"/>
    <cellStyle name="Ç¥ÁØ_Áý°èÇ¥(2¿ù)  26 14" xfId="16854"/>
    <cellStyle name="C￥AØ_Ay°eC￥(2¿u)  26 15" xfId="16855"/>
    <cellStyle name="Ç¥ÁØ_Áý°èÇ¥(2¿ù)  26 15" xfId="16856"/>
    <cellStyle name="C￥AØ_Ay°eC￥(2¿u)  26 16" xfId="16857"/>
    <cellStyle name="Ç¥ÁØ_Áý°èÇ¥(2¿ù)  26 16" xfId="16858"/>
    <cellStyle name="C￥AØ_Ay°eC￥(2¿u)  26 17" xfId="16859"/>
    <cellStyle name="Ç¥ÁØ_Áý°èÇ¥(2¿ù)  26 17" xfId="16860"/>
    <cellStyle name="C￥AØ_Ay°eC￥(2¿u)  26 18" xfId="16861"/>
    <cellStyle name="Ç¥ÁØ_Áý°èÇ¥(2¿ù)  26 18" xfId="16862"/>
    <cellStyle name="C￥AØ_Ay°eC￥(2¿u)  26 19" xfId="16863"/>
    <cellStyle name="Ç¥ÁØ_Áý°èÇ¥(2¿ù)  26 19" xfId="16864"/>
    <cellStyle name="C￥AØ_Ay°eC￥(2¿u)  26 2" xfId="16865"/>
    <cellStyle name="Ç¥ÁØ_Áý°èÇ¥(2¿ù)  26 2" xfId="16866"/>
    <cellStyle name="C￥AØ_Ay°eC￥(2¿u)  26 20" xfId="16867"/>
    <cellStyle name="Ç¥ÁØ_Áý°èÇ¥(2¿ù)  26 20" xfId="16868"/>
    <cellStyle name="C￥AØ_Ay°eC￥(2¿u)  26 21" xfId="16869"/>
    <cellStyle name="Ç¥ÁØ_Áý°èÇ¥(2¿ù)  26 21" xfId="16870"/>
    <cellStyle name="C￥AØ_Ay°eC￥(2¿u)  26 22" xfId="16871"/>
    <cellStyle name="Ç¥ÁØ_Áý°èÇ¥(2¿ù)  26 22" xfId="16872"/>
    <cellStyle name="C￥AØ_Ay°eC￥(2¿u)  26 23" xfId="16873"/>
    <cellStyle name="Ç¥ÁØ_Áý°èÇ¥(2¿ù)  26 23" xfId="16874"/>
    <cellStyle name="C￥AØ_Ay°eC￥(2¿u)  26 24" xfId="16875"/>
    <cellStyle name="Ç¥ÁØ_Áý°èÇ¥(2¿ù)  26 24" xfId="16876"/>
    <cellStyle name="C￥AØ_Ay°eC￥(2¿u)  26 25" xfId="16877"/>
    <cellStyle name="Ç¥ÁØ_Áý°èÇ¥(2¿ù)  26 25" xfId="16878"/>
    <cellStyle name="C￥AØ_Ay°eC￥(2¿u)  26 26" xfId="16879"/>
    <cellStyle name="Ç¥ÁØ_Áý°èÇ¥(2¿ù)  26 26" xfId="16880"/>
    <cellStyle name="C￥AØ_Ay°eC￥(2¿u)  26 27" xfId="16881"/>
    <cellStyle name="Ç¥ÁØ_Áý°èÇ¥(2¿ù)  26 27" xfId="16882"/>
    <cellStyle name="C￥AØ_Ay°eC￥(2¿u)  26 28" xfId="16883"/>
    <cellStyle name="Ç¥ÁØ_Áý°èÇ¥(2¿ù)  26 28" xfId="16884"/>
    <cellStyle name="C￥AØ_Ay°eC￥(2¿u)  26 29" xfId="16885"/>
    <cellStyle name="Ç¥ÁØ_Áý°èÇ¥(2¿ù)  26 29" xfId="16886"/>
    <cellStyle name="C￥AØ_Ay°eC￥(2¿u)  26 3" xfId="16887"/>
    <cellStyle name="Ç¥ÁØ_Áý°èÇ¥(2¿ù)  26 3" xfId="16888"/>
    <cellStyle name="C￥AØ_Ay°eC￥(2¿u)  26 30" xfId="16889"/>
    <cellStyle name="Ç¥ÁØ_Áý°èÇ¥(2¿ù)  26 30" xfId="16890"/>
    <cellStyle name="C￥AØ_Ay°eC￥(2¿u)  26 31" xfId="16891"/>
    <cellStyle name="Ç¥ÁØ_Áý°èÇ¥(2¿ù)  26 31" xfId="16892"/>
    <cellStyle name="C￥AØ_Ay°eC￥(2¿u)  26 32" xfId="16893"/>
    <cellStyle name="Ç¥ÁØ_Áý°èÇ¥(2¿ù)  26 32" xfId="16894"/>
    <cellStyle name="C￥AØ_Ay°eC￥(2¿u)  26 33" xfId="16895"/>
    <cellStyle name="Ç¥ÁØ_Áý°èÇ¥(2¿ù)  26 33" xfId="16896"/>
    <cellStyle name="C￥AØ_Ay°eC￥(2¿u)  26 34" xfId="16897"/>
    <cellStyle name="Ç¥ÁØ_Áý°èÇ¥(2¿ù)  26 34" xfId="16898"/>
    <cellStyle name="C￥AØ_Ay°eC￥(2¿u)  26 4" xfId="16899"/>
    <cellStyle name="Ç¥ÁØ_Áý°èÇ¥(2¿ù)  26 4" xfId="16900"/>
    <cellStyle name="C￥AØ_Ay°eC￥(2¿u)  26 5" xfId="16901"/>
    <cellStyle name="Ç¥ÁØ_Áý°èÇ¥(2¿ù)  26 5" xfId="16902"/>
    <cellStyle name="C￥AØ_Ay°eC￥(2¿u)  26 6" xfId="16903"/>
    <cellStyle name="Ç¥ÁØ_Áý°èÇ¥(2¿ù)  26 6" xfId="16904"/>
    <cellStyle name="C￥AØ_Ay°eC￥(2¿u)  26 7" xfId="16905"/>
    <cellStyle name="Ç¥ÁØ_Áý°èÇ¥(2¿ù)  26 7" xfId="16906"/>
    <cellStyle name="C￥AØ_Ay°eC￥(2¿u)  26 8" xfId="16907"/>
    <cellStyle name="Ç¥ÁØ_Áý°èÇ¥(2¿ù)  26 8" xfId="16908"/>
    <cellStyle name="C￥AØ_Ay°eC￥(2¿u)  26 9" xfId="16909"/>
    <cellStyle name="Ç¥ÁØ_Áý°èÇ¥(2¿ù)  26 9" xfId="16910"/>
    <cellStyle name="C￥AØ_Ay°eC￥(2¿u)  27" xfId="16911"/>
    <cellStyle name="Ç¥ÁØ_Áý°èÇ¥(2¿ù)  27" xfId="16912"/>
    <cellStyle name="C￥AØ_Ay°eC￥(2¿u)  27 10" xfId="16913"/>
    <cellStyle name="Ç¥ÁØ_Áý°èÇ¥(2¿ù)  27 10" xfId="16914"/>
    <cellStyle name="C￥AØ_Ay°eC￥(2¿u)  27 11" xfId="16915"/>
    <cellStyle name="Ç¥ÁØ_Áý°èÇ¥(2¿ù)  27 11" xfId="16916"/>
    <cellStyle name="C￥AØ_Ay°eC￥(2¿u)  27 12" xfId="16917"/>
    <cellStyle name="Ç¥ÁØ_Áý°èÇ¥(2¿ù)  27 12" xfId="16918"/>
    <cellStyle name="C￥AØ_Ay°eC￥(2¿u)  27 13" xfId="16919"/>
    <cellStyle name="Ç¥ÁØ_Áý°èÇ¥(2¿ù)  27 13" xfId="16920"/>
    <cellStyle name="C￥AØ_Ay°eC￥(2¿u)  27 14" xfId="16921"/>
    <cellStyle name="Ç¥ÁØ_Áý°èÇ¥(2¿ù)  27 14" xfId="16922"/>
    <cellStyle name="C￥AØ_Ay°eC￥(2¿u)  27 15" xfId="16923"/>
    <cellStyle name="Ç¥ÁØ_Áý°èÇ¥(2¿ù)  27 15" xfId="16924"/>
    <cellStyle name="C￥AØ_Ay°eC￥(2¿u)  27 16" xfId="16925"/>
    <cellStyle name="Ç¥ÁØ_Áý°èÇ¥(2¿ù)  27 16" xfId="16926"/>
    <cellStyle name="C￥AØ_Ay°eC￥(2¿u)  27 17" xfId="16927"/>
    <cellStyle name="Ç¥ÁØ_Áý°èÇ¥(2¿ù)  27 17" xfId="16928"/>
    <cellStyle name="C￥AØ_Ay°eC￥(2¿u)  27 18" xfId="16929"/>
    <cellStyle name="Ç¥ÁØ_Áý°èÇ¥(2¿ù)  27 18" xfId="16930"/>
    <cellStyle name="C￥AØ_Ay°eC￥(2¿u)  27 19" xfId="16931"/>
    <cellStyle name="Ç¥ÁØ_Áý°èÇ¥(2¿ù)  27 19" xfId="16932"/>
    <cellStyle name="C￥AØ_Ay°eC￥(2¿u)  27 2" xfId="16933"/>
    <cellStyle name="Ç¥ÁØ_Áý°èÇ¥(2¿ù)  27 2" xfId="16934"/>
    <cellStyle name="C￥AØ_Ay°eC￥(2¿u)  27 20" xfId="16935"/>
    <cellStyle name="Ç¥ÁØ_Áý°èÇ¥(2¿ù)  27 20" xfId="16936"/>
    <cellStyle name="C￥AØ_Ay°eC￥(2¿u)  27 21" xfId="16937"/>
    <cellStyle name="Ç¥ÁØ_Áý°èÇ¥(2¿ù)  27 21" xfId="16938"/>
    <cellStyle name="C￥AØ_Ay°eC￥(2¿u)  27 22" xfId="16939"/>
    <cellStyle name="Ç¥ÁØ_Áý°èÇ¥(2¿ù)  27 22" xfId="16940"/>
    <cellStyle name="C￥AØ_Ay°eC￥(2¿u)  27 23" xfId="16941"/>
    <cellStyle name="Ç¥ÁØ_Áý°èÇ¥(2¿ù)  27 23" xfId="16942"/>
    <cellStyle name="C￥AØ_Ay°eC￥(2¿u)  27 24" xfId="16943"/>
    <cellStyle name="Ç¥ÁØ_Áý°èÇ¥(2¿ù)  27 24" xfId="16944"/>
    <cellStyle name="C￥AØ_Ay°eC￥(2¿u)  27 25" xfId="16945"/>
    <cellStyle name="Ç¥ÁØ_Áý°èÇ¥(2¿ù)  27 25" xfId="16946"/>
    <cellStyle name="C￥AØ_Ay°eC￥(2¿u)  27 26" xfId="16947"/>
    <cellStyle name="Ç¥ÁØ_Áý°èÇ¥(2¿ù)  27 26" xfId="16948"/>
    <cellStyle name="C￥AØ_Ay°eC￥(2¿u)  27 27" xfId="16949"/>
    <cellStyle name="Ç¥ÁØ_Áý°èÇ¥(2¿ù)  27 27" xfId="16950"/>
    <cellStyle name="C￥AØ_Ay°eC￥(2¿u)  27 28" xfId="16951"/>
    <cellStyle name="Ç¥ÁØ_Áý°èÇ¥(2¿ù)  27 28" xfId="16952"/>
    <cellStyle name="C￥AØ_Ay°eC￥(2¿u)  27 29" xfId="16953"/>
    <cellStyle name="Ç¥ÁØ_Áý°èÇ¥(2¿ù)  27 29" xfId="16954"/>
    <cellStyle name="C￥AØ_Ay°eC￥(2¿u)  27 3" xfId="16955"/>
    <cellStyle name="Ç¥ÁØ_Áý°èÇ¥(2¿ù)  27 3" xfId="16956"/>
    <cellStyle name="C￥AØ_Ay°eC￥(2¿u)  27 30" xfId="16957"/>
    <cellStyle name="Ç¥ÁØ_Áý°èÇ¥(2¿ù)  27 30" xfId="16958"/>
    <cellStyle name="C￥AØ_Ay°eC￥(2¿u)  27 31" xfId="16959"/>
    <cellStyle name="Ç¥ÁØ_Áý°èÇ¥(2¿ù)  27 31" xfId="16960"/>
    <cellStyle name="C￥AØ_Ay°eC￥(2¿u)  27 32" xfId="16961"/>
    <cellStyle name="Ç¥ÁØ_Áý°èÇ¥(2¿ù)  27 32" xfId="16962"/>
    <cellStyle name="C￥AØ_Ay°eC￥(2¿u)  27 33" xfId="16963"/>
    <cellStyle name="Ç¥ÁØ_Áý°èÇ¥(2¿ù)  27 33" xfId="16964"/>
    <cellStyle name="C￥AØ_Ay°eC￥(2¿u)  27 34" xfId="16965"/>
    <cellStyle name="Ç¥ÁØ_Áý°èÇ¥(2¿ù)  27 34" xfId="16966"/>
    <cellStyle name="C￥AØ_Ay°eC￥(2¿u)  27 4" xfId="16967"/>
    <cellStyle name="Ç¥ÁØ_Áý°èÇ¥(2¿ù)  27 4" xfId="16968"/>
    <cellStyle name="C￥AØ_Ay°eC￥(2¿u)  27 5" xfId="16969"/>
    <cellStyle name="Ç¥ÁØ_Áý°èÇ¥(2¿ù)  27 5" xfId="16970"/>
    <cellStyle name="C￥AØ_Ay°eC￥(2¿u)  27 6" xfId="16971"/>
    <cellStyle name="Ç¥ÁØ_Áý°èÇ¥(2¿ù)  27 6" xfId="16972"/>
    <cellStyle name="C￥AØ_Ay°eC￥(2¿u)  27 7" xfId="16973"/>
    <cellStyle name="Ç¥ÁØ_Áý°èÇ¥(2¿ù)  27 7" xfId="16974"/>
    <cellStyle name="C￥AØ_Ay°eC￥(2¿u)  27 8" xfId="16975"/>
    <cellStyle name="Ç¥ÁØ_Áý°èÇ¥(2¿ù)  27 8" xfId="16976"/>
    <cellStyle name="C￥AØ_Ay°eC￥(2¿u)  27 9" xfId="16977"/>
    <cellStyle name="Ç¥ÁØ_Áý°èÇ¥(2¿ù)  27 9" xfId="16978"/>
    <cellStyle name="C￥AØ_Ay°eC￥(2¿u)  28" xfId="16979"/>
    <cellStyle name="Ç¥ÁØ_Áý°èÇ¥(2¿ù)  28" xfId="16980"/>
    <cellStyle name="C￥AØ_Ay°eC￥(2¿u)  28 10" xfId="16981"/>
    <cellStyle name="Ç¥ÁØ_Áý°èÇ¥(2¿ù)  28 10" xfId="16982"/>
    <cellStyle name="C￥AØ_Ay°eC￥(2¿u)  28 11" xfId="16983"/>
    <cellStyle name="Ç¥ÁØ_Áý°èÇ¥(2¿ù)  28 11" xfId="16984"/>
    <cellStyle name="C￥AØ_Ay°eC￥(2¿u)  28 12" xfId="16985"/>
    <cellStyle name="Ç¥ÁØ_Áý°èÇ¥(2¿ù)  28 12" xfId="16986"/>
    <cellStyle name="C￥AØ_Ay°eC￥(2¿u)  28 13" xfId="16987"/>
    <cellStyle name="Ç¥ÁØ_Áý°èÇ¥(2¿ù)  28 13" xfId="16988"/>
    <cellStyle name="C￥AØ_Ay°eC￥(2¿u)  28 14" xfId="16989"/>
    <cellStyle name="Ç¥ÁØ_Áý°èÇ¥(2¿ù)  28 14" xfId="16990"/>
    <cellStyle name="C￥AØ_Ay°eC￥(2¿u)  28 15" xfId="16991"/>
    <cellStyle name="Ç¥ÁØ_Áý°èÇ¥(2¿ù)  28 15" xfId="16992"/>
    <cellStyle name="C￥AØ_Ay°eC￥(2¿u)  28 16" xfId="16993"/>
    <cellStyle name="Ç¥ÁØ_Áý°èÇ¥(2¿ù)  28 16" xfId="16994"/>
    <cellStyle name="C￥AØ_Ay°eC￥(2¿u)  28 17" xfId="16995"/>
    <cellStyle name="Ç¥ÁØ_Áý°èÇ¥(2¿ù)  28 17" xfId="16996"/>
    <cellStyle name="C￥AØ_Ay°eC￥(2¿u)  28 18" xfId="16997"/>
    <cellStyle name="Ç¥ÁØ_Áý°èÇ¥(2¿ù)  28 18" xfId="16998"/>
    <cellStyle name="C￥AØ_Ay°eC￥(2¿u)  28 19" xfId="16999"/>
    <cellStyle name="Ç¥ÁØ_Áý°èÇ¥(2¿ù)  28 19" xfId="17000"/>
    <cellStyle name="C￥AØ_Ay°eC￥(2¿u)  28 2" xfId="17001"/>
    <cellStyle name="Ç¥ÁØ_Áý°èÇ¥(2¿ù)  28 2" xfId="17002"/>
    <cellStyle name="C￥AØ_Ay°eC￥(2¿u)  28 20" xfId="17003"/>
    <cellStyle name="Ç¥ÁØ_Áý°èÇ¥(2¿ù)  28 20" xfId="17004"/>
    <cellStyle name="C￥AØ_Ay°eC￥(2¿u)  28 21" xfId="17005"/>
    <cellStyle name="Ç¥ÁØ_Áý°èÇ¥(2¿ù)  28 21" xfId="17006"/>
    <cellStyle name="C￥AØ_Ay°eC￥(2¿u)  28 22" xfId="17007"/>
    <cellStyle name="Ç¥ÁØ_Áý°èÇ¥(2¿ù)  28 22" xfId="17008"/>
    <cellStyle name="C￥AØ_Ay°eC￥(2¿u)  28 23" xfId="17009"/>
    <cellStyle name="Ç¥ÁØ_Áý°èÇ¥(2¿ù)  28 23" xfId="17010"/>
    <cellStyle name="C￥AØ_Ay°eC￥(2¿u)  28 24" xfId="17011"/>
    <cellStyle name="Ç¥ÁØ_Áý°èÇ¥(2¿ù)  28 24" xfId="17012"/>
    <cellStyle name="C￥AØ_Ay°eC￥(2¿u)  28 25" xfId="17013"/>
    <cellStyle name="Ç¥ÁØ_Áý°èÇ¥(2¿ù)  28 25" xfId="17014"/>
    <cellStyle name="C￥AØ_Ay°eC￥(2¿u)  28 26" xfId="17015"/>
    <cellStyle name="Ç¥ÁØ_Áý°èÇ¥(2¿ù)  28 26" xfId="17016"/>
    <cellStyle name="C￥AØ_Ay°eC￥(2¿u)  28 27" xfId="17017"/>
    <cellStyle name="Ç¥ÁØ_Áý°èÇ¥(2¿ù)  28 27" xfId="17018"/>
    <cellStyle name="C￥AØ_Ay°eC￥(2¿u)  28 28" xfId="17019"/>
    <cellStyle name="Ç¥ÁØ_Áý°èÇ¥(2¿ù)  28 28" xfId="17020"/>
    <cellStyle name="C￥AØ_Ay°eC￥(2¿u)  28 29" xfId="17021"/>
    <cellStyle name="Ç¥ÁØ_Áý°èÇ¥(2¿ù)  28 29" xfId="17022"/>
    <cellStyle name="C￥AØ_Ay°eC￥(2¿u)  28 3" xfId="17023"/>
    <cellStyle name="Ç¥ÁØ_Áý°èÇ¥(2¿ù)  28 3" xfId="17024"/>
    <cellStyle name="C￥AØ_Ay°eC￥(2¿u)  28 30" xfId="17025"/>
    <cellStyle name="Ç¥ÁØ_Áý°èÇ¥(2¿ù)  28 30" xfId="17026"/>
    <cellStyle name="C￥AØ_Ay°eC￥(2¿u)  28 31" xfId="17027"/>
    <cellStyle name="Ç¥ÁØ_Áý°èÇ¥(2¿ù)  28 31" xfId="17028"/>
    <cellStyle name="C￥AØ_Ay°eC￥(2¿u)  28 32" xfId="17029"/>
    <cellStyle name="Ç¥ÁØ_Áý°èÇ¥(2¿ù)  28 32" xfId="17030"/>
    <cellStyle name="C￥AØ_Ay°eC￥(2¿u)  28 33" xfId="17031"/>
    <cellStyle name="Ç¥ÁØ_Áý°èÇ¥(2¿ù)  28 33" xfId="17032"/>
    <cellStyle name="C￥AØ_Ay°eC￥(2¿u)  28 34" xfId="17033"/>
    <cellStyle name="Ç¥ÁØ_Áý°èÇ¥(2¿ù)  28 34" xfId="17034"/>
    <cellStyle name="C￥AØ_Ay°eC￥(2¿u)  28 4" xfId="17035"/>
    <cellStyle name="Ç¥ÁØ_Áý°èÇ¥(2¿ù)  28 4" xfId="17036"/>
    <cellStyle name="C￥AØ_Ay°eC￥(2¿u)  28 5" xfId="17037"/>
    <cellStyle name="Ç¥ÁØ_Áý°èÇ¥(2¿ù)  28 5" xfId="17038"/>
    <cellStyle name="C￥AØ_Ay°eC￥(2¿u)  28 6" xfId="17039"/>
    <cellStyle name="Ç¥ÁØ_Áý°èÇ¥(2¿ù)  28 6" xfId="17040"/>
    <cellStyle name="C￥AØ_Ay°eC￥(2¿u)  28 7" xfId="17041"/>
    <cellStyle name="Ç¥ÁØ_Áý°èÇ¥(2¿ù)  28 7" xfId="17042"/>
    <cellStyle name="C￥AØ_Ay°eC￥(2¿u)  28 8" xfId="17043"/>
    <cellStyle name="Ç¥ÁØ_Áý°èÇ¥(2¿ù)  28 8" xfId="17044"/>
    <cellStyle name="C￥AØ_Ay°eC￥(2¿u)  28 9" xfId="17045"/>
    <cellStyle name="Ç¥ÁØ_Áý°èÇ¥(2¿ù)  28 9" xfId="17046"/>
    <cellStyle name="C￥AØ_Ay°eC￥(2¿u)  29" xfId="17047"/>
    <cellStyle name="Ç¥ÁØ_Áý°èÇ¥(2¿ù)  29" xfId="17048"/>
    <cellStyle name="C￥AØ_Ay°eC￥(2¿u)  29 10" xfId="17049"/>
    <cellStyle name="Ç¥ÁØ_Áý°èÇ¥(2¿ù)  29 10" xfId="17050"/>
    <cellStyle name="C￥AØ_Ay°eC￥(2¿u)  29 11" xfId="17051"/>
    <cellStyle name="Ç¥ÁØ_Áý°èÇ¥(2¿ù)  29 11" xfId="17052"/>
    <cellStyle name="C￥AØ_Ay°eC￥(2¿u)  29 12" xfId="17053"/>
    <cellStyle name="Ç¥ÁØ_Áý°èÇ¥(2¿ù)  29 12" xfId="17054"/>
    <cellStyle name="C￥AØ_Ay°eC￥(2¿u)  29 13" xfId="17055"/>
    <cellStyle name="Ç¥ÁØ_Áý°èÇ¥(2¿ù)  29 13" xfId="17056"/>
    <cellStyle name="C￥AØ_Ay°eC￥(2¿u)  29 14" xfId="17057"/>
    <cellStyle name="Ç¥ÁØ_Áý°èÇ¥(2¿ù)  29 14" xfId="17058"/>
    <cellStyle name="C￥AØ_Ay°eC￥(2¿u)  29 15" xfId="17059"/>
    <cellStyle name="Ç¥ÁØ_Áý°èÇ¥(2¿ù)  29 15" xfId="17060"/>
    <cellStyle name="C￥AØ_Ay°eC￥(2¿u)  29 16" xfId="17061"/>
    <cellStyle name="Ç¥ÁØ_Áý°èÇ¥(2¿ù)  29 16" xfId="17062"/>
    <cellStyle name="C￥AØ_Ay°eC￥(2¿u)  29 17" xfId="17063"/>
    <cellStyle name="Ç¥ÁØ_Áý°èÇ¥(2¿ù)  29 17" xfId="17064"/>
    <cellStyle name="C￥AØ_Ay°eC￥(2¿u)  29 18" xfId="17065"/>
    <cellStyle name="Ç¥ÁØ_Áý°èÇ¥(2¿ù)  29 18" xfId="17066"/>
    <cellStyle name="C￥AØ_Ay°eC￥(2¿u)  29 19" xfId="17067"/>
    <cellStyle name="Ç¥ÁØ_Áý°èÇ¥(2¿ù)  29 19" xfId="17068"/>
    <cellStyle name="C￥AØ_Ay°eC￥(2¿u)  29 2" xfId="17069"/>
    <cellStyle name="Ç¥ÁØ_Áý°èÇ¥(2¿ù)  29 2" xfId="17070"/>
    <cellStyle name="C￥AØ_Ay°eC￥(2¿u)  29 20" xfId="17071"/>
    <cellStyle name="Ç¥ÁØ_Áý°èÇ¥(2¿ù)  29 20" xfId="17072"/>
    <cellStyle name="C￥AØ_Ay°eC￥(2¿u)  29 21" xfId="17073"/>
    <cellStyle name="Ç¥ÁØ_Áý°èÇ¥(2¿ù)  29 21" xfId="17074"/>
    <cellStyle name="C￥AØ_Ay°eC￥(2¿u)  29 22" xfId="17075"/>
    <cellStyle name="Ç¥ÁØ_Áý°èÇ¥(2¿ù)  29 22" xfId="17076"/>
    <cellStyle name="C￥AØ_Ay°eC￥(2¿u)  29 23" xfId="17077"/>
    <cellStyle name="Ç¥ÁØ_Áý°èÇ¥(2¿ù)  29 23" xfId="17078"/>
    <cellStyle name="C￥AØ_Ay°eC￥(2¿u)  29 24" xfId="17079"/>
    <cellStyle name="Ç¥ÁØ_Áý°èÇ¥(2¿ù)  29 24" xfId="17080"/>
    <cellStyle name="C￥AØ_Ay°eC￥(2¿u)  29 25" xfId="17081"/>
    <cellStyle name="Ç¥ÁØ_Áý°èÇ¥(2¿ù)  29 25" xfId="17082"/>
    <cellStyle name="C￥AØ_Ay°eC￥(2¿u)  29 26" xfId="17083"/>
    <cellStyle name="Ç¥ÁØ_Áý°èÇ¥(2¿ù)  29 26" xfId="17084"/>
    <cellStyle name="C￥AØ_Ay°eC￥(2¿u)  29 27" xfId="17085"/>
    <cellStyle name="Ç¥ÁØ_Áý°èÇ¥(2¿ù)  29 27" xfId="17086"/>
    <cellStyle name="C￥AØ_Ay°eC￥(2¿u)  29 28" xfId="17087"/>
    <cellStyle name="Ç¥ÁØ_Áý°èÇ¥(2¿ù)  29 28" xfId="17088"/>
    <cellStyle name="C￥AØ_Ay°eC￥(2¿u)  29 29" xfId="17089"/>
    <cellStyle name="Ç¥ÁØ_Áý°èÇ¥(2¿ù)  29 29" xfId="17090"/>
    <cellStyle name="C￥AØ_Ay°eC￥(2¿u)  29 3" xfId="17091"/>
    <cellStyle name="Ç¥ÁØ_Áý°èÇ¥(2¿ù)  29 3" xfId="17092"/>
    <cellStyle name="C￥AØ_Ay°eC￥(2¿u)  29 30" xfId="17093"/>
    <cellStyle name="Ç¥ÁØ_Áý°èÇ¥(2¿ù)  29 30" xfId="17094"/>
    <cellStyle name="C￥AØ_Ay°eC￥(2¿u)  29 31" xfId="17095"/>
    <cellStyle name="Ç¥ÁØ_Áý°èÇ¥(2¿ù)  29 31" xfId="17096"/>
    <cellStyle name="C￥AØ_Ay°eC￥(2¿u)  29 32" xfId="17097"/>
    <cellStyle name="Ç¥ÁØ_Áý°èÇ¥(2¿ù)  29 32" xfId="17098"/>
    <cellStyle name="C￥AØ_Ay°eC￥(2¿u)  29 33" xfId="17099"/>
    <cellStyle name="Ç¥ÁØ_Áý°èÇ¥(2¿ù)  29 33" xfId="17100"/>
    <cellStyle name="C￥AØ_Ay°eC￥(2¿u)  29 34" xfId="17101"/>
    <cellStyle name="Ç¥ÁØ_Áý°èÇ¥(2¿ù)  29 34" xfId="17102"/>
    <cellStyle name="C￥AØ_Ay°eC￥(2¿u)  29 4" xfId="17103"/>
    <cellStyle name="Ç¥ÁØ_Áý°èÇ¥(2¿ù)  29 4" xfId="17104"/>
    <cellStyle name="C￥AØ_Ay°eC￥(2¿u)  29 5" xfId="17105"/>
    <cellStyle name="Ç¥ÁØ_Áý°èÇ¥(2¿ù)  29 5" xfId="17106"/>
    <cellStyle name="C￥AØ_Ay°eC￥(2¿u)  29 6" xfId="17107"/>
    <cellStyle name="Ç¥ÁØ_Áý°èÇ¥(2¿ù)  29 6" xfId="17108"/>
    <cellStyle name="C￥AØ_Ay°eC￥(2¿u)  29 7" xfId="17109"/>
    <cellStyle name="Ç¥ÁØ_Áý°èÇ¥(2¿ù)  29 7" xfId="17110"/>
    <cellStyle name="C￥AØ_Ay°eC￥(2¿u)  29 8" xfId="17111"/>
    <cellStyle name="Ç¥ÁØ_Áý°èÇ¥(2¿ù)  29 8" xfId="17112"/>
    <cellStyle name="C￥AØ_Ay°eC￥(2¿u)  29 9" xfId="17113"/>
    <cellStyle name="Ç¥ÁØ_Áý°èÇ¥(2¿ù)  29 9" xfId="17114"/>
    <cellStyle name="C￥AØ_Ay°eC￥(2¿u)  3" xfId="17115"/>
    <cellStyle name="Ç¥ÁØ_Áý°èÇ¥(2¿ù)  3" xfId="17116"/>
    <cellStyle name="C￥AØ_Ay°eC￥(2¿u)  3 10" xfId="17117"/>
    <cellStyle name="Ç¥ÁØ_Áý°èÇ¥(2¿ù)  3 10" xfId="17118"/>
    <cellStyle name="C￥AØ_Ay°eC￥(2¿u)  3 11" xfId="17119"/>
    <cellStyle name="Ç¥ÁØ_Áý°èÇ¥(2¿ù)  3 11" xfId="17120"/>
    <cellStyle name="C￥AØ_Ay°eC￥(2¿u)  3 12" xfId="17121"/>
    <cellStyle name="Ç¥ÁØ_Áý°èÇ¥(2¿ù)  3 12" xfId="17122"/>
    <cellStyle name="C￥AØ_Ay°eC￥(2¿u)  3 13" xfId="17123"/>
    <cellStyle name="Ç¥ÁØ_Áý°èÇ¥(2¿ù)  3 13" xfId="17124"/>
    <cellStyle name="C￥AØ_Ay°eC￥(2¿u)  3 14" xfId="17125"/>
    <cellStyle name="Ç¥ÁØ_Áý°èÇ¥(2¿ù)  3 14" xfId="17126"/>
    <cellStyle name="C￥AØ_Ay°eC￥(2¿u)  3 15" xfId="17127"/>
    <cellStyle name="Ç¥ÁØ_Áý°èÇ¥(2¿ù)  3 15" xfId="17128"/>
    <cellStyle name="C￥AØ_Ay°eC￥(2¿u)  3 16" xfId="17129"/>
    <cellStyle name="Ç¥ÁØ_Áý°èÇ¥(2¿ù)  3 16" xfId="17130"/>
    <cellStyle name="C￥AØ_Ay°eC￥(2¿u)  3 17" xfId="17131"/>
    <cellStyle name="Ç¥ÁØ_Áý°èÇ¥(2¿ù)  3 17" xfId="17132"/>
    <cellStyle name="C￥AØ_Ay°eC￥(2¿u)  3 18" xfId="17133"/>
    <cellStyle name="Ç¥ÁØ_Áý°èÇ¥(2¿ù)  3 18" xfId="17134"/>
    <cellStyle name="C￥AØ_Ay°eC￥(2¿u)  3 19" xfId="17135"/>
    <cellStyle name="Ç¥ÁØ_Áý°èÇ¥(2¿ù)  3 19" xfId="17136"/>
    <cellStyle name="C￥AØ_Ay°eC￥(2¿u)  3 2" xfId="17137"/>
    <cellStyle name="Ç¥ÁØ_Áý°èÇ¥(2¿ù)  3 2" xfId="17138"/>
    <cellStyle name="C￥AØ_Ay°eC￥(2¿u)  3 20" xfId="17139"/>
    <cellStyle name="Ç¥ÁØ_Áý°èÇ¥(2¿ù)  3 20" xfId="17140"/>
    <cellStyle name="C￥AØ_Ay°eC￥(2¿u)  3 21" xfId="17141"/>
    <cellStyle name="Ç¥ÁØ_Áý°èÇ¥(2¿ù)  3 21" xfId="17142"/>
    <cellStyle name="C￥AØ_Ay°eC￥(2¿u)  3 22" xfId="17143"/>
    <cellStyle name="Ç¥ÁØ_Áý°èÇ¥(2¿ù)  3 22" xfId="17144"/>
    <cellStyle name="C￥AØ_Ay°eC￥(2¿u)  3 23" xfId="17145"/>
    <cellStyle name="Ç¥ÁØ_Áý°èÇ¥(2¿ù)  3 23" xfId="17146"/>
    <cellStyle name="C￥AØ_Ay°eC￥(2¿u)  3 24" xfId="17147"/>
    <cellStyle name="Ç¥ÁØ_Áý°èÇ¥(2¿ù)  3 24" xfId="17148"/>
    <cellStyle name="C￥AØ_Ay°eC￥(2¿u)  3 25" xfId="17149"/>
    <cellStyle name="Ç¥ÁØ_Áý°èÇ¥(2¿ù)  3 25" xfId="17150"/>
    <cellStyle name="C￥AØ_Ay°eC￥(2¿u)  3 26" xfId="17151"/>
    <cellStyle name="Ç¥ÁØ_Áý°èÇ¥(2¿ù)  3 26" xfId="17152"/>
    <cellStyle name="C￥AØ_Ay°eC￥(2¿u)  3 27" xfId="17153"/>
    <cellStyle name="Ç¥ÁØ_Áý°èÇ¥(2¿ù)  3 27" xfId="17154"/>
    <cellStyle name="C￥AØ_Ay°eC￥(2¿u)  3 28" xfId="17155"/>
    <cellStyle name="Ç¥ÁØ_Áý°èÇ¥(2¿ù)  3 28" xfId="17156"/>
    <cellStyle name="C￥AØ_Ay°eC￥(2¿u)  3 29" xfId="17157"/>
    <cellStyle name="Ç¥ÁØ_Áý°èÇ¥(2¿ù)  3 29" xfId="17158"/>
    <cellStyle name="C￥AØ_Ay°eC￥(2¿u)  3 3" xfId="17159"/>
    <cellStyle name="Ç¥ÁØ_Áý°èÇ¥(2¿ù)  3 3" xfId="17160"/>
    <cellStyle name="C￥AØ_Ay°eC￥(2¿u)  3 30" xfId="17161"/>
    <cellStyle name="Ç¥ÁØ_Áý°èÇ¥(2¿ù)  3 30" xfId="17162"/>
    <cellStyle name="C￥AØ_Ay°eC￥(2¿u)  3 31" xfId="17163"/>
    <cellStyle name="Ç¥ÁØ_Áý°èÇ¥(2¿ù)  3 31" xfId="17164"/>
    <cellStyle name="C￥AØ_Ay°eC￥(2¿u)  3 32" xfId="17165"/>
    <cellStyle name="Ç¥ÁØ_Áý°èÇ¥(2¿ù)  3 32" xfId="17166"/>
    <cellStyle name="C￥AØ_Ay°eC￥(2¿u)  3 33" xfId="17167"/>
    <cellStyle name="Ç¥ÁØ_Áý°èÇ¥(2¿ù)  3 33" xfId="17168"/>
    <cellStyle name="C￥AØ_Ay°eC￥(2¿u)  3 34" xfId="17169"/>
    <cellStyle name="Ç¥ÁØ_Áý°èÇ¥(2¿ù)  3 34" xfId="17170"/>
    <cellStyle name="C￥AØ_Ay°eC￥(2¿u)  3 4" xfId="17171"/>
    <cellStyle name="Ç¥ÁØ_Áý°èÇ¥(2¿ù)  3 4" xfId="17172"/>
    <cellStyle name="C￥AØ_Ay°eC￥(2¿u)  3 5" xfId="17173"/>
    <cellStyle name="Ç¥ÁØ_Áý°èÇ¥(2¿ù)  3 5" xfId="17174"/>
    <cellStyle name="C￥AØ_Ay°eC￥(2¿u)  3 6" xfId="17175"/>
    <cellStyle name="Ç¥ÁØ_Áý°èÇ¥(2¿ù)  3 6" xfId="17176"/>
    <cellStyle name="C￥AØ_Ay°eC￥(2¿u)  3 7" xfId="17177"/>
    <cellStyle name="Ç¥ÁØ_Áý°èÇ¥(2¿ù)  3 7" xfId="17178"/>
    <cellStyle name="C￥AØ_Ay°eC￥(2¿u)  3 8" xfId="17179"/>
    <cellStyle name="Ç¥ÁØ_Áý°èÇ¥(2¿ù)  3 8" xfId="17180"/>
    <cellStyle name="C￥AØ_Ay°eC￥(2¿u)  3 9" xfId="17181"/>
    <cellStyle name="Ç¥ÁØ_Áý°èÇ¥(2¿ù)  3 9" xfId="17182"/>
    <cellStyle name="C￥AØ_Ay°eC￥(2¿u)  30" xfId="17183"/>
    <cellStyle name="Ç¥ÁØ_Áý°èÇ¥(2¿ù)  30" xfId="17184"/>
    <cellStyle name="C￥AØ_Ay°eC￥(2¿u)  30 10" xfId="17185"/>
    <cellStyle name="Ç¥ÁØ_Áý°èÇ¥(2¿ù)  30 10" xfId="17186"/>
    <cellStyle name="C￥AØ_Ay°eC￥(2¿u)  30 11" xfId="17187"/>
    <cellStyle name="Ç¥ÁØ_Áý°èÇ¥(2¿ù)  30 11" xfId="17188"/>
    <cellStyle name="C￥AØ_Ay°eC￥(2¿u)  30 12" xfId="17189"/>
    <cellStyle name="Ç¥ÁØ_Áý°èÇ¥(2¿ù)  30 12" xfId="17190"/>
    <cellStyle name="C￥AØ_Ay°eC￥(2¿u)  30 13" xfId="17191"/>
    <cellStyle name="Ç¥ÁØ_Áý°èÇ¥(2¿ù)  30 13" xfId="17192"/>
    <cellStyle name="C￥AØ_Ay°eC￥(2¿u)  30 14" xfId="17193"/>
    <cellStyle name="Ç¥ÁØ_Áý°èÇ¥(2¿ù)  30 14" xfId="17194"/>
    <cellStyle name="C￥AØ_Ay°eC￥(2¿u)  30 15" xfId="17195"/>
    <cellStyle name="Ç¥ÁØ_Áý°èÇ¥(2¿ù)  30 15" xfId="17196"/>
    <cellStyle name="C￥AØ_Ay°eC￥(2¿u)  30 16" xfId="17197"/>
    <cellStyle name="Ç¥ÁØ_Áý°èÇ¥(2¿ù)  30 16" xfId="17198"/>
    <cellStyle name="C￥AØ_Ay°eC￥(2¿u)  30 17" xfId="17199"/>
    <cellStyle name="Ç¥ÁØ_Áý°èÇ¥(2¿ù)  30 17" xfId="17200"/>
    <cellStyle name="C￥AØ_Ay°eC￥(2¿u)  30 18" xfId="17201"/>
    <cellStyle name="Ç¥ÁØ_Áý°èÇ¥(2¿ù)  30 18" xfId="17202"/>
    <cellStyle name="C￥AØ_Ay°eC￥(2¿u)  30 19" xfId="17203"/>
    <cellStyle name="Ç¥ÁØ_Áý°èÇ¥(2¿ù)  30 19" xfId="17204"/>
    <cellStyle name="C￥AØ_Ay°eC￥(2¿u)  30 2" xfId="17205"/>
    <cellStyle name="Ç¥ÁØ_Áý°èÇ¥(2¿ù)  30 2" xfId="17206"/>
    <cellStyle name="C￥AØ_Ay°eC￥(2¿u)  30 20" xfId="17207"/>
    <cellStyle name="Ç¥ÁØ_Áý°èÇ¥(2¿ù)  30 20" xfId="17208"/>
    <cellStyle name="C￥AØ_Ay°eC￥(2¿u)  30 21" xfId="17209"/>
    <cellStyle name="Ç¥ÁØ_Áý°èÇ¥(2¿ù)  30 21" xfId="17210"/>
    <cellStyle name="C￥AØ_Ay°eC￥(2¿u)  30 22" xfId="17211"/>
    <cellStyle name="Ç¥ÁØ_Áý°èÇ¥(2¿ù)  30 22" xfId="17212"/>
    <cellStyle name="C￥AØ_Ay°eC￥(2¿u)  30 23" xfId="17213"/>
    <cellStyle name="Ç¥ÁØ_Áý°èÇ¥(2¿ù)  30 23" xfId="17214"/>
    <cellStyle name="C￥AØ_Ay°eC￥(2¿u)  30 24" xfId="17215"/>
    <cellStyle name="Ç¥ÁØ_Áý°èÇ¥(2¿ù)  30 24" xfId="17216"/>
    <cellStyle name="C￥AØ_Ay°eC￥(2¿u)  30 25" xfId="17217"/>
    <cellStyle name="Ç¥ÁØ_Áý°èÇ¥(2¿ù)  30 25" xfId="17218"/>
    <cellStyle name="C￥AØ_Ay°eC￥(2¿u)  30 26" xfId="17219"/>
    <cellStyle name="Ç¥ÁØ_Áý°èÇ¥(2¿ù)  30 26" xfId="17220"/>
    <cellStyle name="C￥AØ_Ay°eC￥(2¿u)  30 27" xfId="17221"/>
    <cellStyle name="Ç¥ÁØ_Áý°èÇ¥(2¿ù)  30 27" xfId="17222"/>
    <cellStyle name="C￥AØ_Ay°eC￥(2¿u)  30 28" xfId="17223"/>
    <cellStyle name="Ç¥ÁØ_Áý°èÇ¥(2¿ù)  30 28" xfId="17224"/>
    <cellStyle name="C￥AØ_Ay°eC￥(2¿u)  30 29" xfId="17225"/>
    <cellStyle name="Ç¥ÁØ_Áý°èÇ¥(2¿ù)  30 29" xfId="17226"/>
    <cellStyle name="C￥AØ_Ay°eC￥(2¿u)  30 3" xfId="17227"/>
    <cellStyle name="Ç¥ÁØ_Áý°èÇ¥(2¿ù)  30 3" xfId="17228"/>
    <cellStyle name="C￥AØ_Ay°eC￥(2¿u)  30 30" xfId="17229"/>
    <cellStyle name="Ç¥ÁØ_Áý°èÇ¥(2¿ù)  30 30" xfId="17230"/>
    <cellStyle name="C￥AØ_Ay°eC￥(2¿u)  30 31" xfId="17231"/>
    <cellStyle name="Ç¥ÁØ_Áý°èÇ¥(2¿ù)  30 31" xfId="17232"/>
    <cellStyle name="C￥AØ_Ay°eC￥(2¿u)  30 32" xfId="17233"/>
    <cellStyle name="Ç¥ÁØ_Áý°èÇ¥(2¿ù)  30 32" xfId="17234"/>
    <cellStyle name="C￥AØ_Ay°eC￥(2¿u)  30 33" xfId="17235"/>
    <cellStyle name="Ç¥ÁØ_Áý°èÇ¥(2¿ù)  30 33" xfId="17236"/>
    <cellStyle name="C￥AØ_Ay°eC￥(2¿u)  30 34" xfId="17237"/>
    <cellStyle name="Ç¥ÁØ_Áý°èÇ¥(2¿ù)  30 34" xfId="17238"/>
    <cellStyle name="C￥AØ_Ay°eC￥(2¿u)  30 4" xfId="17239"/>
    <cellStyle name="Ç¥ÁØ_Áý°èÇ¥(2¿ù)  30 4" xfId="17240"/>
    <cellStyle name="C￥AØ_Ay°eC￥(2¿u)  30 5" xfId="17241"/>
    <cellStyle name="Ç¥ÁØ_Áý°èÇ¥(2¿ù)  30 5" xfId="17242"/>
    <cellStyle name="C￥AØ_Ay°eC￥(2¿u)  30 6" xfId="17243"/>
    <cellStyle name="Ç¥ÁØ_Áý°èÇ¥(2¿ù)  30 6" xfId="17244"/>
    <cellStyle name="C￥AØ_Ay°eC￥(2¿u)  30 7" xfId="17245"/>
    <cellStyle name="Ç¥ÁØ_Áý°èÇ¥(2¿ù)  30 7" xfId="17246"/>
    <cellStyle name="C￥AØ_Ay°eC￥(2¿u)  30 8" xfId="17247"/>
    <cellStyle name="Ç¥ÁØ_Áý°èÇ¥(2¿ù)  30 8" xfId="17248"/>
    <cellStyle name="C￥AØ_Ay°eC￥(2¿u)  30 9" xfId="17249"/>
    <cellStyle name="Ç¥ÁØ_Áý°èÇ¥(2¿ù)  30 9" xfId="17250"/>
    <cellStyle name="C￥AØ_Ay°eC￥(2¿u)  31" xfId="17251"/>
    <cellStyle name="Ç¥ÁØ_Áý°èÇ¥(2¿ù)  31" xfId="17252"/>
    <cellStyle name="C￥AØ_Ay°eC￥(2¿u)  31 10" xfId="17253"/>
    <cellStyle name="Ç¥ÁØ_Áý°èÇ¥(2¿ù)  31 10" xfId="17254"/>
    <cellStyle name="C￥AØ_Ay°eC￥(2¿u)  31 11" xfId="17255"/>
    <cellStyle name="Ç¥ÁØ_Áý°èÇ¥(2¿ù)  31 11" xfId="17256"/>
    <cellStyle name="C￥AØ_Ay°eC￥(2¿u)  31 12" xfId="17257"/>
    <cellStyle name="Ç¥ÁØ_Áý°èÇ¥(2¿ù)  31 12" xfId="17258"/>
    <cellStyle name="C￥AØ_Ay°eC￥(2¿u)  31 13" xfId="17259"/>
    <cellStyle name="Ç¥ÁØ_Áý°èÇ¥(2¿ù)  31 13" xfId="17260"/>
    <cellStyle name="C￥AØ_Ay°eC￥(2¿u)  31 14" xfId="17261"/>
    <cellStyle name="Ç¥ÁØ_Áý°èÇ¥(2¿ù)  31 14" xfId="17262"/>
    <cellStyle name="C￥AØ_Ay°eC￥(2¿u)  31 15" xfId="17263"/>
    <cellStyle name="Ç¥ÁØ_Áý°èÇ¥(2¿ù)  31 15" xfId="17264"/>
    <cellStyle name="C￥AØ_Ay°eC￥(2¿u)  31 16" xfId="17265"/>
    <cellStyle name="Ç¥ÁØ_Áý°èÇ¥(2¿ù)  31 16" xfId="17266"/>
    <cellStyle name="C￥AØ_Ay°eC￥(2¿u)  31 17" xfId="17267"/>
    <cellStyle name="Ç¥ÁØ_Áý°èÇ¥(2¿ù)  31 17" xfId="17268"/>
    <cellStyle name="C￥AØ_Ay°eC￥(2¿u)  31 18" xfId="17269"/>
    <cellStyle name="Ç¥ÁØ_Áý°èÇ¥(2¿ù)  31 18" xfId="17270"/>
    <cellStyle name="C￥AØ_Ay°eC￥(2¿u)  31 19" xfId="17271"/>
    <cellStyle name="Ç¥ÁØ_Áý°èÇ¥(2¿ù)  31 19" xfId="17272"/>
    <cellStyle name="C￥AØ_Ay°eC￥(2¿u)  31 2" xfId="17273"/>
    <cellStyle name="Ç¥ÁØ_Áý°èÇ¥(2¿ù)  31 2" xfId="17274"/>
    <cellStyle name="C￥AØ_Ay°eC￥(2¿u)  31 20" xfId="17275"/>
    <cellStyle name="Ç¥ÁØ_Áý°èÇ¥(2¿ù)  31 20" xfId="17276"/>
    <cellStyle name="C￥AØ_Ay°eC￥(2¿u)  31 21" xfId="17277"/>
    <cellStyle name="Ç¥ÁØ_Áý°èÇ¥(2¿ù)  31 21" xfId="17278"/>
    <cellStyle name="C￥AØ_Ay°eC￥(2¿u)  31 22" xfId="17279"/>
    <cellStyle name="Ç¥ÁØ_Áý°èÇ¥(2¿ù)  31 22" xfId="17280"/>
    <cellStyle name="C￥AØ_Ay°eC￥(2¿u)  31 23" xfId="17281"/>
    <cellStyle name="Ç¥ÁØ_Áý°èÇ¥(2¿ù)  31 23" xfId="17282"/>
    <cellStyle name="C￥AØ_Ay°eC￥(2¿u)  31 24" xfId="17283"/>
    <cellStyle name="Ç¥ÁØ_Áý°èÇ¥(2¿ù)  31 24" xfId="17284"/>
    <cellStyle name="C￥AØ_Ay°eC￥(2¿u)  31 25" xfId="17285"/>
    <cellStyle name="Ç¥ÁØ_Áý°èÇ¥(2¿ù)  31 25" xfId="17286"/>
    <cellStyle name="C￥AØ_Ay°eC￥(2¿u)  31 26" xfId="17287"/>
    <cellStyle name="Ç¥ÁØ_Áý°èÇ¥(2¿ù)  31 26" xfId="17288"/>
    <cellStyle name="C￥AØ_Ay°eC￥(2¿u)  31 27" xfId="17289"/>
    <cellStyle name="Ç¥ÁØ_Áý°èÇ¥(2¿ù)  31 27" xfId="17290"/>
    <cellStyle name="C￥AØ_Ay°eC￥(2¿u)  31 28" xfId="17291"/>
    <cellStyle name="Ç¥ÁØ_Áý°èÇ¥(2¿ù)  31 28" xfId="17292"/>
    <cellStyle name="C￥AØ_Ay°eC￥(2¿u)  31 29" xfId="17293"/>
    <cellStyle name="Ç¥ÁØ_Áý°èÇ¥(2¿ù)  31 29" xfId="17294"/>
    <cellStyle name="C￥AØ_Ay°eC￥(2¿u)  31 3" xfId="17295"/>
    <cellStyle name="Ç¥ÁØ_Áý°èÇ¥(2¿ù)  31 3" xfId="17296"/>
    <cellStyle name="C￥AØ_Ay°eC￥(2¿u)  31 30" xfId="17297"/>
    <cellStyle name="Ç¥ÁØ_Áý°èÇ¥(2¿ù)  31 30" xfId="17298"/>
    <cellStyle name="C￥AØ_Ay°eC￥(2¿u)  31 31" xfId="17299"/>
    <cellStyle name="Ç¥ÁØ_Áý°èÇ¥(2¿ù)  31 31" xfId="17300"/>
    <cellStyle name="C￥AØ_Ay°eC￥(2¿u)  31 32" xfId="17301"/>
    <cellStyle name="Ç¥ÁØ_Áý°èÇ¥(2¿ù)  31 32" xfId="17302"/>
    <cellStyle name="C￥AØ_Ay°eC￥(2¿u)  31 33" xfId="17303"/>
    <cellStyle name="Ç¥ÁØ_Áý°èÇ¥(2¿ù)  31 33" xfId="17304"/>
    <cellStyle name="C￥AØ_Ay°eC￥(2¿u)  31 34" xfId="17305"/>
    <cellStyle name="Ç¥ÁØ_Áý°èÇ¥(2¿ù)  31 34" xfId="17306"/>
    <cellStyle name="C￥AØ_Ay°eC￥(2¿u)  31 4" xfId="17307"/>
    <cellStyle name="Ç¥ÁØ_Áý°èÇ¥(2¿ù)  31 4" xfId="17308"/>
    <cellStyle name="C￥AØ_Ay°eC￥(2¿u)  31 5" xfId="17309"/>
    <cellStyle name="Ç¥ÁØ_Áý°èÇ¥(2¿ù)  31 5" xfId="17310"/>
    <cellStyle name="C￥AØ_Ay°eC￥(2¿u)  31 6" xfId="17311"/>
    <cellStyle name="Ç¥ÁØ_Áý°èÇ¥(2¿ù)  31 6" xfId="17312"/>
    <cellStyle name="C￥AØ_Ay°eC￥(2¿u)  31 7" xfId="17313"/>
    <cellStyle name="Ç¥ÁØ_Áý°èÇ¥(2¿ù)  31 7" xfId="17314"/>
    <cellStyle name="C￥AØ_Ay°eC￥(2¿u)  31 8" xfId="17315"/>
    <cellStyle name="Ç¥ÁØ_Áý°èÇ¥(2¿ù)  31 8" xfId="17316"/>
    <cellStyle name="C￥AØ_Ay°eC￥(2¿u)  31 9" xfId="17317"/>
    <cellStyle name="Ç¥ÁØ_Áý°èÇ¥(2¿ù)  31 9" xfId="17318"/>
    <cellStyle name="C￥AØ_Ay°eC￥(2¿u)  32" xfId="17319"/>
    <cellStyle name="Ç¥ÁØ_Áý°èÇ¥(2¿ù)  32" xfId="17320"/>
    <cellStyle name="C￥AØ_Ay°eC￥(2¿u)  32 10" xfId="17321"/>
    <cellStyle name="Ç¥ÁØ_Áý°èÇ¥(2¿ù)  32 10" xfId="17322"/>
    <cellStyle name="C￥AØ_Ay°eC￥(2¿u)  32 11" xfId="17323"/>
    <cellStyle name="Ç¥ÁØ_Áý°èÇ¥(2¿ù)  32 11" xfId="17324"/>
    <cellStyle name="C￥AØ_Ay°eC￥(2¿u)  32 12" xfId="17325"/>
    <cellStyle name="Ç¥ÁØ_Áý°èÇ¥(2¿ù)  32 12" xfId="17326"/>
    <cellStyle name="C￥AØ_Ay°eC￥(2¿u)  32 13" xfId="17327"/>
    <cellStyle name="Ç¥ÁØ_Áý°èÇ¥(2¿ù)  32 13" xfId="17328"/>
    <cellStyle name="C￥AØ_Ay°eC￥(2¿u)  32 14" xfId="17329"/>
    <cellStyle name="Ç¥ÁØ_Áý°èÇ¥(2¿ù)  32 14" xfId="17330"/>
    <cellStyle name="C￥AØ_Ay°eC￥(2¿u)  32 15" xfId="17331"/>
    <cellStyle name="Ç¥ÁØ_Áý°èÇ¥(2¿ù)  32 15" xfId="17332"/>
    <cellStyle name="C￥AØ_Ay°eC￥(2¿u)  32 16" xfId="17333"/>
    <cellStyle name="Ç¥ÁØ_Áý°èÇ¥(2¿ù)  32 16" xfId="17334"/>
    <cellStyle name="C￥AØ_Ay°eC￥(2¿u)  32 17" xfId="17335"/>
    <cellStyle name="Ç¥ÁØ_Áý°èÇ¥(2¿ù)  32 17" xfId="17336"/>
    <cellStyle name="C￥AØ_Ay°eC￥(2¿u)  32 18" xfId="17337"/>
    <cellStyle name="Ç¥ÁØ_Áý°èÇ¥(2¿ù)  32 18" xfId="17338"/>
    <cellStyle name="C￥AØ_Ay°eC￥(2¿u)  32 19" xfId="17339"/>
    <cellStyle name="Ç¥ÁØ_Áý°èÇ¥(2¿ù)  32 19" xfId="17340"/>
    <cellStyle name="C￥AØ_Ay°eC￥(2¿u)  32 2" xfId="17341"/>
    <cellStyle name="Ç¥ÁØ_Áý°èÇ¥(2¿ù)  32 2" xfId="17342"/>
    <cellStyle name="C￥AØ_Ay°eC￥(2¿u)  32 20" xfId="17343"/>
    <cellStyle name="Ç¥ÁØ_Áý°èÇ¥(2¿ù)  32 20" xfId="17344"/>
    <cellStyle name="C￥AØ_Ay°eC￥(2¿u)  32 21" xfId="17345"/>
    <cellStyle name="Ç¥ÁØ_Áý°èÇ¥(2¿ù)  32 21" xfId="17346"/>
    <cellStyle name="C￥AØ_Ay°eC￥(2¿u)  32 22" xfId="17347"/>
    <cellStyle name="Ç¥ÁØ_Áý°èÇ¥(2¿ù)  32 22" xfId="17348"/>
    <cellStyle name="C￥AØ_Ay°eC￥(2¿u)  32 23" xfId="17349"/>
    <cellStyle name="Ç¥ÁØ_Áý°èÇ¥(2¿ù)  32 23" xfId="17350"/>
    <cellStyle name="C￥AØ_Ay°eC￥(2¿u)  32 24" xfId="17351"/>
    <cellStyle name="Ç¥ÁØ_Áý°èÇ¥(2¿ù)  32 24" xfId="17352"/>
    <cellStyle name="C￥AØ_Ay°eC￥(2¿u)  32 25" xfId="17353"/>
    <cellStyle name="Ç¥ÁØ_Áý°èÇ¥(2¿ù)  32 25" xfId="17354"/>
    <cellStyle name="C￥AØ_Ay°eC￥(2¿u)  32 26" xfId="17355"/>
    <cellStyle name="Ç¥ÁØ_Áý°èÇ¥(2¿ù)  32 26" xfId="17356"/>
    <cellStyle name="C￥AØ_Ay°eC￥(2¿u)  32 27" xfId="17357"/>
    <cellStyle name="Ç¥ÁØ_Áý°èÇ¥(2¿ù)  32 27" xfId="17358"/>
    <cellStyle name="C￥AØ_Ay°eC￥(2¿u)  32 28" xfId="17359"/>
    <cellStyle name="Ç¥ÁØ_Áý°èÇ¥(2¿ù)  32 28" xfId="17360"/>
    <cellStyle name="C￥AØ_Ay°eC￥(2¿u)  32 29" xfId="17361"/>
    <cellStyle name="Ç¥ÁØ_Áý°èÇ¥(2¿ù)  32 29" xfId="17362"/>
    <cellStyle name="C￥AØ_Ay°eC￥(2¿u)  32 3" xfId="17363"/>
    <cellStyle name="Ç¥ÁØ_Áý°èÇ¥(2¿ù)  32 3" xfId="17364"/>
    <cellStyle name="C￥AØ_Ay°eC￥(2¿u)  32 30" xfId="17365"/>
    <cellStyle name="Ç¥ÁØ_Áý°èÇ¥(2¿ù)  32 30" xfId="17366"/>
    <cellStyle name="C￥AØ_Ay°eC￥(2¿u)  32 31" xfId="17367"/>
    <cellStyle name="Ç¥ÁØ_Áý°èÇ¥(2¿ù)  32 31" xfId="17368"/>
    <cellStyle name="C￥AØ_Ay°eC￥(2¿u)  32 32" xfId="17369"/>
    <cellStyle name="Ç¥ÁØ_Áý°èÇ¥(2¿ù)  32 32" xfId="17370"/>
    <cellStyle name="C￥AØ_Ay°eC￥(2¿u)  32 33" xfId="17371"/>
    <cellStyle name="Ç¥ÁØ_Áý°èÇ¥(2¿ù)  32 33" xfId="17372"/>
    <cellStyle name="C￥AØ_Ay°eC￥(2¿u)  32 34" xfId="17373"/>
    <cellStyle name="Ç¥ÁØ_Áý°èÇ¥(2¿ù)  32 34" xfId="17374"/>
    <cellStyle name="C￥AØ_Ay°eC￥(2¿u)  32 4" xfId="17375"/>
    <cellStyle name="Ç¥ÁØ_Áý°èÇ¥(2¿ù)  32 4" xfId="17376"/>
    <cellStyle name="C￥AØ_Ay°eC￥(2¿u)  32 5" xfId="17377"/>
    <cellStyle name="Ç¥ÁØ_Áý°èÇ¥(2¿ù)  32 5" xfId="17378"/>
    <cellStyle name="C￥AØ_Ay°eC￥(2¿u)  32 6" xfId="17379"/>
    <cellStyle name="Ç¥ÁØ_Áý°èÇ¥(2¿ù)  32 6" xfId="17380"/>
    <cellStyle name="C￥AØ_Ay°eC￥(2¿u)  32 7" xfId="17381"/>
    <cellStyle name="Ç¥ÁØ_Áý°èÇ¥(2¿ù)  32 7" xfId="17382"/>
    <cellStyle name="C￥AØ_Ay°eC￥(2¿u)  32 8" xfId="17383"/>
    <cellStyle name="Ç¥ÁØ_Áý°èÇ¥(2¿ù)  32 8" xfId="17384"/>
    <cellStyle name="C￥AØ_Ay°eC￥(2¿u)  32 9" xfId="17385"/>
    <cellStyle name="Ç¥ÁØ_Áý°èÇ¥(2¿ù)  32 9" xfId="17386"/>
    <cellStyle name="C￥AØ_Ay°eC￥(2¿u)  33" xfId="17387"/>
    <cellStyle name="Ç¥ÁØ_Áý°èÇ¥(2¿ù)  33" xfId="17388"/>
    <cellStyle name="C￥AØ_Ay°eC￥(2¿u)  33 10" xfId="17389"/>
    <cellStyle name="Ç¥ÁØ_Áý°èÇ¥(2¿ù)  33 10" xfId="17390"/>
    <cellStyle name="C￥AØ_Ay°eC￥(2¿u)  33 11" xfId="17391"/>
    <cellStyle name="Ç¥ÁØ_Áý°èÇ¥(2¿ù)  33 11" xfId="17392"/>
    <cellStyle name="C￥AØ_Ay°eC￥(2¿u)  33 12" xfId="17393"/>
    <cellStyle name="Ç¥ÁØ_Áý°èÇ¥(2¿ù)  33 12" xfId="17394"/>
    <cellStyle name="C￥AØ_Ay°eC￥(2¿u)  33 13" xfId="17395"/>
    <cellStyle name="Ç¥ÁØ_Áý°èÇ¥(2¿ù)  33 13" xfId="17396"/>
    <cellStyle name="C￥AØ_Ay°eC￥(2¿u)  33 14" xfId="17397"/>
    <cellStyle name="Ç¥ÁØ_Áý°èÇ¥(2¿ù)  33 14" xfId="17398"/>
    <cellStyle name="C￥AØ_Ay°eC￥(2¿u)  33 15" xfId="17399"/>
    <cellStyle name="Ç¥ÁØ_Áý°èÇ¥(2¿ù)  33 15" xfId="17400"/>
    <cellStyle name="C￥AØ_Ay°eC￥(2¿u)  33 16" xfId="17401"/>
    <cellStyle name="Ç¥ÁØ_Áý°èÇ¥(2¿ù)  33 16" xfId="17402"/>
    <cellStyle name="C￥AØ_Ay°eC￥(2¿u)  33 17" xfId="17403"/>
    <cellStyle name="Ç¥ÁØ_Áý°èÇ¥(2¿ù)  33 17" xfId="17404"/>
    <cellStyle name="C￥AØ_Ay°eC￥(2¿u)  33 18" xfId="17405"/>
    <cellStyle name="Ç¥ÁØ_Áý°èÇ¥(2¿ù)  33 18" xfId="17406"/>
    <cellStyle name="C￥AØ_Ay°eC￥(2¿u)  33 19" xfId="17407"/>
    <cellStyle name="Ç¥ÁØ_Áý°èÇ¥(2¿ù)  33 19" xfId="17408"/>
    <cellStyle name="C￥AØ_Ay°eC￥(2¿u)  33 2" xfId="17409"/>
    <cellStyle name="Ç¥ÁØ_Áý°èÇ¥(2¿ù)  33 2" xfId="17410"/>
    <cellStyle name="C￥AØ_Ay°eC￥(2¿u)  33 20" xfId="17411"/>
    <cellStyle name="Ç¥ÁØ_Áý°èÇ¥(2¿ù)  33 20" xfId="17412"/>
    <cellStyle name="C￥AØ_Ay°eC￥(2¿u)  33 21" xfId="17413"/>
    <cellStyle name="Ç¥ÁØ_Áý°èÇ¥(2¿ù)  33 21" xfId="17414"/>
    <cellStyle name="C￥AØ_Ay°eC￥(2¿u)  33 22" xfId="17415"/>
    <cellStyle name="Ç¥ÁØ_Áý°èÇ¥(2¿ù)  33 22" xfId="17416"/>
    <cellStyle name="C￥AØ_Ay°eC￥(2¿u)  33 23" xfId="17417"/>
    <cellStyle name="Ç¥ÁØ_Áý°èÇ¥(2¿ù)  33 23" xfId="17418"/>
    <cellStyle name="C￥AØ_Ay°eC￥(2¿u)  33 24" xfId="17419"/>
    <cellStyle name="Ç¥ÁØ_Áý°èÇ¥(2¿ù)  33 24" xfId="17420"/>
    <cellStyle name="C￥AØ_Ay°eC￥(2¿u)  33 25" xfId="17421"/>
    <cellStyle name="Ç¥ÁØ_Áý°èÇ¥(2¿ù)  33 25" xfId="17422"/>
    <cellStyle name="C￥AØ_Ay°eC￥(2¿u)  33 26" xfId="17423"/>
    <cellStyle name="Ç¥ÁØ_Áý°èÇ¥(2¿ù)  33 26" xfId="17424"/>
    <cellStyle name="C￥AØ_Ay°eC￥(2¿u)  33 27" xfId="17425"/>
    <cellStyle name="Ç¥ÁØ_Áý°èÇ¥(2¿ù)  33 27" xfId="17426"/>
    <cellStyle name="C￥AØ_Ay°eC￥(2¿u)  33 28" xfId="17427"/>
    <cellStyle name="Ç¥ÁØ_Áý°èÇ¥(2¿ù)  33 28" xfId="17428"/>
    <cellStyle name="C￥AØ_Ay°eC￥(2¿u)  33 29" xfId="17429"/>
    <cellStyle name="Ç¥ÁØ_Áý°èÇ¥(2¿ù)  33 29" xfId="17430"/>
    <cellStyle name="C￥AØ_Ay°eC￥(2¿u)  33 3" xfId="17431"/>
    <cellStyle name="Ç¥ÁØ_Áý°èÇ¥(2¿ù)  33 3" xfId="17432"/>
    <cellStyle name="C￥AØ_Ay°eC￥(2¿u)  33 30" xfId="17433"/>
    <cellStyle name="Ç¥ÁØ_Áý°èÇ¥(2¿ù)  33 30" xfId="17434"/>
    <cellStyle name="C￥AØ_Ay°eC￥(2¿u)  33 31" xfId="17435"/>
    <cellStyle name="Ç¥ÁØ_Áý°èÇ¥(2¿ù)  33 31" xfId="17436"/>
    <cellStyle name="C￥AØ_Ay°eC￥(2¿u)  33 32" xfId="17437"/>
    <cellStyle name="Ç¥ÁØ_Áý°èÇ¥(2¿ù)  33 32" xfId="17438"/>
    <cellStyle name="C￥AØ_Ay°eC￥(2¿u)  33 33" xfId="17439"/>
    <cellStyle name="Ç¥ÁØ_Áý°èÇ¥(2¿ù)  33 33" xfId="17440"/>
    <cellStyle name="C￥AØ_Ay°eC￥(2¿u)  33 34" xfId="17441"/>
    <cellStyle name="Ç¥ÁØ_Áý°èÇ¥(2¿ù)  33 34" xfId="17442"/>
    <cellStyle name="C￥AØ_Ay°eC￥(2¿u)  33 4" xfId="17443"/>
    <cellStyle name="Ç¥ÁØ_Áý°èÇ¥(2¿ù)  33 4" xfId="17444"/>
    <cellStyle name="C￥AØ_Ay°eC￥(2¿u)  33 5" xfId="17445"/>
    <cellStyle name="Ç¥ÁØ_Áý°èÇ¥(2¿ù)  33 5" xfId="17446"/>
    <cellStyle name="C￥AØ_Ay°eC￥(2¿u)  33 6" xfId="17447"/>
    <cellStyle name="Ç¥ÁØ_Áý°èÇ¥(2¿ù)  33 6" xfId="17448"/>
    <cellStyle name="C￥AØ_Ay°eC￥(2¿u)  33 7" xfId="17449"/>
    <cellStyle name="Ç¥ÁØ_Áý°èÇ¥(2¿ù)  33 7" xfId="17450"/>
    <cellStyle name="C￥AØ_Ay°eC￥(2¿u)  33 8" xfId="17451"/>
    <cellStyle name="Ç¥ÁØ_Áý°èÇ¥(2¿ù)  33 8" xfId="17452"/>
    <cellStyle name="C￥AØ_Ay°eC￥(2¿u)  33 9" xfId="17453"/>
    <cellStyle name="Ç¥ÁØ_Áý°èÇ¥(2¿ù)  33 9" xfId="17454"/>
    <cellStyle name="C￥AØ_Ay°eC￥(2¿u)  34" xfId="17455"/>
    <cellStyle name="Ç¥ÁØ_Áý°èÇ¥(2¿ù)  34" xfId="17456"/>
    <cellStyle name="C￥AØ_Ay°eC￥(2¿u)  34 10" xfId="17457"/>
    <cellStyle name="Ç¥ÁØ_Áý°èÇ¥(2¿ù)  34 10" xfId="17458"/>
    <cellStyle name="C￥AØ_Ay°eC￥(2¿u)  34 11" xfId="17459"/>
    <cellStyle name="Ç¥ÁØ_Áý°èÇ¥(2¿ù)  34 11" xfId="17460"/>
    <cellStyle name="C￥AØ_Ay°eC￥(2¿u)  34 12" xfId="17461"/>
    <cellStyle name="Ç¥ÁØ_Áý°èÇ¥(2¿ù)  34 12" xfId="17462"/>
    <cellStyle name="C￥AØ_Ay°eC￥(2¿u)  34 13" xfId="17463"/>
    <cellStyle name="Ç¥ÁØ_Áý°èÇ¥(2¿ù)  34 13" xfId="17464"/>
    <cellStyle name="C￥AØ_Ay°eC￥(2¿u)  34 14" xfId="17465"/>
    <cellStyle name="Ç¥ÁØ_Áý°èÇ¥(2¿ù)  34 14" xfId="17466"/>
    <cellStyle name="C￥AØ_Ay°eC￥(2¿u)  34 15" xfId="17467"/>
    <cellStyle name="Ç¥ÁØ_Áý°èÇ¥(2¿ù)  34 15" xfId="17468"/>
    <cellStyle name="C￥AØ_Ay°eC￥(2¿u)  34 16" xfId="17469"/>
    <cellStyle name="Ç¥ÁØ_Áý°èÇ¥(2¿ù)  34 16" xfId="17470"/>
    <cellStyle name="C￥AØ_Ay°eC￥(2¿u)  34 17" xfId="17471"/>
    <cellStyle name="Ç¥ÁØ_Áý°èÇ¥(2¿ù)  34 17" xfId="17472"/>
    <cellStyle name="C￥AØ_Ay°eC￥(2¿u)  34 18" xfId="17473"/>
    <cellStyle name="Ç¥ÁØ_Áý°èÇ¥(2¿ù)  34 18" xfId="17474"/>
    <cellStyle name="C￥AØ_Ay°eC￥(2¿u)  34 19" xfId="17475"/>
    <cellStyle name="Ç¥ÁØ_Áý°èÇ¥(2¿ù)  34 19" xfId="17476"/>
    <cellStyle name="C￥AØ_Ay°eC￥(2¿u)  34 2" xfId="17477"/>
    <cellStyle name="Ç¥ÁØ_Áý°èÇ¥(2¿ù)  34 2" xfId="17478"/>
    <cellStyle name="C￥AØ_Ay°eC￥(2¿u)  34 20" xfId="17479"/>
    <cellStyle name="Ç¥ÁØ_Áý°èÇ¥(2¿ù)  34 20" xfId="17480"/>
    <cellStyle name="C￥AØ_Ay°eC￥(2¿u)  34 21" xfId="17481"/>
    <cellStyle name="Ç¥ÁØ_Áý°èÇ¥(2¿ù)  34 21" xfId="17482"/>
    <cellStyle name="C￥AØ_Ay°eC￥(2¿u)  34 22" xfId="17483"/>
    <cellStyle name="Ç¥ÁØ_Áý°èÇ¥(2¿ù)  34 22" xfId="17484"/>
    <cellStyle name="C￥AØ_Ay°eC￥(2¿u)  34 23" xfId="17485"/>
    <cellStyle name="Ç¥ÁØ_Áý°èÇ¥(2¿ù)  34 23" xfId="17486"/>
    <cellStyle name="C￥AØ_Ay°eC￥(2¿u)  34 24" xfId="17487"/>
    <cellStyle name="Ç¥ÁØ_Áý°èÇ¥(2¿ù)  34 24" xfId="17488"/>
    <cellStyle name="C￥AØ_Ay°eC￥(2¿u)  34 25" xfId="17489"/>
    <cellStyle name="Ç¥ÁØ_Áý°èÇ¥(2¿ù)  34 25" xfId="17490"/>
    <cellStyle name="C￥AØ_Ay°eC￥(2¿u)  34 26" xfId="17491"/>
    <cellStyle name="Ç¥ÁØ_Áý°èÇ¥(2¿ù)  34 26" xfId="17492"/>
    <cellStyle name="C￥AØ_Ay°eC￥(2¿u)  34 27" xfId="17493"/>
    <cellStyle name="Ç¥ÁØ_Áý°èÇ¥(2¿ù)  34 27" xfId="17494"/>
    <cellStyle name="C￥AØ_Ay°eC￥(2¿u)  34 28" xfId="17495"/>
    <cellStyle name="Ç¥ÁØ_Áý°èÇ¥(2¿ù)  34 28" xfId="17496"/>
    <cellStyle name="C￥AØ_Ay°eC￥(2¿u)  34 29" xfId="17497"/>
    <cellStyle name="Ç¥ÁØ_Áý°èÇ¥(2¿ù)  34 29" xfId="17498"/>
    <cellStyle name="C￥AØ_Ay°eC￥(2¿u)  34 3" xfId="17499"/>
    <cellStyle name="Ç¥ÁØ_Áý°èÇ¥(2¿ù)  34 3" xfId="17500"/>
    <cellStyle name="C￥AØ_Ay°eC￥(2¿u)  34 30" xfId="17501"/>
    <cellStyle name="Ç¥ÁØ_Áý°èÇ¥(2¿ù)  34 30" xfId="17502"/>
    <cellStyle name="C￥AØ_Ay°eC￥(2¿u)  34 31" xfId="17503"/>
    <cellStyle name="Ç¥ÁØ_Áý°èÇ¥(2¿ù)  34 31" xfId="17504"/>
    <cellStyle name="C￥AØ_Ay°eC￥(2¿u)  34 32" xfId="17505"/>
    <cellStyle name="Ç¥ÁØ_Áý°èÇ¥(2¿ù)  34 32" xfId="17506"/>
    <cellStyle name="C￥AØ_Ay°eC￥(2¿u)  34 33" xfId="17507"/>
    <cellStyle name="Ç¥ÁØ_Áý°èÇ¥(2¿ù)  34 33" xfId="17508"/>
    <cellStyle name="C￥AØ_Ay°eC￥(2¿u)  34 34" xfId="17509"/>
    <cellStyle name="Ç¥ÁØ_Áý°èÇ¥(2¿ù)  34 34" xfId="17510"/>
    <cellStyle name="C￥AØ_Ay°eC￥(2¿u)  34 4" xfId="17511"/>
    <cellStyle name="Ç¥ÁØ_Áý°èÇ¥(2¿ù)  34 4" xfId="17512"/>
    <cellStyle name="C￥AØ_Ay°eC￥(2¿u)  34 5" xfId="17513"/>
    <cellStyle name="Ç¥ÁØ_Áý°èÇ¥(2¿ù)  34 5" xfId="17514"/>
    <cellStyle name="C￥AØ_Ay°eC￥(2¿u)  34 6" xfId="17515"/>
    <cellStyle name="Ç¥ÁØ_Áý°èÇ¥(2¿ù)  34 6" xfId="17516"/>
    <cellStyle name="C￥AØ_Ay°eC￥(2¿u)  34 7" xfId="17517"/>
    <cellStyle name="Ç¥ÁØ_Áý°èÇ¥(2¿ù)  34 7" xfId="17518"/>
    <cellStyle name="C￥AØ_Ay°eC￥(2¿u)  34 8" xfId="17519"/>
    <cellStyle name="Ç¥ÁØ_Áý°èÇ¥(2¿ù)  34 8" xfId="17520"/>
    <cellStyle name="C￥AØ_Ay°eC￥(2¿u)  34 9" xfId="17521"/>
    <cellStyle name="Ç¥ÁØ_Áý°èÇ¥(2¿ù)  34 9" xfId="17522"/>
    <cellStyle name="C￥AØ_Ay°eC￥(2¿u)  35" xfId="17523"/>
    <cellStyle name="Ç¥ÁØ_Áý°èÇ¥(2¿ù)  35" xfId="17524"/>
    <cellStyle name="C￥AØ_Ay°eC￥(2¿u)  35 10" xfId="17525"/>
    <cellStyle name="Ç¥ÁØ_Áý°èÇ¥(2¿ù)  35 10" xfId="17526"/>
    <cellStyle name="C￥AØ_Ay°eC￥(2¿u)  35 11" xfId="17527"/>
    <cellStyle name="Ç¥ÁØ_Áý°èÇ¥(2¿ù)  35 11" xfId="17528"/>
    <cellStyle name="C￥AØ_Ay°eC￥(2¿u)  35 12" xfId="17529"/>
    <cellStyle name="Ç¥ÁØ_Áý°èÇ¥(2¿ù)  35 12" xfId="17530"/>
    <cellStyle name="C￥AØ_Ay°eC￥(2¿u)  35 13" xfId="17531"/>
    <cellStyle name="Ç¥ÁØ_Áý°èÇ¥(2¿ù)  35 13" xfId="17532"/>
    <cellStyle name="C￥AØ_Ay°eC￥(2¿u)  35 14" xfId="17533"/>
    <cellStyle name="Ç¥ÁØ_Áý°èÇ¥(2¿ù)  35 14" xfId="17534"/>
    <cellStyle name="C￥AØ_Ay°eC￥(2¿u)  35 15" xfId="17535"/>
    <cellStyle name="Ç¥ÁØ_Áý°èÇ¥(2¿ù)  35 15" xfId="17536"/>
    <cellStyle name="C￥AØ_Ay°eC￥(2¿u)  35 16" xfId="17537"/>
    <cellStyle name="Ç¥ÁØ_Áý°èÇ¥(2¿ù)  35 16" xfId="17538"/>
    <cellStyle name="C￥AØ_Ay°eC￥(2¿u)  35 17" xfId="17539"/>
    <cellStyle name="Ç¥ÁØ_Áý°èÇ¥(2¿ù)  35 17" xfId="17540"/>
    <cellStyle name="C￥AØ_Ay°eC￥(2¿u)  35 18" xfId="17541"/>
    <cellStyle name="Ç¥ÁØ_Áý°èÇ¥(2¿ù)  35 18" xfId="17542"/>
    <cellStyle name="C￥AØ_Ay°eC￥(2¿u)  35 19" xfId="17543"/>
    <cellStyle name="Ç¥ÁØ_Áý°èÇ¥(2¿ù)  35 19" xfId="17544"/>
    <cellStyle name="C￥AØ_Ay°eC￥(2¿u)  35 2" xfId="17545"/>
    <cellStyle name="Ç¥ÁØ_Áý°èÇ¥(2¿ù)  35 2" xfId="17546"/>
    <cellStyle name="C￥AØ_Ay°eC￥(2¿u)  35 20" xfId="17547"/>
    <cellStyle name="Ç¥ÁØ_Áý°èÇ¥(2¿ù)  35 20" xfId="17548"/>
    <cellStyle name="C￥AØ_Ay°eC￥(2¿u)  35 21" xfId="17549"/>
    <cellStyle name="Ç¥ÁØ_Áý°èÇ¥(2¿ù)  35 21" xfId="17550"/>
    <cellStyle name="C￥AØ_Ay°eC￥(2¿u)  35 22" xfId="17551"/>
    <cellStyle name="Ç¥ÁØ_Áý°èÇ¥(2¿ù)  35 22" xfId="17552"/>
    <cellStyle name="C￥AØ_Ay°eC￥(2¿u)  35 23" xfId="17553"/>
    <cellStyle name="Ç¥ÁØ_Áý°èÇ¥(2¿ù)  35 23" xfId="17554"/>
    <cellStyle name="C￥AØ_Ay°eC￥(2¿u)  35 24" xfId="17555"/>
    <cellStyle name="Ç¥ÁØ_Áý°èÇ¥(2¿ù)  35 24" xfId="17556"/>
    <cellStyle name="C￥AØ_Ay°eC￥(2¿u)  35 25" xfId="17557"/>
    <cellStyle name="Ç¥ÁØ_Áý°èÇ¥(2¿ù)  35 25" xfId="17558"/>
    <cellStyle name="C￥AØ_Ay°eC￥(2¿u)  35 26" xfId="17559"/>
    <cellStyle name="Ç¥ÁØ_Áý°èÇ¥(2¿ù)  35 26" xfId="17560"/>
    <cellStyle name="C￥AØ_Ay°eC￥(2¿u)  35 27" xfId="17561"/>
    <cellStyle name="Ç¥ÁØ_Áý°èÇ¥(2¿ù)  35 27" xfId="17562"/>
    <cellStyle name="C￥AØ_Ay°eC￥(2¿u)  35 28" xfId="17563"/>
    <cellStyle name="Ç¥ÁØ_Áý°èÇ¥(2¿ù)  35 28" xfId="17564"/>
    <cellStyle name="C￥AØ_Ay°eC￥(2¿u)  35 29" xfId="17565"/>
    <cellStyle name="Ç¥ÁØ_Áý°èÇ¥(2¿ù)  35 29" xfId="17566"/>
    <cellStyle name="C￥AØ_Ay°eC￥(2¿u)  35 3" xfId="17567"/>
    <cellStyle name="Ç¥ÁØ_Áý°èÇ¥(2¿ù)  35 3" xfId="17568"/>
    <cellStyle name="C￥AØ_Ay°eC￥(2¿u)  35 30" xfId="17569"/>
    <cellStyle name="Ç¥ÁØ_Áý°èÇ¥(2¿ù)  35 30" xfId="17570"/>
    <cellStyle name="C￥AØ_Ay°eC￥(2¿u)  35 31" xfId="17571"/>
    <cellStyle name="Ç¥ÁØ_Áý°èÇ¥(2¿ù)  35 31" xfId="17572"/>
    <cellStyle name="C￥AØ_Ay°eC￥(2¿u)  35 32" xfId="17573"/>
    <cellStyle name="Ç¥ÁØ_Áý°èÇ¥(2¿ù)  35 32" xfId="17574"/>
    <cellStyle name="C￥AØ_Ay°eC￥(2¿u)  35 33" xfId="17575"/>
    <cellStyle name="Ç¥ÁØ_Áý°èÇ¥(2¿ù)  35 33" xfId="17576"/>
    <cellStyle name="C￥AØ_Ay°eC￥(2¿u)  35 34" xfId="17577"/>
    <cellStyle name="Ç¥ÁØ_Áý°èÇ¥(2¿ù)  35 34" xfId="17578"/>
    <cellStyle name="C￥AØ_Ay°eC￥(2¿u)  35 4" xfId="17579"/>
    <cellStyle name="Ç¥ÁØ_Áý°èÇ¥(2¿ù)  35 4" xfId="17580"/>
    <cellStyle name="C￥AØ_Ay°eC￥(2¿u)  35 5" xfId="17581"/>
    <cellStyle name="Ç¥ÁØ_Áý°èÇ¥(2¿ù)  35 5" xfId="17582"/>
    <cellStyle name="C￥AØ_Ay°eC￥(2¿u)  35 6" xfId="17583"/>
    <cellStyle name="Ç¥ÁØ_Áý°èÇ¥(2¿ù)  35 6" xfId="17584"/>
    <cellStyle name="C￥AØ_Ay°eC￥(2¿u)  35 7" xfId="17585"/>
    <cellStyle name="Ç¥ÁØ_Áý°èÇ¥(2¿ù)  35 7" xfId="17586"/>
    <cellStyle name="C￥AØ_Ay°eC￥(2¿u)  35 8" xfId="17587"/>
    <cellStyle name="Ç¥ÁØ_Áý°èÇ¥(2¿ù)  35 8" xfId="17588"/>
    <cellStyle name="C￥AØ_Ay°eC￥(2¿u)  35 9" xfId="17589"/>
    <cellStyle name="Ç¥ÁØ_Áý°èÇ¥(2¿ù)  35 9" xfId="17590"/>
    <cellStyle name="C￥AØ_Ay°eC￥(2¿u)  36" xfId="17591"/>
    <cellStyle name="Ç¥ÁØ_Áý°èÇ¥(2¿ù)  36" xfId="17592"/>
    <cellStyle name="C￥AØ_Ay°eC￥(2¿u)  36 10" xfId="17593"/>
    <cellStyle name="Ç¥ÁØ_Áý°èÇ¥(2¿ù)  36 10" xfId="17594"/>
    <cellStyle name="C￥AØ_Ay°eC￥(2¿u)  36 11" xfId="17595"/>
    <cellStyle name="Ç¥ÁØ_Áý°èÇ¥(2¿ù)  36 11" xfId="17596"/>
    <cellStyle name="C￥AØ_Ay°eC￥(2¿u)  36 12" xfId="17597"/>
    <cellStyle name="Ç¥ÁØ_Áý°èÇ¥(2¿ù)  36 12" xfId="17598"/>
    <cellStyle name="C￥AØ_Ay°eC￥(2¿u)  36 13" xfId="17599"/>
    <cellStyle name="Ç¥ÁØ_Áý°èÇ¥(2¿ù)  36 13" xfId="17600"/>
    <cellStyle name="C￥AØ_Ay°eC￥(2¿u)  36 14" xfId="17601"/>
    <cellStyle name="Ç¥ÁØ_Áý°èÇ¥(2¿ù)  36 14" xfId="17602"/>
    <cellStyle name="C￥AØ_Ay°eC￥(2¿u)  36 15" xfId="17603"/>
    <cellStyle name="Ç¥ÁØ_Áý°èÇ¥(2¿ù)  36 15" xfId="17604"/>
    <cellStyle name="C￥AØ_Ay°eC￥(2¿u)  36 16" xfId="17605"/>
    <cellStyle name="Ç¥ÁØ_Áý°èÇ¥(2¿ù)  36 16" xfId="17606"/>
    <cellStyle name="C￥AØ_Ay°eC￥(2¿u)  36 17" xfId="17607"/>
    <cellStyle name="Ç¥ÁØ_Áý°èÇ¥(2¿ù)  36 17" xfId="17608"/>
    <cellStyle name="C￥AØ_Ay°eC￥(2¿u)  36 18" xfId="17609"/>
    <cellStyle name="Ç¥ÁØ_Áý°èÇ¥(2¿ù)  36 18" xfId="17610"/>
    <cellStyle name="C￥AØ_Ay°eC￥(2¿u)  36 19" xfId="17611"/>
    <cellStyle name="Ç¥ÁØ_Áý°èÇ¥(2¿ù)  36 19" xfId="17612"/>
    <cellStyle name="C￥AØ_Ay°eC￥(2¿u)  36 2" xfId="17613"/>
    <cellStyle name="Ç¥ÁØ_Áý°èÇ¥(2¿ù)  36 2" xfId="17614"/>
    <cellStyle name="C￥AØ_Ay°eC￥(2¿u)  36 20" xfId="17615"/>
    <cellStyle name="Ç¥ÁØ_Áý°èÇ¥(2¿ù)  36 20" xfId="17616"/>
    <cellStyle name="C￥AØ_Ay°eC￥(2¿u)  36 21" xfId="17617"/>
    <cellStyle name="Ç¥ÁØ_Áý°èÇ¥(2¿ù)  36 21" xfId="17618"/>
    <cellStyle name="C￥AØ_Ay°eC￥(2¿u)  36 22" xfId="17619"/>
    <cellStyle name="Ç¥ÁØ_Áý°èÇ¥(2¿ù)  36 22" xfId="17620"/>
    <cellStyle name="C￥AØ_Ay°eC￥(2¿u)  36 23" xfId="17621"/>
    <cellStyle name="Ç¥ÁØ_Áý°èÇ¥(2¿ù)  36 23" xfId="17622"/>
    <cellStyle name="C￥AØ_Ay°eC￥(2¿u)  36 24" xfId="17623"/>
    <cellStyle name="Ç¥ÁØ_Áý°èÇ¥(2¿ù)  36 24" xfId="17624"/>
    <cellStyle name="C￥AØ_Ay°eC￥(2¿u)  36 25" xfId="17625"/>
    <cellStyle name="Ç¥ÁØ_Áý°èÇ¥(2¿ù)  36 25" xfId="17626"/>
    <cellStyle name="C￥AØ_Ay°eC￥(2¿u)  36 26" xfId="17627"/>
    <cellStyle name="Ç¥ÁØ_Áý°èÇ¥(2¿ù)  36 26" xfId="17628"/>
    <cellStyle name="C￥AØ_Ay°eC￥(2¿u)  36 27" xfId="17629"/>
    <cellStyle name="Ç¥ÁØ_Áý°èÇ¥(2¿ù)  36 27" xfId="17630"/>
    <cellStyle name="C￥AØ_Ay°eC￥(2¿u)  36 28" xfId="17631"/>
    <cellStyle name="Ç¥ÁØ_Áý°èÇ¥(2¿ù)  36 28" xfId="17632"/>
    <cellStyle name="C￥AØ_Ay°eC￥(2¿u)  36 29" xfId="17633"/>
    <cellStyle name="Ç¥ÁØ_Áý°èÇ¥(2¿ù)  36 29" xfId="17634"/>
    <cellStyle name="C￥AØ_Ay°eC￥(2¿u)  36 3" xfId="17635"/>
    <cellStyle name="Ç¥ÁØ_Áý°èÇ¥(2¿ù)  36 3" xfId="17636"/>
    <cellStyle name="C￥AØ_Ay°eC￥(2¿u)  36 30" xfId="17637"/>
    <cellStyle name="Ç¥ÁØ_Áý°èÇ¥(2¿ù)  36 30" xfId="17638"/>
    <cellStyle name="C￥AØ_Ay°eC￥(2¿u)  36 31" xfId="17639"/>
    <cellStyle name="Ç¥ÁØ_Áý°èÇ¥(2¿ù)  36 31" xfId="17640"/>
    <cellStyle name="C￥AØ_Ay°eC￥(2¿u)  36 32" xfId="17641"/>
    <cellStyle name="Ç¥ÁØ_Áý°èÇ¥(2¿ù)  36 32" xfId="17642"/>
    <cellStyle name="C￥AØ_Ay°eC￥(2¿u)  36 33" xfId="17643"/>
    <cellStyle name="Ç¥ÁØ_Áý°èÇ¥(2¿ù)  36 33" xfId="17644"/>
    <cellStyle name="C￥AØ_Ay°eC￥(2¿u)  36 34" xfId="17645"/>
    <cellStyle name="Ç¥ÁØ_Áý°èÇ¥(2¿ù)  36 34" xfId="17646"/>
    <cellStyle name="C￥AØ_Ay°eC￥(2¿u)  36 4" xfId="17647"/>
    <cellStyle name="Ç¥ÁØ_Áý°èÇ¥(2¿ù)  36 4" xfId="17648"/>
    <cellStyle name="C￥AØ_Ay°eC￥(2¿u)  36 5" xfId="17649"/>
    <cellStyle name="Ç¥ÁØ_Áý°èÇ¥(2¿ù)  36 5" xfId="17650"/>
    <cellStyle name="C￥AØ_Ay°eC￥(2¿u)  36 6" xfId="17651"/>
    <cellStyle name="Ç¥ÁØ_Áý°èÇ¥(2¿ù)  36 6" xfId="17652"/>
    <cellStyle name="C￥AØ_Ay°eC￥(2¿u)  36 7" xfId="17653"/>
    <cellStyle name="Ç¥ÁØ_Áý°èÇ¥(2¿ù)  36 7" xfId="17654"/>
    <cellStyle name="C￥AØ_Ay°eC￥(2¿u)  36 8" xfId="17655"/>
    <cellStyle name="Ç¥ÁØ_Áý°èÇ¥(2¿ù)  36 8" xfId="17656"/>
    <cellStyle name="C￥AØ_Ay°eC￥(2¿u)  36 9" xfId="17657"/>
    <cellStyle name="Ç¥ÁØ_Áý°èÇ¥(2¿ù)  36 9" xfId="17658"/>
    <cellStyle name="C￥AØ_Ay°eC￥(2¿u)  37" xfId="17659"/>
    <cellStyle name="Ç¥ÁØ_Áý°èÇ¥(2¿ù)  37" xfId="17660"/>
    <cellStyle name="C￥AØ_Ay°eC￥(2¿u)  37 10" xfId="17661"/>
    <cellStyle name="Ç¥ÁØ_Áý°èÇ¥(2¿ù)  37 10" xfId="17662"/>
    <cellStyle name="C￥AØ_Ay°eC￥(2¿u)  37 11" xfId="17663"/>
    <cellStyle name="Ç¥ÁØ_Áý°èÇ¥(2¿ù)  37 11" xfId="17664"/>
    <cellStyle name="C￥AØ_Ay°eC￥(2¿u)  37 12" xfId="17665"/>
    <cellStyle name="Ç¥ÁØ_Áý°èÇ¥(2¿ù)  37 12" xfId="17666"/>
    <cellStyle name="C￥AØ_Ay°eC￥(2¿u)  37 13" xfId="17667"/>
    <cellStyle name="Ç¥ÁØ_Áý°èÇ¥(2¿ù)  37 13" xfId="17668"/>
    <cellStyle name="C￥AØ_Ay°eC￥(2¿u)  37 14" xfId="17669"/>
    <cellStyle name="Ç¥ÁØ_Áý°èÇ¥(2¿ù)  37 14" xfId="17670"/>
    <cellStyle name="C￥AØ_Ay°eC￥(2¿u)  37 15" xfId="17671"/>
    <cellStyle name="Ç¥ÁØ_Áý°èÇ¥(2¿ù)  37 15" xfId="17672"/>
    <cellStyle name="C￥AØ_Ay°eC￥(2¿u)  37 16" xfId="17673"/>
    <cellStyle name="Ç¥ÁØ_Áý°èÇ¥(2¿ù)  37 16" xfId="17674"/>
    <cellStyle name="C￥AØ_Ay°eC￥(2¿u)  37 17" xfId="17675"/>
    <cellStyle name="Ç¥ÁØ_Áý°èÇ¥(2¿ù)  37 17" xfId="17676"/>
    <cellStyle name="C￥AØ_Ay°eC￥(2¿u)  37 18" xfId="17677"/>
    <cellStyle name="Ç¥ÁØ_Áý°èÇ¥(2¿ù)  37 18" xfId="17678"/>
    <cellStyle name="C￥AØ_Ay°eC￥(2¿u)  37 19" xfId="17679"/>
    <cellStyle name="Ç¥ÁØ_Áý°èÇ¥(2¿ù)  37 19" xfId="17680"/>
    <cellStyle name="C￥AØ_Ay°eC￥(2¿u)  37 2" xfId="17681"/>
    <cellStyle name="Ç¥ÁØ_Áý°èÇ¥(2¿ù)  37 2" xfId="17682"/>
    <cellStyle name="C￥AØ_Ay°eC￥(2¿u)  37 20" xfId="17683"/>
    <cellStyle name="Ç¥ÁØ_Áý°èÇ¥(2¿ù)  37 20" xfId="17684"/>
    <cellStyle name="C￥AØ_Ay°eC￥(2¿u)  37 21" xfId="17685"/>
    <cellStyle name="Ç¥ÁØ_Áý°èÇ¥(2¿ù)  37 21" xfId="17686"/>
    <cellStyle name="C￥AØ_Ay°eC￥(2¿u)  37 22" xfId="17687"/>
    <cellStyle name="Ç¥ÁØ_Áý°èÇ¥(2¿ù)  37 22" xfId="17688"/>
    <cellStyle name="C￥AØ_Ay°eC￥(2¿u)  37 23" xfId="17689"/>
    <cellStyle name="Ç¥ÁØ_Áý°èÇ¥(2¿ù)  37 23" xfId="17690"/>
    <cellStyle name="C￥AØ_Ay°eC￥(2¿u)  37 24" xfId="17691"/>
    <cellStyle name="Ç¥ÁØ_Áý°èÇ¥(2¿ù)  37 24" xfId="17692"/>
    <cellStyle name="C￥AØ_Ay°eC￥(2¿u)  37 25" xfId="17693"/>
    <cellStyle name="Ç¥ÁØ_Áý°èÇ¥(2¿ù)  37 25" xfId="17694"/>
    <cellStyle name="C￥AØ_Ay°eC￥(2¿u)  37 26" xfId="17695"/>
    <cellStyle name="Ç¥ÁØ_Áý°èÇ¥(2¿ù)  37 26" xfId="17696"/>
    <cellStyle name="C￥AØ_Ay°eC￥(2¿u)  37 27" xfId="17697"/>
    <cellStyle name="Ç¥ÁØ_Áý°èÇ¥(2¿ù)  37 27" xfId="17698"/>
    <cellStyle name="C￥AØ_Ay°eC￥(2¿u)  37 28" xfId="17699"/>
    <cellStyle name="Ç¥ÁØ_Áý°èÇ¥(2¿ù)  37 28" xfId="17700"/>
    <cellStyle name="C￥AØ_Ay°eC￥(2¿u)  37 29" xfId="17701"/>
    <cellStyle name="Ç¥ÁØ_Áý°èÇ¥(2¿ù)  37 29" xfId="17702"/>
    <cellStyle name="C￥AØ_Ay°eC￥(2¿u)  37 3" xfId="17703"/>
    <cellStyle name="Ç¥ÁØ_Áý°èÇ¥(2¿ù)  37 3" xfId="17704"/>
    <cellStyle name="C￥AØ_Ay°eC￥(2¿u)  37 30" xfId="17705"/>
    <cellStyle name="Ç¥ÁØ_Áý°èÇ¥(2¿ù)  37 30" xfId="17706"/>
    <cellStyle name="C￥AØ_Ay°eC￥(2¿u)  37 31" xfId="17707"/>
    <cellStyle name="Ç¥ÁØ_Áý°èÇ¥(2¿ù)  37 31" xfId="17708"/>
    <cellStyle name="C￥AØ_Ay°eC￥(2¿u)  37 32" xfId="17709"/>
    <cellStyle name="Ç¥ÁØ_Áý°èÇ¥(2¿ù)  37 32" xfId="17710"/>
    <cellStyle name="C￥AØ_Ay°eC￥(2¿u)  37 33" xfId="17711"/>
    <cellStyle name="Ç¥ÁØ_Áý°èÇ¥(2¿ù)  37 33" xfId="17712"/>
    <cellStyle name="C￥AØ_Ay°eC￥(2¿u)  37 34" xfId="17713"/>
    <cellStyle name="Ç¥ÁØ_Áý°èÇ¥(2¿ù)  37 34" xfId="17714"/>
    <cellStyle name="C￥AØ_Ay°eC￥(2¿u)  37 4" xfId="17715"/>
    <cellStyle name="Ç¥ÁØ_Áý°èÇ¥(2¿ù)  37 4" xfId="17716"/>
    <cellStyle name="C￥AØ_Ay°eC￥(2¿u)  37 5" xfId="17717"/>
    <cellStyle name="Ç¥ÁØ_Áý°èÇ¥(2¿ù)  37 5" xfId="17718"/>
    <cellStyle name="C￥AØ_Ay°eC￥(2¿u)  37 6" xfId="17719"/>
    <cellStyle name="Ç¥ÁØ_Áý°èÇ¥(2¿ù)  37 6" xfId="17720"/>
    <cellStyle name="C￥AØ_Ay°eC￥(2¿u)  37 7" xfId="17721"/>
    <cellStyle name="Ç¥ÁØ_Áý°èÇ¥(2¿ù)  37 7" xfId="17722"/>
    <cellStyle name="C￥AØ_Ay°eC￥(2¿u)  37 8" xfId="17723"/>
    <cellStyle name="Ç¥ÁØ_Áý°èÇ¥(2¿ù)  37 8" xfId="17724"/>
    <cellStyle name="C￥AØ_Ay°eC￥(2¿u)  37 9" xfId="17725"/>
    <cellStyle name="Ç¥ÁØ_Áý°èÇ¥(2¿ù)  37 9" xfId="17726"/>
    <cellStyle name="C￥AØ_Ay°eC￥(2¿u)  38" xfId="17727"/>
    <cellStyle name="Ç¥ÁØ_Áý°èÇ¥(2¿ù)  38" xfId="17728"/>
    <cellStyle name="C￥AØ_Ay°eC￥(2¿u)  38 10" xfId="17729"/>
    <cellStyle name="Ç¥ÁØ_Áý°èÇ¥(2¿ù)  38 10" xfId="17730"/>
    <cellStyle name="C￥AØ_Ay°eC￥(2¿u)  38 11" xfId="17731"/>
    <cellStyle name="Ç¥ÁØ_Áý°èÇ¥(2¿ù)  38 11" xfId="17732"/>
    <cellStyle name="C￥AØ_Ay°eC￥(2¿u)  38 12" xfId="17733"/>
    <cellStyle name="Ç¥ÁØ_Áý°èÇ¥(2¿ù)  38 12" xfId="17734"/>
    <cellStyle name="C￥AØ_Ay°eC￥(2¿u)  38 13" xfId="17735"/>
    <cellStyle name="Ç¥ÁØ_Áý°èÇ¥(2¿ù)  38 13" xfId="17736"/>
    <cellStyle name="C￥AØ_Ay°eC￥(2¿u)  38 14" xfId="17737"/>
    <cellStyle name="Ç¥ÁØ_Áý°èÇ¥(2¿ù)  38 14" xfId="17738"/>
    <cellStyle name="C￥AØ_Ay°eC￥(2¿u)  38 15" xfId="17739"/>
    <cellStyle name="Ç¥ÁØ_Áý°èÇ¥(2¿ù)  38 15" xfId="17740"/>
    <cellStyle name="C￥AØ_Ay°eC￥(2¿u)  38 16" xfId="17741"/>
    <cellStyle name="Ç¥ÁØ_Áý°èÇ¥(2¿ù)  38 16" xfId="17742"/>
    <cellStyle name="C￥AØ_Ay°eC￥(2¿u)  38 17" xfId="17743"/>
    <cellStyle name="Ç¥ÁØ_Áý°èÇ¥(2¿ù)  38 17" xfId="17744"/>
    <cellStyle name="C￥AØ_Ay°eC￥(2¿u)  38 18" xfId="17745"/>
    <cellStyle name="Ç¥ÁØ_Áý°èÇ¥(2¿ù)  38 18" xfId="17746"/>
    <cellStyle name="C￥AØ_Ay°eC￥(2¿u)  38 19" xfId="17747"/>
    <cellStyle name="Ç¥ÁØ_Áý°èÇ¥(2¿ù)  38 19" xfId="17748"/>
    <cellStyle name="C￥AØ_Ay°eC￥(2¿u)  38 2" xfId="17749"/>
    <cellStyle name="Ç¥ÁØ_Áý°èÇ¥(2¿ù)  38 2" xfId="17750"/>
    <cellStyle name="C￥AØ_Ay°eC￥(2¿u)  38 20" xfId="17751"/>
    <cellStyle name="Ç¥ÁØ_Áý°èÇ¥(2¿ù)  38 20" xfId="17752"/>
    <cellStyle name="C￥AØ_Ay°eC￥(2¿u)  38 21" xfId="17753"/>
    <cellStyle name="Ç¥ÁØ_Áý°èÇ¥(2¿ù)  38 21" xfId="17754"/>
    <cellStyle name="C￥AØ_Ay°eC￥(2¿u)  38 22" xfId="17755"/>
    <cellStyle name="Ç¥ÁØ_Áý°èÇ¥(2¿ù)  38 22" xfId="17756"/>
    <cellStyle name="C￥AØ_Ay°eC￥(2¿u)  38 23" xfId="17757"/>
    <cellStyle name="Ç¥ÁØ_Áý°èÇ¥(2¿ù)  38 23" xfId="17758"/>
    <cellStyle name="C￥AØ_Ay°eC￥(2¿u)  38 24" xfId="17759"/>
    <cellStyle name="Ç¥ÁØ_Áý°èÇ¥(2¿ù)  38 24" xfId="17760"/>
    <cellStyle name="C￥AØ_Ay°eC￥(2¿u)  38 25" xfId="17761"/>
    <cellStyle name="Ç¥ÁØ_Áý°èÇ¥(2¿ù)  38 25" xfId="17762"/>
    <cellStyle name="C￥AØ_Ay°eC￥(2¿u)  38 26" xfId="17763"/>
    <cellStyle name="Ç¥ÁØ_Áý°èÇ¥(2¿ù)  38 26" xfId="17764"/>
    <cellStyle name="C￥AØ_Ay°eC￥(2¿u)  38 27" xfId="17765"/>
    <cellStyle name="Ç¥ÁØ_Áý°èÇ¥(2¿ù)  38 27" xfId="17766"/>
    <cellStyle name="C￥AØ_Ay°eC￥(2¿u)  38 28" xfId="17767"/>
    <cellStyle name="Ç¥ÁØ_Áý°èÇ¥(2¿ù)  38 28" xfId="17768"/>
    <cellStyle name="C￥AØ_Ay°eC￥(2¿u)  38 29" xfId="17769"/>
    <cellStyle name="Ç¥ÁØ_Áý°èÇ¥(2¿ù)  38 29" xfId="17770"/>
    <cellStyle name="C￥AØ_Ay°eC￥(2¿u)  38 3" xfId="17771"/>
    <cellStyle name="Ç¥ÁØ_Áý°èÇ¥(2¿ù)  38 3" xfId="17772"/>
    <cellStyle name="C￥AØ_Ay°eC￥(2¿u)  38 30" xfId="17773"/>
    <cellStyle name="Ç¥ÁØ_Áý°èÇ¥(2¿ù)  38 30" xfId="17774"/>
    <cellStyle name="C￥AØ_Ay°eC￥(2¿u)  38 31" xfId="17775"/>
    <cellStyle name="Ç¥ÁØ_Áý°èÇ¥(2¿ù)  38 31" xfId="17776"/>
    <cellStyle name="C￥AØ_Ay°eC￥(2¿u)  38 32" xfId="17777"/>
    <cellStyle name="Ç¥ÁØ_Áý°èÇ¥(2¿ù)  38 32" xfId="17778"/>
    <cellStyle name="C￥AØ_Ay°eC￥(2¿u)  38 33" xfId="17779"/>
    <cellStyle name="Ç¥ÁØ_Áý°èÇ¥(2¿ù)  38 33" xfId="17780"/>
    <cellStyle name="C￥AØ_Ay°eC￥(2¿u)  38 34" xfId="17781"/>
    <cellStyle name="Ç¥ÁØ_Áý°èÇ¥(2¿ù)  38 34" xfId="17782"/>
    <cellStyle name="C￥AØ_Ay°eC￥(2¿u)  38 4" xfId="17783"/>
    <cellStyle name="Ç¥ÁØ_Áý°èÇ¥(2¿ù)  38 4" xfId="17784"/>
    <cellStyle name="C￥AØ_Ay°eC￥(2¿u)  38 5" xfId="17785"/>
    <cellStyle name="Ç¥ÁØ_Áý°èÇ¥(2¿ù)  38 5" xfId="17786"/>
    <cellStyle name="C￥AØ_Ay°eC￥(2¿u)  38 6" xfId="17787"/>
    <cellStyle name="Ç¥ÁØ_Áý°èÇ¥(2¿ù)  38 6" xfId="17788"/>
    <cellStyle name="C￥AØ_Ay°eC￥(2¿u)  38 7" xfId="17789"/>
    <cellStyle name="Ç¥ÁØ_Áý°èÇ¥(2¿ù)  38 7" xfId="17790"/>
    <cellStyle name="C￥AØ_Ay°eC￥(2¿u)  38 8" xfId="17791"/>
    <cellStyle name="Ç¥ÁØ_Áý°èÇ¥(2¿ù)  38 8" xfId="17792"/>
    <cellStyle name="C￥AØ_Ay°eC￥(2¿u)  38 9" xfId="17793"/>
    <cellStyle name="Ç¥ÁØ_Áý°èÇ¥(2¿ù)  38 9" xfId="17794"/>
    <cellStyle name="C￥AØ_Ay°eC￥(2¿u)  39" xfId="17795"/>
    <cellStyle name="Ç¥ÁØ_Áý°èÇ¥(2¿ù)  39" xfId="17796"/>
    <cellStyle name="C￥AØ_Ay°eC￥(2¿u)  39 10" xfId="17797"/>
    <cellStyle name="Ç¥ÁØ_Áý°èÇ¥(2¿ù)  39 10" xfId="17798"/>
    <cellStyle name="C￥AØ_Ay°eC￥(2¿u)  39 11" xfId="17799"/>
    <cellStyle name="Ç¥ÁØ_Áý°èÇ¥(2¿ù)  39 11" xfId="17800"/>
    <cellStyle name="C￥AØ_Ay°eC￥(2¿u)  39 12" xfId="17801"/>
    <cellStyle name="Ç¥ÁØ_Áý°èÇ¥(2¿ù)  39 12" xfId="17802"/>
    <cellStyle name="C￥AØ_Ay°eC￥(2¿u)  39 13" xfId="17803"/>
    <cellStyle name="Ç¥ÁØ_Áý°èÇ¥(2¿ù)  39 13" xfId="17804"/>
    <cellStyle name="C￥AØ_Ay°eC￥(2¿u)  39 14" xfId="17805"/>
    <cellStyle name="Ç¥ÁØ_Áý°èÇ¥(2¿ù)  39 14" xfId="17806"/>
    <cellStyle name="C￥AØ_Ay°eC￥(2¿u)  39 15" xfId="17807"/>
    <cellStyle name="Ç¥ÁØ_Áý°èÇ¥(2¿ù)  39 15" xfId="17808"/>
    <cellStyle name="C￥AØ_Ay°eC￥(2¿u)  39 16" xfId="17809"/>
    <cellStyle name="Ç¥ÁØ_Áý°èÇ¥(2¿ù)  39 16" xfId="17810"/>
    <cellStyle name="C￥AØ_Ay°eC￥(2¿u)  39 17" xfId="17811"/>
    <cellStyle name="Ç¥ÁØ_Áý°èÇ¥(2¿ù)  39 17" xfId="17812"/>
    <cellStyle name="C￥AØ_Ay°eC￥(2¿u)  39 18" xfId="17813"/>
    <cellStyle name="Ç¥ÁØ_Áý°èÇ¥(2¿ù)  39 18" xfId="17814"/>
    <cellStyle name="C￥AØ_Ay°eC￥(2¿u)  39 19" xfId="17815"/>
    <cellStyle name="Ç¥ÁØ_Áý°èÇ¥(2¿ù)  39 19" xfId="17816"/>
    <cellStyle name="C￥AØ_Ay°eC￥(2¿u)  39 2" xfId="17817"/>
    <cellStyle name="Ç¥ÁØ_Áý°èÇ¥(2¿ù)  39 2" xfId="17818"/>
    <cellStyle name="C￥AØ_Ay°eC￥(2¿u)  39 20" xfId="17819"/>
    <cellStyle name="Ç¥ÁØ_Áý°èÇ¥(2¿ù)  39 20" xfId="17820"/>
    <cellStyle name="C￥AØ_Ay°eC￥(2¿u)  39 21" xfId="17821"/>
    <cellStyle name="Ç¥ÁØ_Áý°èÇ¥(2¿ù)  39 21" xfId="17822"/>
    <cellStyle name="C￥AØ_Ay°eC￥(2¿u)  39 22" xfId="17823"/>
    <cellStyle name="Ç¥ÁØ_Áý°èÇ¥(2¿ù)  39 22" xfId="17824"/>
    <cellStyle name="C￥AØ_Ay°eC￥(2¿u)  39 23" xfId="17825"/>
    <cellStyle name="Ç¥ÁØ_Áý°èÇ¥(2¿ù)  39 23" xfId="17826"/>
    <cellStyle name="C￥AØ_Ay°eC￥(2¿u)  39 24" xfId="17827"/>
    <cellStyle name="Ç¥ÁØ_Áý°èÇ¥(2¿ù)  39 24" xfId="17828"/>
    <cellStyle name="C￥AØ_Ay°eC￥(2¿u)  39 25" xfId="17829"/>
    <cellStyle name="Ç¥ÁØ_Áý°èÇ¥(2¿ù)  39 25" xfId="17830"/>
    <cellStyle name="C￥AØ_Ay°eC￥(2¿u)  39 26" xfId="17831"/>
    <cellStyle name="Ç¥ÁØ_Áý°èÇ¥(2¿ù)  39 26" xfId="17832"/>
    <cellStyle name="C￥AØ_Ay°eC￥(2¿u)  39 27" xfId="17833"/>
    <cellStyle name="Ç¥ÁØ_Áý°èÇ¥(2¿ù)  39 27" xfId="17834"/>
    <cellStyle name="C￥AØ_Ay°eC￥(2¿u)  39 28" xfId="17835"/>
    <cellStyle name="Ç¥ÁØ_Áý°èÇ¥(2¿ù)  39 28" xfId="17836"/>
    <cellStyle name="C￥AØ_Ay°eC￥(2¿u)  39 29" xfId="17837"/>
    <cellStyle name="Ç¥ÁØ_Áý°èÇ¥(2¿ù)  39 29" xfId="17838"/>
    <cellStyle name="C￥AØ_Ay°eC￥(2¿u)  39 3" xfId="17839"/>
    <cellStyle name="Ç¥ÁØ_Áý°èÇ¥(2¿ù)  39 3" xfId="17840"/>
    <cellStyle name="C￥AØ_Ay°eC￥(2¿u)  39 30" xfId="17841"/>
    <cellStyle name="Ç¥ÁØ_Áý°èÇ¥(2¿ù)  39 30" xfId="17842"/>
    <cellStyle name="C￥AØ_Ay°eC￥(2¿u)  39 31" xfId="17843"/>
    <cellStyle name="Ç¥ÁØ_Áý°èÇ¥(2¿ù)  39 31" xfId="17844"/>
    <cellStyle name="C￥AØ_Ay°eC￥(2¿u)  39 32" xfId="17845"/>
    <cellStyle name="Ç¥ÁØ_Áý°èÇ¥(2¿ù)  39 32" xfId="17846"/>
    <cellStyle name="C￥AØ_Ay°eC￥(2¿u)  39 33" xfId="17847"/>
    <cellStyle name="Ç¥ÁØ_Áý°èÇ¥(2¿ù)  39 33" xfId="17848"/>
    <cellStyle name="C￥AØ_Ay°eC￥(2¿u)  39 34" xfId="17849"/>
    <cellStyle name="Ç¥ÁØ_Áý°èÇ¥(2¿ù)  39 34" xfId="17850"/>
    <cellStyle name="C￥AØ_Ay°eC￥(2¿u)  39 4" xfId="17851"/>
    <cellStyle name="Ç¥ÁØ_Áý°èÇ¥(2¿ù)  39 4" xfId="17852"/>
    <cellStyle name="C￥AØ_Ay°eC￥(2¿u)  39 5" xfId="17853"/>
    <cellStyle name="Ç¥ÁØ_Áý°èÇ¥(2¿ù)  39 5" xfId="17854"/>
    <cellStyle name="C￥AØ_Ay°eC￥(2¿u)  39 6" xfId="17855"/>
    <cellStyle name="Ç¥ÁØ_Áý°èÇ¥(2¿ù)  39 6" xfId="17856"/>
    <cellStyle name="C￥AØ_Ay°eC￥(2¿u)  39 7" xfId="17857"/>
    <cellStyle name="Ç¥ÁØ_Áý°èÇ¥(2¿ù)  39 7" xfId="17858"/>
    <cellStyle name="C￥AØ_Ay°eC￥(2¿u)  39 8" xfId="17859"/>
    <cellStyle name="Ç¥ÁØ_Áý°èÇ¥(2¿ù)  39 8" xfId="17860"/>
    <cellStyle name="C￥AØ_Ay°eC￥(2¿u)  39 9" xfId="17861"/>
    <cellStyle name="Ç¥ÁØ_Áý°èÇ¥(2¿ù)  39 9" xfId="17862"/>
    <cellStyle name="C￥AØ_Ay°eC￥(2¿u)  4" xfId="17863"/>
    <cellStyle name="Ç¥ÁØ_Áý°èÇ¥(2¿ù)  4" xfId="17864"/>
    <cellStyle name="C￥AØ_Ay°eC￥(2¿u)  4 10" xfId="17865"/>
    <cellStyle name="Ç¥ÁØ_Áý°èÇ¥(2¿ù)  4 10" xfId="17866"/>
    <cellStyle name="C￥AØ_Ay°eC￥(2¿u)  4 11" xfId="17867"/>
    <cellStyle name="Ç¥ÁØ_Áý°èÇ¥(2¿ù)  4 11" xfId="17868"/>
    <cellStyle name="C￥AØ_Ay°eC￥(2¿u)  4 12" xfId="17869"/>
    <cellStyle name="Ç¥ÁØ_Áý°èÇ¥(2¿ù)  4 12" xfId="17870"/>
    <cellStyle name="C￥AØ_Ay°eC￥(2¿u)  4 13" xfId="17871"/>
    <cellStyle name="Ç¥ÁØ_Áý°èÇ¥(2¿ù)  4 13" xfId="17872"/>
    <cellStyle name="C￥AØ_Ay°eC￥(2¿u)  4 14" xfId="17873"/>
    <cellStyle name="Ç¥ÁØ_Áý°èÇ¥(2¿ù)  4 14" xfId="17874"/>
    <cellStyle name="C￥AØ_Ay°eC￥(2¿u)  4 15" xfId="17875"/>
    <cellStyle name="Ç¥ÁØ_Áý°èÇ¥(2¿ù)  4 15" xfId="17876"/>
    <cellStyle name="C￥AØ_Ay°eC￥(2¿u)  4 16" xfId="17877"/>
    <cellStyle name="Ç¥ÁØ_Áý°èÇ¥(2¿ù)  4 16" xfId="17878"/>
    <cellStyle name="C￥AØ_Ay°eC￥(2¿u)  4 17" xfId="17879"/>
    <cellStyle name="Ç¥ÁØ_Áý°èÇ¥(2¿ù)  4 17" xfId="17880"/>
    <cellStyle name="C￥AØ_Ay°eC￥(2¿u)  4 18" xfId="17881"/>
    <cellStyle name="Ç¥ÁØ_Áý°èÇ¥(2¿ù)  4 18" xfId="17882"/>
    <cellStyle name="C￥AØ_Ay°eC￥(2¿u)  4 19" xfId="17883"/>
    <cellStyle name="Ç¥ÁØ_Áý°èÇ¥(2¿ù)  4 19" xfId="17884"/>
    <cellStyle name="C￥AØ_Ay°eC￥(2¿u)  4 2" xfId="17885"/>
    <cellStyle name="Ç¥ÁØ_Áý°èÇ¥(2¿ù)  4 2" xfId="17886"/>
    <cellStyle name="C￥AØ_Ay°eC￥(2¿u)  4 20" xfId="17887"/>
    <cellStyle name="Ç¥ÁØ_Áý°èÇ¥(2¿ù)  4 20" xfId="17888"/>
    <cellStyle name="C￥AØ_Ay°eC￥(2¿u)  4 21" xfId="17889"/>
    <cellStyle name="Ç¥ÁØ_Áý°èÇ¥(2¿ù)  4 21" xfId="17890"/>
    <cellStyle name="C￥AØ_Ay°eC￥(2¿u)  4 22" xfId="17891"/>
    <cellStyle name="Ç¥ÁØ_Áý°èÇ¥(2¿ù)  4 22" xfId="17892"/>
    <cellStyle name="C￥AØ_Ay°eC￥(2¿u)  4 23" xfId="17893"/>
    <cellStyle name="Ç¥ÁØ_Áý°èÇ¥(2¿ù)  4 23" xfId="17894"/>
    <cellStyle name="C￥AØ_Ay°eC￥(2¿u)  4 24" xfId="17895"/>
    <cellStyle name="Ç¥ÁØ_Áý°èÇ¥(2¿ù)  4 24" xfId="17896"/>
    <cellStyle name="C￥AØ_Ay°eC￥(2¿u)  4 25" xfId="17897"/>
    <cellStyle name="Ç¥ÁØ_Áý°èÇ¥(2¿ù)  4 25" xfId="17898"/>
    <cellStyle name="C￥AØ_Ay°eC￥(2¿u)  4 26" xfId="17899"/>
    <cellStyle name="Ç¥ÁØ_Áý°èÇ¥(2¿ù)  4 26" xfId="17900"/>
    <cellStyle name="C￥AØ_Ay°eC￥(2¿u)  4 27" xfId="17901"/>
    <cellStyle name="Ç¥ÁØ_Áý°èÇ¥(2¿ù)  4 27" xfId="17902"/>
    <cellStyle name="C￥AØ_Ay°eC￥(2¿u)  4 28" xfId="17903"/>
    <cellStyle name="Ç¥ÁØ_Áý°èÇ¥(2¿ù)  4 28" xfId="17904"/>
    <cellStyle name="C￥AØ_Ay°eC￥(2¿u)  4 29" xfId="17905"/>
    <cellStyle name="Ç¥ÁØ_Áý°èÇ¥(2¿ù)  4 29" xfId="17906"/>
    <cellStyle name="C￥AØ_Ay°eC￥(2¿u)  4 3" xfId="17907"/>
    <cellStyle name="Ç¥ÁØ_Áý°èÇ¥(2¿ù)  4 3" xfId="17908"/>
    <cellStyle name="C￥AØ_Ay°eC￥(2¿u)  4 30" xfId="17909"/>
    <cellStyle name="Ç¥ÁØ_Áý°èÇ¥(2¿ù)  4 30" xfId="17910"/>
    <cellStyle name="C￥AØ_Ay°eC￥(2¿u)  4 31" xfId="17911"/>
    <cellStyle name="Ç¥ÁØ_Áý°èÇ¥(2¿ù)  4 31" xfId="17912"/>
    <cellStyle name="C￥AØ_Ay°eC￥(2¿u)  4 32" xfId="17913"/>
    <cellStyle name="Ç¥ÁØ_Áý°èÇ¥(2¿ù)  4 32" xfId="17914"/>
    <cellStyle name="C￥AØ_Ay°eC￥(2¿u)  4 33" xfId="17915"/>
    <cellStyle name="Ç¥ÁØ_Áý°èÇ¥(2¿ù)  4 33" xfId="17916"/>
    <cellStyle name="C￥AØ_Ay°eC￥(2¿u)  4 34" xfId="17917"/>
    <cellStyle name="Ç¥ÁØ_Áý°èÇ¥(2¿ù)  4 34" xfId="17918"/>
    <cellStyle name="C￥AØ_Ay°eC￥(2¿u)  4 4" xfId="17919"/>
    <cellStyle name="Ç¥ÁØ_Áý°èÇ¥(2¿ù)  4 4" xfId="17920"/>
    <cellStyle name="C￥AØ_Ay°eC￥(2¿u)  4 5" xfId="17921"/>
    <cellStyle name="Ç¥ÁØ_Áý°èÇ¥(2¿ù)  4 5" xfId="17922"/>
    <cellStyle name="C￥AØ_Ay°eC￥(2¿u)  4 6" xfId="17923"/>
    <cellStyle name="Ç¥ÁØ_Áý°èÇ¥(2¿ù)  4 6" xfId="17924"/>
    <cellStyle name="C￥AØ_Ay°eC￥(2¿u)  4 7" xfId="17925"/>
    <cellStyle name="Ç¥ÁØ_Áý°èÇ¥(2¿ù)  4 7" xfId="17926"/>
    <cellStyle name="C￥AØ_Ay°eC￥(2¿u)  4 8" xfId="17927"/>
    <cellStyle name="Ç¥ÁØ_Áý°èÇ¥(2¿ù)  4 8" xfId="17928"/>
    <cellStyle name="C￥AØ_Ay°eC￥(2¿u)  4 9" xfId="17929"/>
    <cellStyle name="Ç¥ÁØ_Áý°èÇ¥(2¿ù)  4 9" xfId="17930"/>
    <cellStyle name="C￥AØ_Ay°eC￥(2¿u)  40" xfId="17931"/>
    <cellStyle name="Ç¥ÁØ_Áý°èÇ¥(2¿ù)  40" xfId="17932"/>
    <cellStyle name="C￥AØ_Ay°eC￥(2¿u)  40 10" xfId="17933"/>
    <cellStyle name="Ç¥ÁØ_Áý°èÇ¥(2¿ù)  40 10" xfId="17934"/>
    <cellStyle name="C￥AØ_Ay°eC￥(2¿u)  40 11" xfId="17935"/>
    <cellStyle name="Ç¥ÁØ_Áý°èÇ¥(2¿ù)  40 11" xfId="17936"/>
    <cellStyle name="C￥AØ_Ay°eC￥(2¿u)  40 12" xfId="17937"/>
    <cellStyle name="Ç¥ÁØ_Áý°èÇ¥(2¿ù)  40 12" xfId="17938"/>
    <cellStyle name="C￥AØ_Ay°eC￥(2¿u)  40 13" xfId="17939"/>
    <cellStyle name="Ç¥ÁØ_Áý°èÇ¥(2¿ù)  40 13" xfId="17940"/>
    <cellStyle name="C￥AØ_Ay°eC￥(2¿u)  40 14" xfId="17941"/>
    <cellStyle name="Ç¥ÁØ_Áý°èÇ¥(2¿ù)  40 14" xfId="17942"/>
    <cellStyle name="C￥AØ_Ay°eC￥(2¿u)  40 15" xfId="17943"/>
    <cellStyle name="Ç¥ÁØ_Áý°èÇ¥(2¿ù)  40 15" xfId="17944"/>
    <cellStyle name="C￥AØ_Ay°eC￥(2¿u)  40 16" xfId="17945"/>
    <cellStyle name="Ç¥ÁØ_Áý°èÇ¥(2¿ù)  40 16" xfId="17946"/>
    <cellStyle name="C￥AØ_Ay°eC￥(2¿u)  40 17" xfId="17947"/>
    <cellStyle name="Ç¥ÁØ_Áý°èÇ¥(2¿ù)  40 17" xfId="17948"/>
    <cellStyle name="C￥AØ_Ay°eC￥(2¿u)  40 18" xfId="17949"/>
    <cellStyle name="Ç¥ÁØ_Áý°èÇ¥(2¿ù)  40 18" xfId="17950"/>
    <cellStyle name="C￥AØ_Ay°eC￥(2¿u)  40 19" xfId="17951"/>
    <cellStyle name="Ç¥ÁØ_Áý°èÇ¥(2¿ù)  40 19" xfId="17952"/>
    <cellStyle name="C￥AØ_Ay°eC￥(2¿u)  40 2" xfId="17953"/>
    <cellStyle name="Ç¥ÁØ_Áý°èÇ¥(2¿ù)  40 2" xfId="17954"/>
    <cellStyle name="C￥AØ_Ay°eC￥(2¿u)  40 20" xfId="17955"/>
    <cellStyle name="Ç¥ÁØ_Áý°èÇ¥(2¿ù)  40 20" xfId="17956"/>
    <cellStyle name="C￥AØ_Ay°eC￥(2¿u)  40 21" xfId="17957"/>
    <cellStyle name="Ç¥ÁØ_Áý°èÇ¥(2¿ù)  40 21" xfId="17958"/>
    <cellStyle name="C￥AØ_Ay°eC￥(2¿u)  40 22" xfId="17959"/>
    <cellStyle name="Ç¥ÁØ_Áý°èÇ¥(2¿ù)  40 22" xfId="17960"/>
    <cellStyle name="C￥AØ_Ay°eC￥(2¿u)  40 23" xfId="17961"/>
    <cellStyle name="Ç¥ÁØ_Áý°èÇ¥(2¿ù)  40 23" xfId="17962"/>
    <cellStyle name="C￥AØ_Ay°eC￥(2¿u)  40 24" xfId="17963"/>
    <cellStyle name="Ç¥ÁØ_Áý°èÇ¥(2¿ù)  40 24" xfId="17964"/>
    <cellStyle name="C￥AØ_Ay°eC￥(2¿u)  40 25" xfId="17965"/>
    <cellStyle name="Ç¥ÁØ_Áý°èÇ¥(2¿ù)  40 25" xfId="17966"/>
    <cellStyle name="C￥AØ_Ay°eC￥(2¿u)  40 26" xfId="17967"/>
    <cellStyle name="Ç¥ÁØ_Áý°èÇ¥(2¿ù)  40 26" xfId="17968"/>
    <cellStyle name="C￥AØ_Ay°eC￥(2¿u)  40 27" xfId="17969"/>
    <cellStyle name="Ç¥ÁØ_Áý°èÇ¥(2¿ù)  40 27" xfId="17970"/>
    <cellStyle name="C￥AØ_Ay°eC￥(2¿u)  40 28" xfId="17971"/>
    <cellStyle name="Ç¥ÁØ_Áý°èÇ¥(2¿ù)  40 28" xfId="17972"/>
    <cellStyle name="C￥AØ_Ay°eC￥(2¿u)  40 29" xfId="17973"/>
    <cellStyle name="Ç¥ÁØ_Áý°èÇ¥(2¿ù)  40 29" xfId="17974"/>
    <cellStyle name="C￥AØ_Ay°eC￥(2¿u)  40 3" xfId="17975"/>
    <cellStyle name="Ç¥ÁØ_Áý°èÇ¥(2¿ù)  40 3" xfId="17976"/>
    <cellStyle name="C￥AØ_Ay°eC￥(2¿u)  40 30" xfId="17977"/>
    <cellStyle name="Ç¥ÁØ_Áý°èÇ¥(2¿ù)  40 30" xfId="17978"/>
    <cellStyle name="C￥AØ_Ay°eC￥(2¿u)  40 31" xfId="17979"/>
    <cellStyle name="Ç¥ÁØ_Áý°èÇ¥(2¿ù)  40 31" xfId="17980"/>
    <cellStyle name="C￥AØ_Ay°eC￥(2¿u)  40 32" xfId="17981"/>
    <cellStyle name="Ç¥ÁØ_Áý°èÇ¥(2¿ù)  40 32" xfId="17982"/>
    <cellStyle name="C￥AØ_Ay°eC￥(2¿u)  40 33" xfId="17983"/>
    <cellStyle name="Ç¥ÁØ_Áý°èÇ¥(2¿ù)  40 33" xfId="17984"/>
    <cellStyle name="C￥AØ_Ay°eC￥(2¿u)  40 34" xfId="17985"/>
    <cellStyle name="Ç¥ÁØ_Áý°èÇ¥(2¿ù)  40 34" xfId="17986"/>
    <cellStyle name="C￥AØ_Ay°eC￥(2¿u)  40 4" xfId="17987"/>
    <cellStyle name="Ç¥ÁØ_Áý°èÇ¥(2¿ù)  40 4" xfId="17988"/>
    <cellStyle name="C￥AØ_Ay°eC￥(2¿u)  40 5" xfId="17989"/>
    <cellStyle name="Ç¥ÁØ_Áý°èÇ¥(2¿ù)  40 5" xfId="17990"/>
    <cellStyle name="C￥AØ_Ay°eC￥(2¿u)  40 6" xfId="17991"/>
    <cellStyle name="Ç¥ÁØ_Áý°èÇ¥(2¿ù)  40 6" xfId="17992"/>
    <cellStyle name="C￥AØ_Ay°eC￥(2¿u)  40 7" xfId="17993"/>
    <cellStyle name="Ç¥ÁØ_Áý°èÇ¥(2¿ù)  40 7" xfId="17994"/>
    <cellStyle name="C￥AØ_Ay°eC￥(2¿u)  40 8" xfId="17995"/>
    <cellStyle name="Ç¥ÁØ_Áý°èÇ¥(2¿ù)  40 8" xfId="17996"/>
    <cellStyle name="C￥AØ_Ay°eC￥(2¿u)  40 9" xfId="17997"/>
    <cellStyle name="Ç¥ÁØ_Áý°èÇ¥(2¿ù)  40 9" xfId="17998"/>
    <cellStyle name="C￥AØ_Ay°eC￥(2¿u)  41" xfId="17999"/>
    <cellStyle name="Ç¥ÁØ_Áý°èÇ¥(2¿ù)  41" xfId="18000"/>
    <cellStyle name="C￥AØ_Ay°eC￥(2¿u)  41 10" xfId="18001"/>
    <cellStyle name="Ç¥ÁØ_Áý°èÇ¥(2¿ù)  41 10" xfId="18002"/>
    <cellStyle name="C￥AØ_Ay°eC￥(2¿u)  41 11" xfId="18003"/>
    <cellStyle name="Ç¥ÁØ_Áý°èÇ¥(2¿ù)  41 11" xfId="18004"/>
    <cellStyle name="C￥AØ_Ay°eC￥(2¿u)  41 12" xfId="18005"/>
    <cellStyle name="Ç¥ÁØ_Áý°èÇ¥(2¿ù)  41 12" xfId="18006"/>
    <cellStyle name="C￥AØ_Ay°eC￥(2¿u)  41 13" xfId="18007"/>
    <cellStyle name="Ç¥ÁØ_Áý°èÇ¥(2¿ù)  41 13" xfId="18008"/>
    <cellStyle name="C￥AØ_Ay°eC￥(2¿u)  41 14" xfId="18009"/>
    <cellStyle name="Ç¥ÁØ_Áý°èÇ¥(2¿ù)  41 14" xfId="18010"/>
    <cellStyle name="C￥AØ_Ay°eC￥(2¿u)  41 15" xfId="18011"/>
    <cellStyle name="Ç¥ÁØ_Áý°èÇ¥(2¿ù)  41 15" xfId="18012"/>
    <cellStyle name="C￥AØ_Ay°eC￥(2¿u)  41 16" xfId="18013"/>
    <cellStyle name="Ç¥ÁØ_Áý°èÇ¥(2¿ù)  41 16" xfId="18014"/>
    <cellStyle name="C￥AØ_Ay°eC￥(2¿u)  41 17" xfId="18015"/>
    <cellStyle name="Ç¥ÁØ_Áý°èÇ¥(2¿ù)  41 17" xfId="18016"/>
    <cellStyle name="C￥AØ_Ay°eC￥(2¿u)  41 18" xfId="18017"/>
    <cellStyle name="Ç¥ÁØ_Áý°èÇ¥(2¿ù)  41 18" xfId="18018"/>
    <cellStyle name="C￥AØ_Ay°eC￥(2¿u)  41 19" xfId="18019"/>
    <cellStyle name="Ç¥ÁØ_Áý°èÇ¥(2¿ù)  41 19" xfId="18020"/>
    <cellStyle name="C￥AØ_Ay°eC￥(2¿u)  41 2" xfId="18021"/>
    <cellStyle name="Ç¥ÁØ_Áý°èÇ¥(2¿ù)  41 2" xfId="18022"/>
    <cellStyle name="C￥AØ_Ay°eC￥(2¿u)  41 20" xfId="18023"/>
    <cellStyle name="Ç¥ÁØ_Áý°èÇ¥(2¿ù)  41 20" xfId="18024"/>
    <cellStyle name="C￥AØ_Ay°eC￥(2¿u)  41 21" xfId="18025"/>
    <cellStyle name="Ç¥ÁØ_Áý°èÇ¥(2¿ù)  41 21" xfId="18026"/>
    <cellStyle name="C￥AØ_Ay°eC￥(2¿u)  41 22" xfId="18027"/>
    <cellStyle name="Ç¥ÁØ_Áý°èÇ¥(2¿ù)  41 22" xfId="18028"/>
    <cellStyle name="C￥AØ_Ay°eC￥(2¿u)  41 23" xfId="18029"/>
    <cellStyle name="Ç¥ÁØ_Áý°èÇ¥(2¿ù)  41 23" xfId="18030"/>
    <cellStyle name="C￥AØ_Ay°eC￥(2¿u)  41 24" xfId="18031"/>
    <cellStyle name="Ç¥ÁØ_Áý°èÇ¥(2¿ù)  41 24" xfId="18032"/>
    <cellStyle name="C￥AØ_Ay°eC￥(2¿u)  41 25" xfId="18033"/>
    <cellStyle name="Ç¥ÁØ_Áý°èÇ¥(2¿ù)  41 25" xfId="18034"/>
    <cellStyle name="C￥AØ_Ay°eC￥(2¿u)  41 26" xfId="18035"/>
    <cellStyle name="Ç¥ÁØ_Áý°èÇ¥(2¿ù)  41 26" xfId="18036"/>
    <cellStyle name="C￥AØ_Ay°eC￥(2¿u)  41 27" xfId="18037"/>
    <cellStyle name="Ç¥ÁØ_Áý°èÇ¥(2¿ù)  41 27" xfId="18038"/>
    <cellStyle name="C￥AØ_Ay°eC￥(2¿u)  41 28" xfId="18039"/>
    <cellStyle name="Ç¥ÁØ_Áý°èÇ¥(2¿ù)  41 28" xfId="18040"/>
    <cellStyle name="C￥AØ_Ay°eC￥(2¿u)  41 29" xfId="18041"/>
    <cellStyle name="Ç¥ÁØ_Áý°èÇ¥(2¿ù)  41 29" xfId="18042"/>
    <cellStyle name="C￥AØ_Ay°eC￥(2¿u)  41 3" xfId="18043"/>
    <cellStyle name="Ç¥ÁØ_Áý°èÇ¥(2¿ù)  41 3" xfId="18044"/>
    <cellStyle name="C￥AØ_Ay°eC￥(2¿u)  41 30" xfId="18045"/>
    <cellStyle name="Ç¥ÁØ_Áý°èÇ¥(2¿ù)  41 30" xfId="18046"/>
    <cellStyle name="C￥AØ_Ay°eC￥(2¿u)  41 31" xfId="18047"/>
    <cellStyle name="Ç¥ÁØ_Áý°èÇ¥(2¿ù)  41 31" xfId="18048"/>
    <cellStyle name="C￥AØ_Ay°eC￥(2¿u)  41 32" xfId="18049"/>
    <cellStyle name="Ç¥ÁØ_Áý°èÇ¥(2¿ù)  41 32" xfId="18050"/>
    <cellStyle name="C￥AØ_Ay°eC￥(2¿u)  41 33" xfId="18051"/>
    <cellStyle name="Ç¥ÁØ_Áý°èÇ¥(2¿ù)  41 33" xfId="18052"/>
    <cellStyle name="C￥AØ_Ay°eC￥(2¿u)  41 34" xfId="18053"/>
    <cellStyle name="Ç¥ÁØ_Áý°èÇ¥(2¿ù)  41 34" xfId="18054"/>
    <cellStyle name="C￥AØ_Ay°eC￥(2¿u)  41 4" xfId="18055"/>
    <cellStyle name="Ç¥ÁØ_Áý°èÇ¥(2¿ù)  41 4" xfId="18056"/>
    <cellStyle name="C￥AØ_Ay°eC￥(2¿u)  41 5" xfId="18057"/>
    <cellStyle name="Ç¥ÁØ_Áý°èÇ¥(2¿ù)  41 5" xfId="18058"/>
    <cellStyle name="C￥AØ_Ay°eC￥(2¿u)  41 6" xfId="18059"/>
    <cellStyle name="Ç¥ÁØ_Áý°èÇ¥(2¿ù)  41 6" xfId="18060"/>
    <cellStyle name="C￥AØ_Ay°eC￥(2¿u)  41 7" xfId="18061"/>
    <cellStyle name="Ç¥ÁØ_Áý°èÇ¥(2¿ù)  41 7" xfId="18062"/>
    <cellStyle name="C￥AØ_Ay°eC￥(2¿u)  41 8" xfId="18063"/>
    <cellStyle name="Ç¥ÁØ_Áý°èÇ¥(2¿ù)  41 8" xfId="18064"/>
    <cellStyle name="C￥AØ_Ay°eC￥(2¿u)  41 9" xfId="18065"/>
    <cellStyle name="Ç¥ÁØ_Áý°èÇ¥(2¿ù)  41 9" xfId="18066"/>
    <cellStyle name="C￥AØ_Ay°eC￥(2¿u)  42" xfId="18067"/>
    <cellStyle name="Ç¥ÁØ_Áý°èÇ¥(2¿ù)  42" xfId="18068"/>
    <cellStyle name="C￥AØ_Ay°eC￥(2¿u)  42 10" xfId="18069"/>
    <cellStyle name="Ç¥ÁØ_Áý°èÇ¥(2¿ù)  42 10" xfId="18070"/>
    <cellStyle name="C￥AØ_Ay°eC￥(2¿u)  42 11" xfId="18071"/>
    <cellStyle name="Ç¥ÁØ_Áý°èÇ¥(2¿ù)  42 11" xfId="18072"/>
    <cellStyle name="C￥AØ_Ay°eC￥(2¿u)  42 12" xfId="18073"/>
    <cellStyle name="Ç¥ÁØ_Áý°èÇ¥(2¿ù)  42 12" xfId="18074"/>
    <cellStyle name="C￥AØ_Ay°eC￥(2¿u)  42 13" xfId="18075"/>
    <cellStyle name="Ç¥ÁØ_Áý°èÇ¥(2¿ù)  42 13" xfId="18076"/>
    <cellStyle name="C￥AØ_Ay°eC￥(2¿u)  42 14" xfId="18077"/>
    <cellStyle name="Ç¥ÁØ_Áý°èÇ¥(2¿ù)  42 14" xfId="18078"/>
    <cellStyle name="C￥AØ_Ay°eC￥(2¿u)  42 15" xfId="18079"/>
    <cellStyle name="Ç¥ÁØ_Áý°èÇ¥(2¿ù)  42 15" xfId="18080"/>
    <cellStyle name="C￥AØ_Ay°eC￥(2¿u)  42 16" xfId="18081"/>
    <cellStyle name="Ç¥ÁØ_Áý°èÇ¥(2¿ù)  42 16" xfId="18082"/>
    <cellStyle name="C￥AØ_Ay°eC￥(2¿u)  42 17" xfId="18083"/>
    <cellStyle name="Ç¥ÁØ_Áý°èÇ¥(2¿ù)  42 17" xfId="18084"/>
    <cellStyle name="C￥AØ_Ay°eC￥(2¿u)  42 18" xfId="18085"/>
    <cellStyle name="Ç¥ÁØ_Áý°èÇ¥(2¿ù)  42 18" xfId="18086"/>
    <cellStyle name="C￥AØ_Ay°eC￥(2¿u)  42 19" xfId="18087"/>
    <cellStyle name="Ç¥ÁØ_Áý°èÇ¥(2¿ù)  42 19" xfId="18088"/>
    <cellStyle name="C￥AØ_Ay°eC￥(2¿u)  42 2" xfId="18089"/>
    <cellStyle name="Ç¥ÁØ_Áý°èÇ¥(2¿ù)  42 2" xfId="18090"/>
    <cellStyle name="C￥AØ_Ay°eC￥(2¿u)  42 20" xfId="18091"/>
    <cellStyle name="Ç¥ÁØ_Áý°èÇ¥(2¿ù)  42 20" xfId="18092"/>
    <cellStyle name="C￥AØ_Ay°eC￥(2¿u)  42 21" xfId="18093"/>
    <cellStyle name="Ç¥ÁØ_Áý°èÇ¥(2¿ù)  42 21" xfId="18094"/>
    <cellStyle name="C￥AØ_Ay°eC￥(2¿u)  42 22" xfId="18095"/>
    <cellStyle name="Ç¥ÁØ_Áý°èÇ¥(2¿ù)  42 22" xfId="18096"/>
    <cellStyle name="C￥AØ_Ay°eC￥(2¿u)  42 23" xfId="18097"/>
    <cellStyle name="Ç¥ÁØ_Áý°èÇ¥(2¿ù)  42 23" xfId="18098"/>
    <cellStyle name="C￥AØ_Ay°eC￥(2¿u)  42 24" xfId="18099"/>
    <cellStyle name="Ç¥ÁØ_Áý°èÇ¥(2¿ù)  42 24" xfId="18100"/>
    <cellStyle name="C￥AØ_Ay°eC￥(2¿u)  42 25" xfId="18101"/>
    <cellStyle name="Ç¥ÁØ_Áý°èÇ¥(2¿ù)  42 25" xfId="18102"/>
    <cellStyle name="C￥AØ_Ay°eC￥(2¿u)  42 26" xfId="18103"/>
    <cellStyle name="Ç¥ÁØ_Áý°èÇ¥(2¿ù)  42 26" xfId="18104"/>
    <cellStyle name="C￥AØ_Ay°eC￥(2¿u)  42 27" xfId="18105"/>
    <cellStyle name="Ç¥ÁØ_Áý°èÇ¥(2¿ù)  42 27" xfId="18106"/>
    <cellStyle name="C￥AØ_Ay°eC￥(2¿u)  42 28" xfId="18107"/>
    <cellStyle name="Ç¥ÁØ_Áý°èÇ¥(2¿ù)  42 28" xfId="18108"/>
    <cellStyle name="C￥AØ_Ay°eC￥(2¿u)  42 29" xfId="18109"/>
    <cellStyle name="Ç¥ÁØ_Áý°èÇ¥(2¿ù)  42 29" xfId="18110"/>
    <cellStyle name="C￥AØ_Ay°eC￥(2¿u)  42 3" xfId="18111"/>
    <cellStyle name="Ç¥ÁØ_Áý°èÇ¥(2¿ù)  42 3" xfId="18112"/>
    <cellStyle name="C￥AØ_Ay°eC￥(2¿u)  42 30" xfId="18113"/>
    <cellStyle name="Ç¥ÁØ_Áý°èÇ¥(2¿ù)  42 30" xfId="18114"/>
    <cellStyle name="C￥AØ_Ay°eC￥(2¿u)  42 31" xfId="18115"/>
    <cellStyle name="Ç¥ÁØ_Áý°èÇ¥(2¿ù)  42 31" xfId="18116"/>
    <cellStyle name="C￥AØ_Ay°eC￥(2¿u)  42 32" xfId="18117"/>
    <cellStyle name="Ç¥ÁØ_Áý°èÇ¥(2¿ù)  42 32" xfId="18118"/>
    <cellStyle name="C￥AØ_Ay°eC￥(2¿u)  42 33" xfId="18119"/>
    <cellStyle name="Ç¥ÁØ_Áý°èÇ¥(2¿ù)  42 33" xfId="18120"/>
    <cellStyle name="C￥AØ_Ay°eC￥(2¿u)  42 34" xfId="18121"/>
    <cellStyle name="Ç¥ÁØ_Áý°èÇ¥(2¿ù)  42 34" xfId="18122"/>
    <cellStyle name="C￥AØ_Ay°eC￥(2¿u)  42 4" xfId="18123"/>
    <cellStyle name="Ç¥ÁØ_Áý°èÇ¥(2¿ù)  42 4" xfId="18124"/>
    <cellStyle name="C￥AØ_Ay°eC￥(2¿u)  42 5" xfId="18125"/>
    <cellStyle name="Ç¥ÁØ_Áý°èÇ¥(2¿ù)  42 5" xfId="18126"/>
    <cellStyle name="C￥AØ_Ay°eC￥(2¿u)  42 6" xfId="18127"/>
    <cellStyle name="Ç¥ÁØ_Áý°èÇ¥(2¿ù)  42 6" xfId="18128"/>
    <cellStyle name="C￥AØ_Ay°eC￥(2¿u)  42 7" xfId="18129"/>
    <cellStyle name="Ç¥ÁØ_Áý°èÇ¥(2¿ù)  42 7" xfId="18130"/>
    <cellStyle name="C￥AØ_Ay°eC￥(2¿u)  42 8" xfId="18131"/>
    <cellStyle name="Ç¥ÁØ_Áý°èÇ¥(2¿ù)  42 8" xfId="18132"/>
    <cellStyle name="C￥AØ_Ay°eC￥(2¿u)  42 9" xfId="18133"/>
    <cellStyle name="Ç¥ÁØ_Áý°èÇ¥(2¿ù)  42 9" xfId="18134"/>
    <cellStyle name="C￥AØ_Ay°eC￥(2¿u)  43" xfId="18135"/>
    <cellStyle name="Ç¥ÁØ_Áý°èÇ¥(2¿ù)  43" xfId="18136"/>
    <cellStyle name="C￥AØ_Ay°eC￥(2¿u)  43 10" xfId="18137"/>
    <cellStyle name="Ç¥ÁØ_Áý°èÇ¥(2¿ù)  43 10" xfId="18138"/>
    <cellStyle name="C￥AØ_Ay°eC￥(2¿u)  43 11" xfId="18139"/>
    <cellStyle name="Ç¥ÁØ_Áý°èÇ¥(2¿ù)  43 11" xfId="18140"/>
    <cellStyle name="C￥AØ_Ay°eC￥(2¿u)  43 12" xfId="18141"/>
    <cellStyle name="Ç¥ÁØ_Áý°èÇ¥(2¿ù)  43 12" xfId="18142"/>
    <cellStyle name="C￥AØ_Ay°eC￥(2¿u)  43 13" xfId="18143"/>
    <cellStyle name="Ç¥ÁØ_Áý°èÇ¥(2¿ù)  43 13" xfId="18144"/>
    <cellStyle name="C￥AØ_Ay°eC￥(2¿u)  43 14" xfId="18145"/>
    <cellStyle name="Ç¥ÁØ_Áý°èÇ¥(2¿ù)  43 14" xfId="18146"/>
    <cellStyle name="C￥AØ_Ay°eC￥(2¿u)  43 15" xfId="18147"/>
    <cellStyle name="Ç¥ÁØ_Áý°èÇ¥(2¿ù)  43 15" xfId="18148"/>
    <cellStyle name="C￥AØ_Ay°eC￥(2¿u)  43 16" xfId="18149"/>
    <cellStyle name="Ç¥ÁØ_Áý°èÇ¥(2¿ù)  43 16" xfId="18150"/>
    <cellStyle name="C￥AØ_Ay°eC￥(2¿u)  43 17" xfId="18151"/>
    <cellStyle name="Ç¥ÁØ_Áý°èÇ¥(2¿ù)  43 17" xfId="18152"/>
    <cellStyle name="C￥AØ_Ay°eC￥(2¿u)  43 18" xfId="18153"/>
    <cellStyle name="Ç¥ÁØ_Áý°èÇ¥(2¿ù)  43 18" xfId="18154"/>
    <cellStyle name="C￥AØ_Ay°eC￥(2¿u)  43 19" xfId="18155"/>
    <cellStyle name="Ç¥ÁØ_Áý°èÇ¥(2¿ù)  43 19" xfId="18156"/>
    <cellStyle name="C￥AØ_Ay°eC￥(2¿u)  43 2" xfId="18157"/>
    <cellStyle name="Ç¥ÁØ_Áý°èÇ¥(2¿ù)  43 2" xfId="18158"/>
    <cellStyle name="C￥AØ_Ay°eC￥(2¿u)  43 20" xfId="18159"/>
    <cellStyle name="Ç¥ÁØ_Áý°èÇ¥(2¿ù)  43 20" xfId="18160"/>
    <cellStyle name="C￥AØ_Ay°eC￥(2¿u)  43 21" xfId="18161"/>
    <cellStyle name="Ç¥ÁØ_Áý°èÇ¥(2¿ù)  43 21" xfId="18162"/>
    <cellStyle name="C￥AØ_Ay°eC￥(2¿u)  43 22" xfId="18163"/>
    <cellStyle name="Ç¥ÁØ_Áý°èÇ¥(2¿ù)  43 22" xfId="18164"/>
    <cellStyle name="C￥AØ_Ay°eC￥(2¿u)  43 23" xfId="18165"/>
    <cellStyle name="Ç¥ÁØ_Áý°èÇ¥(2¿ù)  43 23" xfId="18166"/>
    <cellStyle name="C￥AØ_Ay°eC￥(2¿u)  43 24" xfId="18167"/>
    <cellStyle name="Ç¥ÁØ_Áý°èÇ¥(2¿ù)  43 24" xfId="18168"/>
    <cellStyle name="C￥AØ_Ay°eC￥(2¿u)  43 25" xfId="18169"/>
    <cellStyle name="Ç¥ÁØ_Áý°èÇ¥(2¿ù)  43 25" xfId="18170"/>
    <cellStyle name="C￥AØ_Ay°eC￥(2¿u)  43 26" xfId="18171"/>
    <cellStyle name="Ç¥ÁØ_Áý°èÇ¥(2¿ù)  43 26" xfId="18172"/>
    <cellStyle name="C￥AØ_Ay°eC￥(2¿u)  43 27" xfId="18173"/>
    <cellStyle name="Ç¥ÁØ_Áý°èÇ¥(2¿ù)  43 27" xfId="18174"/>
    <cellStyle name="C￥AØ_Ay°eC￥(2¿u)  43 28" xfId="18175"/>
    <cellStyle name="Ç¥ÁØ_Áý°èÇ¥(2¿ù)  43 28" xfId="18176"/>
    <cellStyle name="C￥AØ_Ay°eC￥(2¿u)  43 29" xfId="18177"/>
    <cellStyle name="Ç¥ÁØ_Áý°èÇ¥(2¿ù)  43 29" xfId="18178"/>
    <cellStyle name="C￥AØ_Ay°eC￥(2¿u)  43 3" xfId="18179"/>
    <cellStyle name="Ç¥ÁØ_Áý°èÇ¥(2¿ù)  43 3" xfId="18180"/>
    <cellStyle name="C￥AØ_Ay°eC￥(2¿u)  43 30" xfId="18181"/>
    <cellStyle name="Ç¥ÁØ_Áý°èÇ¥(2¿ù)  43 30" xfId="18182"/>
    <cellStyle name="C￥AØ_Ay°eC￥(2¿u)  43 31" xfId="18183"/>
    <cellStyle name="Ç¥ÁØ_Áý°èÇ¥(2¿ù)  43 31" xfId="18184"/>
    <cellStyle name="C￥AØ_Ay°eC￥(2¿u)  43 32" xfId="18185"/>
    <cellStyle name="Ç¥ÁØ_Áý°èÇ¥(2¿ù)  43 32" xfId="18186"/>
    <cellStyle name="C￥AØ_Ay°eC￥(2¿u)  43 33" xfId="18187"/>
    <cellStyle name="Ç¥ÁØ_Áý°èÇ¥(2¿ù)  43 33" xfId="18188"/>
    <cellStyle name="C￥AØ_Ay°eC￥(2¿u)  43 34" xfId="18189"/>
    <cellStyle name="Ç¥ÁØ_Áý°èÇ¥(2¿ù)  43 34" xfId="18190"/>
    <cellStyle name="C￥AØ_Ay°eC￥(2¿u)  43 4" xfId="18191"/>
    <cellStyle name="Ç¥ÁØ_Áý°èÇ¥(2¿ù)  43 4" xfId="18192"/>
    <cellStyle name="C￥AØ_Ay°eC￥(2¿u)  43 5" xfId="18193"/>
    <cellStyle name="Ç¥ÁØ_Áý°èÇ¥(2¿ù)  43 5" xfId="18194"/>
    <cellStyle name="C￥AØ_Ay°eC￥(2¿u)  43 6" xfId="18195"/>
    <cellStyle name="Ç¥ÁØ_Áý°èÇ¥(2¿ù)  43 6" xfId="18196"/>
    <cellStyle name="C￥AØ_Ay°eC￥(2¿u)  43 7" xfId="18197"/>
    <cellStyle name="Ç¥ÁØ_Áý°èÇ¥(2¿ù)  43 7" xfId="18198"/>
    <cellStyle name="C￥AØ_Ay°eC￥(2¿u)  43 8" xfId="18199"/>
    <cellStyle name="Ç¥ÁØ_Áý°èÇ¥(2¿ù)  43 8" xfId="18200"/>
    <cellStyle name="C￥AØ_Ay°eC￥(2¿u)  43 9" xfId="18201"/>
    <cellStyle name="Ç¥ÁØ_Áý°èÇ¥(2¿ù)  43 9" xfId="18202"/>
    <cellStyle name="C￥AØ_Ay°eC￥(2¿u)  5" xfId="18203"/>
    <cellStyle name="Ç¥ÁØ_Áý°èÇ¥(2¿ù)  5" xfId="18204"/>
    <cellStyle name="C￥AØ_Ay°eC￥(2¿u)  5 10" xfId="18205"/>
    <cellStyle name="Ç¥ÁØ_Áý°èÇ¥(2¿ù)  5 10" xfId="18206"/>
    <cellStyle name="C￥AØ_Ay°eC￥(2¿u)  5 11" xfId="18207"/>
    <cellStyle name="Ç¥ÁØ_Áý°èÇ¥(2¿ù)  5 11" xfId="18208"/>
    <cellStyle name="C￥AØ_Ay°eC￥(2¿u)  5 12" xfId="18209"/>
    <cellStyle name="Ç¥ÁØ_Áý°èÇ¥(2¿ù)  5 12" xfId="18210"/>
    <cellStyle name="C￥AØ_Ay°eC￥(2¿u)  5 13" xfId="18211"/>
    <cellStyle name="Ç¥ÁØ_Áý°èÇ¥(2¿ù)  5 13" xfId="18212"/>
    <cellStyle name="C￥AØ_Ay°eC￥(2¿u)  5 14" xfId="18213"/>
    <cellStyle name="Ç¥ÁØ_Áý°èÇ¥(2¿ù)  5 14" xfId="18214"/>
    <cellStyle name="C￥AØ_Ay°eC￥(2¿u)  5 15" xfId="18215"/>
    <cellStyle name="Ç¥ÁØ_Áý°èÇ¥(2¿ù)  5 15" xfId="18216"/>
    <cellStyle name="C￥AØ_Ay°eC￥(2¿u)  5 16" xfId="18217"/>
    <cellStyle name="Ç¥ÁØ_Áý°èÇ¥(2¿ù)  5 16" xfId="18218"/>
    <cellStyle name="C￥AØ_Ay°eC￥(2¿u)  5 17" xfId="18219"/>
    <cellStyle name="Ç¥ÁØ_Áý°èÇ¥(2¿ù)  5 17" xfId="18220"/>
    <cellStyle name="C￥AØ_Ay°eC￥(2¿u)  5 18" xfId="18221"/>
    <cellStyle name="Ç¥ÁØ_Áý°èÇ¥(2¿ù)  5 18" xfId="18222"/>
    <cellStyle name="C￥AØ_Ay°eC￥(2¿u)  5 19" xfId="18223"/>
    <cellStyle name="Ç¥ÁØ_Áý°èÇ¥(2¿ù)  5 19" xfId="18224"/>
    <cellStyle name="C￥AØ_Ay°eC￥(2¿u)  5 2" xfId="18225"/>
    <cellStyle name="Ç¥ÁØ_Áý°èÇ¥(2¿ù)  5 2" xfId="18226"/>
    <cellStyle name="C￥AØ_Ay°eC￥(2¿u)  5 20" xfId="18227"/>
    <cellStyle name="Ç¥ÁØ_Áý°èÇ¥(2¿ù)  5 20" xfId="18228"/>
    <cellStyle name="C￥AØ_Ay°eC￥(2¿u)  5 21" xfId="18229"/>
    <cellStyle name="Ç¥ÁØ_Áý°èÇ¥(2¿ù)  5 21" xfId="18230"/>
    <cellStyle name="C￥AØ_Ay°eC￥(2¿u)  5 22" xfId="18231"/>
    <cellStyle name="Ç¥ÁØ_Áý°èÇ¥(2¿ù)  5 22" xfId="18232"/>
    <cellStyle name="C￥AØ_Ay°eC￥(2¿u)  5 23" xfId="18233"/>
    <cellStyle name="Ç¥ÁØ_Áý°èÇ¥(2¿ù)  5 23" xfId="18234"/>
    <cellStyle name="C￥AØ_Ay°eC￥(2¿u)  5 24" xfId="18235"/>
    <cellStyle name="Ç¥ÁØ_Áý°èÇ¥(2¿ù)  5 24" xfId="18236"/>
    <cellStyle name="C￥AØ_Ay°eC￥(2¿u)  5 25" xfId="18237"/>
    <cellStyle name="Ç¥ÁØ_Áý°èÇ¥(2¿ù)  5 25" xfId="18238"/>
    <cellStyle name="C￥AØ_Ay°eC￥(2¿u)  5 26" xfId="18239"/>
    <cellStyle name="Ç¥ÁØ_Áý°èÇ¥(2¿ù)  5 26" xfId="18240"/>
    <cellStyle name="C￥AØ_Ay°eC￥(2¿u)  5 27" xfId="18241"/>
    <cellStyle name="Ç¥ÁØ_Áý°èÇ¥(2¿ù)  5 27" xfId="18242"/>
    <cellStyle name="C￥AØ_Ay°eC￥(2¿u)  5 28" xfId="18243"/>
    <cellStyle name="Ç¥ÁØ_Áý°èÇ¥(2¿ù)  5 28" xfId="18244"/>
    <cellStyle name="C￥AØ_Ay°eC￥(2¿u)  5 29" xfId="18245"/>
    <cellStyle name="Ç¥ÁØ_Áý°èÇ¥(2¿ù)  5 29" xfId="18246"/>
    <cellStyle name="C￥AØ_Ay°eC￥(2¿u)  5 3" xfId="18247"/>
    <cellStyle name="Ç¥ÁØ_Áý°èÇ¥(2¿ù)  5 3" xfId="18248"/>
    <cellStyle name="C￥AØ_Ay°eC￥(2¿u)  5 30" xfId="18249"/>
    <cellStyle name="Ç¥ÁØ_Áý°èÇ¥(2¿ù)  5 30" xfId="18250"/>
    <cellStyle name="C￥AØ_Ay°eC￥(2¿u)  5 31" xfId="18251"/>
    <cellStyle name="Ç¥ÁØ_Áý°èÇ¥(2¿ù)  5 31" xfId="18252"/>
    <cellStyle name="C￥AØ_Ay°eC￥(2¿u)  5 32" xfId="18253"/>
    <cellStyle name="Ç¥ÁØ_Áý°èÇ¥(2¿ù)  5 32" xfId="18254"/>
    <cellStyle name="C￥AØ_Ay°eC￥(2¿u)  5 33" xfId="18255"/>
    <cellStyle name="Ç¥ÁØ_Áý°èÇ¥(2¿ù)  5 33" xfId="18256"/>
    <cellStyle name="C￥AØ_Ay°eC￥(2¿u)  5 34" xfId="18257"/>
    <cellStyle name="Ç¥ÁØ_Áý°èÇ¥(2¿ù)  5 34" xfId="18258"/>
    <cellStyle name="C￥AØ_Ay°eC￥(2¿u)  5 4" xfId="18259"/>
    <cellStyle name="Ç¥ÁØ_Áý°èÇ¥(2¿ù)  5 4" xfId="18260"/>
    <cellStyle name="C￥AØ_Ay°eC￥(2¿u)  5 5" xfId="18261"/>
    <cellStyle name="Ç¥ÁØ_Áý°èÇ¥(2¿ù)  5 5" xfId="18262"/>
    <cellStyle name="C￥AØ_Ay°eC￥(2¿u)  5 6" xfId="18263"/>
    <cellStyle name="Ç¥ÁØ_Áý°èÇ¥(2¿ù)  5 6" xfId="18264"/>
    <cellStyle name="C￥AØ_Ay°eC￥(2¿u)  5 7" xfId="18265"/>
    <cellStyle name="Ç¥ÁØ_Áý°èÇ¥(2¿ù)  5 7" xfId="18266"/>
    <cellStyle name="C￥AØ_Ay°eC￥(2¿u)  5 8" xfId="18267"/>
    <cellStyle name="Ç¥ÁØ_Áý°èÇ¥(2¿ù)  5 8" xfId="18268"/>
    <cellStyle name="C￥AØ_Ay°eC￥(2¿u)  5 9" xfId="18269"/>
    <cellStyle name="Ç¥ÁØ_Áý°èÇ¥(2¿ù)  5 9" xfId="18270"/>
    <cellStyle name="C￥AØ_Ay°eC￥(2¿u)  6" xfId="18271"/>
    <cellStyle name="Ç¥ÁØ_Áý°èÇ¥(2¿ù)  6" xfId="18272"/>
    <cellStyle name="C￥AØ_Ay°eC￥(2¿u)  6 10" xfId="18273"/>
    <cellStyle name="Ç¥ÁØ_Áý°èÇ¥(2¿ù)  6 10" xfId="18274"/>
    <cellStyle name="C￥AØ_Ay°eC￥(2¿u)  6 11" xfId="18275"/>
    <cellStyle name="Ç¥ÁØ_Áý°èÇ¥(2¿ù)  6 11" xfId="18276"/>
    <cellStyle name="C￥AØ_Ay°eC￥(2¿u)  6 12" xfId="18277"/>
    <cellStyle name="Ç¥ÁØ_Áý°èÇ¥(2¿ù)  6 12" xfId="18278"/>
    <cellStyle name="C￥AØ_Ay°eC￥(2¿u)  6 13" xfId="18279"/>
    <cellStyle name="Ç¥ÁØ_Áý°èÇ¥(2¿ù)  6 13" xfId="18280"/>
    <cellStyle name="C￥AØ_Ay°eC￥(2¿u)  6 14" xfId="18281"/>
    <cellStyle name="Ç¥ÁØ_Áý°èÇ¥(2¿ù)  6 14" xfId="18282"/>
    <cellStyle name="C￥AØ_Ay°eC￥(2¿u)  6 15" xfId="18283"/>
    <cellStyle name="Ç¥ÁØ_Áý°èÇ¥(2¿ù)  6 15" xfId="18284"/>
    <cellStyle name="C￥AØ_Ay°eC￥(2¿u)  6 16" xfId="18285"/>
    <cellStyle name="Ç¥ÁØ_Áý°èÇ¥(2¿ù)  6 16" xfId="18286"/>
    <cellStyle name="C￥AØ_Ay°eC￥(2¿u)  6 17" xfId="18287"/>
    <cellStyle name="Ç¥ÁØ_Áý°èÇ¥(2¿ù)  6 17" xfId="18288"/>
    <cellStyle name="C￥AØ_Ay°eC￥(2¿u)  6 18" xfId="18289"/>
    <cellStyle name="Ç¥ÁØ_Áý°èÇ¥(2¿ù)  6 18" xfId="18290"/>
    <cellStyle name="C￥AØ_Ay°eC￥(2¿u)  6 19" xfId="18291"/>
    <cellStyle name="Ç¥ÁØ_Áý°èÇ¥(2¿ù)  6 19" xfId="18292"/>
    <cellStyle name="C￥AØ_Ay°eC￥(2¿u)  6 2" xfId="18293"/>
    <cellStyle name="Ç¥ÁØ_Áý°èÇ¥(2¿ù)  6 2" xfId="18294"/>
    <cellStyle name="C￥AØ_Ay°eC￥(2¿u)  6 20" xfId="18295"/>
    <cellStyle name="Ç¥ÁØ_Áý°èÇ¥(2¿ù)  6 20" xfId="18296"/>
    <cellStyle name="C￥AØ_Ay°eC￥(2¿u)  6 21" xfId="18297"/>
    <cellStyle name="Ç¥ÁØ_Áý°èÇ¥(2¿ù)  6 21" xfId="18298"/>
    <cellStyle name="C￥AØ_Ay°eC￥(2¿u)  6 22" xfId="18299"/>
    <cellStyle name="Ç¥ÁØ_Áý°èÇ¥(2¿ù)  6 22" xfId="18300"/>
    <cellStyle name="C￥AØ_Ay°eC￥(2¿u)  6 23" xfId="18301"/>
    <cellStyle name="Ç¥ÁØ_Áý°èÇ¥(2¿ù)  6 23" xfId="18302"/>
    <cellStyle name="C￥AØ_Ay°eC￥(2¿u)  6 24" xfId="18303"/>
    <cellStyle name="Ç¥ÁØ_Áý°èÇ¥(2¿ù)  6 24" xfId="18304"/>
    <cellStyle name="C￥AØ_Ay°eC￥(2¿u)  6 25" xfId="18305"/>
    <cellStyle name="Ç¥ÁØ_Áý°èÇ¥(2¿ù)  6 25" xfId="18306"/>
    <cellStyle name="C￥AØ_Ay°eC￥(2¿u)  6 26" xfId="18307"/>
    <cellStyle name="Ç¥ÁØ_Áý°èÇ¥(2¿ù)  6 26" xfId="18308"/>
    <cellStyle name="C￥AØ_Ay°eC￥(2¿u)  6 27" xfId="18309"/>
    <cellStyle name="Ç¥ÁØ_Áý°èÇ¥(2¿ù)  6 27" xfId="18310"/>
    <cellStyle name="C￥AØ_Ay°eC￥(2¿u)  6 28" xfId="18311"/>
    <cellStyle name="Ç¥ÁØ_Áý°èÇ¥(2¿ù)  6 28" xfId="18312"/>
    <cellStyle name="C￥AØ_Ay°eC￥(2¿u)  6 29" xfId="18313"/>
    <cellStyle name="Ç¥ÁØ_Áý°èÇ¥(2¿ù)  6 29" xfId="18314"/>
    <cellStyle name="C￥AØ_Ay°eC￥(2¿u)  6 3" xfId="18315"/>
    <cellStyle name="Ç¥ÁØ_Áý°èÇ¥(2¿ù)  6 3" xfId="18316"/>
    <cellStyle name="C￥AØ_Ay°eC￥(2¿u)  6 30" xfId="18317"/>
    <cellStyle name="Ç¥ÁØ_Áý°èÇ¥(2¿ù)  6 30" xfId="18318"/>
    <cellStyle name="C￥AØ_Ay°eC￥(2¿u)  6 31" xfId="18319"/>
    <cellStyle name="Ç¥ÁØ_Áý°èÇ¥(2¿ù)  6 31" xfId="18320"/>
    <cellStyle name="C￥AØ_Ay°eC￥(2¿u)  6 32" xfId="18321"/>
    <cellStyle name="Ç¥ÁØ_Áý°èÇ¥(2¿ù)  6 32" xfId="18322"/>
    <cellStyle name="C￥AØ_Ay°eC￥(2¿u)  6 33" xfId="18323"/>
    <cellStyle name="Ç¥ÁØ_Áý°èÇ¥(2¿ù)  6 33" xfId="18324"/>
    <cellStyle name="C￥AØ_Ay°eC￥(2¿u)  6 34" xfId="18325"/>
    <cellStyle name="Ç¥ÁØ_Áý°èÇ¥(2¿ù)  6 34" xfId="18326"/>
    <cellStyle name="C￥AØ_Ay°eC￥(2¿u)  6 4" xfId="18327"/>
    <cellStyle name="Ç¥ÁØ_Áý°èÇ¥(2¿ù)  6 4" xfId="18328"/>
    <cellStyle name="C￥AØ_Ay°eC￥(2¿u)  6 5" xfId="18329"/>
    <cellStyle name="Ç¥ÁØ_Áý°èÇ¥(2¿ù)  6 5" xfId="18330"/>
    <cellStyle name="C￥AØ_Ay°eC￥(2¿u)  6 6" xfId="18331"/>
    <cellStyle name="Ç¥ÁØ_Áý°èÇ¥(2¿ù)  6 6" xfId="18332"/>
    <cellStyle name="C￥AØ_Ay°eC￥(2¿u)  6 7" xfId="18333"/>
    <cellStyle name="Ç¥ÁØ_Áý°èÇ¥(2¿ù)  6 7" xfId="18334"/>
    <cellStyle name="C￥AØ_Ay°eC￥(2¿u)  6 8" xfId="18335"/>
    <cellStyle name="Ç¥ÁØ_Áý°èÇ¥(2¿ù)  6 8" xfId="18336"/>
    <cellStyle name="C￥AØ_Ay°eC￥(2¿u)  6 9" xfId="18337"/>
    <cellStyle name="Ç¥ÁØ_Áý°èÇ¥(2¿ù)  6 9" xfId="18338"/>
    <cellStyle name="C￥AØ_Ay°eC￥(2¿u)  7" xfId="18339"/>
    <cellStyle name="Ç¥ÁØ_Áý°èÇ¥(2¿ù)  7" xfId="18340"/>
    <cellStyle name="C￥AØ_Ay°eC￥(2¿u)  7 10" xfId="18341"/>
    <cellStyle name="Ç¥ÁØ_Áý°èÇ¥(2¿ù)  7 10" xfId="18342"/>
    <cellStyle name="C￥AØ_Ay°eC￥(2¿u)  7 11" xfId="18343"/>
    <cellStyle name="Ç¥ÁØ_Áý°èÇ¥(2¿ù)  7 11" xfId="18344"/>
    <cellStyle name="C￥AØ_Ay°eC￥(2¿u)  7 12" xfId="18345"/>
    <cellStyle name="Ç¥ÁØ_Áý°èÇ¥(2¿ù)  7 12" xfId="18346"/>
    <cellStyle name="C￥AØ_Ay°eC￥(2¿u)  7 13" xfId="18347"/>
    <cellStyle name="Ç¥ÁØ_Áý°èÇ¥(2¿ù)  7 13" xfId="18348"/>
    <cellStyle name="C￥AØ_Ay°eC￥(2¿u)  7 14" xfId="18349"/>
    <cellStyle name="Ç¥ÁØ_Áý°èÇ¥(2¿ù)  7 14" xfId="18350"/>
    <cellStyle name="C￥AØ_Ay°eC￥(2¿u)  7 15" xfId="18351"/>
    <cellStyle name="Ç¥ÁØ_Áý°èÇ¥(2¿ù)  7 15" xfId="18352"/>
    <cellStyle name="C￥AØ_Ay°eC￥(2¿u)  7 16" xfId="18353"/>
    <cellStyle name="Ç¥ÁØ_Áý°èÇ¥(2¿ù)  7 16" xfId="18354"/>
    <cellStyle name="C￥AØ_Ay°eC￥(2¿u)  7 17" xfId="18355"/>
    <cellStyle name="Ç¥ÁØ_Áý°èÇ¥(2¿ù)  7 17" xfId="18356"/>
    <cellStyle name="C￥AØ_Ay°eC￥(2¿u)  7 18" xfId="18357"/>
    <cellStyle name="Ç¥ÁØ_Áý°èÇ¥(2¿ù)  7 18" xfId="18358"/>
    <cellStyle name="C￥AØ_Ay°eC￥(2¿u)  7 19" xfId="18359"/>
    <cellStyle name="Ç¥ÁØ_Áý°èÇ¥(2¿ù)  7 19" xfId="18360"/>
    <cellStyle name="C￥AØ_Ay°eC￥(2¿u)  7 2" xfId="18361"/>
    <cellStyle name="Ç¥ÁØ_Áý°èÇ¥(2¿ù)  7 2" xfId="18362"/>
    <cellStyle name="C￥AØ_Ay°eC￥(2¿u)  7 20" xfId="18363"/>
    <cellStyle name="Ç¥ÁØ_Áý°èÇ¥(2¿ù)  7 20" xfId="18364"/>
    <cellStyle name="C￥AØ_Ay°eC￥(2¿u)  7 21" xfId="18365"/>
    <cellStyle name="Ç¥ÁØ_Áý°èÇ¥(2¿ù)  7 21" xfId="18366"/>
    <cellStyle name="C￥AØ_Ay°eC￥(2¿u)  7 22" xfId="18367"/>
    <cellStyle name="Ç¥ÁØ_Áý°èÇ¥(2¿ù)  7 22" xfId="18368"/>
    <cellStyle name="C￥AØ_Ay°eC￥(2¿u)  7 23" xfId="18369"/>
    <cellStyle name="Ç¥ÁØ_Áý°èÇ¥(2¿ù)  7 23" xfId="18370"/>
    <cellStyle name="C￥AØ_Ay°eC￥(2¿u)  7 24" xfId="18371"/>
    <cellStyle name="Ç¥ÁØ_Áý°èÇ¥(2¿ù)  7 24" xfId="18372"/>
    <cellStyle name="C￥AØ_Ay°eC￥(2¿u)  7 25" xfId="18373"/>
    <cellStyle name="Ç¥ÁØ_Áý°èÇ¥(2¿ù)  7 25" xfId="18374"/>
    <cellStyle name="C￥AØ_Ay°eC￥(2¿u)  7 26" xfId="18375"/>
    <cellStyle name="Ç¥ÁØ_Áý°èÇ¥(2¿ù)  7 26" xfId="18376"/>
    <cellStyle name="C￥AØ_Ay°eC￥(2¿u)  7 27" xfId="18377"/>
    <cellStyle name="Ç¥ÁØ_Áý°èÇ¥(2¿ù)  7 27" xfId="18378"/>
    <cellStyle name="C￥AØ_Ay°eC￥(2¿u)  7 28" xfId="18379"/>
    <cellStyle name="Ç¥ÁØ_Áý°èÇ¥(2¿ù)  7 28" xfId="18380"/>
    <cellStyle name="C￥AØ_Ay°eC￥(2¿u)  7 29" xfId="18381"/>
    <cellStyle name="Ç¥ÁØ_Áý°èÇ¥(2¿ù)  7 29" xfId="18382"/>
    <cellStyle name="C￥AØ_Ay°eC￥(2¿u)  7 3" xfId="18383"/>
    <cellStyle name="Ç¥ÁØ_Áý°èÇ¥(2¿ù)  7 3" xfId="18384"/>
    <cellStyle name="C￥AØ_Ay°eC￥(2¿u)  7 30" xfId="18385"/>
    <cellStyle name="Ç¥ÁØ_Áý°èÇ¥(2¿ù)  7 30" xfId="18386"/>
    <cellStyle name="C￥AØ_Ay°eC￥(2¿u)  7 31" xfId="18387"/>
    <cellStyle name="Ç¥ÁØ_Áý°èÇ¥(2¿ù)  7 31" xfId="18388"/>
    <cellStyle name="C￥AØ_Ay°eC￥(2¿u)  7 32" xfId="18389"/>
    <cellStyle name="Ç¥ÁØ_Áý°èÇ¥(2¿ù)  7 32" xfId="18390"/>
    <cellStyle name="C￥AØ_Ay°eC￥(2¿u)  7 33" xfId="18391"/>
    <cellStyle name="Ç¥ÁØ_Áý°èÇ¥(2¿ù)  7 33" xfId="18392"/>
    <cellStyle name="C￥AØ_Ay°eC￥(2¿u)  7 34" xfId="18393"/>
    <cellStyle name="Ç¥ÁØ_Áý°èÇ¥(2¿ù)  7 34" xfId="18394"/>
    <cellStyle name="C￥AØ_Ay°eC￥(2¿u)  7 4" xfId="18395"/>
    <cellStyle name="Ç¥ÁØ_Áý°èÇ¥(2¿ù)  7 4" xfId="18396"/>
    <cellStyle name="C￥AØ_Ay°eC￥(2¿u)  7 5" xfId="18397"/>
    <cellStyle name="Ç¥ÁØ_Áý°èÇ¥(2¿ù)  7 5" xfId="18398"/>
    <cellStyle name="C￥AØ_Ay°eC￥(2¿u)  7 6" xfId="18399"/>
    <cellStyle name="Ç¥ÁØ_Áý°èÇ¥(2¿ù)  7 6" xfId="18400"/>
    <cellStyle name="C￥AØ_Ay°eC￥(2¿u)  7 7" xfId="18401"/>
    <cellStyle name="Ç¥ÁØ_Áý°èÇ¥(2¿ù)  7 7" xfId="18402"/>
    <cellStyle name="C￥AØ_Ay°eC￥(2¿u)  7 8" xfId="18403"/>
    <cellStyle name="Ç¥ÁØ_Áý°èÇ¥(2¿ù)  7 8" xfId="18404"/>
    <cellStyle name="C￥AØ_Ay°eC￥(2¿u)  7 9" xfId="18405"/>
    <cellStyle name="Ç¥ÁØ_Áý°èÇ¥(2¿ù)  7 9" xfId="18406"/>
    <cellStyle name="C￥AØ_Ay°eC￥(2¿u)  8" xfId="18407"/>
    <cellStyle name="Ç¥ÁØ_Áý°èÇ¥(2¿ù)  8" xfId="18408"/>
    <cellStyle name="C￥AØ_Ay°eC￥(2¿u)  8 10" xfId="18409"/>
    <cellStyle name="Ç¥ÁØ_Áý°èÇ¥(2¿ù)  8 10" xfId="18410"/>
    <cellStyle name="C￥AØ_Ay°eC￥(2¿u)  8 11" xfId="18411"/>
    <cellStyle name="Ç¥ÁØ_Áý°èÇ¥(2¿ù)  8 11" xfId="18412"/>
    <cellStyle name="C￥AØ_Ay°eC￥(2¿u)  8 12" xfId="18413"/>
    <cellStyle name="Ç¥ÁØ_Áý°èÇ¥(2¿ù)  8 12" xfId="18414"/>
    <cellStyle name="C￥AØ_Ay°eC￥(2¿u)  8 13" xfId="18415"/>
    <cellStyle name="Ç¥ÁØ_Áý°èÇ¥(2¿ù)  8 13" xfId="18416"/>
    <cellStyle name="C￥AØ_Ay°eC￥(2¿u)  8 14" xfId="18417"/>
    <cellStyle name="Ç¥ÁØ_Áý°èÇ¥(2¿ù)  8 14" xfId="18418"/>
    <cellStyle name="C￥AØ_Ay°eC￥(2¿u)  8 15" xfId="18419"/>
    <cellStyle name="Ç¥ÁØ_Áý°èÇ¥(2¿ù)  8 15" xfId="18420"/>
    <cellStyle name="C￥AØ_Ay°eC￥(2¿u)  8 16" xfId="18421"/>
    <cellStyle name="Ç¥ÁØ_Áý°èÇ¥(2¿ù)  8 16" xfId="18422"/>
    <cellStyle name="C￥AØ_Ay°eC￥(2¿u)  8 17" xfId="18423"/>
    <cellStyle name="Ç¥ÁØ_Áý°èÇ¥(2¿ù)  8 17" xfId="18424"/>
    <cellStyle name="C￥AØ_Ay°eC￥(2¿u)  8 18" xfId="18425"/>
    <cellStyle name="Ç¥ÁØ_Áý°èÇ¥(2¿ù)  8 18" xfId="18426"/>
    <cellStyle name="C￥AØ_Ay°eC￥(2¿u)  8 19" xfId="18427"/>
    <cellStyle name="Ç¥ÁØ_Áý°èÇ¥(2¿ù)  8 19" xfId="18428"/>
    <cellStyle name="C￥AØ_Ay°eC￥(2¿u)  8 2" xfId="18429"/>
    <cellStyle name="Ç¥ÁØ_Áý°èÇ¥(2¿ù)  8 2" xfId="18430"/>
    <cellStyle name="C￥AØ_Ay°eC￥(2¿u)  8 20" xfId="18431"/>
    <cellStyle name="Ç¥ÁØ_Áý°èÇ¥(2¿ù)  8 20" xfId="18432"/>
    <cellStyle name="C￥AØ_Ay°eC￥(2¿u)  8 21" xfId="18433"/>
    <cellStyle name="Ç¥ÁØ_Áý°èÇ¥(2¿ù)  8 21" xfId="18434"/>
    <cellStyle name="C￥AØ_Ay°eC￥(2¿u)  8 22" xfId="18435"/>
    <cellStyle name="Ç¥ÁØ_Áý°èÇ¥(2¿ù)  8 22" xfId="18436"/>
    <cellStyle name="C￥AØ_Ay°eC￥(2¿u)  8 23" xfId="18437"/>
    <cellStyle name="Ç¥ÁØ_Áý°èÇ¥(2¿ù)  8 23" xfId="18438"/>
    <cellStyle name="C￥AØ_Ay°eC￥(2¿u)  8 24" xfId="18439"/>
    <cellStyle name="Ç¥ÁØ_Áý°èÇ¥(2¿ù)  8 24" xfId="18440"/>
    <cellStyle name="C￥AØ_Ay°eC￥(2¿u)  8 25" xfId="18441"/>
    <cellStyle name="Ç¥ÁØ_Áý°èÇ¥(2¿ù)  8 25" xfId="18442"/>
    <cellStyle name="C￥AØ_Ay°eC￥(2¿u)  8 26" xfId="18443"/>
    <cellStyle name="Ç¥ÁØ_Áý°èÇ¥(2¿ù)  8 26" xfId="18444"/>
    <cellStyle name="C￥AØ_Ay°eC￥(2¿u)  8 27" xfId="18445"/>
    <cellStyle name="Ç¥ÁØ_Áý°èÇ¥(2¿ù)  8 27" xfId="18446"/>
    <cellStyle name="C￥AØ_Ay°eC￥(2¿u)  8 28" xfId="18447"/>
    <cellStyle name="Ç¥ÁØ_Áý°èÇ¥(2¿ù)  8 28" xfId="18448"/>
    <cellStyle name="C￥AØ_Ay°eC￥(2¿u)  8 29" xfId="18449"/>
    <cellStyle name="Ç¥ÁØ_Áý°èÇ¥(2¿ù)  8 29" xfId="18450"/>
    <cellStyle name="C￥AØ_Ay°eC￥(2¿u)  8 3" xfId="18451"/>
    <cellStyle name="Ç¥ÁØ_Áý°èÇ¥(2¿ù)  8 3" xfId="18452"/>
    <cellStyle name="C￥AØ_Ay°eC￥(2¿u)  8 30" xfId="18453"/>
    <cellStyle name="Ç¥ÁØ_Áý°èÇ¥(2¿ù)  8 30" xfId="18454"/>
    <cellStyle name="C￥AØ_Ay°eC￥(2¿u)  8 31" xfId="18455"/>
    <cellStyle name="Ç¥ÁØ_Áý°èÇ¥(2¿ù)  8 31" xfId="18456"/>
    <cellStyle name="C￥AØ_Ay°eC￥(2¿u)  8 32" xfId="18457"/>
    <cellStyle name="Ç¥ÁØ_Áý°èÇ¥(2¿ù)  8 32" xfId="18458"/>
    <cellStyle name="C￥AØ_Ay°eC￥(2¿u)  8 33" xfId="18459"/>
    <cellStyle name="Ç¥ÁØ_Áý°èÇ¥(2¿ù)  8 33" xfId="18460"/>
    <cellStyle name="C￥AØ_Ay°eC￥(2¿u)  8 34" xfId="18461"/>
    <cellStyle name="Ç¥ÁØ_Áý°èÇ¥(2¿ù)  8 34" xfId="18462"/>
    <cellStyle name="C￥AØ_Ay°eC￥(2¿u)  8 4" xfId="18463"/>
    <cellStyle name="Ç¥ÁØ_Áý°èÇ¥(2¿ù)  8 4" xfId="18464"/>
    <cellStyle name="C￥AØ_Ay°eC￥(2¿u)  8 5" xfId="18465"/>
    <cellStyle name="Ç¥ÁØ_Áý°èÇ¥(2¿ù)  8 5" xfId="18466"/>
    <cellStyle name="C￥AØ_Ay°eC￥(2¿u)  8 6" xfId="18467"/>
    <cellStyle name="Ç¥ÁØ_Áý°èÇ¥(2¿ù)  8 6" xfId="18468"/>
    <cellStyle name="C￥AØ_Ay°eC￥(2¿u)  8 7" xfId="18469"/>
    <cellStyle name="Ç¥ÁØ_Áý°èÇ¥(2¿ù)  8 7" xfId="18470"/>
    <cellStyle name="C￥AØ_Ay°eC￥(2¿u)  8 8" xfId="18471"/>
    <cellStyle name="Ç¥ÁØ_Áý°èÇ¥(2¿ù)  8 8" xfId="18472"/>
    <cellStyle name="C￥AØ_Ay°eC￥(2¿u)  8 9" xfId="18473"/>
    <cellStyle name="Ç¥ÁØ_Áý°èÇ¥(2¿ù)  8 9" xfId="18474"/>
    <cellStyle name="C￥AØ_Ay°eC￥(2¿u)  9" xfId="18475"/>
    <cellStyle name="Ç¥ÁØ_Áý°èÇ¥(2¿ù)  9" xfId="18476"/>
    <cellStyle name="C￥AØ_Ay°eC￥(2¿u)  9 10" xfId="18477"/>
    <cellStyle name="Ç¥ÁØ_Áý°èÇ¥(2¿ù)  9 10" xfId="18478"/>
    <cellStyle name="C￥AØ_Ay°eC￥(2¿u)  9 11" xfId="18479"/>
    <cellStyle name="Ç¥ÁØ_Áý°èÇ¥(2¿ù)  9 11" xfId="18480"/>
    <cellStyle name="C￥AØ_Ay°eC￥(2¿u)  9 12" xfId="18481"/>
    <cellStyle name="Ç¥ÁØ_Áý°èÇ¥(2¿ù)  9 12" xfId="18482"/>
    <cellStyle name="C￥AØ_Ay°eC￥(2¿u)  9 13" xfId="18483"/>
    <cellStyle name="Ç¥ÁØ_Áý°èÇ¥(2¿ù)  9 13" xfId="18484"/>
    <cellStyle name="C￥AØ_Ay°eC￥(2¿u)  9 14" xfId="18485"/>
    <cellStyle name="Ç¥ÁØ_Áý°èÇ¥(2¿ù)  9 14" xfId="18486"/>
    <cellStyle name="C￥AØ_Ay°eC￥(2¿u)  9 15" xfId="18487"/>
    <cellStyle name="Ç¥ÁØ_Áý°èÇ¥(2¿ù)  9 15" xfId="18488"/>
    <cellStyle name="C￥AØ_Ay°eC￥(2¿u)  9 16" xfId="18489"/>
    <cellStyle name="Ç¥ÁØ_Áý°èÇ¥(2¿ù)  9 16" xfId="18490"/>
    <cellStyle name="C￥AØ_Ay°eC￥(2¿u)  9 17" xfId="18491"/>
    <cellStyle name="Ç¥ÁØ_Áý°èÇ¥(2¿ù)  9 17" xfId="18492"/>
    <cellStyle name="C￥AØ_Ay°eC￥(2¿u)  9 18" xfId="18493"/>
    <cellStyle name="Ç¥ÁØ_Áý°èÇ¥(2¿ù)  9 18" xfId="18494"/>
    <cellStyle name="C￥AØ_Ay°eC￥(2¿u)  9 19" xfId="18495"/>
    <cellStyle name="Ç¥ÁØ_Áý°èÇ¥(2¿ù)  9 19" xfId="18496"/>
    <cellStyle name="C￥AØ_Ay°eC￥(2¿u)  9 2" xfId="18497"/>
    <cellStyle name="Ç¥ÁØ_Áý°èÇ¥(2¿ù)  9 2" xfId="18498"/>
    <cellStyle name="C￥AØ_Ay°eC￥(2¿u)  9 20" xfId="18499"/>
    <cellStyle name="Ç¥ÁØ_Áý°èÇ¥(2¿ù)  9 20" xfId="18500"/>
    <cellStyle name="C￥AØ_Ay°eC￥(2¿u)  9 21" xfId="18501"/>
    <cellStyle name="Ç¥ÁØ_Áý°èÇ¥(2¿ù)  9 21" xfId="18502"/>
    <cellStyle name="C￥AØ_Ay°eC￥(2¿u)  9 22" xfId="18503"/>
    <cellStyle name="Ç¥ÁØ_Áý°èÇ¥(2¿ù)  9 22" xfId="18504"/>
    <cellStyle name="C￥AØ_Ay°eC￥(2¿u)  9 23" xfId="18505"/>
    <cellStyle name="Ç¥ÁØ_Áý°èÇ¥(2¿ù)  9 23" xfId="18506"/>
    <cellStyle name="C￥AØ_Ay°eC￥(2¿u)  9 24" xfId="18507"/>
    <cellStyle name="Ç¥ÁØ_Áý°èÇ¥(2¿ù)  9 24" xfId="18508"/>
    <cellStyle name="C￥AØ_Ay°eC￥(2¿u)  9 25" xfId="18509"/>
    <cellStyle name="Ç¥ÁØ_Áý°èÇ¥(2¿ù)  9 25" xfId="18510"/>
    <cellStyle name="C￥AØ_Ay°eC￥(2¿u)  9 26" xfId="18511"/>
    <cellStyle name="Ç¥ÁØ_Áý°èÇ¥(2¿ù)  9 26" xfId="18512"/>
    <cellStyle name="C￥AØ_Ay°eC￥(2¿u)  9 27" xfId="18513"/>
    <cellStyle name="Ç¥ÁØ_Áý°èÇ¥(2¿ù)  9 27" xfId="18514"/>
    <cellStyle name="C￥AØ_Ay°eC￥(2¿u)  9 28" xfId="18515"/>
    <cellStyle name="Ç¥ÁØ_Áý°èÇ¥(2¿ù)  9 28" xfId="18516"/>
    <cellStyle name="C￥AØ_Ay°eC￥(2¿u)  9 29" xfId="18517"/>
    <cellStyle name="Ç¥ÁØ_Áý°èÇ¥(2¿ù)  9 29" xfId="18518"/>
    <cellStyle name="C￥AØ_Ay°eC￥(2¿u)  9 3" xfId="18519"/>
    <cellStyle name="Ç¥ÁØ_Áý°èÇ¥(2¿ù)  9 3" xfId="18520"/>
    <cellStyle name="C￥AØ_Ay°eC￥(2¿u)  9 30" xfId="18521"/>
    <cellStyle name="Ç¥ÁØ_Áý°èÇ¥(2¿ù)  9 30" xfId="18522"/>
    <cellStyle name="C￥AØ_Ay°eC￥(2¿u)  9 31" xfId="18523"/>
    <cellStyle name="Ç¥ÁØ_Áý°èÇ¥(2¿ù)  9 31" xfId="18524"/>
    <cellStyle name="C￥AØ_Ay°eC￥(2¿u)  9 32" xfId="18525"/>
    <cellStyle name="Ç¥ÁØ_Áý°èÇ¥(2¿ù)  9 32" xfId="18526"/>
    <cellStyle name="C￥AØ_Ay°eC￥(2¿u)  9 33" xfId="18527"/>
    <cellStyle name="Ç¥ÁØ_Áý°èÇ¥(2¿ù)  9 33" xfId="18528"/>
    <cellStyle name="C￥AØ_Ay°eC￥(2¿u)  9 34" xfId="18529"/>
    <cellStyle name="Ç¥ÁØ_Áý°èÇ¥(2¿ù)  9 34" xfId="18530"/>
    <cellStyle name="C￥AØ_Ay°eC￥(2¿u)  9 4" xfId="18531"/>
    <cellStyle name="Ç¥ÁØ_Áý°èÇ¥(2¿ù)  9 4" xfId="18532"/>
    <cellStyle name="C￥AØ_Ay°eC￥(2¿u)  9 5" xfId="18533"/>
    <cellStyle name="Ç¥ÁØ_Áý°èÇ¥(2¿ù)  9 5" xfId="18534"/>
    <cellStyle name="C￥AØ_Ay°eC￥(2¿u)  9 6" xfId="18535"/>
    <cellStyle name="Ç¥ÁØ_Áý°èÇ¥(2¿ù)  9 6" xfId="18536"/>
    <cellStyle name="C￥AØ_Ay°eC￥(2¿u)  9 7" xfId="18537"/>
    <cellStyle name="Ç¥ÁØ_Áý°èÇ¥(2¿ù)  9 7" xfId="18538"/>
    <cellStyle name="C￥AØ_Ay°eC￥(2¿u)  9 8" xfId="18539"/>
    <cellStyle name="Ç¥ÁØ_Áý°èÇ¥(2¿ù)  9 8" xfId="18540"/>
    <cellStyle name="C￥AØ_Ay°eC￥(2¿u)  9 9" xfId="18541"/>
    <cellStyle name="Ç¥ÁØ_Áý°èÇ¥(2¿ù)  9 9" xfId="18542"/>
    <cellStyle name="C￥AØ_CoAo¹yAI °A¾×¿ⓒ½A " xfId="18543"/>
    <cellStyle name="Ç¥ÁØ_COVE" xfId="18544"/>
    <cellStyle name="C￥AØ_p.mix " xfId="18545"/>
    <cellStyle name="Ç¥ÁØ_p.mix " xfId="18546"/>
    <cellStyle name="C￥AØ_p.mix  10" xfId="18547"/>
    <cellStyle name="Ç¥ÁØ_p.mix  10" xfId="18548"/>
    <cellStyle name="C￥AØ_p.mix  10 10" xfId="18549"/>
    <cellStyle name="Ç¥ÁØ_p.mix  10 10" xfId="18550"/>
    <cellStyle name="C￥AØ_p.mix  10 11" xfId="18551"/>
    <cellStyle name="Ç¥ÁØ_p.mix  10 11" xfId="18552"/>
    <cellStyle name="C￥AØ_p.mix  10 12" xfId="18553"/>
    <cellStyle name="Ç¥ÁØ_p.mix  10 12" xfId="18554"/>
    <cellStyle name="C￥AØ_p.mix  10 13" xfId="18555"/>
    <cellStyle name="Ç¥ÁØ_p.mix  10 13" xfId="18556"/>
    <cellStyle name="C￥AØ_p.mix  10 14" xfId="18557"/>
    <cellStyle name="Ç¥ÁØ_p.mix  10 14" xfId="18558"/>
    <cellStyle name="C￥AØ_p.mix  10 15" xfId="18559"/>
    <cellStyle name="Ç¥ÁØ_p.mix  10 15" xfId="18560"/>
    <cellStyle name="C￥AØ_p.mix  10 16" xfId="18561"/>
    <cellStyle name="Ç¥ÁØ_p.mix  10 16" xfId="18562"/>
    <cellStyle name="C￥AØ_p.mix  10 17" xfId="18563"/>
    <cellStyle name="Ç¥ÁØ_p.mix  10 17" xfId="18564"/>
    <cellStyle name="C￥AØ_p.mix  10 18" xfId="18565"/>
    <cellStyle name="Ç¥ÁØ_p.mix  10 18" xfId="18566"/>
    <cellStyle name="C￥AØ_p.mix  10 19" xfId="18567"/>
    <cellStyle name="Ç¥ÁØ_p.mix  10 19" xfId="18568"/>
    <cellStyle name="C￥AØ_p.mix  10 2" xfId="18569"/>
    <cellStyle name="Ç¥ÁØ_p.mix  10 2" xfId="18570"/>
    <cellStyle name="C￥AØ_p.mix  10 20" xfId="18571"/>
    <cellStyle name="Ç¥ÁØ_p.mix  10 20" xfId="18572"/>
    <cellStyle name="C￥AØ_p.mix  10 21" xfId="18573"/>
    <cellStyle name="Ç¥ÁØ_p.mix  10 21" xfId="18574"/>
    <cellStyle name="C￥AØ_p.mix  10 22" xfId="18575"/>
    <cellStyle name="Ç¥ÁØ_p.mix  10 22" xfId="18576"/>
    <cellStyle name="C￥AØ_p.mix  10 23" xfId="18577"/>
    <cellStyle name="Ç¥ÁØ_p.mix  10 23" xfId="18578"/>
    <cellStyle name="C￥AØ_p.mix  10 24" xfId="18579"/>
    <cellStyle name="Ç¥ÁØ_p.mix  10 24" xfId="18580"/>
    <cellStyle name="C￥AØ_p.mix  10 25" xfId="18581"/>
    <cellStyle name="Ç¥ÁØ_p.mix  10 25" xfId="18582"/>
    <cellStyle name="C￥AØ_p.mix  10 26" xfId="18583"/>
    <cellStyle name="Ç¥ÁØ_p.mix  10 26" xfId="18584"/>
    <cellStyle name="C￥AØ_p.mix  10 27" xfId="18585"/>
    <cellStyle name="Ç¥ÁØ_p.mix  10 27" xfId="18586"/>
    <cellStyle name="C￥AØ_p.mix  10 28" xfId="18587"/>
    <cellStyle name="Ç¥ÁØ_p.mix  10 28" xfId="18588"/>
    <cellStyle name="C￥AØ_p.mix  10 29" xfId="18589"/>
    <cellStyle name="Ç¥ÁØ_p.mix  10 29" xfId="18590"/>
    <cellStyle name="C￥AØ_p.mix  10 3" xfId="18591"/>
    <cellStyle name="Ç¥ÁØ_p.mix  10 3" xfId="18592"/>
    <cellStyle name="C￥AØ_p.mix  10 30" xfId="18593"/>
    <cellStyle name="Ç¥ÁØ_p.mix  10 30" xfId="18594"/>
    <cellStyle name="C￥AØ_p.mix  10 31" xfId="18595"/>
    <cellStyle name="Ç¥ÁØ_p.mix  10 31" xfId="18596"/>
    <cellStyle name="C￥AØ_p.mix  10 32" xfId="18597"/>
    <cellStyle name="Ç¥ÁØ_p.mix  10 32" xfId="18598"/>
    <cellStyle name="C￥AØ_p.mix  10 33" xfId="18599"/>
    <cellStyle name="Ç¥ÁØ_p.mix  10 33" xfId="18600"/>
    <cellStyle name="C￥AØ_p.mix  10 34" xfId="18601"/>
    <cellStyle name="Ç¥ÁØ_p.mix  10 34" xfId="18602"/>
    <cellStyle name="C￥AØ_p.mix  10 4" xfId="18603"/>
    <cellStyle name="Ç¥ÁØ_p.mix  10 4" xfId="18604"/>
    <cellStyle name="C￥AØ_p.mix  10 5" xfId="18605"/>
    <cellStyle name="Ç¥ÁØ_p.mix  10 5" xfId="18606"/>
    <cellStyle name="C￥AØ_p.mix  10 6" xfId="18607"/>
    <cellStyle name="Ç¥ÁØ_p.mix  10 6" xfId="18608"/>
    <cellStyle name="C￥AØ_p.mix  10 7" xfId="18609"/>
    <cellStyle name="Ç¥ÁØ_p.mix  10 7" xfId="18610"/>
    <cellStyle name="C￥AØ_p.mix  10 8" xfId="18611"/>
    <cellStyle name="Ç¥ÁØ_p.mix  10 8" xfId="18612"/>
    <cellStyle name="C￥AØ_p.mix  10 9" xfId="18613"/>
    <cellStyle name="Ç¥ÁØ_p.mix  10 9" xfId="18614"/>
    <cellStyle name="C￥AØ_p.mix  11" xfId="18615"/>
    <cellStyle name="Ç¥ÁØ_p.mix  11" xfId="18616"/>
    <cellStyle name="C￥AØ_p.mix  11 10" xfId="18617"/>
    <cellStyle name="Ç¥ÁØ_p.mix  11 10" xfId="18618"/>
    <cellStyle name="C￥AØ_p.mix  11 11" xfId="18619"/>
    <cellStyle name="Ç¥ÁØ_p.mix  11 11" xfId="18620"/>
    <cellStyle name="C￥AØ_p.mix  11 12" xfId="18621"/>
    <cellStyle name="Ç¥ÁØ_p.mix  11 12" xfId="18622"/>
    <cellStyle name="C￥AØ_p.mix  11 13" xfId="18623"/>
    <cellStyle name="Ç¥ÁØ_p.mix  11 13" xfId="18624"/>
    <cellStyle name="C￥AØ_p.mix  11 14" xfId="18625"/>
    <cellStyle name="Ç¥ÁØ_p.mix  11 14" xfId="18626"/>
    <cellStyle name="C￥AØ_p.mix  11 15" xfId="18627"/>
    <cellStyle name="Ç¥ÁØ_p.mix  11 15" xfId="18628"/>
    <cellStyle name="C￥AØ_p.mix  11 16" xfId="18629"/>
    <cellStyle name="Ç¥ÁØ_p.mix  11 16" xfId="18630"/>
    <cellStyle name="C￥AØ_p.mix  11 17" xfId="18631"/>
    <cellStyle name="Ç¥ÁØ_p.mix  11 17" xfId="18632"/>
    <cellStyle name="C￥AØ_p.mix  11 18" xfId="18633"/>
    <cellStyle name="Ç¥ÁØ_p.mix  11 18" xfId="18634"/>
    <cellStyle name="C￥AØ_p.mix  11 19" xfId="18635"/>
    <cellStyle name="Ç¥ÁØ_p.mix  11 19" xfId="18636"/>
    <cellStyle name="C￥AØ_p.mix  11 2" xfId="18637"/>
    <cellStyle name="Ç¥ÁØ_p.mix  11 2" xfId="18638"/>
    <cellStyle name="C￥AØ_p.mix  11 20" xfId="18639"/>
    <cellStyle name="Ç¥ÁØ_p.mix  11 20" xfId="18640"/>
    <cellStyle name="C￥AØ_p.mix  11 21" xfId="18641"/>
    <cellStyle name="Ç¥ÁØ_p.mix  11 21" xfId="18642"/>
    <cellStyle name="C￥AØ_p.mix  11 22" xfId="18643"/>
    <cellStyle name="Ç¥ÁØ_p.mix  11 22" xfId="18644"/>
    <cellStyle name="C￥AØ_p.mix  11 23" xfId="18645"/>
    <cellStyle name="Ç¥ÁØ_p.mix  11 23" xfId="18646"/>
    <cellStyle name="C￥AØ_p.mix  11 24" xfId="18647"/>
    <cellStyle name="Ç¥ÁØ_p.mix  11 24" xfId="18648"/>
    <cellStyle name="C￥AØ_p.mix  11 25" xfId="18649"/>
    <cellStyle name="Ç¥ÁØ_p.mix  11 25" xfId="18650"/>
    <cellStyle name="C￥AØ_p.mix  11 26" xfId="18651"/>
    <cellStyle name="Ç¥ÁØ_p.mix  11 26" xfId="18652"/>
    <cellStyle name="C￥AØ_p.mix  11 27" xfId="18653"/>
    <cellStyle name="Ç¥ÁØ_p.mix  11 27" xfId="18654"/>
    <cellStyle name="C￥AØ_p.mix  11 28" xfId="18655"/>
    <cellStyle name="Ç¥ÁØ_p.mix  11 28" xfId="18656"/>
    <cellStyle name="C￥AØ_p.mix  11 29" xfId="18657"/>
    <cellStyle name="Ç¥ÁØ_p.mix  11 29" xfId="18658"/>
    <cellStyle name="C￥AØ_p.mix  11 3" xfId="18659"/>
    <cellStyle name="Ç¥ÁØ_p.mix  11 3" xfId="18660"/>
    <cellStyle name="C￥AØ_p.mix  11 30" xfId="18661"/>
    <cellStyle name="Ç¥ÁØ_p.mix  11 30" xfId="18662"/>
    <cellStyle name="C￥AØ_p.mix  11 31" xfId="18663"/>
    <cellStyle name="Ç¥ÁØ_p.mix  11 31" xfId="18664"/>
    <cellStyle name="C￥AØ_p.mix  11 32" xfId="18665"/>
    <cellStyle name="Ç¥ÁØ_p.mix  11 32" xfId="18666"/>
    <cellStyle name="C￥AØ_p.mix  11 33" xfId="18667"/>
    <cellStyle name="Ç¥ÁØ_p.mix  11 33" xfId="18668"/>
    <cellStyle name="C￥AØ_p.mix  11 34" xfId="18669"/>
    <cellStyle name="Ç¥ÁØ_p.mix  11 34" xfId="18670"/>
    <cellStyle name="C￥AØ_p.mix  11 4" xfId="18671"/>
    <cellStyle name="Ç¥ÁØ_p.mix  11 4" xfId="18672"/>
    <cellStyle name="C￥AØ_p.mix  11 5" xfId="18673"/>
    <cellStyle name="Ç¥ÁØ_p.mix  11 5" xfId="18674"/>
    <cellStyle name="C￥AØ_p.mix  11 6" xfId="18675"/>
    <cellStyle name="Ç¥ÁØ_p.mix  11 6" xfId="18676"/>
    <cellStyle name="C￥AØ_p.mix  11 7" xfId="18677"/>
    <cellStyle name="Ç¥ÁØ_p.mix  11 7" xfId="18678"/>
    <cellStyle name="C￥AØ_p.mix  11 8" xfId="18679"/>
    <cellStyle name="Ç¥ÁØ_p.mix  11 8" xfId="18680"/>
    <cellStyle name="C￥AØ_p.mix  11 9" xfId="18681"/>
    <cellStyle name="Ç¥ÁØ_p.mix  11 9" xfId="18682"/>
    <cellStyle name="C￥AØ_p.mix  12" xfId="18683"/>
    <cellStyle name="Ç¥ÁØ_p.mix  12" xfId="18684"/>
    <cellStyle name="C￥AØ_p.mix  12 10" xfId="18685"/>
    <cellStyle name="Ç¥ÁØ_p.mix  12 10" xfId="18686"/>
    <cellStyle name="C￥AØ_p.mix  12 11" xfId="18687"/>
    <cellStyle name="Ç¥ÁØ_p.mix  12 11" xfId="18688"/>
    <cellStyle name="C￥AØ_p.mix  12 12" xfId="18689"/>
    <cellStyle name="Ç¥ÁØ_p.mix  12 12" xfId="18690"/>
    <cellStyle name="C￥AØ_p.mix  12 13" xfId="18691"/>
    <cellStyle name="Ç¥ÁØ_p.mix  12 13" xfId="18692"/>
    <cellStyle name="C￥AØ_p.mix  12 14" xfId="18693"/>
    <cellStyle name="Ç¥ÁØ_p.mix  12 14" xfId="18694"/>
    <cellStyle name="C￥AØ_p.mix  12 15" xfId="18695"/>
    <cellStyle name="Ç¥ÁØ_p.mix  12 15" xfId="18696"/>
    <cellStyle name="C￥AØ_p.mix  12 16" xfId="18697"/>
    <cellStyle name="Ç¥ÁØ_p.mix  12 16" xfId="18698"/>
    <cellStyle name="C￥AØ_p.mix  12 17" xfId="18699"/>
    <cellStyle name="Ç¥ÁØ_p.mix  12 17" xfId="18700"/>
    <cellStyle name="C￥AØ_p.mix  12 18" xfId="18701"/>
    <cellStyle name="Ç¥ÁØ_p.mix  12 18" xfId="18702"/>
    <cellStyle name="C￥AØ_p.mix  12 19" xfId="18703"/>
    <cellStyle name="Ç¥ÁØ_p.mix  12 19" xfId="18704"/>
    <cellStyle name="C￥AØ_p.mix  12 2" xfId="18705"/>
    <cellStyle name="Ç¥ÁØ_p.mix  12 2" xfId="18706"/>
    <cellStyle name="C￥AØ_p.mix  12 20" xfId="18707"/>
    <cellStyle name="Ç¥ÁØ_p.mix  12 20" xfId="18708"/>
    <cellStyle name="C￥AØ_p.mix  12 21" xfId="18709"/>
    <cellStyle name="Ç¥ÁØ_p.mix  12 21" xfId="18710"/>
    <cellStyle name="C￥AØ_p.mix  12 22" xfId="18711"/>
    <cellStyle name="Ç¥ÁØ_p.mix  12 22" xfId="18712"/>
    <cellStyle name="C￥AØ_p.mix  12 23" xfId="18713"/>
    <cellStyle name="Ç¥ÁØ_p.mix  12 23" xfId="18714"/>
    <cellStyle name="C￥AØ_p.mix  12 24" xfId="18715"/>
    <cellStyle name="Ç¥ÁØ_p.mix  12 24" xfId="18716"/>
    <cellStyle name="C￥AØ_p.mix  12 25" xfId="18717"/>
    <cellStyle name="Ç¥ÁØ_p.mix  12 25" xfId="18718"/>
    <cellStyle name="C￥AØ_p.mix  12 26" xfId="18719"/>
    <cellStyle name="Ç¥ÁØ_p.mix  12 26" xfId="18720"/>
    <cellStyle name="C￥AØ_p.mix  12 27" xfId="18721"/>
    <cellStyle name="Ç¥ÁØ_p.mix  12 27" xfId="18722"/>
    <cellStyle name="C￥AØ_p.mix  12 28" xfId="18723"/>
    <cellStyle name="Ç¥ÁØ_p.mix  12 28" xfId="18724"/>
    <cellStyle name="C￥AØ_p.mix  12 29" xfId="18725"/>
    <cellStyle name="Ç¥ÁØ_p.mix  12 29" xfId="18726"/>
    <cellStyle name="C￥AØ_p.mix  12 3" xfId="18727"/>
    <cellStyle name="Ç¥ÁØ_p.mix  12 3" xfId="18728"/>
    <cellStyle name="C￥AØ_p.mix  12 30" xfId="18729"/>
    <cellStyle name="Ç¥ÁØ_p.mix  12 30" xfId="18730"/>
    <cellStyle name="C￥AØ_p.mix  12 31" xfId="18731"/>
    <cellStyle name="Ç¥ÁØ_p.mix  12 31" xfId="18732"/>
    <cellStyle name="C￥AØ_p.mix  12 32" xfId="18733"/>
    <cellStyle name="Ç¥ÁØ_p.mix  12 32" xfId="18734"/>
    <cellStyle name="C￥AØ_p.mix  12 33" xfId="18735"/>
    <cellStyle name="Ç¥ÁØ_p.mix  12 33" xfId="18736"/>
    <cellStyle name="C￥AØ_p.mix  12 34" xfId="18737"/>
    <cellStyle name="Ç¥ÁØ_p.mix  12 34" xfId="18738"/>
    <cellStyle name="C￥AØ_p.mix  12 4" xfId="18739"/>
    <cellStyle name="Ç¥ÁØ_p.mix  12 4" xfId="18740"/>
    <cellStyle name="C￥AØ_p.mix  12 5" xfId="18741"/>
    <cellStyle name="Ç¥ÁØ_p.mix  12 5" xfId="18742"/>
    <cellStyle name="C￥AØ_p.mix  12 6" xfId="18743"/>
    <cellStyle name="Ç¥ÁØ_p.mix  12 6" xfId="18744"/>
    <cellStyle name="C￥AØ_p.mix  12 7" xfId="18745"/>
    <cellStyle name="Ç¥ÁØ_p.mix  12 7" xfId="18746"/>
    <cellStyle name="C￥AØ_p.mix  12 8" xfId="18747"/>
    <cellStyle name="Ç¥ÁØ_p.mix  12 8" xfId="18748"/>
    <cellStyle name="C￥AØ_p.mix  12 9" xfId="18749"/>
    <cellStyle name="Ç¥ÁØ_p.mix  12 9" xfId="18750"/>
    <cellStyle name="C￥AØ_p.mix  13" xfId="18751"/>
    <cellStyle name="Ç¥ÁØ_p.mix  13" xfId="18752"/>
    <cellStyle name="C￥AØ_p.mix  13 10" xfId="18753"/>
    <cellStyle name="Ç¥ÁØ_p.mix  13 10" xfId="18754"/>
    <cellStyle name="C￥AØ_p.mix  13 11" xfId="18755"/>
    <cellStyle name="Ç¥ÁØ_p.mix  13 11" xfId="18756"/>
    <cellStyle name="C￥AØ_p.mix  13 12" xfId="18757"/>
    <cellStyle name="Ç¥ÁØ_p.mix  13 12" xfId="18758"/>
    <cellStyle name="C￥AØ_p.mix  13 13" xfId="18759"/>
    <cellStyle name="Ç¥ÁØ_p.mix  13 13" xfId="18760"/>
    <cellStyle name="C￥AØ_p.mix  13 14" xfId="18761"/>
    <cellStyle name="Ç¥ÁØ_p.mix  13 14" xfId="18762"/>
    <cellStyle name="C￥AØ_p.mix  13 15" xfId="18763"/>
    <cellStyle name="Ç¥ÁØ_p.mix  13 15" xfId="18764"/>
    <cellStyle name="C￥AØ_p.mix  13 16" xfId="18765"/>
    <cellStyle name="Ç¥ÁØ_p.mix  13 16" xfId="18766"/>
    <cellStyle name="C￥AØ_p.mix  13 17" xfId="18767"/>
    <cellStyle name="Ç¥ÁØ_p.mix  13 17" xfId="18768"/>
    <cellStyle name="C￥AØ_p.mix  13 18" xfId="18769"/>
    <cellStyle name="Ç¥ÁØ_p.mix  13 18" xfId="18770"/>
    <cellStyle name="C￥AØ_p.mix  13 19" xfId="18771"/>
    <cellStyle name="Ç¥ÁØ_p.mix  13 19" xfId="18772"/>
    <cellStyle name="C￥AØ_p.mix  13 2" xfId="18773"/>
    <cellStyle name="Ç¥ÁØ_p.mix  13 2" xfId="18774"/>
    <cellStyle name="C￥AØ_p.mix  13 20" xfId="18775"/>
    <cellStyle name="Ç¥ÁØ_p.mix  13 20" xfId="18776"/>
    <cellStyle name="C￥AØ_p.mix  13 21" xfId="18777"/>
    <cellStyle name="Ç¥ÁØ_p.mix  13 21" xfId="18778"/>
    <cellStyle name="C￥AØ_p.mix  13 22" xfId="18779"/>
    <cellStyle name="Ç¥ÁØ_p.mix  13 22" xfId="18780"/>
    <cellStyle name="C￥AØ_p.mix  13 23" xfId="18781"/>
    <cellStyle name="Ç¥ÁØ_p.mix  13 23" xfId="18782"/>
    <cellStyle name="C￥AØ_p.mix  13 24" xfId="18783"/>
    <cellStyle name="Ç¥ÁØ_p.mix  13 24" xfId="18784"/>
    <cellStyle name="C￥AØ_p.mix  13 25" xfId="18785"/>
    <cellStyle name="Ç¥ÁØ_p.mix  13 25" xfId="18786"/>
    <cellStyle name="C￥AØ_p.mix  13 26" xfId="18787"/>
    <cellStyle name="Ç¥ÁØ_p.mix  13 26" xfId="18788"/>
    <cellStyle name="C￥AØ_p.mix  13 27" xfId="18789"/>
    <cellStyle name="Ç¥ÁØ_p.mix  13 27" xfId="18790"/>
    <cellStyle name="C￥AØ_p.mix  13 28" xfId="18791"/>
    <cellStyle name="Ç¥ÁØ_p.mix  13 28" xfId="18792"/>
    <cellStyle name="C￥AØ_p.mix  13 29" xfId="18793"/>
    <cellStyle name="Ç¥ÁØ_p.mix  13 29" xfId="18794"/>
    <cellStyle name="C￥AØ_p.mix  13 3" xfId="18795"/>
    <cellStyle name="Ç¥ÁØ_p.mix  13 3" xfId="18796"/>
    <cellStyle name="C￥AØ_p.mix  13 30" xfId="18797"/>
    <cellStyle name="Ç¥ÁØ_p.mix  13 30" xfId="18798"/>
    <cellStyle name="C￥AØ_p.mix  13 31" xfId="18799"/>
    <cellStyle name="Ç¥ÁØ_p.mix  13 31" xfId="18800"/>
    <cellStyle name="C￥AØ_p.mix  13 32" xfId="18801"/>
    <cellStyle name="Ç¥ÁØ_p.mix  13 32" xfId="18802"/>
    <cellStyle name="C￥AØ_p.mix  13 33" xfId="18803"/>
    <cellStyle name="Ç¥ÁØ_p.mix  13 33" xfId="18804"/>
    <cellStyle name="C￥AØ_p.mix  13 34" xfId="18805"/>
    <cellStyle name="Ç¥ÁØ_p.mix  13 34" xfId="18806"/>
    <cellStyle name="C￥AØ_p.mix  13 4" xfId="18807"/>
    <cellStyle name="Ç¥ÁØ_p.mix  13 4" xfId="18808"/>
    <cellStyle name="C￥AØ_p.mix  13 5" xfId="18809"/>
    <cellStyle name="Ç¥ÁØ_p.mix  13 5" xfId="18810"/>
    <cellStyle name="C￥AØ_p.mix  13 6" xfId="18811"/>
    <cellStyle name="Ç¥ÁØ_p.mix  13 6" xfId="18812"/>
    <cellStyle name="C￥AØ_p.mix  13 7" xfId="18813"/>
    <cellStyle name="Ç¥ÁØ_p.mix  13 7" xfId="18814"/>
    <cellStyle name="C￥AØ_p.mix  13 8" xfId="18815"/>
    <cellStyle name="Ç¥ÁØ_p.mix  13 8" xfId="18816"/>
    <cellStyle name="C￥AØ_p.mix  13 9" xfId="18817"/>
    <cellStyle name="Ç¥ÁØ_p.mix  13 9" xfId="18818"/>
    <cellStyle name="C￥AØ_p.mix  14" xfId="18819"/>
    <cellStyle name="Ç¥ÁØ_p.mix  14" xfId="18820"/>
    <cellStyle name="C￥AØ_p.mix  14 10" xfId="18821"/>
    <cellStyle name="Ç¥ÁØ_p.mix  14 10" xfId="18822"/>
    <cellStyle name="C￥AØ_p.mix  14 11" xfId="18823"/>
    <cellStyle name="Ç¥ÁØ_p.mix  14 11" xfId="18824"/>
    <cellStyle name="C￥AØ_p.mix  14 12" xfId="18825"/>
    <cellStyle name="Ç¥ÁØ_p.mix  14 12" xfId="18826"/>
    <cellStyle name="C￥AØ_p.mix  14 13" xfId="18827"/>
    <cellStyle name="Ç¥ÁØ_p.mix  14 13" xfId="18828"/>
    <cellStyle name="C￥AØ_p.mix  14 14" xfId="18829"/>
    <cellStyle name="Ç¥ÁØ_p.mix  14 14" xfId="18830"/>
    <cellStyle name="C￥AØ_p.mix  14 15" xfId="18831"/>
    <cellStyle name="Ç¥ÁØ_p.mix  14 15" xfId="18832"/>
    <cellStyle name="C￥AØ_p.mix  14 16" xfId="18833"/>
    <cellStyle name="Ç¥ÁØ_p.mix  14 16" xfId="18834"/>
    <cellStyle name="C￥AØ_p.mix  14 17" xfId="18835"/>
    <cellStyle name="Ç¥ÁØ_p.mix  14 17" xfId="18836"/>
    <cellStyle name="C￥AØ_p.mix  14 18" xfId="18837"/>
    <cellStyle name="Ç¥ÁØ_p.mix  14 18" xfId="18838"/>
    <cellStyle name="C￥AØ_p.mix  14 19" xfId="18839"/>
    <cellStyle name="Ç¥ÁØ_p.mix  14 19" xfId="18840"/>
    <cellStyle name="C￥AØ_p.mix  14 2" xfId="18841"/>
    <cellStyle name="Ç¥ÁØ_p.mix  14 2" xfId="18842"/>
    <cellStyle name="C￥AØ_p.mix  14 20" xfId="18843"/>
    <cellStyle name="Ç¥ÁØ_p.mix  14 20" xfId="18844"/>
    <cellStyle name="C￥AØ_p.mix  14 21" xfId="18845"/>
    <cellStyle name="Ç¥ÁØ_p.mix  14 21" xfId="18846"/>
    <cellStyle name="C￥AØ_p.mix  14 22" xfId="18847"/>
    <cellStyle name="Ç¥ÁØ_p.mix  14 22" xfId="18848"/>
    <cellStyle name="C￥AØ_p.mix  14 23" xfId="18849"/>
    <cellStyle name="Ç¥ÁØ_p.mix  14 23" xfId="18850"/>
    <cellStyle name="C￥AØ_p.mix  14 24" xfId="18851"/>
    <cellStyle name="Ç¥ÁØ_p.mix  14 24" xfId="18852"/>
    <cellStyle name="C￥AØ_p.mix  14 25" xfId="18853"/>
    <cellStyle name="Ç¥ÁØ_p.mix  14 25" xfId="18854"/>
    <cellStyle name="C￥AØ_p.mix  14 26" xfId="18855"/>
    <cellStyle name="Ç¥ÁØ_p.mix  14 26" xfId="18856"/>
    <cellStyle name="C￥AØ_p.mix  14 27" xfId="18857"/>
    <cellStyle name="Ç¥ÁØ_p.mix  14 27" xfId="18858"/>
    <cellStyle name="C￥AØ_p.mix  14 28" xfId="18859"/>
    <cellStyle name="Ç¥ÁØ_p.mix  14 28" xfId="18860"/>
    <cellStyle name="C￥AØ_p.mix  14 29" xfId="18861"/>
    <cellStyle name="Ç¥ÁØ_p.mix  14 29" xfId="18862"/>
    <cellStyle name="C￥AØ_p.mix  14 3" xfId="18863"/>
    <cellStyle name="Ç¥ÁØ_p.mix  14 3" xfId="18864"/>
    <cellStyle name="C￥AØ_p.mix  14 30" xfId="18865"/>
    <cellStyle name="Ç¥ÁØ_p.mix  14 30" xfId="18866"/>
    <cellStyle name="C￥AØ_p.mix  14 31" xfId="18867"/>
    <cellStyle name="Ç¥ÁØ_p.mix  14 31" xfId="18868"/>
    <cellStyle name="C￥AØ_p.mix  14 32" xfId="18869"/>
    <cellStyle name="Ç¥ÁØ_p.mix  14 32" xfId="18870"/>
    <cellStyle name="C￥AØ_p.mix  14 33" xfId="18871"/>
    <cellStyle name="Ç¥ÁØ_p.mix  14 33" xfId="18872"/>
    <cellStyle name="C￥AØ_p.mix  14 34" xfId="18873"/>
    <cellStyle name="Ç¥ÁØ_p.mix  14 34" xfId="18874"/>
    <cellStyle name="C￥AØ_p.mix  14 4" xfId="18875"/>
    <cellStyle name="Ç¥ÁØ_p.mix  14 4" xfId="18876"/>
    <cellStyle name="C￥AØ_p.mix  14 5" xfId="18877"/>
    <cellStyle name="Ç¥ÁØ_p.mix  14 5" xfId="18878"/>
    <cellStyle name="C￥AØ_p.mix  14 6" xfId="18879"/>
    <cellStyle name="Ç¥ÁØ_p.mix  14 6" xfId="18880"/>
    <cellStyle name="C￥AØ_p.mix  14 7" xfId="18881"/>
    <cellStyle name="Ç¥ÁØ_p.mix  14 7" xfId="18882"/>
    <cellStyle name="C￥AØ_p.mix  14 8" xfId="18883"/>
    <cellStyle name="Ç¥ÁØ_p.mix  14 8" xfId="18884"/>
    <cellStyle name="C￥AØ_p.mix  14 9" xfId="18885"/>
    <cellStyle name="Ç¥ÁØ_p.mix  14 9" xfId="18886"/>
    <cellStyle name="C￥AØ_p.mix  15" xfId="18887"/>
    <cellStyle name="Ç¥ÁØ_p.mix  15" xfId="18888"/>
    <cellStyle name="C￥AØ_p.mix  15 10" xfId="18889"/>
    <cellStyle name="Ç¥ÁØ_p.mix  15 10" xfId="18890"/>
    <cellStyle name="C￥AØ_p.mix  15 11" xfId="18891"/>
    <cellStyle name="Ç¥ÁØ_p.mix  15 11" xfId="18892"/>
    <cellStyle name="C￥AØ_p.mix  15 12" xfId="18893"/>
    <cellStyle name="Ç¥ÁØ_p.mix  15 12" xfId="18894"/>
    <cellStyle name="C￥AØ_p.mix  15 13" xfId="18895"/>
    <cellStyle name="Ç¥ÁØ_p.mix  15 13" xfId="18896"/>
    <cellStyle name="C￥AØ_p.mix  15 14" xfId="18897"/>
    <cellStyle name="Ç¥ÁØ_p.mix  15 14" xfId="18898"/>
    <cellStyle name="C￥AØ_p.mix  15 15" xfId="18899"/>
    <cellStyle name="Ç¥ÁØ_p.mix  15 15" xfId="18900"/>
    <cellStyle name="C￥AØ_p.mix  15 16" xfId="18901"/>
    <cellStyle name="Ç¥ÁØ_p.mix  15 16" xfId="18902"/>
    <cellStyle name="C￥AØ_p.mix  15 17" xfId="18903"/>
    <cellStyle name="Ç¥ÁØ_p.mix  15 17" xfId="18904"/>
    <cellStyle name="C￥AØ_p.mix  15 18" xfId="18905"/>
    <cellStyle name="Ç¥ÁØ_p.mix  15 18" xfId="18906"/>
    <cellStyle name="C￥AØ_p.mix  15 19" xfId="18907"/>
    <cellStyle name="Ç¥ÁØ_p.mix  15 19" xfId="18908"/>
    <cellStyle name="C￥AØ_p.mix  15 2" xfId="18909"/>
    <cellStyle name="Ç¥ÁØ_p.mix  15 2" xfId="18910"/>
    <cellStyle name="C￥AØ_p.mix  15 20" xfId="18911"/>
    <cellStyle name="Ç¥ÁØ_p.mix  15 20" xfId="18912"/>
    <cellStyle name="C￥AØ_p.mix  15 21" xfId="18913"/>
    <cellStyle name="Ç¥ÁØ_p.mix  15 21" xfId="18914"/>
    <cellStyle name="C￥AØ_p.mix  15 22" xfId="18915"/>
    <cellStyle name="Ç¥ÁØ_p.mix  15 22" xfId="18916"/>
    <cellStyle name="C￥AØ_p.mix  15 23" xfId="18917"/>
    <cellStyle name="Ç¥ÁØ_p.mix  15 23" xfId="18918"/>
    <cellStyle name="C￥AØ_p.mix  15 24" xfId="18919"/>
    <cellStyle name="Ç¥ÁØ_p.mix  15 24" xfId="18920"/>
    <cellStyle name="C￥AØ_p.mix  15 25" xfId="18921"/>
    <cellStyle name="Ç¥ÁØ_p.mix  15 25" xfId="18922"/>
    <cellStyle name="C￥AØ_p.mix  15 26" xfId="18923"/>
    <cellStyle name="Ç¥ÁØ_p.mix  15 26" xfId="18924"/>
    <cellStyle name="C￥AØ_p.mix  15 27" xfId="18925"/>
    <cellStyle name="Ç¥ÁØ_p.mix  15 27" xfId="18926"/>
    <cellStyle name="C￥AØ_p.mix  15 28" xfId="18927"/>
    <cellStyle name="Ç¥ÁØ_p.mix  15 28" xfId="18928"/>
    <cellStyle name="C￥AØ_p.mix  15 29" xfId="18929"/>
    <cellStyle name="Ç¥ÁØ_p.mix  15 29" xfId="18930"/>
    <cellStyle name="C￥AØ_p.mix  15 3" xfId="18931"/>
    <cellStyle name="Ç¥ÁØ_p.mix  15 3" xfId="18932"/>
    <cellStyle name="C￥AØ_p.mix  15 30" xfId="18933"/>
    <cellStyle name="Ç¥ÁØ_p.mix  15 30" xfId="18934"/>
    <cellStyle name="C￥AØ_p.mix  15 31" xfId="18935"/>
    <cellStyle name="Ç¥ÁØ_p.mix  15 31" xfId="18936"/>
    <cellStyle name="C￥AØ_p.mix  15 32" xfId="18937"/>
    <cellStyle name="Ç¥ÁØ_p.mix  15 32" xfId="18938"/>
    <cellStyle name="C￥AØ_p.mix  15 33" xfId="18939"/>
    <cellStyle name="Ç¥ÁØ_p.mix  15 33" xfId="18940"/>
    <cellStyle name="C￥AØ_p.mix  15 34" xfId="18941"/>
    <cellStyle name="Ç¥ÁØ_p.mix  15 34" xfId="18942"/>
    <cellStyle name="C￥AØ_p.mix  15 4" xfId="18943"/>
    <cellStyle name="Ç¥ÁØ_p.mix  15 4" xfId="18944"/>
    <cellStyle name="C￥AØ_p.mix  15 5" xfId="18945"/>
    <cellStyle name="Ç¥ÁØ_p.mix  15 5" xfId="18946"/>
    <cellStyle name="C￥AØ_p.mix  15 6" xfId="18947"/>
    <cellStyle name="Ç¥ÁØ_p.mix  15 6" xfId="18948"/>
    <cellStyle name="C￥AØ_p.mix  15 7" xfId="18949"/>
    <cellStyle name="Ç¥ÁØ_p.mix  15 7" xfId="18950"/>
    <cellStyle name="C￥AØ_p.mix  15 8" xfId="18951"/>
    <cellStyle name="Ç¥ÁØ_p.mix  15 8" xfId="18952"/>
    <cellStyle name="C￥AØ_p.mix  15 9" xfId="18953"/>
    <cellStyle name="Ç¥ÁØ_p.mix  15 9" xfId="18954"/>
    <cellStyle name="C￥AØ_p.mix  16" xfId="18955"/>
    <cellStyle name="Ç¥ÁØ_p.mix  16" xfId="18956"/>
    <cellStyle name="C￥AØ_p.mix  16 10" xfId="18957"/>
    <cellStyle name="Ç¥ÁØ_p.mix  16 10" xfId="18958"/>
    <cellStyle name="C￥AØ_p.mix  16 11" xfId="18959"/>
    <cellStyle name="Ç¥ÁØ_p.mix  16 11" xfId="18960"/>
    <cellStyle name="C￥AØ_p.mix  16 12" xfId="18961"/>
    <cellStyle name="Ç¥ÁØ_p.mix  16 12" xfId="18962"/>
    <cellStyle name="C￥AØ_p.mix  16 13" xfId="18963"/>
    <cellStyle name="Ç¥ÁØ_p.mix  16 13" xfId="18964"/>
    <cellStyle name="C￥AØ_p.mix  16 14" xfId="18965"/>
    <cellStyle name="Ç¥ÁØ_p.mix  16 14" xfId="18966"/>
    <cellStyle name="C￥AØ_p.mix  16 15" xfId="18967"/>
    <cellStyle name="Ç¥ÁØ_p.mix  16 15" xfId="18968"/>
    <cellStyle name="C￥AØ_p.mix  16 16" xfId="18969"/>
    <cellStyle name="Ç¥ÁØ_p.mix  16 16" xfId="18970"/>
    <cellStyle name="C￥AØ_p.mix  16 17" xfId="18971"/>
    <cellStyle name="Ç¥ÁØ_p.mix  16 17" xfId="18972"/>
    <cellStyle name="C￥AØ_p.mix  16 18" xfId="18973"/>
    <cellStyle name="Ç¥ÁØ_p.mix  16 18" xfId="18974"/>
    <cellStyle name="C￥AØ_p.mix  16 19" xfId="18975"/>
    <cellStyle name="Ç¥ÁØ_p.mix  16 19" xfId="18976"/>
    <cellStyle name="C￥AØ_p.mix  16 2" xfId="18977"/>
    <cellStyle name="Ç¥ÁØ_p.mix  16 2" xfId="18978"/>
    <cellStyle name="C￥AØ_p.mix  16 20" xfId="18979"/>
    <cellStyle name="Ç¥ÁØ_p.mix  16 20" xfId="18980"/>
    <cellStyle name="C￥AØ_p.mix  16 21" xfId="18981"/>
    <cellStyle name="Ç¥ÁØ_p.mix  16 21" xfId="18982"/>
    <cellStyle name="C￥AØ_p.mix  16 22" xfId="18983"/>
    <cellStyle name="Ç¥ÁØ_p.mix  16 22" xfId="18984"/>
    <cellStyle name="C￥AØ_p.mix  16 23" xfId="18985"/>
    <cellStyle name="Ç¥ÁØ_p.mix  16 23" xfId="18986"/>
    <cellStyle name="C￥AØ_p.mix  16 24" xfId="18987"/>
    <cellStyle name="Ç¥ÁØ_p.mix  16 24" xfId="18988"/>
    <cellStyle name="C￥AØ_p.mix  16 25" xfId="18989"/>
    <cellStyle name="Ç¥ÁØ_p.mix  16 25" xfId="18990"/>
    <cellStyle name="C￥AØ_p.mix  16 26" xfId="18991"/>
    <cellStyle name="Ç¥ÁØ_p.mix  16 26" xfId="18992"/>
    <cellStyle name="C￥AØ_p.mix  16 27" xfId="18993"/>
    <cellStyle name="Ç¥ÁØ_p.mix  16 27" xfId="18994"/>
    <cellStyle name="C￥AØ_p.mix  16 28" xfId="18995"/>
    <cellStyle name="Ç¥ÁØ_p.mix  16 28" xfId="18996"/>
    <cellStyle name="C￥AØ_p.mix  16 29" xfId="18997"/>
    <cellStyle name="Ç¥ÁØ_p.mix  16 29" xfId="18998"/>
    <cellStyle name="C￥AØ_p.mix  16 3" xfId="18999"/>
    <cellStyle name="Ç¥ÁØ_p.mix  16 3" xfId="19000"/>
    <cellStyle name="C￥AØ_p.mix  16 30" xfId="19001"/>
    <cellStyle name="Ç¥ÁØ_p.mix  16 30" xfId="19002"/>
    <cellStyle name="C￥AØ_p.mix  16 31" xfId="19003"/>
    <cellStyle name="Ç¥ÁØ_p.mix  16 31" xfId="19004"/>
    <cellStyle name="C￥AØ_p.mix  16 32" xfId="19005"/>
    <cellStyle name="Ç¥ÁØ_p.mix  16 32" xfId="19006"/>
    <cellStyle name="C￥AØ_p.mix  16 33" xfId="19007"/>
    <cellStyle name="Ç¥ÁØ_p.mix  16 33" xfId="19008"/>
    <cellStyle name="C￥AØ_p.mix  16 34" xfId="19009"/>
    <cellStyle name="Ç¥ÁØ_p.mix  16 34" xfId="19010"/>
    <cellStyle name="C￥AØ_p.mix  16 4" xfId="19011"/>
    <cellStyle name="Ç¥ÁØ_p.mix  16 4" xfId="19012"/>
    <cellStyle name="C￥AØ_p.mix  16 5" xfId="19013"/>
    <cellStyle name="Ç¥ÁØ_p.mix  16 5" xfId="19014"/>
    <cellStyle name="C￥AØ_p.mix  16 6" xfId="19015"/>
    <cellStyle name="Ç¥ÁØ_p.mix  16 6" xfId="19016"/>
    <cellStyle name="C￥AØ_p.mix  16 7" xfId="19017"/>
    <cellStyle name="Ç¥ÁØ_p.mix  16 7" xfId="19018"/>
    <cellStyle name="C￥AØ_p.mix  16 8" xfId="19019"/>
    <cellStyle name="Ç¥ÁØ_p.mix  16 8" xfId="19020"/>
    <cellStyle name="C￥AØ_p.mix  16 9" xfId="19021"/>
    <cellStyle name="Ç¥ÁØ_p.mix  16 9" xfId="19022"/>
    <cellStyle name="C￥AØ_p.mix  17" xfId="19023"/>
    <cellStyle name="Ç¥ÁØ_p.mix  17" xfId="19024"/>
    <cellStyle name="C￥AØ_p.mix  17 10" xfId="19025"/>
    <cellStyle name="Ç¥ÁØ_p.mix  17 10" xfId="19026"/>
    <cellStyle name="C￥AØ_p.mix  17 11" xfId="19027"/>
    <cellStyle name="Ç¥ÁØ_p.mix  17 11" xfId="19028"/>
    <cellStyle name="C￥AØ_p.mix  17 12" xfId="19029"/>
    <cellStyle name="Ç¥ÁØ_p.mix  17 12" xfId="19030"/>
    <cellStyle name="C￥AØ_p.mix  17 13" xfId="19031"/>
    <cellStyle name="Ç¥ÁØ_p.mix  17 13" xfId="19032"/>
    <cellStyle name="C￥AØ_p.mix  17 14" xfId="19033"/>
    <cellStyle name="Ç¥ÁØ_p.mix  17 14" xfId="19034"/>
    <cellStyle name="C￥AØ_p.mix  17 15" xfId="19035"/>
    <cellStyle name="Ç¥ÁØ_p.mix  17 15" xfId="19036"/>
    <cellStyle name="C￥AØ_p.mix  17 16" xfId="19037"/>
    <cellStyle name="Ç¥ÁØ_p.mix  17 16" xfId="19038"/>
    <cellStyle name="C￥AØ_p.mix  17 17" xfId="19039"/>
    <cellStyle name="Ç¥ÁØ_p.mix  17 17" xfId="19040"/>
    <cellStyle name="C￥AØ_p.mix  17 18" xfId="19041"/>
    <cellStyle name="Ç¥ÁØ_p.mix  17 18" xfId="19042"/>
    <cellStyle name="C￥AØ_p.mix  17 19" xfId="19043"/>
    <cellStyle name="Ç¥ÁØ_p.mix  17 19" xfId="19044"/>
    <cellStyle name="C￥AØ_p.mix  17 2" xfId="19045"/>
    <cellStyle name="Ç¥ÁØ_p.mix  17 2" xfId="19046"/>
    <cellStyle name="C￥AØ_p.mix  17 20" xfId="19047"/>
    <cellStyle name="Ç¥ÁØ_p.mix  17 20" xfId="19048"/>
    <cellStyle name="C￥AØ_p.mix  17 21" xfId="19049"/>
    <cellStyle name="Ç¥ÁØ_p.mix  17 21" xfId="19050"/>
    <cellStyle name="C￥AØ_p.mix  17 22" xfId="19051"/>
    <cellStyle name="Ç¥ÁØ_p.mix  17 22" xfId="19052"/>
    <cellStyle name="C￥AØ_p.mix  17 23" xfId="19053"/>
    <cellStyle name="Ç¥ÁØ_p.mix  17 23" xfId="19054"/>
    <cellStyle name="C￥AØ_p.mix  17 24" xfId="19055"/>
    <cellStyle name="Ç¥ÁØ_p.mix  17 24" xfId="19056"/>
    <cellStyle name="C￥AØ_p.mix  17 25" xfId="19057"/>
    <cellStyle name="Ç¥ÁØ_p.mix  17 25" xfId="19058"/>
    <cellStyle name="C￥AØ_p.mix  17 26" xfId="19059"/>
    <cellStyle name="Ç¥ÁØ_p.mix  17 26" xfId="19060"/>
    <cellStyle name="C￥AØ_p.mix  17 27" xfId="19061"/>
    <cellStyle name="Ç¥ÁØ_p.mix  17 27" xfId="19062"/>
    <cellStyle name="C￥AØ_p.mix  17 28" xfId="19063"/>
    <cellStyle name="Ç¥ÁØ_p.mix  17 28" xfId="19064"/>
    <cellStyle name="C￥AØ_p.mix  17 29" xfId="19065"/>
    <cellStyle name="Ç¥ÁØ_p.mix  17 29" xfId="19066"/>
    <cellStyle name="C￥AØ_p.mix  17 3" xfId="19067"/>
    <cellStyle name="Ç¥ÁØ_p.mix  17 3" xfId="19068"/>
    <cellStyle name="C￥AØ_p.mix  17 30" xfId="19069"/>
    <cellStyle name="Ç¥ÁØ_p.mix  17 30" xfId="19070"/>
    <cellStyle name="C￥AØ_p.mix  17 31" xfId="19071"/>
    <cellStyle name="Ç¥ÁØ_p.mix  17 31" xfId="19072"/>
    <cellStyle name="C￥AØ_p.mix  17 32" xfId="19073"/>
    <cellStyle name="Ç¥ÁØ_p.mix  17 32" xfId="19074"/>
    <cellStyle name="C￥AØ_p.mix  17 33" xfId="19075"/>
    <cellStyle name="Ç¥ÁØ_p.mix  17 33" xfId="19076"/>
    <cellStyle name="C￥AØ_p.mix  17 34" xfId="19077"/>
    <cellStyle name="Ç¥ÁØ_p.mix  17 34" xfId="19078"/>
    <cellStyle name="C￥AØ_p.mix  17 4" xfId="19079"/>
    <cellStyle name="Ç¥ÁØ_p.mix  17 4" xfId="19080"/>
    <cellStyle name="C￥AØ_p.mix  17 5" xfId="19081"/>
    <cellStyle name="Ç¥ÁØ_p.mix  17 5" xfId="19082"/>
    <cellStyle name="C￥AØ_p.mix  17 6" xfId="19083"/>
    <cellStyle name="Ç¥ÁØ_p.mix  17 6" xfId="19084"/>
    <cellStyle name="C￥AØ_p.mix  17 7" xfId="19085"/>
    <cellStyle name="Ç¥ÁØ_p.mix  17 7" xfId="19086"/>
    <cellStyle name="C￥AØ_p.mix  17 8" xfId="19087"/>
    <cellStyle name="Ç¥ÁØ_p.mix  17 8" xfId="19088"/>
    <cellStyle name="C￥AØ_p.mix  17 9" xfId="19089"/>
    <cellStyle name="Ç¥ÁØ_p.mix  17 9" xfId="19090"/>
    <cellStyle name="C￥AØ_p.mix  18" xfId="19091"/>
    <cellStyle name="Ç¥ÁØ_p.mix  18" xfId="19092"/>
    <cellStyle name="C￥AØ_p.mix  18 10" xfId="19093"/>
    <cellStyle name="Ç¥ÁØ_p.mix  18 10" xfId="19094"/>
    <cellStyle name="C￥AØ_p.mix  18 11" xfId="19095"/>
    <cellStyle name="Ç¥ÁØ_p.mix  18 11" xfId="19096"/>
    <cellStyle name="C￥AØ_p.mix  18 12" xfId="19097"/>
    <cellStyle name="Ç¥ÁØ_p.mix  18 12" xfId="19098"/>
    <cellStyle name="C￥AØ_p.mix  18 13" xfId="19099"/>
    <cellStyle name="Ç¥ÁØ_p.mix  18 13" xfId="19100"/>
    <cellStyle name="C￥AØ_p.mix  18 14" xfId="19101"/>
    <cellStyle name="Ç¥ÁØ_p.mix  18 14" xfId="19102"/>
    <cellStyle name="C￥AØ_p.mix  18 15" xfId="19103"/>
    <cellStyle name="Ç¥ÁØ_p.mix  18 15" xfId="19104"/>
    <cellStyle name="C￥AØ_p.mix  18 16" xfId="19105"/>
    <cellStyle name="Ç¥ÁØ_p.mix  18 16" xfId="19106"/>
    <cellStyle name="C￥AØ_p.mix  18 17" xfId="19107"/>
    <cellStyle name="Ç¥ÁØ_p.mix  18 17" xfId="19108"/>
    <cellStyle name="C￥AØ_p.mix  18 18" xfId="19109"/>
    <cellStyle name="Ç¥ÁØ_p.mix  18 18" xfId="19110"/>
    <cellStyle name="C￥AØ_p.mix  18 19" xfId="19111"/>
    <cellStyle name="Ç¥ÁØ_p.mix  18 19" xfId="19112"/>
    <cellStyle name="C￥AØ_p.mix  18 2" xfId="19113"/>
    <cellStyle name="Ç¥ÁØ_p.mix  18 2" xfId="19114"/>
    <cellStyle name="C￥AØ_p.mix  18 20" xfId="19115"/>
    <cellStyle name="Ç¥ÁØ_p.mix  18 20" xfId="19116"/>
    <cellStyle name="C￥AØ_p.mix  18 21" xfId="19117"/>
    <cellStyle name="Ç¥ÁØ_p.mix  18 21" xfId="19118"/>
    <cellStyle name="C￥AØ_p.mix  18 22" xfId="19119"/>
    <cellStyle name="Ç¥ÁØ_p.mix  18 22" xfId="19120"/>
    <cellStyle name="C￥AØ_p.mix  18 23" xfId="19121"/>
    <cellStyle name="Ç¥ÁØ_p.mix  18 23" xfId="19122"/>
    <cellStyle name="C￥AØ_p.mix  18 24" xfId="19123"/>
    <cellStyle name="Ç¥ÁØ_p.mix  18 24" xfId="19124"/>
    <cellStyle name="C￥AØ_p.mix  18 25" xfId="19125"/>
    <cellStyle name="Ç¥ÁØ_p.mix  18 25" xfId="19126"/>
    <cellStyle name="C￥AØ_p.mix  18 26" xfId="19127"/>
    <cellStyle name="Ç¥ÁØ_p.mix  18 26" xfId="19128"/>
    <cellStyle name="C￥AØ_p.mix  18 27" xfId="19129"/>
    <cellStyle name="Ç¥ÁØ_p.mix  18 27" xfId="19130"/>
    <cellStyle name="C￥AØ_p.mix  18 28" xfId="19131"/>
    <cellStyle name="Ç¥ÁØ_p.mix  18 28" xfId="19132"/>
    <cellStyle name="C￥AØ_p.mix  18 29" xfId="19133"/>
    <cellStyle name="Ç¥ÁØ_p.mix  18 29" xfId="19134"/>
    <cellStyle name="C￥AØ_p.mix  18 3" xfId="19135"/>
    <cellStyle name="Ç¥ÁØ_p.mix  18 3" xfId="19136"/>
    <cellStyle name="C￥AØ_p.mix  18 30" xfId="19137"/>
    <cellStyle name="Ç¥ÁØ_p.mix  18 30" xfId="19138"/>
    <cellStyle name="C￥AØ_p.mix  18 31" xfId="19139"/>
    <cellStyle name="Ç¥ÁØ_p.mix  18 31" xfId="19140"/>
    <cellStyle name="C￥AØ_p.mix  18 32" xfId="19141"/>
    <cellStyle name="Ç¥ÁØ_p.mix  18 32" xfId="19142"/>
    <cellStyle name="C￥AØ_p.mix  18 33" xfId="19143"/>
    <cellStyle name="Ç¥ÁØ_p.mix  18 33" xfId="19144"/>
    <cellStyle name="C￥AØ_p.mix  18 34" xfId="19145"/>
    <cellStyle name="Ç¥ÁØ_p.mix  18 34" xfId="19146"/>
    <cellStyle name="C￥AØ_p.mix  18 4" xfId="19147"/>
    <cellStyle name="Ç¥ÁØ_p.mix  18 4" xfId="19148"/>
    <cellStyle name="C￥AØ_p.mix  18 5" xfId="19149"/>
    <cellStyle name="Ç¥ÁØ_p.mix  18 5" xfId="19150"/>
    <cellStyle name="C￥AØ_p.mix  18 6" xfId="19151"/>
    <cellStyle name="Ç¥ÁØ_p.mix  18 6" xfId="19152"/>
    <cellStyle name="C￥AØ_p.mix  18 7" xfId="19153"/>
    <cellStyle name="Ç¥ÁØ_p.mix  18 7" xfId="19154"/>
    <cellStyle name="C￥AØ_p.mix  18 8" xfId="19155"/>
    <cellStyle name="Ç¥ÁØ_p.mix  18 8" xfId="19156"/>
    <cellStyle name="C￥AØ_p.mix  18 9" xfId="19157"/>
    <cellStyle name="Ç¥ÁØ_p.mix  18 9" xfId="19158"/>
    <cellStyle name="C￥AØ_p.mix  19" xfId="19159"/>
    <cellStyle name="Ç¥ÁØ_p.mix  19" xfId="19160"/>
    <cellStyle name="C￥AØ_p.mix  19 10" xfId="19161"/>
    <cellStyle name="Ç¥ÁØ_p.mix  19 10" xfId="19162"/>
    <cellStyle name="C￥AØ_p.mix  19 11" xfId="19163"/>
    <cellStyle name="Ç¥ÁØ_p.mix  19 11" xfId="19164"/>
    <cellStyle name="C￥AØ_p.mix  19 12" xfId="19165"/>
    <cellStyle name="Ç¥ÁØ_p.mix  19 12" xfId="19166"/>
    <cellStyle name="C￥AØ_p.mix  19 13" xfId="19167"/>
    <cellStyle name="Ç¥ÁØ_p.mix  19 13" xfId="19168"/>
    <cellStyle name="C￥AØ_p.mix  19 14" xfId="19169"/>
    <cellStyle name="Ç¥ÁØ_p.mix  19 14" xfId="19170"/>
    <cellStyle name="C￥AØ_p.mix  19 15" xfId="19171"/>
    <cellStyle name="Ç¥ÁØ_p.mix  19 15" xfId="19172"/>
    <cellStyle name="C￥AØ_p.mix  19 16" xfId="19173"/>
    <cellStyle name="Ç¥ÁØ_p.mix  19 16" xfId="19174"/>
    <cellStyle name="C￥AØ_p.mix  19 17" xfId="19175"/>
    <cellStyle name="Ç¥ÁØ_p.mix  19 17" xfId="19176"/>
    <cellStyle name="C￥AØ_p.mix  19 18" xfId="19177"/>
    <cellStyle name="Ç¥ÁØ_p.mix  19 18" xfId="19178"/>
    <cellStyle name="C￥AØ_p.mix  19 19" xfId="19179"/>
    <cellStyle name="Ç¥ÁØ_p.mix  19 19" xfId="19180"/>
    <cellStyle name="C￥AØ_p.mix  19 2" xfId="19181"/>
    <cellStyle name="Ç¥ÁØ_p.mix  19 2" xfId="19182"/>
    <cellStyle name="C￥AØ_p.mix  19 20" xfId="19183"/>
    <cellStyle name="Ç¥ÁØ_p.mix  19 20" xfId="19184"/>
    <cellStyle name="C￥AØ_p.mix  19 21" xfId="19185"/>
    <cellStyle name="Ç¥ÁØ_p.mix  19 21" xfId="19186"/>
    <cellStyle name="C￥AØ_p.mix  19 22" xfId="19187"/>
    <cellStyle name="Ç¥ÁØ_p.mix  19 22" xfId="19188"/>
    <cellStyle name="C￥AØ_p.mix  19 23" xfId="19189"/>
    <cellStyle name="Ç¥ÁØ_p.mix  19 23" xfId="19190"/>
    <cellStyle name="C￥AØ_p.mix  19 24" xfId="19191"/>
    <cellStyle name="Ç¥ÁØ_p.mix  19 24" xfId="19192"/>
    <cellStyle name="C￥AØ_p.mix  19 25" xfId="19193"/>
    <cellStyle name="Ç¥ÁØ_p.mix  19 25" xfId="19194"/>
    <cellStyle name="C￥AØ_p.mix  19 26" xfId="19195"/>
    <cellStyle name="Ç¥ÁØ_p.mix  19 26" xfId="19196"/>
    <cellStyle name="C￥AØ_p.mix  19 27" xfId="19197"/>
    <cellStyle name="Ç¥ÁØ_p.mix  19 27" xfId="19198"/>
    <cellStyle name="C￥AØ_p.mix  19 28" xfId="19199"/>
    <cellStyle name="Ç¥ÁØ_p.mix  19 28" xfId="19200"/>
    <cellStyle name="C￥AØ_p.mix  19 29" xfId="19201"/>
    <cellStyle name="Ç¥ÁØ_p.mix  19 29" xfId="19202"/>
    <cellStyle name="C￥AØ_p.mix  19 3" xfId="19203"/>
    <cellStyle name="Ç¥ÁØ_p.mix  19 3" xfId="19204"/>
    <cellStyle name="C￥AØ_p.mix  19 30" xfId="19205"/>
    <cellStyle name="Ç¥ÁØ_p.mix  19 30" xfId="19206"/>
    <cellStyle name="C￥AØ_p.mix  19 31" xfId="19207"/>
    <cellStyle name="Ç¥ÁØ_p.mix  19 31" xfId="19208"/>
    <cellStyle name="C￥AØ_p.mix  19 32" xfId="19209"/>
    <cellStyle name="Ç¥ÁØ_p.mix  19 32" xfId="19210"/>
    <cellStyle name="C￥AØ_p.mix  19 33" xfId="19211"/>
    <cellStyle name="Ç¥ÁØ_p.mix  19 33" xfId="19212"/>
    <cellStyle name="C￥AØ_p.mix  19 34" xfId="19213"/>
    <cellStyle name="Ç¥ÁØ_p.mix  19 34" xfId="19214"/>
    <cellStyle name="C￥AØ_p.mix  19 4" xfId="19215"/>
    <cellStyle name="Ç¥ÁØ_p.mix  19 4" xfId="19216"/>
    <cellStyle name="C￥AØ_p.mix  19 5" xfId="19217"/>
    <cellStyle name="Ç¥ÁØ_p.mix  19 5" xfId="19218"/>
    <cellStyle name="C￥AØ_p.mix  19 6" xfId="19219"/>
    <cellStyle name="Ç¥ÁØ_p.mix  19 6" xfId="19220"/>
    <cellStyle name="C￥AØ_p.mix  19 7" xfId="19221"/>
    <cellStyle name="Ç¥ÁØ_p.mix  19 7" xfId="19222"/>
    <cellStyle name="C￥AØ_p.mix  19 8" xfId="19223"/>
    <cellStyle name="Ç¥ÁØ_p.mix  19 8" xfId="19224"/>
    <cellStyle name="C￥AØ_p.mix  19 9" xfId="19225"/>
    <cellStyle name="Ç¥ÁØ_p.mix  19 9" xfId="19226"/>
    <cellStyle name="C￥AØ_p.mix  2" xfId="19227"/>
    <cellStyle name="Ç¥ÁØ_p.mix  2" xfId="19228"/>
    <cellStyle name="C￥AØ_p.mix  2 10" xfId="19229"/>
    <cellStyle name="Ç¥ÁØ_p.mix  2 10" xfId="19230"/>
    <cellStyle name="C￥AØ_p.mix  2 11" xfId="19231"/>
    <cellStyle name="Ç¥ÁØ_p.mix  2 11" xfId="19232"/>
    <cellStyle name="C￥AØ_p.mix  2 12" xfId="19233"/>
    <cellStyle name="Ç¥ÁØ_p.mix  2 12" xfId="19234"/>
    <cellStyle name="C￥AØ_p.mix  2 13" xfId="19235"/>
    <cellStyle name="Ç¥ÁØ_p.mix  2 13" xfId="19236"/>
    <cellStyle name="C￥AØ_p.mix  2 14" xfId="19237"/>
    <cellStyle name="Ç¥ÁØ_p.mix  2 14" xfId="19238"/>
    <cellStyle name="C￥AØ_p.mix  2 15" xfId="19239"/>
    <cellStyle name="Ç¥ÁØ_p.mix  2 15" xfId="19240"/>
    <cellStyle name="C￥AØ_p.mix  2 16" xfId="19241"/>
    <cellStyle name="Ç¥ÁØ_p.mix  2 16" xfId="19242"/>
    <cellStyle name="C￥AØ_p.mix  2 17" xfId="19243"/>
    <cellStyle name="Ç¥ÁØ_p.mix  2 17" xfId="19244"/>
    <cellStyle name="C￥AØ_p.mix  2 18" xfId="19245"/>
    <cellStyle name="Ç¥ÁØ_p.mix  2 18" xfId="19246"/>
    <cellStyle name="C￥AØ_p.mix  2 19" xfId="19247"/>
    <cellStyle name="Ç¥ÁØ_p.mix  2 19" xfId="19248"/>
    <cellStyle name="C￥AØ_p.mix  2 2" xfId="19249"/>
    <cellStyle name="Ç¥ÁØ_p.mix  2 2" xfId="19250"/>
    <cellStyle name="C￥AØ_p.mix  2 20" xfId="19251"/>
    <cellStyle name="Ç¥ÁØ_p.mix  2 20" xfId="19252"/>
    <cellStyle name="C￥AØ_p.mix  2 21" xfId="19253"/>
    <cellStyle name="Ç¥ÁØ_p.mix  2 21" xfId="19254"/>
    <cellStyle name="C￥AØ_p.mix  2 22" xfId="19255"/>
    <cellStyle name="Ç¥ÁØ_p.mix  2 22" xfId="19256"/>
    <cellStyle name="C￥AØ_p.mix  2 23" xfId="19257"/>
    <cellStyle name="Ç¥ÁØ_p.mix  2 23" xfId="19258"/>
    <cellStyle name="C￥AØ_p.mix  2 24" xfId="19259"/>
    <cellStyle name="Ç¥ÁØ_p.mix  2 24" xfId="19260"/>
    <cellStyle name="C￥AØ_p.mix  2 25" xfId="19261"/>
    <cellStyle name="Ç¥ÁØ_p.mix  2 25" xfId="19262"/>
    <cellStyle name="C￥AØ_p.mix  2 26" xfId="19263"/>
    <cellStyle name="Ç¥ÁØ_p.mix  2 26" xfId="19264"/>
    <cellStyle name="C￥AØ_p.mix  2 27" xfId="19265"/>
    <cellStyle name="Ç¥ÁØ_p.mix  2 27" xfId="19266"/>
    <cellStyle name="C￥AØ_p.mix  2 28" xfId="19267"/>
    <cellStyle name="Ç¥ÁØ_p.mix  2 28" xfId="19268"/>
    <cellStyle name="C￥AØ_p.mix  2 29" xfId="19269"/>
    <cellStyle name="Ç¥ÁØ_p.mix  2 29" xfId="19270"/>
    <cellStyle name="C￥AØ_p.mix  2 3" xfId="19271"/>
    <cellStyle name="Ç¥ÁØ_p.mix  2 3" xfId="19272"/>
    <cellStyle name="C￥AØ_p.mix  2 30" xfId="19273"/>
    <cellStyle name="Ç¥ÁØ_p.mix  2 30" xfId="19274"/>
    <cellStyle name="C￥AØ_p.mix  2 31" xfId="19275"/>
    <cellStyle name="Ç¥ÁØ_p.mix  2 31" xfId="19276"/>
    <cellStyle name="C￥AØ_p.mix  2 32" xfId="19277"/>
    <cellStyle name="Ç¥ÁØ_p.mix  2 32" xfId="19278"/>
    <cellStyle name="C￥AØ_p.mix  2 33" xfId="19279"/>
    <cellStyle name="Ç¥ÁØ_p.mix  2 33" xfId="19280"/>
    <cellStyle name="C￥AØ_p.mix  2 34" xfId="19281"/>
    <cellStyle name="Ç¥ÁØ_p.mix  2 34" xfId="19282"/>
    <cellStyle name="C￥AØ_p.mix  2 4" xfId="19283"/>
    <cellStyle name="Ç¥ÁØ_p.mix  2 4" xfId="19284"/>
    <cellStyle name="C￥AØ_p.mix  2 5" xfId="19285"/>
    <cellStyle name="Ç¥ÁØ_p.mix  2 5" xfId="19286"/>
    <cellStyle name="C￥AØ_p.mix  2 6" xfId="19287"/>
    <cellStyle name="Ç¥ÁØ_p.mix  2 6" xfId="19288"/>
    <cellStyle name="C￥AØ_p.mix  2 7" xfId="19289"/>
    <cellStyle name="Ç¥ÁØ_p.mix  2 7" xfId="19290"/>
    <cellStyle name="C￥AØ_p.mix  2 8" xfId="19291"/>
    <cellStyle name="Ç¥ÁØ_p.mix  2 8" xfId="19292"/>
    <cellStyle name="C￥AØ_p.mix  2 9" xfId="19293"/>
    <cellStyle name="Ç¥ÁØ_p.mix  2 9" xfId="19294"/>
    <cellStyle name="C￥AØ_p.mix  20" xfId="19295"/>
    <cellStyle name="Ç¥ÁØ_p.mix  20" xfId="19296"/>
    <cellStyle name="C￥AØ_p.mix  20 10" xfId="19297"/>
    <cellStyle name="Ç¥ÁØ_p.mix  20 10" xfId="19298"/>
    <cellStyle name="C￥AØ_p.mix  20 11" xfId="19299"/>
    <cellStyle name="Ç¥ÁØ_p.mix  20 11" xfId="19300"/>
    <cellStyle name="C￥AØ_p.mix  20 12" xfId="19301"/>
    <cellStyle name="Ç¥ÁØ_p.mix  20 12" xfId="19302"/>
    <cellStyle name="C￥AØ_p.mix  20 13" xfId="19303"/>
    <cellStyle name="Ç¥ÁØ_p.mix  20 13" xfId="19304"/>
    <cellStyle name="C￥AØ_p.mix  20 14" xfId="19305"/>
    <cellStyle name="Ç¥ÁØ_p.mix  20 14" xfId="19306"/>
    <cellStyle name="C￥AØ_p.mix  20 15" xfId="19307"/>
    <cellStyle name="Ç¥ÁØ_p.mix  20 15" xfId="19308"/>
    <cellStyle name="C￥AØ_p.mix  20 16" xfId="19309"/>
    <cellStyle name="Ç¥ÁØ_p.mix  20 16" xfId="19310"/>
    <cellStyle name="C￥AØ_p.mix  20 17" xfId="19311"/>
    <cellStyle name="Ç¥ÁØ_p.mix  20 17" xfId="19312"/>
    <cellStyle name="C￥AØ_p.mix  20 18" xfId="19313"/>
    <cellStyle name="Ç¥ÁØ_p.mix  20 18" xfId="19314"/>
    <cellStyle name="C￥AØ_p.mix  20 19" xfId="19315"/>
    <cellStyle name="Ç¥ÁØ_p.mix  20 19" xfId="19316"/>
    <cellStyle name="C￥AØ_p.mix  20 2" xfId="19317"/>
    <cellStyle name="Ç¥ÁØ_p.mix  20 2" xfId="19318"/>
    <cellStyle name="C￥AØ_p.mix  20 20" xfId="19319"/>
    <cellStyle name="Ç¥ÁØ_p.mix  20 20" xfId="19320"/>
    <cellStyle name="C￥AØ_p.mix  20 21" xfId="19321"/>
    <cellStyle name="Ç¥ÁØ_p.mix  20 21" xfId="19322"/>
    <cellStyle name="C￥AØ_p.mix  20 22" xfId="19323"/>
    <cellStyle name="Ç¥ÁØ_p.mix  20 22" xfId="19324"/>
    <cellStyle name="C￥AØ_p.mix  20 23" xfId="19325"/>
    <cellStyle name="Ç¥ÁØ_p.mix  20 23" xfId="19326"/>
    <cellStyle name="C￥AØ_p.mix  20 24" xfId="19327"/>
    <cellStyle name="Ç¥ÁØ_p.mix  20 24" xfId="19328"/>
    <cellStyle name="C￥AØ_p.mix  20 25" xfId="19329"/>
    <cellStyle name="Ç¥ÁØ_p.mix  20 25" xfId="19330"/>
    <cellStyle name="C￥AØ_p.mix  20 26" xfId="19331"/>
    <cellStyle name="Ç¥ÁØ_p.mix  20 26" xfId="19332"/>
    <cellStyle name="C￥AØ_p.mix  20 27" xfId="19333"/>
    <cellStyle name="Ç¥ÁØ_p.mix  20 27" xfId="19334"/>
    <cellStyle name="C￥AØ_p.mix  20 28" xfId="19335"/>
    <cellStyle name="Ç¥ÁØ_p.mix  20 28" xfId="19336"/>
    <cellStyle name="C￥AØ_p.mix  20 29" xfId="19337"/>
    <cellStyle name="Ç¥ÁØ_p.mix  20 29" xfId="19338"/>
    <cellStyle name="C￥AØ_p.mix  20 3" xfId="19339"/>
    <cellStyle name="Ç¥ÁØ_p.mix  20 3" xfId="19340"/>
    <cellStyle name="C￥AØ_p.mix  20 30" xfId="19341"/>
    <cellStyle name="Ç¥ÁØ_p.mix  20 30" xfId="19342"/>
    <cellStyle name="C￥AØ_p.mix  20 31" xfId="19343"/>
    <cellStyle name="Ç¥ÁØ_p.mix  20 31" xfId="19344"/>
    <cellStyle name="C￥AØ_p.mix  20 32" xfId="19345"/>
    <cellStyle name="Ç¥ÁØ_p.mix  20 32" xfId="19346"/>
    <cellStyle name="C￥AØ_p.mix  20 33" xfId="19347"/>
    <cellStyle name="Ç¥ÁØ_p.mix  20 33" xfId="19348"/>
    <cellStyle name="C￥AØ_p.mix  20 34" xfId="19349"/>
    <cellStyle name="Ç¥ÁØ_p.mix  20 34" xfId="19350"/>
    <cellStyle name="C￥AØ_p.mix  20 4" xfId="19351"/>
    <cellStyle name="Ç¥ÁØ_p.mix  20 4" xfId="19352"/>
    <cellStyle name="C￥AØ_p.mix  20 5" xfId="19353"/>
    <cellStyle name="Ç¥ÁØ_p.mix  20 5" xfId="19354"/>
    <cellStyle name="C￥AØ_p.mix  20 6" xfId="19355"/>
    <cellStyle name="Ç¥ÁØ_p.mix  20 6" xfId="19356"/>
    <cellStyle name="C￥AØ_p.mix  20 7" xfId="19357"/>
    <cellStyle name="Ç¥ÁØ_p.mix  20 7" xfId="19358"/>
    <cellStyle name="C￥AØ_p.mix  20 8" xfId="19359"/>
    <cellStyle name="Ç¥ÁØ_p.mix  20 8" xfId="19360"/>
    <cellStyle name="C￥AØ_p.mix  20 9" xfId="19361"/>
    <cellStyle name="Ç¥ÁØ_p.mix  20 9" xfId="19362"/>
    <cellStyle name="C￥AØ_p.mix  21" xfId="19363"/>
    <cellStyle name="Ç¥ÁØ_p.mix  21" xfId="19364"/>
    <cellStyle name="C￥AØ_p.mix  21 10" xfId="19365"/>
    <cellStyle name="Ç¥ÁØ_p.mix  21 10" xfId="19366"/>
    <cellStyle name="C￥AØ_p.mix  21 11" xfId="19367"/>
    <cellStyle name="Ç¥ÁØ_p.mix  21 11" xfId="19368"/>
    <cellStyle name="C￥AØ_p.mix  21 12" xfId="19369"/>
    <cellStyle name="Ç¥ÁØ_p.mix  21 12" xfId="19370"/>
    <cellStyle name="C￥AØ_p.mix  21 13" xfId="19371"/>
    <cellStyle name="Ç¥ÁØ_p.mix  21 13" xfId="19372"/>
    <cellStyle name="C￥AØ_p.mix  21 14" xfId="19373"/>
    <cellStyle name="Ç¥ÁØ_p.mix  21 14" xfId="19374"/>
    <cellStyle name="C￥AØ_p.mix  21 15" xfId="19375"/>
    <cellStyle name="Ç¥ÁØ_p.mix  21 15" xfId="19376"/>
    <cellStyle name="C￥AØ_p.mix  21 16" xfId="19377"/>
    <cellStyle name="Ç¥ÁØ_p.mix  21 16" xfId="19378"/>
    <cellStyle name="C￥AØ_p.mix  21 17" xfId="19379"/>
    <cellStyle name="Ç¥ÁØ_p.mix  21 17" xfId="19380"/>
    <cellStyle name="C￥AØ_p.mix  21 18" xfId="19381"/>
    <cellStyle name="Ç¥ÁØ_p.mix  21 18" xfId="19382"/>
    <cellStyle name="C￥AØ_p.mix  21 19" xfId="19383"/>
    <cellStyle name="Ç¥ÁØ_p.mix  21 19" xfId="19384"/>
    <cellStyle name="C￥AØ_p.mix  21 2" xfId="19385"/>
    <cellStyle name="Ç¥ÁØ_p.mix  21 2" xfId="19386"/>
    <cellStyle name="C￥AØ_p.mix  21 20" xfId="19387"/>
    <cellStyle name="Ç¥ÁØ_p.mix  21 20" xfId="19388"/>
    <cellStyle name="C￥AØ_p.mix  21 21" xfId="19389"/>
    <cellStyle name="Ç¥ÁØ_p.mix  21 21" xfId="19390"/>
    <cellStyle name="C￥AØ_p.mix  21 22" xfId="19391"/>
    <cellStyle name="Ç¥ÁØ_p.mix  21 22" xfId="19392"/>
    <cellStyle name="C￥AØ_p.mix  21 23" xfId="19393"/>
    <cellStyle name="Ç¥ÁØ_p.mix  21 23" xfId="19394"/>
    <cellStyle name="C￥AØ_p.mix  21 24" xfId="19395"/>
    <cellStyle name="Ç¥ÁØ_p.mix  21 24" xfId="19396"/>
    <cellStyle name="C￥AØ_p.mix  21 25" xfId="19397"/>
    <cellStyle name="Ç¥ÁØ_p.mix  21 25" xfId="19398"/>
    <cellStyle name="C￥AØ_p.mix  21 26" xfId="19399"/>
    <cellStyle name="Ç¥ÁØ_p.mix  21 26" xfId="19400"/>
    <cellStyle name="C￥AØ_p.mix  21 27" xfId="19401"/>
    <cellStyle name="Ç¥ÁØ_p.mix  21 27" xfId="19402"/>
    <cellStyle name="C￥AØ_p.mix  21 28" xfId="19403"/>
    <cellStyle name="Ç¥ÁØ_p.mix  21 28" xfId="19404"/>
    <cellStyle name="C￥AØ_p.mix  21 29" xfId="19405"/>
    <cellStyle name="Ç¥ÁØ_p.mix  21 29" xfId="19406"/>
    <cellStyle name="C￥AØ_p.mix  21 3" xfId="19407"/>
    <cellStyle name="Ç¥ÁØ_p.mix  21 3" xfId="19408"/>
    <cellStyle name="C￥AØ_p.mix  21 30" xfId="19409"/>
    <cellStyle name="Ç¥ÁØ_p.mix  21 30" xfId="19410"/>
    <cellStyle name="C￥AØ_p.mix  21 31" xfId="19411"/>
    <cellStyle name="Ç¥ÁØ_p.mix  21 31" xfId="19412"/>
    <cellStyle name="C￥AØ_p.mix  21 32" xfId="19413"/>
    <cellStyle name="Ç¥ÁØ_p.mix  21 32" xfId="19414"/>
    <cellStyle name="C￥AØ_p.mix  21 33" xfId="19415"/>
    <cellStyle name="Ç¥ÁØ_p.mix  21 33" xfId="19416"/>
    <cellStyle name="C￥AØ_p.mix  21 34" xfId="19417"/>
    <cellStyle name="Ç¥ÁØ_p.mix  21 34" xfId="19418"/>
    <cellStyle name="C￥AØ_p.mix  21 4" xfId="19419"/>
    <cellStyle name="Ç¥ÁØ_p.mix  21 4" xfId="19420"/>
    <cellStyle name="C￥AØ_p.mix  21 5" xfId="19421"/>
    <cellStyle name="Ç¥ÁØ_p.mix  21 5" xfId="19422"/>
    <cellStyle name="C￥AØ_p.mix  21 6" xfId="19423"/>
    <cellStyle name="Ç¥ÁØ_p.mix  21 6" xfId="19424"/>
    <cellStyle name="C￥AØ_p.mix  21 7" xfId="19425"/>
    <cellStyle name="Ç¥ÁØ_p.mix  21 7" xfId="19426"/>
    <cellStyle name="C￥AØ_p.mix  21 8" xfId="19427"/>
    <cellStyle name="Ç¥ÁØ_p.mix  21 8" xfId="19428"/>
    <cellStyle name="C￥AØ_p.mix  21 9" xfId="19429"/>
    <cellStyle name="Ç¥ÁØ_p.mix  21 9" xfId="19430"/>
    <cellStyle name="C￥AØ_p.mix  22" xfId="19431"/>
    <cellStyle name="Ç¥ÁØ_p.mix  22" xfId="19432"/>
    <cellStyle name="C￥AØ_p.mix  22 10" xfId="19433"/>
    <cellStyle name="Ç¥ÁØ_p.mix  22 10" xfId="19434"/>
    <cellStyle name="C￥AØ_p.mix  22 11" xfId="19435"/>
    <cellStyle name="Ç¥ÁØ_p.mix  22 11" xfId="19436"/>
    <cellStyle name="C￥AØ_p.mix  22 12" xfId="19437"/>
    <cellStyle name="Ç¥ÁØ_p.mix  22 12" xfId="19438"/>
    <cellStyle name="C￥AØ_p.mix  22 13" xfId="19439"/>
    <cellStyle name="Ç¥ÁØ_p.mix  22 13" xfId="19440"/>
    <cellStyle name="C￥AØ_p.mix  22 14" xfId="19441"/>
    <cellStyle name="Ç¥ÁØ_p.mix  22 14" xfId="19442"/>
    <cellStyle name="C￥AØ_p.mix  22 15" xfId="19443"/>
    <cellStyle name="Ç¥ÁØ_p.mix  22 15" xfId="19444"/>
    <cellStyle name="C￥AØ_p.mix  22 16" xfId="19445"/>
    <cellStyle name="Ç¥ÁØ_p.mix  22 16" xfId="19446"/>
    <cellStyle name="C￥AØ_p.mix  22 17" xfId="19447"/>
    <cellStyle name="Ç¥ÁØ_p.mix  22 17" xfId="19448"/>
    <cellStyle name="C￥AØ_p.mix  22 18" xfId="19449"/>
    <cellStyle name="Ç¥ÁØ_p.mix  22 18" xfId="19450"/>
    <cellStyle name="C￥AØ_p.mix  22 19" xfId="19451"/>
    <cellStyle name="Ç¥ÁØ_p.mix  22 19" xfId="19452"/>
    <cellStyle name="C￥AØ_p.mix  22 2" xfId="19453"/>
    <cellStyle name="Ç¥ÁØ_p.mix  22 2" xfId="19454"/>
    <cellStyle name="C￥AØ_p.mix  22 20" xfId="19455"/>
    <cellStyle name="Ç¥ÁØ_p.mix  22 20" xfId="19456"/>
    <cellStyle name="C￥AØ_p.mix  22 21" xfId="19457"/>
    <cellStyle name="Ç¥ÁØ_p.mix  22 21" xfId="19458"/>
    <cellStyle name="C￥AØ_p.mix  22 22" xfId="19459"/>
    <cellStyle name="Ç¥ÁØ_p.mix  22 22" xfId="19460"/>
    <cellStyle name="C￥AØ_p.mix  22 23" xfId="19461"/>
    <cellStyle name="Ç¥ÁØ_p.mix  22 23" xfId="19462"/>
    <cellStyle name="C￥AØ_p.mix  22 24" xfId="19463"/>
    <cellStyle name="Ç¥ÁØ_p.mix  22 24" xfId="19464"/>
    <cellStyle name="C￥AØ_p.mix  22 25" xfId="19465"/>
    <cellStyle name="Ç¥ÁØ_p.mix  22 25" xfId="19466"/>
    <cellStyle name="C￥AØ_p.mix  22 26" xfId="19467"/>
    <cellStyle name="Ç¥ÁØ_p.mix  22 26" xfId="19468"/>
    <cellStyle name="C￥AØ_p.mix  22 27" xfId="19469"/>
    <cellStyle name="Ç¥ÁØ_p.mix  22 27" xfId="19470"/>
    <cellStyle name="C￥AØ_p.mix  22 28" xfId="19471"/>
    <cellStyle name="Ç¥ÁØ_p.mix  22 28" xfId="19472"/>
    <cellStyle name="C￥AØ_p.mix  22 29" xfId="19473"/>
    <cellStyle name="Ç¥ÁØ_p.mix  22 29" xfId="19474"/>
    <cellStyle name="C￥AØ_p.mix  22 3" xfId="19475"/>
    <cellStyle name="Ç¥ÁØ_p.mix  22 3" xfId="19476"/>
    <cellStyle name="C￥AØ_p.mix  22 30" xfId="19477"/>
    <cellStyle name="Ç¥ÁØ_p.mix  22 30" xfId="19478"/>
    <cellStyle name="C￥AØ_p.mix  22 31" xfId="19479"/>
    <cellStyle name="Ç¥ÁØ_p.mix  22 31" xfId="19480"/>
    <cellStyle name="C￥AØ_p.mix  22 32" xfId="19481"/>
    <cellStyle name="Ç¥ÁØ_p.mix  22 32" xfId="19482"/>
    <cellStyle name="C￥AØ_p.mix  22 33" xfId="19483"/>
    <cellStyle name="Ç¥ÁØ_p.mix  22 33" xfId="19484"/>
    <cellStyle name="C￥AØ_p.mix  22 34" xfId="19485"/>
    <cellStyle name="Ç¥ÁØ_p.mix  22 34" xfId="19486"/>
    <cellStyle name="C￥AØ_p.mix  22 4" xfId="19487"/>
    <cellStyle name="Ç¥ÁØ_p.mix  22 4" xfId="19488"/>
    <cellStyle name="C￥AØ_p.mix  22 5" xfId="19489"/>
    <cellStyle name="Ç¥ÁØ_p.mix  22 5" xfId="19490"/>
    <cellStyle name="C￥AØ_p.mix  22 6" xfId="19491"/>
    <cellStyle name="Ç¥ÁØ_p.mix  22 6" xfId="19492"/>
    <cellStyle name="C￥AØ_p.mix  22 7" xfId="19493"/>
    <cellStyle name="Ç¥ÁØ_p.mix  22 7" xfId="19494"/>
    <cellStyle name="C￥AØ_p.mix  22 8" xfId="19495"/>
    <cellStyle name="Ç¥ÁØ_p.mix  22 8" xfId="19496"/>
    <cellStyle name="C￥AØ_p.mix  22 9" xfId="19497"/>
    <cellStyle name="Ç¥ÁØ_p.mix  22 9" xfId="19498"/>
    <cellStyle name="C￥AØ_p.mix  23" xfId="19499"/>
    <cellStyle name="Ç¥ÁØ_p.mix  23" xfId="19500"/>
    <cellStyle name="C￥AØ_p.mix  23 10" xfId="19501"/>
    <cellStyle name="Ç¥ÁØ_p.mix  23 10" xfId="19502"/>
    <cellStyle name="C￥AØ_p.mix  23 11" xfId="19503"/>
    <cellStyle name="Ç¥ÁØ_p.mix  23 11" xfId="19504"/>
    <cellStyle name="C￥AØ_p.mix  23 12" xfId="19505"/>
    <cellStyle name="Ç¥ÁØ_p.mix  23 12" xfId="19506"/>
    <cellStyle name="C￥AØ_p.mix  23 13" xfId="19507"/>
    <cellStyle name="Ç¥ÁØ_p.mix  23 13" xfId="19508"/>
    <cellStyle name="C￥AØ_p.mix  23 14" xfId="19509"/>
    <cellStyle name="Ç¥ÁØ_p.mix  23 14" xfId="19510"/>
    <cellStyle name="C￥AØ_p.mix  23 15" xfId="19511"/>
    <cellStyle name="Ç¥ÁØ_p.mix  23 15" xfId="19512"/>
    <cellStyle name="C￥AØ_p.mix  23 16" xfId="19513"/>
    <cellStyle name="Ç¥ÁØ_p.mix  23 16" xfId="19514"/>
    <cellStyle name="C￥AØ_p.mix  23 17" xfId="19515"/>
    <cellStyle name="Ç¥ÁØ_p.mix  23 17" xfId="19516"/>
    <cellStyle name="C￥AØ_p.mix  23 18" xfId="19517"/>
    <cellStyle name="Ç¥ÁØ_p.mix  23 18" xfId="19518"/>
    <cellStyle name="C￥AØ_p.mix  23 19" xfId="19519"/>
    <cellStyle name="Ç¥ÁØ_p.mix  23 19" xfId="19520"/>
    <cellStyle name="C￥AØ_p.mix  23 2" xfId="19521"/>
    <cellStyle name="Ç¥ÁØ_p.mix  23 2" xfId="19522"/>
    <cellStyle name="C￥AØ_p.mix  23 20" xfId="19523"/>
    <cellStyle name="Ç¥ÁØ_p.mix  23 20" xfId="19524"/>
    <cellStyle name="C￥AØ_p.mix  23 21" xfId="19525"/>
    <cellStyle name="Ç¥ÁØ_p.mix  23 21" xfId="19526"/>
    <cellStyle name="C￥AØ_p.mix  23 22" xfId="19527"/>
    <cellStyle name="Ç¥ÁØ_p.mix  23 22" xfId="19528"/>
    <cellStyle name="C￥AØ_p.mix  23 23" xfId="19529"/>
    <cellStyle name="Ç¥ÁØ_p.mix  23 23" xfId="19530"/>
    <cellStyle name="C￥AØ_p.mix  23 24" xfId="19531"/>
    <cellStyle name="Ç¥ÁØ_p.mix  23 24" xfId="19532"/>
    <cellStyle name="C￥AØ_p.mix  23 25" xfId="19533"/>
    <cellStyle name="Ç¥ÁØ_p.mix  23 25" xfId="19534"/>
    <cellStyle name="C￥AØ_p.mix  23 26" xfId="19535"/>
    <cellStyle name="Ç¥ÁØ_p.mix  23 26" xfId="19536"/>
    <cellStyle name="C￥AØ_p.mix  23 27" xfId="19537"/>
    <cellStyle name="Ç¥ÁØ_p.mix  23 27" xfId="19538"/>
    <cellStyle name="C￥AØ_p.mix  23 28" xfId="19539"/>
    <cellStyle name="Ç¥ÁØ_p.mix  23 28" xfId="19540"/>
    <cellStyle name="C￥AØ_p.mix  23 29" xfId="19541"/>
    <cellStyle name="Ç¥ÁØ_p.mix  23 29" xfId="19542"/>
    <cellStyle name="C￥AØ_p.mix  23 3" xfId="19543"/>
    <cellStyle name="Ç¥ÁØ_p.mix  23 3" xfId="19544"/>
    <cellStyle name="C￥AØ_p.mix  23 30" xfId="19545"/>
    <cellStyle name="Ç¥ÁØ_p.mix  23 30" xfId="19546"/>
    <cellStyle name="C￥AØ_p.mix  23 31" xfId="19547"/>
    <cellStyle name="Ç¥ÁØ_p.mix  23 31" xfId="19548"/>
    <cellStyle name="C￥AØ_p.mix  23 32" xfId="19549"/>
    <cellStyle name="Ç¥ÁØ_p.mix  23 32" xfId="19550"/>
    <cellStyle name="C￥AØ_p.mix  23 33" xfId="19551"/>
    <cellStyle name="Ç¥ÁØ_p.mix  23 33" xfId="19552"/>
    <cellStyle name="C￥AØ_p.mix  23 34" xfId="19553"/>
    <cellStyle name="Ç¥ÁØ_p.mix  23 34" xfId="19554"/>
    <cellStyle name="C￥AØ_p.mix  23 4" xfId="19555"/>
    <cellStyle name="Ç¥ÁØ_p.mix  23 4" xfId="19556"/>
    <cellStyle name="C￥AØ_p.mix  23 5" xfId="19557"/>
    <cellStyle name="Ç¥ÁØ_p.mix  23 5" xfId="19558"/>
    <cellStyle name="C￥AØ_p.mix  23 6" xfId="19559"/>
    <cellStyle name="Ç¥ÁØ_p.mix  23 6" xfId="19560"/>
    <cellStyle name="C￥AØ_p.mix  23 7" xfId="19561"/>
    <cellStyle name="Ç¥ÁØ_p.mix  23 7" xfId="19562"/>
    <cellStyle name="C￥AØ_p.mix  23 8" xfId="19563"/>
    <cellStyle name="Ç¥ÁØ_p.mix  23 8" xfId="19564"/>
    <cellStyle name="C￥AØ_p.mix  23 9" xfId="19565"/>
    <cellStyle name="Ç¥ÁØ_p.mix  23 9" xfId="19566"/>
    <cellStyle name="C￥AØ_p.mix  24" xfId="19567"/>
    <cellStyle name="Ç¥ÁØ_p.mix  24" xfId="19568"/>
    <cellStyle name="C￥AØ_p.mix  24 10" xfId="19569"/>
    <cellStyle name="Ç¥ÁØ_p.mix  24 10" xfId="19570"/>
    <cellStyle name="C￥AØ_p.mix  24 11" xfId="19571"/>
    <cellStyle name="Ç¥ÁØ_p.mix  24 11" xfId="19572"/>
    <cellStyle name="C￥AØ_p.mix  24 12" xfId="19573"/>
    <cellStyle name="Ç¥ÁØ_p.mix  24 12" xfId="19574"/>
    <cellStyle name="C￥AØ_p.mix  24 13" xfId="19575"/>
    <cellStyle name="Ç¥ÁØ_p.mix  24 13" xfId="19576"/>
    <cellStyle name="C￥AØ_p.mix  24 14" xfId="19577"/>
    <cellStyle name="Ç¥ÁØ_p.mix  24 14" xfId="19578"/>
    <cellStyle name="C￥AØ_p.mix  24 15" xfId="19579"/>
    <cellStyle name="Ç¥ÁØ_p.mix  24 15" xfId="19580"/>
    <cellStyle name="C￥AØ_p.mix  24 16" xfId="19581"/>
    <cellStyle name="Ç¥ÁØ_p.mix  24 16" xfId="19582"/>
    <cellStyle name="C￥AØ_p.mix  24 17" xfId="19583"/>
    <cellStyle name="Ç¥ÁØ_p.mix  24 17" xfId="19584"/>
    <cellStyle name="C￥AØ_p.mix  24 18" xfId="19585"/>
    <cellStyle name="Ç¥ÁØ_p.mix  24 18" xfId="19586"/>
    <cellStyle name="C￥AØ_p.mix  24 19" xfId="19587"/>
    <cellStyle name="Ç¥ÁØ_p.mix  24 19" xfId="19588"/>
    <cellStyle name="C￥AØ_p.mix  24 2" xfId="19589"/>
    <cellStyle name="Ç¥ÁØ_p.mix  24 2" xfId="19590"/>
    <cellStyle name="C￥AØ_p.mix  24 20" xfId="19591"/>
    <cellStyle name="Ç¥ÁØ_p.mix  24 20" xfId="19592"/>
    <cellStyle name="C￥AØ_p.mix  24 21" xfId="19593"/>
    <cellStyle name="Ç¥ÁØ_p.mix  24 21" xfId="19594"/>
    <cellStyle name="C￥AØ_p.mix  24 22" xfId="19595"/>
    <cellStyle name="Ç¥ÁØ_p.mix  24 22" xfId="19596"/>
    <cellStyle name="C￥AØ_p.mix  24 23" xfId="19597"/>
    <cellStyle name="Ç¥ÁØ_p.mix  24 23" xfId="19598"/>
    <cellStyle name="C￥AØ_p.mix  24 24" xfId="19599"/>
    <cellStyle name="Ç¥ÁØ_p.mix  24 24" xfId="19600"/>
    <cellStyle name="C￥AØ_p.mix  24 25" xfId="19601"/>
    <cellStyle name="Ç¥ÁØ_p.mix  24 25" xfId="19602"/>
    <cellStyle name="C￥AØ_p.mix  24 26" xfId="19603"/>
    <cellStyle name="Ç¥ÁØ_p.mix  24 26" xfId="19604"/>
    <cellStyle name="C￥AØ_p.mix  24 27" xfId="19605"/>
    <cellStyle name="Ç¥ÁØ_p.mix  24 27" xfId="19606"/>
    <cellStyle name="C￥AØ_p.mix  24 28" xfId="19607"/>
    <cellStyle name="Ç¥ÁØ_p.mix  24 28" xfId="19608"/>
    <cellStyle name="C￥AØ_p.mix  24 29" xfId="19609"/>
    <cellStyle name="Ç¥ÁØ_p.mix  24 29" xfId="19610"/>
    <cellStyle name="C￥AØ_p.mix  24 3" xfId="19611"/>
    <cellStyle name="Ç¥ÁØ_p.mix  24 3" xfId="19612"/>
    <cellStyle name="C￥AØ_p.mix  24 30" xfId="19613"/>
    <cellStyle name="Ç¥ÁØ_p.mix  24 30" xfId="19614"/>
    <cellStyle name="C￥AØ_p.mix  24 31" xfId="19615"/>
    <cellStyle name="Ç¥ÁØ_p.mix  24 31" xfId="19616"/>
    <cellStyle name="C￥AØ_p.mix  24 32" xfId="19617"/>
    <cellStyle name="Ç¥ÁØ_p.mix  24 32" xfId="19618"/>
    <cellStyle name="C￥AØ_p.mix  24 33" xfId="19619"/>
    <cellStyle name="Ç¥ÁØ_p.mix  24 33" xfId="19620"/>
    <cellStyle name="C￥AØ_p.mix  24 34" xfId="19621"/>
    <cellStyle name="Ç¥ÁØ_p.mix  24 34" xfId="19622"/>
    <cellStyle name="C￥AØ_p.mix  24 4" xfId="19623"/>
    <cellStyle name="Ç¥ÁØ_p.mix  24 4" xfId="19624"/>
    <cellStyle name="C￥AØ_p.mix  24 5" xfId="19625"/>
    <cellStyle name="Ç¥ÁØ_p.mix  24 5" xfId="19626"/>
    <cellStyle name="C￥AØ_p.mix  24 6" xfId="19627"/>
    <cellStyle name="Ç¥ÁØ_p.mix  24 6" xfId="19628"/>
    <cellStyle name="C￥AØ_p.mix  24 7" xfId="19629"/>
    <cellStyle name="Ç¥ÁØ_p.mix  24 7" xfId="19630"/>
    <cellStyle name="C￥AØ_p.mix  24 8" xfId="19631"/>
    <cellStyle name="Ç¥ÁØ_p.mix  24 8" xfId="19632"/>
    <cellStyle name="C￥AØ_p.mix  24 9" xfId="19633"/>
    <cellStyle name="Ç¥ÁØ_p.mix  24 9" xfId="19634"/>
    <cellStyle name="C￥AØ_p.mix  25" xfId="19635"/>
    <cellStyle name="Ç¥ÁØ_p.mix  25" xfId="19636"/>
    <cellStyle name="C￥AØ_p.mix  25 10" xfId="19637"/>
    <cellStyle name="Ç¥ÁØ_p.mix  25 10" xfId="19638"/>
    <cellStyle name="C￥AØ_p.mix  25 11" xfId="19639"/>
    <cellStyle name="Ç¥ÁØ_p.mix  25 11" xfId="19640"/>
    <cellStyle name="C￥AØ_p.mix  25 12" xfId="19641"/>
    <cellStyle name="Ç¥ÁØ_p.mix  25 12" xfId="19642"/>
    <cellStyle name="C￥AØ_p.mix  25 13" xfId="19643"/>
    <cellStyle name="Ç¥ÁØ_p.mix  25 13" xfId="19644"/>
    <cellStyle name="C￥AØ_p.mix  25 14" xfId="19645"/>
    <cellStyle name="Ç¥ÁØ_p.mix  25 14" xfId="19646"/>
    <cellStyle name="C￥AØ_p.mix  25 15" xfId="19647"/>
    <cellStyle name="Ç¥ÁØ_p.mix  25 15" xfId="19648"/>
    <cellStyle name="C￥AØ_p.mix  25 16" xfId="19649"/>
    <cellStyle name="Ç¥ÁØ_p.mix  25 16" xfId="19650"/>
    <cellStyle name="C￥AØ_p.mix  25 17" xfId="19651"/>
    <cellStyle name="Ç¥ÁØ_p.mix  25 17" xfId="19652"/>
    <cellStyle name="C￥AØ_p.mix  25 18" xfId="19653"/>
    <cellStyle name="Ç¥ÁØ_p.mix  25 18" xfId="19654"/>
    <cellStyle name="C￥AØ_p.mix  25 19" xfId="19655"/>
    <cellStyle name="Ç¥ÁØ_p.mix  25 19" xfId="19656"/>
    <cellStyle name="C￥AØ_p.mix  25 2" xfId="19657"/>
    <cellStyle name="Ç¥ÁØ_p.mix  25 2" xfId="19658"/>
    <cellStyle name="C￥AØ_p.mix  25 20" xfId="19659"/>
    <cellStyle name="Ç¥ÁØ_p.mix  25 20" xfId="19660"/>
    <cellStyle name="C￥AØ_p.mix  25 21" xfId="19661"/>
    <cellStyle name="Ç¥ÁØ_p.mix  25 21" xfId="19662"/>
    <cellStyle name="C￥AØ_p.mix  25 22" xfId="19663"/>
    <cellStyle name="Ç¥ÁØ_p.mix  25 22" xfId="19664"/>
    <cellStyle name="C￥AØ_p.mix  25 23" xfId="19665"/>
    <cellStyle name="Ç¥ÁØ_p.mix  25 23" xfId="19666"/>
    <cellStyle name="C￥AØ_p.mix  25 24" xfId="19667"/>
    <cellStyle name="Ç¥ÁØ_p.mix  25 24" xfId="19668"/>
    <cellStyle name="C￥AØ_p.mix  25 25" xfId="19669"/>
    <cellStyle name="Ç¥ÁØ_p.mix  25 25" xfId="19670"/>
    <cellStyle name="C￥AØ_p.mix  25 26" xfId="19671"/>
    <cellStyle name="Ç¥ÁØ_p.mix  25 26" xfId="19672"/>
    <cellStyle name="C￥AØ_p.mix  25 27" xfId="19673"/>
    <cellStyle name="Ç¥ÁØ_p.mix  25 27" xfId="19674"/>
    <cellStyle name="C￥AØ_p.mix  25 28" xfId="19675"/>
    <cellStyle name="Ç¥ÁØ_p.mix  25 28" xfId="19676"/>
    <cellStyle name="C￥AØ_p.mix  25 29" xfId="19677"/>
    <cellStyle name="Ç¥ÁØ_p.mix  25 29" xfId="19678"/>
    <cellStyle name="C￥AØ_p.mix  25 3" xfId="19679"/>
    <cellStyle name="Ç¥ÁØ_p.mix  25 3" xfId="19680"/>
    <cellStyle name="C￥AØ_p.mix  25 30" xfId="19681"/>
    <cellStyle name="Ç¥ÁØ_p.mix  25 30" xfId="19682"/>
    <cellStyle name="C￥AØ_p.mix  25 31" xfId="19683"/>
    <cellStyle name="Ç¥ÁØ_p.mix  25 31" xfId="19684"/>
    <cellStyle name="C￥AØ_p.mix  25 32" xfId="19685"/>
    <cellStyle name="Ç¥ÁØ_p.mix  25 32" xfId="19686"/>
    <cellStyle name="C￥AØ_p.mix  25 33" xfId="19687"/>
    <cellStyle name="Ç¥ÁØ_p.mix  25 33" xfId="19688"/>
    <cellStyle name="C￥AØ_p.mix  25 34" xfId="19689"/>
    <cellStyle name="Ç¥ÁØ_p.mix  25 34" xfId="19690"/>
    <cellStyle name="C￥AØ_p.mix  25 4" xfId="19691"/>
    <cellStyle name="Ç¥ÁØ_p.mix  25 4" xfId="19692"/>
    <cellStyle name="C￥AØ_p.mix  25 5" xfId="19693"/>
    <cellStyle name="Ç¥ÁØ_p.mix  25 5" xfId="19694"/>
    <cellStyle name="C￥AØ_p.mix  25 6" xfId="19695"/>
    <cellStyle name="Ç¥ÁØ_p.mix  25 6" xfId="19696"/>
    <cellStyle name="C￥AØ_p.mix  25 7" xfId="19697"/>
    <cellStyle name="Ç¥ÁØ_p.mix  25 7" xfId="19698"/>
    <cellStyle name="C￥AØ_p.mix  25 8" xfId="19699"/>
    <cellStyle name="Ç¥ÁØ_p.mix  25 8" xfId="19700"/>
    <cellStyle name="C￥AØ_p.mix  25 9" xfId="19701"/>
    <cellStyle name="Ç¥ÁØ_p.mix  25 9" xfId="19702"/>
    <cellStyle name="C￥AØ_p.mix  26" xfId="19703"/>
    <cellStyle name="Ç¥ÁØ_p.mix  26" xfId="19704"/>
    <cellStyle name="C￥AØ_p.mix  26 10" xfId="19705"/>
    <cellStyle name="Ç¥ÁØ_p.mix  26 10" xfId="19706"/>
    <cellStyle name="C￥AØ_p.mix  26 11" xfId="19707"/>
    <cellStyle name="Ç¥ÁØ_p.mix  26 11" xfId="19708"/>
    <cellStyle name="C￥AØ_p.mix  26 12" xfId="19709"/>
    <cellStyle name="Ç¥ÁØ_p.mix  26 12" xfId="19710"/>
    <cellStyle name="C￥AØ_p.mix  26 13" xfId="19711"/>
    <cellStyle name="Ç¥ÁØ_p.mix  26 13" xfId="19712"/>
    <cellStyle name="C￥AØ_p.mix  26 14" xfId="19713"/>
    <cellStyle name="Ç¥ÁØ_p.mix  26 14" xfId="19714"/>
    <cellStyle name="C￥AØ_p.mix  26 15" xfId="19715"/>
    <cellStyle name="Ç¥ÁØ_p.mix  26 15" xfId="19716"/>
    <cellStyle name="C￥AØ_p.mix  26 16" xfId="19717"/>
    <cellStyle name="Ç¥ÁØ_p.mix  26 16" xfId="19718"/>
    <cellStyle name="C￥AØ_p.mix  26 17" xfId="19719"/>
    <cellStyle name="Ç¥ÁØ_p.mix  26 17" xfId="19720"/>
    <cellStyle name="C￥AØ_p.mix  26 18" xfId="19721"/>
    <cellStyle name="Ç¥ÁØ_p.mix  26 18" xfId="19722"/>
    <cellStyle name="C￥AØ_p.mix  26 19" xfId="19723"/>
    <cellStyle name="Ç¥ÁØ_p.mix  26 19" xfId="19724"/>
    <cellStyle name="C￥AØ_p.mix  26 2" xfId="19725"/>
    <cellStyle name="Ç¥ÁØ_p.mix  26 2" xfId="19726"/>
    <cellStyle name="C￥AØ_p.mix  26 20" xfId="19727"/>
    <cellStyle name="Ç¥ÁØ_p.mix  26 20" xfId="19728"/>
    <cellStyle name="C￥AØ_p.mix  26 21" xfId="19729"/>
    <cellStyle name="Ç¥ÁØ_p.mix  26 21" xfId="19730"/>
    <cellStyle name="C￥AØ_p.mix  26 22" xfId="19731"/>
    <cellStyle name="Ç¥ÁØ_p.mix  26 22" xfId="19732"/>
    <cellStyle name="C￥AØ_p.mix  26 23" xfId="19733"/>
    <cellStyle name="Ç¥ÁØ_p.mix  26 23" xfId="19734"/>
    <cellStyle name="C￥AØ_p.mix  26 24" xfId="19735"/>
    <cellStyle name="Ç¥ÁØ_p.mix  26 24" xfId="19736"/>
    <cellStyle name="C￥AØ_p.mix  26 25" xfId="19737"/>
    <cellStyle name="Ç¥ÁØ_p.mix  26 25" xfId="19738"/>
    <cellStyle name="C￥AØ_p.mix  26 26" xfId="19739"/>
    <cellStyle name="Ç¥ÁØ_p.mix  26 26" xfId="19740"/>
    <cellStyle name="C￥AØ_p.mix  26 27" xfId="19741"/>
    <cellStyle name="Ç¥ÁØ_p.mix  26 27" xfId="19742"/>
    <cellStyle name="C￥AØ_p.mix  26 28" xfId="19743"/>
    <cellStyle name="Ç¥ÁØ_p.mix  26 28" xfId="19744"/>
    <cellStyle name="C￥AØ_p.mix  26 29" xfId="19745"/>
    <cellStyle name="Ç¥ÁØ_p.mix  26 29" xfId="19746"/>
    <cellStyle name="C￥AØ_p.mix  26 3" xfId="19747"/>
    <cellStyle name="Ç¥ÁØ_p.mix  26 3" xfId="19748"/>
    <cellStyle name="C￥AØ_p.mix  26 30" xfId="19749"/>
    <cellStyle name="Ç¥ÁØ_p.mix  26 30" xfId="19750"/>
    <cellStyle name="C￥AØ_p.mix  26 31" xfId="19751"/>
    <cellStyle name="Ç¥ÁØ_p.mix  26 31" xfId="19752"/>
    <cellStyle name="C￥AØ_p.mix  26 32" xfId="19753"/>
    <cellStyle name="Ç¥ÁØ_p.mix  26 32" xfId="19754"/>
    <cellStyle name="C￥AØ_p.mix  26 33" xfId="19755"/>
    <cellStyle name="Ç¥ÁØ_p.mix  26 33" xfId="19756"/>
    <cellStyle name="C￥AØ_p.mix  26 34" xfId="19757"/>
    <cellStyle name="Ç¥ÁØ_p.mix  26 34" xfId="19758"/>
    <cellStyle name="C￥AØ_p.mix  26 4" xfId="19759"/>
    <cellStyle name="Ç¥ÁØ_p.mix  26 4" xfId="19760"/>
    <cellStyle name="C￥AØ_p.mix  26 5" xfId="19761"/>
    <cellStyle name="Ç¥ÁØ_p.mix  26 5" xfId="19762"/>
    <cellStyle name="C￥AØ_p.mix  26 6" xfId="19763"/>
    <cellStyle name="Ç¥ÁØ_p.mix  26 6" xfId="19764"/>
    <cellStyle name="C￥AØ_p.mix  26 7" xfId="19765"/>
    <cellStyle name="Ç¥ÁØ_p.mix  26 7" xfId="19766"/>
    <cellStyle name="C￥AØ_p.mix  26 8" xfId="19767"/>
    <cellStyle name="Ç¥ÁØ_p.mix  26 8" xfId="19768"/>
    <cellStyle name="C￥AØ_p.mix  26 9" xfId="19769"/>
    <cellStyle name="Ç¥ÁØ_p.mix  26 9" xfId="19770"/>
    <cellStyle name="C￥AØ_p.mix  27" xfId="19771"/>
    <cellStyle name="Ç¥ÁØ_p.mix  27" xfId="19772"/>
    <cellStyle name="C￥AØ_p.mix  27 10" xfId="19773"/>
    <cellStyle name="Ç¥ÁØ_p.mix  27 10" xfId="19774"/>
    <cellStyle name="C￥AØ_p.mix  27 11" xfId="19775"/>
    <cellStyle name="Ç¥ÁØ_p.mix  27 11" xfId="19776"/>
    <cellStyle name="C￥AØ_p.mix  27 12" xfId="19777"/>
    <cellStyle name="Ç¥ÁØ_p.mix  27 12" xfId="19778"/>
    <cellStyle name="C￥AØ_p.mix  27 13" xfId="19779"/>
    <cellStyle name="Ç¥ÁØ_p.mix  27 13" xfId="19780"/>
    <cellStyle name="C￥AØ_p.mix  27 14" xfId="19781"/>
    <cellStyle name="Ç¥ÁØ_p.mix  27 14" xfId="19782"/>
    <cellStyle name="C￥AØ_p.mix  27 15" xfId="19783"/>
    <cellStyle name="Ç¥ÁØ_p.mix  27 15" xfId="19784"/>
    <cellStyle name="C￥AØ_p.mix  27 16" xfId="19785"/>
    <cellStyle name="Ç¥ÁØ_p.mix  27 16" xfId="19786"/>
    <cellStyle name="C￥AØ_p.mix  27 17" xfId="19787"/>
    <cellStyle name="Ç¥ÁØ_p.mix  27 17" xfId="19788"/>
    <cellStyle name="C￥AØ_p.mix  27 18" xfId="19789"/>
    <cellStyle name="Ç¥ÁØ_p.mix  27 18" xfId="19790"/>
    <cellStyle name="C￥AØ_p.mix  27 19" xfId="19791"/>
    <cellStyle name="Ç¥ÁØ_p.mix  27 19" xfId="19792"/>
    <cellStyle name="C￥AØ_p.mix  27 2" xfId="19793"/>
    <cellStyle name="Ç¥ÁØ_p.mix  27 2" xfId="19794"/>
    <cellStyle name="C￥AØ_p.mix  27 20" xfId="19795"/>
    <cellStyle name="Ç¥ÁØ_p.mix  27 20" xfId="19796"/>
    <cellStyle name="C￥AØ_p.mix  27 21" xfId="19797"/>
    <cellStyle name="Ç¥ÁØ_p.mix  27 21" xfId="19798"/>
    <cellStyle name="C￥AØ_p.mix  27 22" xfId="19799"/>
    <cellStyle name="Ç¥ÁØ_p.mix  27 22" xfId="19800"/>
    <cellStyle name="C￥AØ_p.mix  27 23" xfId="19801"/>
    <cellStyle name="Ç¥ÁØ_p.mix  27 23" xfId="19802"/>
    <cellStyle name="C￥AØ_p.mix  27 24" xfId="19803"/>
    <cellStyle name="Ç¥ÁØ_p.mix  27 24" xfId="19804"/>
    <cellStyle name="C￥AØ_p.mix  27 25" xfId="19805"/>
    <cellStyle name="Ç¥ÁØ_p.mix  27 25" xfId="19806"/>
    <cellStyle name="C￥AØ_p.mix  27 26" xfId="19807"/>
    <cellStyle name="Ç¥ÁØ_p.mix  27 26" xfId="19808"/>
    <cellStyle name="C￥AØ_p.mix  27 27" xfId="19809"/>
    <cellStyle name="Ç¥ÁØ_p.mix  27 27" xfId="19810"/>
    <cellStyle name="C￥AØ_p.mix  27 28" xfId="19811"/>
    <cellStyle name="Ç¥ÁØ_p.mix  27 28" xfId="19812"/>
    <cellStyle name="C￥AØ_p.mix  27 29" xfId="19813"/>
    <cellStyle name="Ç¥ÁØ_p.mix  27 29" xfId="19814"/>
    <cellStyle name="C￥AØ_p.mix  27 3" xfId="19815"/>
    <cellStyle name="Ç¥ÁØ_p.mix  27 3" xfId="19816"/>
    <cellStyle name="C￥AØ_p.mix  27 30" xfId="19817"/>
    <cellStyle name="Ç¥ÁØ_p.mix  27 30" xfId="19818"/>
    <cellStyle name="C￥AØ_p.mix  27 31" xfId="19819"/>
    <cellStyle name="Ç¥ÁØ_p.mix  27 31" xfId="19820"/>
    <cellStyle name="C￥AØ_p.mix  27 32" xfId="19821"/>
    <cellStyle name="Ç¥ÁØ_p.mix  27 32" xfId="19822"/>
    <cellStyle name="C￥AØ_p.mix  27 33" xfId="19823"/>
    <cellStyle name="Ç¥ÁØ_p.mix  27 33" xfId="19824"/>
    <cellStyle name="C￥AØ_p.mix  27 34" xfId="19825"/>
    <cellStyle name="Ç¥ÁØ_p.mix  27 34" xfId="19826"/>
    <cellStyle name="C￥AØ_p.mix  27 4" xfId="19827"/>
    <cellStyle name="Ç¥ÁØ_p.mix  27 4" xfId="19828"/>
    <cellStyle name="C￥AØ_p.mix  27 5" xfId="19829"/>
    <cellStyle name="Ç¥ÁØ_p.mix  27 5" xfId="19830"/>
    <cellStyle name="C￥AØ_p.mix  27 6" xfId="19831"/>
    <cellStyle name="Ç¥ÁØ_p.mix  27 6" xfId="19832"/>
    <cellStyle name="C￥AØ_p.mix  27 7" xfId="19833"/>
    <cellStyle name="Ç¥ÁØ_p.mix  27 7" xfId="19834"/>
    <cellStyle name="C￥AØ_p.mix  27 8" xfId="19835"/>
    <cellStyle name="Ç¥ÁØ_p.mix  27 8" xfId="19836"/>
    <cellStyle name="C￥AØ_p.mix  27 9" xfId="19837"/>
    <cellStyle name="Ç¥ÁØ_p.mix  27 9" xfId="19838"/>
    <cellStyle name="C￥AØ_p.mix  28" xfId="19839"/>
    <cellStyle name="Ç¥ÁØ_p.mix  28" xfId="19840"/>
    <cellStyle name="C￥AØ_p.mix  28 10" xfId="19841"/>
    <cellStyle name="Ç¥ÁØ_p.mix  28 10" xfId="19842"/>
    <cellStyle name="C￥AØ_p.mix  28 11" xfId="19843"/>
    <cellStyle name="Ç¥ÁØ_p.mix  28 11" xfId="19844"/>
    <cellStyle name="C￥AØ_p.mix  28 12" xfId="19845"/>
    <cellStyle name="Ç¥ÁØ_p.mix  28 12" xfId="19846"/>
    <cellStyle name="C￥AØ_p.mix  28 13" xfId="19847"/>
    <cellStyle name="Ç¥ÁØ_p.mix  28 13" xfId="19848"/>
    <cellStyle name="C￥AØ_p.mix  28 14" xfId="19849"/>
    <cellStyle name="Ç¥ÁØ_p.mix  28 14" xfId="19850"/>
    <cellStyle name="C￥AØ_p.mix  28 15" xfId="19851"/>
    <cellStyle name="Ç¥ÁØ_p.mix  28 15" xfId="19852"/>
    <cellStyle name="C￥AØ_p.mix  28 16" xfId="19853"/>
    <cellStyle name="Ç¥ÁØ_p.mix  28 16" xfId="19854"/>
    <cellStyle name="C￥AØ_p.mix  28 17" xfId="19855"/>
    <cellStyle name="Ç¥ÁØ_p.mix  28 17" xfId="19856"/>
    <cellStyle name="C￥AØ_p.mix  28 18" xfId="19857"/>
    <cellStyle name="Ç¥ÁØ_p.mix  28 18" xfId="19858"/>
    <cellStyle name="C￥AØ_p.mix  28 19" xfId="19859"/>
    <cellStyle name="Ç¥ÁØ_p.mix  28 19" xfId="19860"/>
    <cellStyle name="C￥AØ_p.mix  28 2" xfId="19861"/>
    <cellStyle name="Ç¥ÁØ_p.mix  28 2" xfId="19862"/>
    <cellStyle name="C￥AØ_p.mix  28 20" xfId="19863"/>
    <cellStyle name="Ç¥ÁØ_p.mix  28 20" xfId="19864"/>
    <cellStyle name="C￥AØ_p.mix  28 21" xfId="19865"/>
    <cellStyle name="Ç¥ÁØ_p.mix  28 21" xfId="19866"/>
    <cellStyle name="C￥AØ_p.mix  28 22" xfId="19867"/>
    <cellStyle name="Ç¥ÁØ_p.mix  28 22" xfId="19868"/>
    <cellStyle name="C￥AØ_p.mix  28 23" xfId="19869"/>
    <cellStyle name="Ç¥ÁØ_p.mix  28 23" xfId="19870"/>
    <cellStyle name="C￥AØ_p.mix  28 24" xfId="19871"/>
    <cellStyle name="Ç¥ÁØ_p.mix  28 24" xfId="19872"/>
    <cellStyle name="C￥AØ_p.mix  28 25" xfId="19873"/>
    <cellStyle name="Ç¥ÁØ_p.mix  28 25" xfId="19874"/>
    <cellStyle name="C￥AØ_p.mix  28 26" xfId="19875"/>
    <cellStyle name="Ç¥ÁØ_p.mix  28 26" xfId="19876"/>
    <cellStyle name="C￥AØ_p.mix  28 27" xfId="19877"/>
    <cellStyle name="Ç¥ÁØ_p.mix  28 27" xfId="19878"/>
    <cellStyle name="C￥AØ_p.mix  28 28" xfId="19879"/>
    <cellStyle name="Ç¥ÁØ_p.mix  28 28" xfId="19880"/>
    <cellStyle name="C￥AØ_p.mix  28 29" xfId="19881"/>
    <cellStyle name="Ç¥ÁØ_p.mix  28 29" xfId="19882"/>
    <cellStyle name="C￥AØ_p.mix  28 3" xfId="19883"/>
    <cellStyle name="Ç¥ÁØ_p.mix  28 3" xfId="19884"/>
    <cellStyle name="C￥AØ_p.mix  28 30" xfId="19885"/>
    <cellStyle name="Ç¥ÁØ_p.mix  28 30" xfId="19886"/>
    <cellStyle name="C￥AØ_p.mix  28 31" xfId="19887"/>
    <cellStyle name="Ç¥ÁØ_p.mix  28 31" xfId="19888"/>
    <cellStyle name="C￥AØ_p.mix  28 32" xfId="19889"/>
    <cellStyle name="Ç¥ÁØ_p.mix  28 32" xfId="19890"/>
    <cellStyle name="C￥AØ_p.mix  28 33" xfId="19891"/>
    <cellStyle name="Ç¥ÁØ_p.mix  28 33" xfId="19892"/>
    <cellStyle name="C￥AØ_p.mix  28 34" xfId="19893"/>
    <cellStyle name="Ç¥ÁØ_p.mix  28 34" xfId="19894"/>
    <cellStyle name="C￥AØ_p.mix  28 4" xfId="19895"/>
    <cellStyle name="Ç¥ÁØ_p.mix  28 4" xfId="19896"/>
    <cellStyle name="C￥AØ_p.mix  28 5" xfId="19897"/>
    <cellStyle name="Ç¥ÁØ_p.mix  28 5" xfId="19898"/>
    <cellStyle name="C￥AØ_p.mix  28 6" xfId="19899"/>
    <cellStyle name="Ç¥ÁØ_p.mix  28 6" xfId="19900"/>
    <cellStyle name="C￥AØ_p.mix  28 7" xfId="19901"/>
    <cellStyle name="Ç¥ÁØ_p.mix  28 7" xfId="19902"/>
    <cellStyle name="C￥AØ_p.mix  28 8" xfId="19903"/>
    <cellStyle name="Ç¥ÁØ_p.mix  28 8" xfId="19904"/>
    <cellStyle name="C￥AØ_p.mix  28 9" xfId="19905"/>
    <cellStyle name="Ç¥ÁØ_p.mix  28 9" xfId="19906"/>
    <cellStyle name="C￥AØ_p.mix  29" xfId="19907"/>
    <cellStyle name="Ç¥ÁØ_p.mix  29" xfId="19908"/>
    <cellStyle name="C￥AØ_p.mix  29 10" xfId="19909"/>
    <cellStyle name="Ç¥ÁØ_p.mix  29 10" xfId="19910"/>
    <cellStyle name="C￥AØ_p.mix  29 11" xfId="19911"/>
    <cellStyle name="Ç¥ÁØ_p.mix  29 11" xfId="19912"/>
    <cellStyle name="C￥AØ_p.mix  29 12" xfId="19913"/>
    <cellStyle name="Ç¥ÁØ_p.mix  29 12" xfId="19914"/>
    <cellStyle name="C￥AØ_p.mix  29 13" xfId="19915"/>
    <cellStyle name="Ç¥ÁØ_p.mix  29 13" xfId="19916"/>
    <cellStyle name="C￥AØ_p.mix  29 14" xfId="19917"/>
    <cellStyle name="Ç¥ÁØ_p.mix  29 14" xfId="19918"/>
    <cellStyle name="C￥AØ_p.mix  29 15" xfId="19919"/>
    <cellStyle name="Ç¥ÁØ_p.mix  29 15" xfId="19920"/>
    <cellStyle name="C￥AØ_p.mix  29 16" xfId="19921"/>
    <cellStyle name="Ç¥ÁØ_p.mix  29 16" xfId="19922"/>
    <cellStyle name="C￥AØ_p.mix  29 17" xfId="19923"/>
    <cellStyle name="Ç¥ÁØ_p.mix  29 17" xfId="19924"/>
    <cellStyle name="C￥AØ_p.mix  29 18" xfId="19925"/>
    <cellStyle name="Ç¥ÁØ_p.mix  29 18" xfId="19926"/>
    <cellStyle name="C￥AØ_p.mix  29 19" xfId="19927"/>
    <cellStyle name="Ç¥ÁØ_p.mix  29 19" xfId="19928"/>
    <cellStyle name="C￥AØ_p.mix  29 2" xfId="19929"/>
    <cellStyle name="Ç¥ÁØ_p.mix  29 2" xfId="19930"/>
    <cellStyle name="C￥AØ_p.mix  29 20" xfId="19931"/>
    <cellStyle name="Ç¥ÁØ_p.mix  29 20" xfId="19932"/>
    <cellStyle name="C￥AØ_p.mix  29 21" xfId="19933"/>
    <cellStyle name="Ç¥ÁØ_p.mix  29 21" xfId="19934"/>
    <cellStyle name="C￥AØ_p.mix  29 22" xfId="19935"/>
    <cellStyle name="Ç¥ÁØ_p.mix  29 22" xfId="19936"/>
    <cellStyle name="C￥AØ_p.mix  29 23" xfId="19937"/>
    <cellStyle name="Ç¥ÁØ_p.mix  29 23" xfId="19938"/>
    <cellStyle name="C￥AØ_p.mix  29 24" xfId="19939"/>
    <cellStyle name="Ç¥ÁØ_p.mix  29 24" xfId="19940"/>
    <cellStyle name="C￥AØ_p.mix  29 25" xfId="19941"/>
    <cellStyle name="Ç¥ÁØ_p.mix  29 25" xfId="19942"/>
    <cellStyle name="C￥AØ_p.mix  29 26" xfId="19943"/>
    <cellStyle name="Ç¥ÁØ_p.mix  29 26" xfId="19944"/>
    <cellStyle name="C￥AØ_p.mix  29 27" xfId="19945"/>
    <cellStyle name="Ç¥ÁØ_p.mix  29 27" xfId="19946"/>
    <cellStyle name="C￥AØ_p.mix  29 28" xfId="19947"/>
    <cellStyle name="Ç¥ÁØ_p.mix  29 28" xfId="19948"/>
    <cellStyle name="C￥AØ_p.mix  29 29" xfId="19949"/>
    <cellStyle name="Ç¥ÁØ_p.mix  29 29" xfId="19950"/>
    <cellStyle name="C￥AØ_p.mix  29 3" xfId="19951"/>
    <cellStyle name="Ç¥ÁØ_p.mix  29 3" xfId="19952"/>
    <cellStyle name="C￥AØ_p.mix  29 30" xfId="19953"/>
    <cellStyle name="Ç¥ÁØ_p.mix  29 30" xfId="19954"/>
    <cellStyle name="C￥AØ_p.mix  29 31" xfId="19955"/>
    <cellStyle name="Ç¥ÁØ_p.mix  29 31" xfId="19956"/>
    <cellStyle name="C￥AØ_p.mix  29 32" xfId="19957"/>
    <cellStyle name="Ç¥ÁØ_p.mix  29 32" xfId="19958"/>
    <cellStyle name="C￥AØ_p.mix  29 33" xfId="19959"/>
    <cellStyle name="Ç¥ÁØ_p.mix  29 33" xfId="19960"/>
    <cellStyle name="C￥AØ_p.mix  29 34" xfId="19961"/>
    <cellStyle name="Ç¥ÁØ_p.mix  29 34" xfId="19962"/>
    <cellStyle name="C￥AØ_p.mix  29 4" xfId="19963"/>
    <cellStyle name="Ç¥ÁØ_p.mix  29 4" xfId="19964"/>
    <cellStyle name="C￥AØ_p.mix  29 5" xfId="19965"/>
    <cellStyle name="Ç¥ÁØ_p.mix  29 5" xfId="19966"/>
    <cellStyle name="C￥AØ_p.mix  29 6" xfId="19967"/>
    <cellStyle name="Ç¥ÁØ_p.mix  29 6" xfId="19968"/>
    <cellStyle name="C￥AØ_p.mix  29 7" xfId="19969"/>
    <cellStyle name="Ç¥ÁØ_p.mix  29 7" xfId="19970"/>
    <cellStyle name="C￥AØ_p.mix  29 8" xfId="19971"/>
    <cellStyle name="Ç¥ÁØ_p.mix  29 8" xfId="19972"/>
    <cellStyle name="C￥AØ_p.mix  29 9" xfId="19973"/>
    <cellStyle name="Ç¥ÁØ_p.mix  29 9" xfId="19974"/>
    <cellStyle name="C￥AØ_p.mix  3" xfId="19975"/>
    <cellStyle name="Ç¥ÁØ_p.mix  3" xfId="19976"/>
    <cellStyle name="C￥AØ_p.mix  3 10" xfId="19977"/>
    <cellStyle name="Ç¥ÁØ_p.mix  3 10" xfId="19978"/>
    <cellStyle name="C￥AØ_p.mix  3 11" xfId="19979"/>
    <cellStyle name="Ç¥ÁØ_p.mix  3 11" xfId="19980"/>
    <cellStyle name="C￥AØ_p.mix  3 12" xfId="19981"/>
    <cellStyle name="Ç¥ÁØ_p.mix  3 12" xfId="19982"/>
    <cellStyle name="C￥AØ_p.mix  3 13" xfId="19983"/>
    <cellStyle name="Ç¥ÁØ_p.mix  3 13" xfId="19984"/>
    <cellStyle name="C￥AØ_p.mix  3 14" xfId="19985"/>
    <cellStyle name="Ç¥ÁØ_p.mix  3 14" xfId="19986"/>
    <cellStyle name="C￥AØ_p.mix  3 15" xfId="19987"/>
    <cellStyle name="Ç¥ÁØ_p.mix  3 15" xfId="19988"/>
    <cellStyle name="C￥AØ_p.mix  3 16" xfId="19989"/>
    <cellStyle name="Ç¥ÁØ_p.mix  3 16" xfId="19990"/>
    <cellStyle name="C￥AØ_p.mix  3 17" xfId="19991"/>
    <cellStyle name="Ç¥ÁØ_p.mix  3 17" xfId="19992"/>
    <cellStyle name="C￥AØ_p.mix  3 18" xfId="19993"/>
    <cellStyle name="Ç¥ÁØ_p.mix  3 18" xfId="19994"/>
    <cellStyle name="C￥AØ_p.mix  3 19" xfId="19995"/>
    <cellStyle name="Ç¥ÁØ_p.mix  3 19" xfId="19996"/>
    <cellStyle name="C￥AØ_p.mix  3 2" xfId="19997"/>
    <cellStyle name="Ç¥ÁØ_p.mix  3 2" xfId="19998"/>
    <cellStyle name="C￥AØ_p.mix  3 20" xfId="19999"/>
    <cellStyle name="Ç¥ÁØ_p.mix  3 20" xfId="20000"/>
    <cellStyle name="C￥AØ_p.mix  3 21" xfId="20001"/>
    <cellStyle name="Ç¥ÁØ_p.mix  3 21" xfId="20002"/>
    <cellStyle name="C￥AØ_p.mix  3 22" xfId="20003"/>
    <cellStyle name="Ç¥ÁØ_p.mix  3 22" xfId="20004"/>
    <cellStyle name="C￥AØ_p.mix  3 23" xfId="20005"/>
    <cellStyle name="Ç¥ÁØ_p.mix  3 23" xfId="20006"/>
    <cellStyle name="C￥AØ_p.mix  3 24" xfId="20007"/>
    <cellStyle name="Ç¥ÁØ_p.mix  3 24" xfId="20008"/>
    <cellStyle name="C￥AØ_p.mix  3 25" xfId="20009"/>
    <cellStyle name="Ç¥ÁØ_p.mix  3 25" xfId="20010"/>
    <cellStyle name="C￥AØ_p.mix  3 26" xfId="20011"/>
    <cellStyle name="Ç¥ÁØ_p.mix  3 26" xfId="20012"/>
    <cellStyle name="C￥AØ_p.mix  3 27" xfId="20013"/>
    <cellStyle name="Ç¥ÁØ_p.mix  3 27" xfId="20014"/>
    <cellStyle name="C￥AØ_p.mix  3 28" xfId="20015"/>
    <cellStyle name="Ç¥ÁØ_p.mix  3 28" xfId="20016"/>
    <cellStyle name="C￥AØ_p.mix  3 29" xfId="20017"/>
    <cellStyle name="Ç¥ÁØ_p.mix  3 29" xfId="20018"/>
    <cellStyle name="C￥AØ_p.mix  3 3" xfId="20019"/>
    <cellStyle name="Ç¥ÁØ_p.mix  3 3" xfId="20020"/>
    <cellStyle name="C￥AØ_p.mix  3 30" xfId="20021"/>
    <cellStyle name="Ç¥ÁØ_p.mix  3 30" xfId="20022"/>
    <cellStyle name="C￥AØ_p.mix  3 31" xfId="20023"/>
    <cellStyle name="Ç¥ÁØ_p.mix  3 31" xfId="20024"/>
    <cellStyle name="C￥AØ_p.mix  3 32" xfId="20025"/>
    <cellStyle name="Ç¥ÁØ_p.mix  3 32" xfId="20026"/>
    <cellStyle name="C￥AØ_p.mix  3 33" xfId="20027"/>
    <cellStyle name="Ç¥ÁØ_p.mix  3 33" xfId="20028"/>
    <cellStyle name="C￥AØ_p.mix  3 34" xfId="20029"/>
    <cellStyle name="Ç¥ÁØ_p.mix  3 34" xfId="20030"/>
    <cellStyle name="C￥AØ_p.mix  3 4" xfId="20031"/>
    <cellStyle name="Ç¥ÁØ_p.mix  3 4" xfId="20032"/>
    <cellStyle name="C￥AØ_p.mix  3 5" xfId="20033"/>
    <cellStyle name="Ç¥ÁØ_p.mix  3 5" xfId="20034"/>
    <cellStyle name="C￥AØ_p.mix  3 6" xfId="20035"/>
    <cellStyle name="Ç¥ÁØ_p.mix  3 6" xfId="20036"/>
    <cellStyle name="C￥AØ_p.mix  3 7" xfId="20037"/>
    <cellStyle name="Ç¥ÁØ_p.mix  3 7" xfId="20038"/>
    <cellStyle name="C￥AØ_p.mix  3 8" xfId="20039"/>
    <cellStyle name="Ç¥ÁØ_p.mix  3 8" xfId="20040"/>
    <cellStyle name="C￥AØ_p.mix  3 9" xfId="20041"/>
    <cellStyle name="Ç¥ÁØ_p.mix  3 9" xfId="20042"/>
    <cellStyle name="C￥AØ_p.mix  30" xfId="20043"/>
    <cellStyle name="Ç¥ÁØ_p.mix  30" xfId="20044"/>
    <cellStyle name="C￥AØ_p.mix  30 10" xfId="20045"/>
    <cellStyle name="Ç¥ÁØ_p.mix  30 10" xfId="20046"/>
    <cellStyle name="C￥AØ_p.mix  30 11" xfId="20047"/>
    <cellStyle name="Ç¥ÁØ_p.mix  30 11" xfId="20048"/>
    <cellStyle name="C￥AØ_p.mix  30 12" xfId="20049"/>
    <cellStyle name="Ç¥ÁØ_p.mix  30 12" xfId="20050"/>
    <cellStyle name="C￥AØ_p.mix  30 13" xfId="20051"/>
    <cellStyle name="Ç¥ÁØ_p.mix  30 13" xfId="20052"/>
    <cellStyle name="C￥AØ_p.mix  30 14" xfId="20053"/>
    <cellStyle name="Ç¥ÁØ_p.mix  30 14" xfId="20054"/>
    <cellStyle name="C￥AØ_p.mix  30 15" xfId="20055"/>
    <cellStyle name="Ç¥ÁØ_p.mix  30 15" xfId="20056"/>
    <cellStyle name="C￥AØ_p.mix  30 16" xfId="20057"/>
    <cellStyle name="Ç¥ÁØ_p.mix  30 16" xfId="20058"/>
    <cellStyle name="C￥AØ_p.mix  30 17" xfId="20059"/>
    <cellStyle name="Ç¥ÁØ_p.mix  30 17" xfId="20060"/>
    <cellStyle name="C￥AØ_p.mix  30 18" xfId="20061"/>
    <cellStyle name="Ç¥ÁØ_p.mix  30 18" xfId="20062"/>
    <cellStyle name="C￥AØ_p.mix  30 19" xfId="20063"/>
    <cellStyle name="Ç¥ÁØ_p.mix  30 19" xfId="20064"/>
    <cellStyle name="C￥AØ_p.mix  30 2" xfId="20065"/>
    <cellStyle name="Ç¥ÁØ_p.mix  30 2" xfId="20066"/>
    <cellStyle name="C￥AØ_p.mix  30 20" xfId="20067"/>
    <cellStyle name="Ç¥ÁØ_p.mix  30 20" xfId="20068"/>
    <cellStyle name="C￥AØ_p.mix  30 21" xfId="20069"/>
    <cellStyle name="Ç¥ÁØ_p.mix  30 21" xfId="20070"/>
    <cellStyle name="C￥AØ_p.mix  30 22" xfId="20071"/>
    <cellStyle name="Ç¥ÁØ_p.mix  30 22" xfId="20072"/>
    <cellStyle name="C￥AØ_p.mix  30 23" xfId="20073"/>
    <cellStyle name="Ç¥ÁØ_p.mix  30 23" xfId="20074"/>
    <cellStyle name="C￥AØ_p.mix  30 24" xfId="20075"/>
    <cellStyle name="Ç¥ÁØ_p.mix  30 24" xfId="20076"/>
    <cellStyle name="C￥AØ_p.mix  30 25" xfId="20077"/>
    <cellStyle name="Ç¥ÁØ_p.mix  30 25" xfId="20078"/>
    <cellStyle name="C￥AØ_p.mix  30 26" xfId="20079"/>
    <cellStyle name="Ç¥ÁØ_p.mix  30 26" xfId="20080"/>
    <cellStyle name="C￥AØ_p.mix  30 27" xfId="20081"/>
    <cellStyle name="Ç¥ÁØ_p.mix  30 27" xfId="20082"/>
    <cellStyle name="C￥AØ_p.mix  30 28" xfId="20083"/>
    <cellStyle name="Ç¥ÁØ_p.mix  30 28" xfId="20084"/>
    <cellStyle name="C￥AØ_p.mix  30 29" xfId="20085"/>
    <cellStyle name="Ç¥ÁØ_p.mix  30 29" xfId="20086"/>
    <cellStyle name="C￥AØ_p.mix  30 3" xfId="20087"/>
    <cellStyle name="Ç¥ÁØ_p.mix  30 3" xfId="20088"/>
    <cellStyle name="C￥AØ_p.mix  30 30" xfId="20089"/>
    <cellStyle name="Ç¥ÁØ_p.mix  30 30" xfId="20090"/>
    <cellStyle name="C￥AØ_p.mix  30 31" xfId="20091"/>
    <cellStyle name="Ç¥ÁØ_p.mix  30 31" xfId="20092"/>
    <cellStyle name="C￥AØ_p.mix  30 32" xfId="20093"/>
    <cellStyle name="Ç¥ÁØ_p.mix  30 32" xfId="20094"/>
    <cellStyle name="C￥AØ_p.mix  30 33" xfId="20095"/>
    <cellStyle name="Ç¥ÁØ_p.mix  30 33" xfId="20096"/>
    <cellStyle name="C￥AØ_p.mix  30 34" xfId="20097"/>
    <cellStyle name="Ç¥ÁØ_p.mix  30 34" xfId="20098"/>
    <cellStyle name="C￥AØ_p.mix  30 4" xfId="20099"/>
    <cellStyle name="Ç¥ÁØ_p.mix  30 4" xfId="20100"/>
    <cellStyle name="C￥AØ_p.mix  30 5" xfId="20101"/>
    <cellStyle name="Ç¥ÁØ_p.mix  30 5" xfId="20102"/>
    <cellStyle name="C￥AØ_p.mix  30 6" xfId="20103"/>
    <cellStyle name="Ç¥ÁØ_p.mix  30 6" xfId="20104"/>
    <cellStyle name="C￥AØ_p.mix  30 7" xfId="20105"/>
    <cellStyle name="Ç¥ÁØ_p.mix  30 7" xfId="20106"/>
    <cellStyle name="C￥AØ_p.mix  30 8" xfId="20107"/>
    <cellStyle name="Ç¥ÁØ_p.mix  30 8" xfId="20108"/>
    <cellStyle name="C￥AØ_p.mix  30 9" xfId="20109"/>
    <cellStyle name="Ç¥ÁØ_p.mix  30 9" xfId="20110"/>
    <cellStyle name="C￥AØ_p.mix  31" xfId="20111"/>
    <cellStyle name="Ç¥ÁØ_p.mix  31" xfId="20112"/>
    <cellStyle name="C￥AØ_p.mix  31 10" xfId="20113"/>
    <cellStyle name="Ç¥ÁØ_p.mix  31 10" xfId="20114"/>
    <cellStyle name="C￥AØ_p.mix  31 11" xfId="20115"/>
    <cellStyle name="Ç¥ÁØ_p.mix  31 11" xfId="20116"/>
    <cellStyle name="C￥AØ_p.mix  31 12" xfId="20117"/>
    <cellStyle name="Ç¥ÁØ_p.mix  31 12" xfId="20118"/>
    <cellStyle name="C￥AØ_p.mix  31 13" xfId="20119"/>
    <cellStyle name="Ç¥ÁØ_p.mix  31 13" xfId="20120"/>
    <cellStyle name="C￥AØ_p.mix  31 14" xfId="20121"/>
    <cellStyle name="Ç¥ÁØ_p.mix  31 14" xfId="20122"/>
    <cellStyle name="C￥AØ_p.mix  31 15" xfId="20123"/>
    <cellStyle name="Ç¥ÁØ_p.mix  31 15" xfId="20124"/>
    <cellStyle name="C￥AØ_p.mix  31 16" xfId="20125"/>
    <cellStyle name="Ç¥ÁØ_p.mix  31 16" xfId="20126"/>
    <cellStyle name="C￥AØ_p.mix  31 17" xfId="20127"/>
    <cellStyle name="Ç¥ÁØ_p.mix  31 17" xfId="20128"/>
    <cellStyle name="C￥AØ_p.mix  31 18" xfId="20129"/>
    <cellStyle name="Ç¥ÁØ_p.mix  31 18" xfId="20130"/>
    <cellStyle name="C￥AØ_p.mix  31 19" xfId="20131"/>
    <cellStyle name="Ç¥ÁØ_p.mix  31 19" xfId="20132"/>
    <cellStyle name="C￥AØ_p.mix  31 2" xfId="20133"/>
    <cellStyle name="Ç¥ÁØ_p.mix  31 2" xfId="20134"/>
    <cellStyle name="C￥AØ_p.mix  31 20" xfId="20135"/>
    <cellStyle name="Ç¥ÁØ_p.mix  31 20" xfId="20136"/>
    <cellStyle name="C￥AØ_p.mix  31 21" xfId="20137"/>
    <cellStyle name="Ç¥ÁØ_p.mix  31 21" xfId="20138"/>
    <cellStyle name="C￥AØ_p.mix  31 22" xfId="20139"/>
    <cellStyle name="Ç¥ÁØ_p.mix  31 22" xfId="20140"/>
    <cellStyle name="C￥AØ_p.mix  31 23" xfId="20141"/>
    <cellStyle name="Ç¥ÁØ_p.mix  31 23" xfId="20142"/>
    <cellStyle name="C￥AØ_p.mix  31 24" xfId="20143"/>
    <cellStyle name="Ç¥ÁØ_p.mix  31 24" xfId="20144"/>
    <cellStyle name="C￥AØ_p.mix  31 25" xfId="20145"/>
    <cellStyle name="Ç¥ÁØ_p.mix  31 25" xfId="20146"/>
    <cellStyle name="C￥AØ_p.mix  31 26" xfId="20147"/>
    <cellStyle name="Ç¥ÁØ_p.mix  31 26" xfId="20148"/>
    <cellStyle name="C￥AØ_p.mix  31 27" xfId="20149"/>
    <cellStyle name="Ç¥ÁØ_p.mix  31 27" xfId="20150"/>
    <cellStyle name="C￥AØ_p.mix  31 28" xfId="20151"/>
    <cellStyle name="Ç¥ÁØ_p.mix  31 28" xfId="20152"/>
    <cellStyle name="C￥AØ_p.mix  31 29" xfId="20153"/>
    <cellStyle name="Ç¥ÁØ_p.mix  31 29" xfId="20154"/>
    <cellStyle name="C￥AØ_p.mix  31 3" xfId="20155"/>
    <cellStyle name="Ç¥ÁØ_p.mix  31 3" xfId="20156"/>
    <cellStyle name="C￥AØ_p.mix  31 30" xfId="20157"/>
    <cellStyle name="Ç¥ÁØ_p.mix  31 30" xfId="20158"/>
    <cellStyle name="C￥AØ_p.mix  31 31" xfId="20159"/>
    <cellStyle name="Ç¥ÁØ_p.mix  31 31" xfId="20160"/>
    <cellStyle name="C￥AØ_p.mix  31 32" xfId="20161"/>
    <cellStyle name="Ç¥ÁØ_p.mix  31 32" xfId="20162"/>
    <cellStyle name="C￥AØ_p.mix  31 33" xfId="20163"/>
    <cellStyle name="Ç¥ÁØ_p.mix  31 33" xfId="20164"/>
    <cellStyle name="C￥AØ_p.mix  31 34" xfId="20165"/>
    <cellStyle name="Ç¥ÁØ_p.mix  31 34" xfId="20166"/>
    <cellStyle name="C￥AØ_p.mix  31 4" xfId="20167"/>
    <cellStyle name="Ç¥ÁØ_p.mix  31 4" xfId="20168"/>
    <cellStyle name="C￥AØ_p.mix  31 5" xfId="20169"/>
    <cellStyle name="Ç¥ÁØ_p.mix  31 5" xfId="20170"/>
    <cellStyle name="C￥AØ_p.mix  31 6" xfId="20171"/>
    <cellStyle name="Ç¥ÁØ_p.mix  31 6" xfId="20172"/>
    <cellStyle name="C￥AØ_p.mix  31 7" xfId="20173"/>
    <cellStyle name="Ç¥ÁØ_p.mix  31 7" xfId="20174"/>
    <cellStyle name="C￥AØ_p.mix  31 8" xfId="20175"/>
    <cellStyle name="Ç¥ÁØ_p.mix  31 8" xfId="20176"/>
    <cellStyle name="C￥AØ_p.mix  31 9" xfId="20177"/>
    <cellStyle name="Ç¥ÁØ_p.mix  31 9" xfId="20178"/>
    <cellStyle name="C￥AØ_p.mix  32" xfId="20179"/>
    <cellStyle name="Ç¥ÁØ_p.mix  32" xfId="20180"/>
    <cellStyle name="C￥AØ_p.mix  32 10" xfId="20181"/>
    <cellStyle name="Ç¥ÁØ_p.mix  32 10" xfId="20182"/>
    <cellStyle name="C￥AØ_p.mix  32 11" xfId="20183"/>
    <cellStyle name="Ç¥ÁØ_p.mix  32 11" xfId="20184"/>
    <cellStyle name="C￥AØ_p.mix  32 12" xfId="20185"/>
    <cellStyle name="Ç¥ÁØ_p.mix  32 12" xfId="20186"/>
    <cellStyle name="C￥AØ_p.mix  32 13" xfId="20187"/>
    <cellStyle name="Ç¥ÁØ_p.mix  32 13" xfId="20188"/>
    <cellStyle name="C￥AØ_p.mix  32 14" xfId="20189"/>
    <cellStyle name="Ç¥ÁØ_p.mix  32 14" xfId="20190"/>
    <cellStyle name="C￥AØ_p.mix  32 15" xfId="20191"/>
    <cellStyle name="Ç¥ÁØ_p.mix  32 15" xfId="20192"/>
    <cellStyle name="C￥AØ_p.mix  32 16" xfId="20193"/>
    <cellStyle name="Ç¥ÁØ_p.mix  32 16" xfId="20194"/>
    <cellStyle name="C￥AØ_p.mix  32 17" xfId="20195"/>
    <cellStyle name="Ç¥ÁØ_p.mix  32 17" xfId="20196"/>
    <cellStyle name="C￥AØ_p.mix  32 18" xfId="20197"/>
    <cellStyle name="Ç¥ÁØ_p.mix  32 18" xfId="20198"/>
    <cellStyle name="C￥AØ_p.mix  32 19" xfId="20199"/>
    <cellStyle name="Ç¥ÁØ_p.mix  32 19" xfId="20200"/>
    <cellStyle name="C￥AØ_p.mix  32 2" xfId="20201"/>
    <cellStyle name="Ç¥ÁØ_p.mix  32 2" xfId="20202"/>
    <cellStyle name="C￥AØ_p.mix  32 20" xfId="20203"/>
    <cellStyle name="Ç¥ÁØ_p.mix  32 20" xfId="20204"/>
    <cellStyle name="C￥AØ_p.mix  32 21" xfId="20205"/>
    <cellStyle name="Ç¥ÁØ_p.mix  32 21" xfId="20206"/>
    <cellStyle name="C￥AØ_p.mix  32 22" xfId="20207"/>
    <cellStyle name="Ç¥ÁØ_p.mix  32 22" xfId="20208"/>
    <cellStyle name="C￥AØ_p.mix  32 23" xfId="20209"/>
    <cellStyle name="Ç¥ÁØ_p.mix  32 23" xfId="20210"/>
    <cellStyle name="C￥AØ_p.mix  32 24" xfId="20211"/>
    <cellStyle name="Ç¥ÁØ_p.mix  32 24" xfId="20212"/>
    <cellStyle name="C￥AØ_p.mix  32 25" xfId="20213"/>
    <cellStyle name="Ç¥ÁØ_p.mix  32 25" xfId="20214"/>
    <cellStyle name="C￥AØ_p.mix  32 26" xfId="20215"/>
    <cellStyle name="Ç¥ÁØ_p.mix  32 26" xfId="20216"/>
    <cellStyle name="C￥AØ_p.mix  32 27" xfId="20217"/>
    <cellStyle name="Ç¥ÁØ_p.mix  32 27" xfId="20218"/>
    <cellStyle name="C￥AØ_p.mix  32 28" xfId="20219"/>
    <cellStyle name="Ç¥ÁØ_p.mix  32 28" xfId="20220"/>
    <cellStyle name="C￥AØ_p.mix  32 29" xfId="20221"/>
    <cellStyle name="Ç¥ÁØ_p.mix  32 29" xfId="20222"/>
    <cellStyle name="C￥AØ_p.mix  32 3" xfId="20223"/>
    <cellStyle name="Ç¥ÁØ_p.mix  32 3" xfId="20224"/>
    <cellStyle name="C￥AØ_p.mix  32 30" xfId="20225"/>
    <cellStyle name="Ç¥ÁØ_p.mix  32 30" xfId="20226"/>
    <cellStyle name="C￥AØ_p.mix  32 31" xfId="20227"/>
    <cellStyle name="Ç¥ÁØ_p.mix  32 31" xfId="20228"/>
    <cellStyle name="C￥AØ_p.mix  32 32" xfId="20229"/>
    <cellStyle name="Ç¥ÁØ_p.mix  32 32" xfId="20230"/>
    <cellStyle name="C￥AØ_p.mix  32 33" xfId="20231"/>
    <cellStyle name="Ç¥ÁØ_p.mix  32 33" xfId="20232"/>
    <cellStyle name="C￥AØ_p.mix  32 34" xfId="20233"/>
    <cellStyle name="Ç¥ÁØ_p.mix  32 34" xfId="20234"/>
    <cellStyle name="C￥AØ_p.mix  32 4" xfId="20235"/>
    <cellStyle name="Ç¥ÁØ_p.mix  32 4" xfId="20236"/>
    <cellStyle name="C￥AØ_p.mix  32 5" xfId="20237"/>
    <cellStyle name="Ç¥ÁØ_p.mix  32 5" xfId="20238"/>
    <cellStyle name="C￥AØ_p.mix  32 6" xfId="20239"/>
    <cellStyle name="Ç¥ÁØ_p.mix  32 6" xfId="20240"/>
    <cellStyle name="C￥AØ_p.mix  32 7" xfId="20241"/>
    <cellStyle name="Ç¥ÁØ_p.mix  32 7" xfId="20242"/>
    <cellStyle name="C￥AØ_p.mix  32 8" xfId="20243"/>
    <cellStyle name="Ç¥ÁØ_p.mix  32 8" xfId="20244"/>
    <cellStyle name="C￥AØ_p.mix  32 9" xfId="20245"/>
    <cellStyle name="Ç¥ÁØ_p.mix  32 9" xfId="20246"/>
    <cellStyle name="C￥AØ_p.mix  33" xfId="20247"/>
    <cellStyle name="Ç¥ÁØ_p.mix  33" xfId="20248"/>
    <cellStyle name="C￥AØ_p.mix  33 10" xfId="20249"/>
    <cellStyle name="Ç¥ÁØ_p.mix  33 10" xfId="20250"/>
    <cellStyle name="C￥AØ_p.mix  33 11" xfId="20251"/>
    <cellStyle name="Ç¥ÁØ_p.mix  33 11" xfId="20252"/>
    <cellStyle name="C￥AØ_p.mix  33 12" xfId="20253"/>
    <cellStyle name="Ç¥ÁØ_p.mix  33 12" xfId="20254"/>
    <cellStyle name="C￥AØ_p.mix  33 13" xfId="20255"/>
    <cellStyle name="Ç¥ÁØ_p.mix  33 13" xfId="20256"/>
    <cellStyle name="C￥AØ_p.mix  33 14" xfId="20257"/>
    <cellStyle name="Ç¥ÁØ_p.mix  33 14" xfId="20258"/>
    <cellStyle name="C￥AØ_p.mix  33 15" xfId="20259"/>
    <cellStyle name="Ç¥ÁØ_p.mix  33 15" xfId="20260"/>
    <cellStyle name="C￥AØ_p.mix  33 16" xfId="20261"/>
    <cellStyle name="Ç¥ÁØ_p.mix  33 16" xfId="20262"/>
    <cellStyle name="C￥AØ_p.mix  33 17" xfId="20263"/>
    <cellStyle name="Ç¥ÁØ_p.mix  33 17" xfId="20264"/>
    <cellStyle name="C￥AØ_p.mix  33 18" xfId="20265"/>
    <cellStyle name="Ç¥ÁØ_p.mix  33 18" xfId="20266"/>
    <cellStyle name="C￥AØ_p.mix  33 19" xfId="20267"/>
    <cellStyle name="Ç¥ÁØ_p.mix  33 19" xfId="20268"/>
    <cellStyle name="C￥AØ_p.mix  33 2" xfId="20269"/>
    <cellStyle name="Ç¥ÁØ_p.mix  33 2" xfId="20270"/>
    <cellStyle name="C￥AØ_p.mix  33 20" xfId="20271"/>
    <cellStyle name="Ç¥ÁØ_p.mix  33 20" xfId="20272"/>
    <cellStyle name="C￥AØ_p.mix  33 21" xfId="20273"/>
    <cellStyle name="Ç¥ÁØ_p.mix  33 21" xfId="20274"/>
    <cellStyle name="C￥AØ_p.mix  33 22" xfId="20275"/>
    <cellStyle name="Ç¥ÁØ_p.mix  33 22" xfId="20276"/>
    <cellStyle name="C￥AØ_p.mix  33 23" xfId="20277"/>
    <cellStyle name="Ç¥ÁØ_p.mix  33 23" xfId="20278"/>
    <cellStyle name="C￥AØ_p.mix  33 24" xfId="20279"/>
    <cellStyle name="Ç¥ÁØ_p.mix  33 24" xfId="20280"/>
    <cellStyle name="C￥AØ_p.mix  33 25" xfId="20281"/>
    <cellStyle name="Ç¥ÁØ_p.mix  33 25" xfId="20282"/>
    <cellStyle name="C￥AØ_p.mix  33 26" xfId="20283"/>
    <cellStyle name="Ç¥ÁØ_p.mix  33 26" xfId="20284"/>
    <cellStyle name="C￥AØ_p.mix  33 27" xfId="20285"/>
    <cellStyle name="Ç¥ÁØ_p.mix  33 27" xfId="20286"/>
    <cellStyle name="C￥AØ_p.mix  33 28" xfId="20287"/>
    <cellStyle name="Ç¥ÁØ_p.mix  33 28" xfId="20288"/>
    <cellStyle name="C￥AØ_p.mix  33 29" xfId="20289"/>
    <cellStyle name="Ç¥ÁØ_p.mix  33 29" xfId="20290"/>
    <cellStyle name="C￥AØ_p.mix  33 3" xfId="20291"/>
    <cellStyle name="Ç¥ÁØ_p.mix  33 3" xfId="20292"/>
    <cellStyle name="C￥AØ_p.mix  33 30" xfId="20293"/>
    <cellStyle name="Ç¥ÁØ_p.mix  33 30" xfId="20294"/>
    <cellStyle name="C￥AØ_p.mix  33 31" xfId="20295"/>
    <cellStyle name="Ç¥ÁØ_p.mix  33 31" xfId="20296"/>
    <cellStyle name="C￥AØ_p.mix  33 32" xfId="20297"/>
    <cellStyle name="Ç¥ÁØ_p.mix  33 32" xfId="20298"/>
    <cellStyle name="C￥AØ_p.mix  33 33" xfId="20299"/>
    <cellStyle name="Ç¥ÁØ_p.mix  33 33" xfId="20300"/>
    <cellStyle name="C￥AØ_p.mix  33 34" xfId="20301"/>
    <cellStyle name="Ç¥ÁØ_p.mix  33 34" xfId="20302"/>
    <cellStyle name="C￥AØ_p.mix  33 4" xfId="20303"/>
    <cellStyle name="Ç¥ÁØ_p.mix  33 4" xfId="20304"/>
    <cellStyle name="C￥AØ_p.mix  33 5" xfId="20305"/>
    <cellStyle name="Ç¥ÁØ_p.mix  33 5" xfId="20306"/>
    <cellStyle name="C￥AØ_p.mix  33 6" xfId="20307"/>
    <cellStyle name="Ç¥ÁØ_p.mix  33 6" xfId="20308"/>
    <cellStyle name="C￥AØ_p.mix  33 7" xfId="20309"/>
    <cellStyle name="Ç¥ÁØ_p.mix  33 7" xfId="20310"/>
    <cellStyle name="C￥AØ_p.mix  33 8" xfId="20311"/>
    <cellStyle name="Ç¥ÁØ_p.mix  33 8" xfId="20312"/>
    <cellStyle name="C￥AØ_p.mix  33 9" xfId="20313"/>
    <cellStyle name="Ç¥ÁØ_p.mix  33 9" xfId="20314"/>
    <cellStyle name="C￥AØ_p.mix  34" xfId="20315"/>
    <cellStyle name="Ç¥ÁØ_p.mix  34" xfId="20316"/>
    <cellStyle name="C￥AØ_p.mix  34 10" xfId="20317"/>
    <cellStyle name="Ç¥ÁØ_p.mix  34 10" xfId="20318"/>
    <cellStyle name="C￥AØ_p.mix  34 11" xfId="20319"/>
    <cellStyle name="Ç¥ÁØ_p.mix  34 11" xfId="20320"/>
    <cellStyle name="C￥AØ_p.mix  34 12" xfId="20321"/>
    <cellStyle name="Ç¥ÁØ_p.mix  34 12" xfId="20322"/>
    <cellStyle name="C￥AØ_p.mix  34 13" xfId="20323"/>
    <cellStyle name="Ç¥ÁØ_p.mix  34 13" xfId="20324"/>
    <cellStyle name="C￥AØ_p.mix  34 14" xfId="20325"/>
    <cellStyle name="Ç¥ÁØ_p.mix  34 14" xfId="20326"/>
    <cellStyle name="C￥AØ_p.mix  34 15" xfId="20327"/>
    <cellStyle name="Ç¥ÁØ_p.mix  34 15" xfId="20328"/>
    <cellStyle name="C￥AØ_p.mix  34 16" xfId="20329"/>
    <cellStyle name="Ç¥ÁØ_p.mix  34 16" xfId="20330"/>
    <cellStyle name="C￥AØ_p.mix  34 17" xfId="20331"/>
    <cellStyle name="Ç¥ÁØ_p.mix  34 17" xfId="20332"/>
    <cellStyle name="C￥AØ_p.mix  34 18" xfId="20333"/>
    <cellStyle name="Ç¥ÁØ_p.mix  34 18" xfId="20334"/>
    <cellStyle name="C￥AØ_p.mix  34 19" xfId="20335"/>
    <cellStyle name="Ç¥ÁØ_p.mix  34 19" xfId="20336"/>
    <cellStyle name="C￥AØ_p.mix  34 2" xfId="20337"/>
    <cellStyle name="Ç¥ÁØ_p.mix  34 2" xfId="20338"/>
    <cellStyle name="C￥AØ_p.mix  34 20" xfId="20339"/>
    <cellStyle name="Ç¥ÁØ_p.mix  34 20" xfId="20340"/>
    <cellStyle name="C￥AØ_p.mix  34 21" xfId="20341"/>
    <cellStyle name="Ç¥ÁØ_p.mix  34 21" xfId="20342"/>
    <cellStyle name="C￥AØ_p.mix  34 22" xfId="20343"/>
    <cellStyle name="Ç¥ÁØ_p.mix  34 22" xfId="20344"/>
    <cellStyle name="C￥AØ_p.mix  34 23" xfId="20345"/>
    <cellStyle name="Ç¥ÁØ_p.mix  34 23" xfId="20346"/>
    <cellStyle name="C￥AØ_p.mix  34 24" xfId="20347"/>
    <cellStyle name="Ç¥ÁØ_p.mix  34 24" xfId="20348"/>
    <cellStyle name="C￥AØ_p.mix  34 25" xfId="20349"/>
    <cellStyle name="Ç¥ÁØ_p.mix  34 25" xfId="20350"/>
    <cellStyle name="C￥AØ_p.mix  34 26" xfId="20351"/>
    <cellStyle name="Ç¥ÁØ_p.mix  34 26" xfId="20352"/>
    <cellStyle name="C￥AØ_p.mix  34 27" xfId="20353"/>
    <cellStyle name="Ç¥ÁØ_p.mix  34 27" xfId="20354"/>
    <cellStyle name="C￥AØ_p.mix  34 28" xfId="20355"/>
    <cellStyle name="Ç¥ÁØ_p.mix  34 28" xfId="20356"/>
    <cellStyle name="C￥AØ_p.mix  34 29" xfId="20357"/>
    <cellStyle name="Ç¥ÁØ_p.mix  34 29" xfId="20358"/>
    <cellStyle name="C￥AØ_p.mix  34 3" xfId="20359"/>
    <cellStyle name="Ç¥ÁØ_p.mix  34 3" xfId="20360"/>
    <cellStyle name="C￥AØ_p.mix  34 30" xfId="20361"/>
    <cellStyle name="Ç¥ÁØ_p.mix  34 30" xfId="20362"/>
    <cellStyle name="C￥AØ_p.mix  34 31" xfId="20363"/>
    <cellStyle name="Ç¥ÁØ_p.mix  34 31" xfId="20364"/>
    <cellStyle name="C￥AØ_p.mix  34 32" xfId="20365"/>
    <cellStyle name="Ç¥ÁØ_p.mix  34 32" xfId="20366"/>
    <cellStyle name="C￥AØ_p.mix  34 33" xfId="20367"/>
    <cellStyle name="Ç¥ÁØ_p.mix  34 33" xfId="20368"/>
    <cellStyle name="C￥AØ_p.mix  34 34" xfId="20369"/>
    <cellStyle name="Ç¥ÁØ_p.mix  34 34" xfId="20370"/>
    <cellStyle name="C￥AØ_p.mix  34 4" xfId="20371"/>
    <cellStyle name="Ç¥ÁØ_p.mix  34 4" xfId="20372"/>
    <cellStyle name="C￥AØ_p.mix  34 5" xfId="20373"/>
    <cellStyle name="Ç¥ÁØ_p.mix  34 5" xfId="20374"/>
    <cellStyle name="C￥AØ_p.mix  34 6" xfId="20375"/>
    <cellStyle name="Ç¥ÁØ_p.mix  34 6" xfId="20376"/>
    <cellStyle name="C￥AØ_p.mix  34 7" xfId="20377"/>
    <cellStyle name="Ç¥ÁØ_p.mix  34 7" xfId="20378"/>
    <cellStyle name="C￥AØ_p.mix  34 8" xfId="20379"/>
    <cellStyle name="Ç¥ÁØ_p.mix  34 8" xfId="20380"/>
    <cellStyle name="C￥AØ_p.mix  34 9" xfId="20381"/>
    <cellStyle name="Ç¥ÁØ_p.mix  34 9" xfId="20382"/>
    <cellStyle name="C￥AØ_p.mix  35" xfId="20383"/>
    <cellStyle name="Ç¥ÁØ_p.mix  35" xfId="20384"/>
    <cellStyle name="C￥AØ_p.mix  35 10" xfId="20385"/>
    <cellStyle name="Ç¥ÁØ_p.mix  35 10" xfId="20386"/>
    <cellStyle name="C￥AØ_p.mix  35 11" xfId="20387"/>
    <cellStyle name="Ç¥ÁØ_p.mix  35 11" xfId="20388"/>
    <cellStyle name="C￥AØ_p.mix  35 12" xfId="20389"/>
    <cellStyle name="Ç¥ÁØ_p.mix  35 12" xfId="20390"/>
    <cellStyle name="C￥AØ_p.mix  35 13" xfId="20391"/>
    <cellStyle name="Ç¥ÁØ_p.mix  35 13" xfId="20392"/>
    <cellStyle name="C￥AØ_p.mix  35 14" xfId="20393"/>
    <cellStyle name="Ç¥ÁØ_p.mix  35 14" xfId="20394"/>
    <cellStyle name="C￥AØ_p.mix  35 15" xfId="20395"/>
    <cellStyle name="Ç¥ÁØ_p.mix  35 15" xfId="20396"/>
    <cellStyle name="C￥AØ_p.mix  35 16" xfId="20397"/>
    <cellStyle name="Ç¥ÁØ_p.mix  35 16" xfId="20398"/>
    <cellStyle name="C￥AØ_p.mix  35 17" xfId="20399"/>
    <cellStyle name="Ç¥ÁØ_p.mix  35 17" xfId="20400"/>
    <cellStyle name="C￥AØ_p.mix  35 18" xfId="20401"/>
    <cellStyle name="Ç¥ÁØ_p.mix  35 18" xfId="20402"/>
    <cellStyle name="C￥AØ_p.mix  35 19" xfId="20403"/>
    <cellStyle name="Ç¥ÁØ_p.mix  35 19" xfId="20404"/>
    <cellStyle name="C￥AØ_p.mix  35 2" xfId="20405"/>
    <cellStyle name="Ç¥ÁØ_p.mix  35 2" xfId="20406"/>
    <cellStyle name="C￥AØ_p.mix  35 20" xfId="20407"/>
    <cellStyle name="Ç¥ÁØ_p.mix  35 20" xfId="20408"/>
    <cellStyle name="C￥AØ_p.mix  35 21" xfId="20409"/>
    <cellStyle name="Ç¥ÁØ_p.mix  35 21" xfId="20410"/>
    <cellStyle name="C￥AØ_p.mix  35 22" xfId="20411"/>
    <cellStyle name="Ç¥ÁØ_p.mix  35 22" xfId="20412"/>
    <cellStyle name="C￥AØ_p.mix  35 23" xfId="20413"/>
    <cellStyle name="Ç¥ÁØ_p.mix  35 23" xfId="20414"/>
    <cellStyle name="C￥AØ_p.mix  35 24" xfId="20415"/>
    <cellStyle name="Ç¥ÁØ_p.mix  35 24" xfId="20416"/>
    <cellStyle name="C￥AØ_p.mix  35 25" xfId="20417"/>
    <cellStyle name="Ç¥ÁØ_p.mix  35 25" xfId="20418"/>
    <cellStyle name="C￥AØ_p.mix  35 26" xfId="20419"/>
    <cellStyle name="Ç¥ÁØ_p.mix  35 26" xfId="20420"/>
    <cellStyle name="C￥AØ_p.mix  35 27" xfId="20421"/>
    <cellStyle name="Ç¥ÁØ_p.mix  35 27" xfId="20422"/>
    <cellStyle name="C￥AØ_p.mix  35 28" xfId="20423"/>
    <cellStyle name="Ç¥ÁØ_p.mix  35 28" xfId="20424"/>
    <cellStyle name="C￥AØ_p.mix  35 29" xfId="20425"/>
    <cellStyle name="Ç¥ÁØ_p.mix  35 29" xfId="20426"/>
    <cellStyle name="C￥AØ_p.mix  35 3" xfId="20427"/>
    <cellStyle name="Ç¥ÁØ_p.mix  35 3" xfId="20428"/>
    <cellStyle name="C￥AØ_p.mix  35 30" xfId="20429"/>
    <cellStyle name="Ç¥ÁØ_p.mix  35 30" xfId="20430"/>
    <cellStyle name="C￥AØ_p.mix  35 31" xfId="20431"/>
    <cellStyle name="Ç¥ÁØ_p.mix  35 31" xfId="20432"/>
    <cellStyle name="C￥AØ_p.mix  35 32" xfId="20433"/>
    <cellStyle name="Ç¥ÁØ_p.mix  35 32" xfId="20434"/>
    <cellStyle name="C￥AØ_p.mix  35 33" xfId="20435"/>
    <cellStyle name="Ç¥ÁØ_p.mix  35 33" xfId="20436"/>
    <cellStyle name="C￥AØ_p.mix  35 34" xfId="20437"/>
    <cellStyle name="Ç¥ÁØ_p.mix  35 34" xfId="20438"/>
    <cellStyle name="C￥AØ_p.mix  35 4" xfId="20439"/>
    <cellStyle name="Ç¥ÁØ_p.mix  35 4" xfId="20440"/>
    <cellStyle name="C￥AØ_p.mix  35 5" xfId="20441"/>
    <cellStyle name="Ç¥ÁØ_p.mix  35 5" xfId="20442"/>
    <cellStyle name="C￥AØ_p.mix  35 6" xfId="20443"/>
    <cellStyle name="Ç¥ÁØ_p.mix  35 6" xfId="20444"/>
    <cellStyle name="C￥AØ_p.mix  35 7" xfId="20445"/>
    <cellStyle name="Ç¥ÁØ_p.mix  35 7" xfId="20446"/>
    <cellStyle name="C￥AØ_p.mix  35 8" xfId="20447"/>
    <cellStyle name="Ç¥ÁØ_p.mix  35 8" xfId="20448"/>
    <cellStyle name="C￥AØ_p.mix  35 9" xfId="20449"/>
    <cellStyle name="Ç¥ÁØ_p.mix  35 9" xfId="20450"/>
    <cellStyle name="C￥AØ_p.mix  36" xfId="20451"/>
    <cellStyle name="Ç¥ÁØ_p.mix  36" xfId="20452"/>
    <cellStyle name="C￥AØ_p.mix  36 10" xfId="20453"/>
    <cellStyle name="Ç¥ÁØ_p.mix  36 10" xfId="20454"/>
    <cellStyle name="C￥AØ_p.mix  36 11" xfId="20455"/>
    <cellStyle name="Ç¥ÁØ_p.mix  36 11" xfId="20456"/>
    <cellStyle name="C￥AØ_p.mix  36 12" xfId="20457"/>
    <cellStyle name="Ç¥ÁØ_p.mix  36 12" xfId="20458"/>
    <cellStyle name="C￥AØ_p.mix  36 13" xfId="20459"/>
    <cellStyle name="Ç¥ÁØ_p.mix  36 13" xfId="20460"/>
    <cellStyle name="C￥AØ_p.mix  36 14" xfId="20461"/>
    <cellStyle name="Ç¥ÁØ_p.mix  36 14" xfId="20462"/>
    <cellStyle name="C￥AØ_p.mix  36 15" xfId="20463"/>
    <cellStyle name="Ç¥ÁØ_p.mix  36 15" xfId="20464"/>
    <cellStyle name="C￥AØ_p.mix  36 16" xfId="20465"/>
    <cellStyle name="Ç¥ÁØ_p.mix  36 16" xfId="20466"/>
    <cellStyle name="C￥AØ_p.mix  36 17" xfId="20467"/>
    <cellStyle name="Ç¥ÁØ_p.mix  36 17" xfId="20468"/>
    <cellStyle name="C￥AØ_p.mix  36 18" xfId="20469"/>
    <cellStyle name="Ç¥ÁØ_p.mix  36 18" xfId="20470"/>
    <cellStyle name="C￥AØ_p.mix  36 19" xfId="20471"/>
    <cellStyle name="Ç¥ÁØ_p.mix  36 19" xfId="20472"/>
    <cellStyle name="C￥AØ_p.mix  36 2" xfId="20473"/>
    <cellStyle name="Ç¥ÁØ_p.mix  36 2" xfId="20474"/>
    <cellStyle name="C￥AØ_p.mix  36 20" xfId="20475"/>
    <cellStyle name="Ç¥ÁØ_p.mix  36 20" xfId="20476"/>
    <cellStyle name="C￥AØ_p.mix  36 21" xfId="20477"/>
    <cellStyle name="Ç¥ÁØ_p.mix  36 21" xfId="20478"/>
    <cellStyle name="C￥AØ_p.mix  36 22" xfId="20479"/>
    <cellStyle name="Ç¥ÁØ_p.mix  36 22" xfId="20480"/>
    <cellStyle name="C￥AØ_p.mix  36 23" xfId="20481"/>
    <cellStyle name="Ç¥ÁØ_p.mix  36 23" xfId="20482"/>
    <cellStyle name="C￥AØ_p.mix  36 24" xfId="20483"/>
    <cellStyle name="Ç¥ÁØ_p.mix  36 24" xfId="20484"/>
    <cellStyle name="C￥AØ_p.mix  36 25" xfId="20485"/>
    <cellStyle name="Ç¥ÁØ_p.mix  36 25" xfId="20486"/>
    <cellStyle name="C￥AØ_p.mix  36 26" xfId="20487"/>
    <cellStyle name="Ç¥ÁØ_p.mix  36 26" xfId="20488"/>
    <cellStyle name="C￥AØ_p.mix  36 27" xfId="20489"/>
    <cellStyle name="Ç¥ÁØ_p.mix  36 27" xfId="20490"/>
    <cellStyle name="C￥AØ_p.mix  36 28" xfId="20491"/>
    <cellStyle name="Ç¥ÁØ_p.mix  36 28" xfId="20492"/>
    <cellStyle name="C￥AØ_p.mix  36 29" xfId="20493"/>
    <cellStyle name="Ç¥ÁØ_p.mix  36 29" xfId="20494"/>
    <cellStyle name="C￥AØ_p.mix  36 3" xfId="20495"/>
    <cellStyle name="Ç¥ÁØ_p.mix  36 3" xfId="20496"/>
    <cellStyle name="C￥AØ_p.mix  36 30" xfId="20497"/>
    <cellStyle name="Ç¥ÁØ_p.mix  36 30" xfId="20498"/>
    <cellStyle name="C￥AØ_p.mix  36 31" xfId="20499"/>
    <cellStyle name="Ç¥ÁØ_p.mix  36 31" xfId="20500"/>
    <cellStyle name="C￥AØ_p.mix  36 32" xfId="20501"/>
    <cellStyle name="Ç¥ÁØ_p.mix  36 32" xfId="20502"/>
    <cellStyle name="C￥AØ_p.mix  36 33" xfId="20503"/>
    <cellStyle name="Ç¥ÁØ_p.mix  36 33" xfId="20504"/>
    <cellStyle name="C￥AØ_p.mix  36 34" xfId="20505"/>
    <cellStyle name="Ç¥ÁØ_p.mix  36 34" xfId="20506"/>
    <cellStyle name="C￥AØ_p.mix  36 4" xfId="20507"/>
    <cellStyle name="Ç¥ÁØ_p.mix  36 4" xfId="20508"/>
    <cellStyle name="C￥AØ_p.mix  36 5" xfId="20509"/>
    <cellStyle name="Ç¥ÁØ_p.mix  36 5" xfId="20510"/>
    <cellStyle name="C￥AØ_p.mix  36 6" xfId="20511"/>
    <cellStyle name="Ç¥ÁØ_p.mix  36 6" xfId="20512"/>
    <cellStyle name="C￥AØ_p.mix  36 7" xfId="20513"/>
    <cellStyle name="Ç¥ÁØ_p.mix  36 7" xfId="20514"/>
    <cellStyle name="C￥AØ_p.mix  36 8" xfId="20515"/>
    <cellStyle name="Ç¥ÁØ_p.mix  36 8" xfId="20516"/>
    <cellStyle name="C￥AØ_p.mix  36 9" xfId="20517"/>
    <cellStyle name="Ç¥ÁØ_p.mix  36 9" xfId="20518"/>
    <cellStyle name="C￥AØ_p.mix  37" xfId="20519"/>
    <cellStyle name="Ç¥ÁØ_p.mix  37" xfId="20520"/>
    <cellStyle name="C￥AØ_p.mix  37 10" xfId="20521"/>
    <cellStyle name="Ç¥ÁØ_p.mix  37 10" xfId="20522"/>
    <cellStyle name="C￥AØ_p.mix  37 11" xfId="20523"/>
    <cellStyle name="Ç¥ÁØ_p.mix  37 11" xfId="20524"/>
    <cellStyle name="C￥AØ_p.mix  37 12" xfId="20525"/>
    <cellStyle name="Ç¥ÁØ_p.mix  37 12" xfId="20526"/>
    <cellStyle name="C￥AØ_p.mix  37 13" xfId="20527"/>
    <cellStyle name="Ç¥ÁØ_p.mix  37 13" xfId="20528"/>
    <cellStyle name="C￥AØ_p.mix  37 14" xfId="20529"/>
    <cellStyle name="Ç¥ÁØ_p.mix  37 14" xfId="20530"/>
    <cellStyle name="C￥AØ_p.mix  37 15" xfId="20531"/>
    <cellStyle name="Ç¥ÁØ_p.mix  37 15" xfId="20532"/>
    <cellStyle name="C￥AØ_p.mix  37 16" xfId="20533"/>
    <cellStyle name="Ç¥ÁØ_p.mix  37 16" xfId="20534"/>
    <cellStyle name="C￥AØ_p.mix  37 17" xfId="20535"/>
    <cellStyle name="Ç¥ÁØ_p.mix  37 17" xfId="20536"/>
    <cellStyle name="C￥AØ_p.mix  37 18" xfId="20537"/>
    <cellStyle name="Ç¥ÁØ_p.mix  37 18" xfId="20538"/>
    <cellStyle name="C￥AØ_p.mix  37 19" xfId="20539"/>
    <cellStyle name="Ç¥ÁØ_p.mix  37 19" xfId="20540"/>
    <cellStyle name="C￥AØ_p.mix  37 2" xfId="20541"/>
    <cellStyle name="Ç¥ÁØ_p.mix  37 2" xfId="20542"/>
    <cellStyle name="C￥AØ_p.mix  37 20" xfId="20543"/>
    <cellStyle name="Ç¥ÁØ_p.mix  37 20" xfId="20544"/>
    <cellStyle name="C￥AØ_p.mix  37 21" xfId="20545"/>
    <cellStyle name="Ç¥ÁØ_p.mix  37 21" xfId="20546"/>
    <cellStyle name="C￥AØ_p.mix  37 22" xfId="20547"/>
    <cellStyle name="Ç¥ÁØ_p.mix  37 22" xfId="20548"/>
    <cellStyle name="C￥AØ_p.mix  37 23" xfId="20549"/>
    <cellStyle name="Ç¥ÁØ_p.mix  37 23" xfId="20550"/>
    <cellStyle name="C￥AØ_p.mix  37 24" xfId="20551"/>
    <cellStyle name="Ç¥ÁØ_p.mix  37 24" xfId="20552"/>
    <cellStyle name="C￥AØ_p.mix  37 25" xfId="20553"/>
    <cellStyle name="Ç¥ÁØ_p.mix  37 25" xfId="20554"/>
    <cellStyle name="C￥AØ_p.mix  37 26" xfId="20555"/>
    <cellStyle name="Ç¥ÁØ_p.mix  37 26" xfId="20556"/>
    <cellStyle name="C￥AØ_p.mix  37 27" xfId="20557"/>
    <cellStyle name="Ç¥ÁØ_p.mix  37 27" xfId="20558"/>
    <cellStyle name="C￥AØ_p.mix  37 28" xfId="20559"/>
    <cellStyle name="Ç¥ÁØ_p.mix  37 28" xfId="20560"/>
    <cellStyle name="C￥AØ_p.mix  37 29" xfId="20561"/>
    <cellStyle name="Ç¥ÁØ_p.mix  37 29" xfId="20562"/>
    <cellStyle name="C￥AØ_p.mix  37 3" xfId="20563"/>
    <cellStyle name="Ç¥ÁØ_p.mix  37 3" xfId="20564"/>
    <cellStyle name="C￥AØ_p.mix  37 30" xfId="20565"/>
    <cellStyle name="Ç¥ÁØ_p.mix  37 30" xfId="20566"/>
    <cellStyle name="C￥AØ_p.mix  37 31" xfId="20567"/>
    <cellStyle name="Ç¥ÁØ_p.mix  37 31" xfId="20568"/>
    <cellStyle name="C￥AØ_p.mix  37 32" xfId="20569"/>
    <cellStyle name="Ç¥ÁØ_p.mix  37 32" xfId="20570"/>
    <cellStyle name="C￥AØ_p.mix  37 33" xfId="20571"/>
    <cellStyle name="Ç¥ÁØ_p.mix  37 33" xfId="20572"/>
    <cellStyle name="C￥AØ_p.mix  37 34" xfId="20573"/>
    <cellStyle name="Ç¥ÁØ_p.mix  37 34" xfId="20574"/>
    <cellStyle name="C￥AØ_p.mix  37 4" xfId="20575"/>
    <cellStyle name="Ç¥ÁØ_p.mix  37 4" xfId="20576"/>
    <cellStyle name="C￥AØ_p.mix  37 5" xfId="20577"/>
    <cellStyle name="Ç¥ÁØ_p.mix  37 5" xfId="20578"/>
    <cellStyle name="C￥AØ_p.mix  37 6" xfId="20579"/>
    <cellStyle name="Ç¥ÁØ_p.mix  37 6" xfId="20580"/>
    <cellStyle name="C￥AØ_p.mix  37 7" xfId="20581"/>
    <cellStyle name="Ç¥ÁØ_p.mix  37 7" xfId="20582"/>
    <cellStyle name="C￥AØ_p.mix  37 8" xfId="20583"/>
    <cellStyle name="Ç¥ÁØ_p.mix  37 8" xfId="20584"/>
    <cellStyle name="C￥AØ_p.mix  37 9" xfId="20585"/>
    <cellStyle name="Ç¥ÁØ_p.mix  37 9" xfId="20586"/>
    <cellStyle name="C￥AØ_p.mix  38" xfId="20587"/>
    <cellStyle name="Ç¥ÁØ_p.mix  38" xfId="20588"/>
    <cellStyle name="C￥AØ_p.mix  38 10" xfId="20589"/>
    <cellStyle name="Ç¥ÁØ_p.mix  38 10" xfId="20590"/>
    <cellStyle name="C￥AØ_p.mix  38 11" xfId="20591"/>
    <cellStyle name="Ç¥ÁØ_p.mix  38 11" xfId="20592"/>
    <cellStyle name="C￥AØ_p.mix  38 12" xfId="20593"/>
    <cellStyle name="Ç¥ÁØ_p.mix  38 12" xfId="20594"/>
    <cellStyle name="C￥AØ_p.mix  38 13" xfId="20595"/>
    <cellStyle name="Ç¥ÁØ_p.mix  38 13" xfId="20596"/>
    <cellStyle name="C￥AØ_p.mix  38 14" xfId="20597"/>
    <cellStyle name="Ç¥ÁØ_p.mix  38 14" xfId="20598"/>
    <cellStyle name="C￥AØ_p.mix  38 15" xfId="20599"/>
    <cellStyle name="Ç¥ÁØ_p.mix  38 15" xfId="20600"/>
    <cellStyle name="C￥AØ_p.mix  38 16" xfId="20601"/>
    <cellStyle name="Ç¥ÁØ_p.mix  38 16" xfId="20602"/>
    <cellStyle name="C￥AØ_p.mix  38 17" xfId="20603"/>
    <cellStyle name="Ç¥ÁØ_p.mix  38 17" xfId="20604"/>
    <cellStyle name="C￥AØ_p.mix  38 18" xfId="20605"/>
    <cellStyle name="Ç¥ÁØ_p.mix  38 18" xfId="20606"/>
    <cellStyle name="C￥AØ_p.mix  38 19" xfId="20607"/>
    <cellStyle name="Ç¥ÁØ_p.mix  38 19" xfId="20608"/>
    <cellStyle name="C￥AØ_p.mix  38 2" xfId="20609"/>
    <cellStyle name="Ç¥ÁØ_p.mix  38 2" xfId="20610"/>
    <cellStyle name="C￥AØ_p.mix  38 20" xfId="20611"/>
    <cellStyle name="Ç¥ÁØ_p.mix  38 20" xfId="20612"/>
    <cellStyle name="C￥AØ_p.mix  38 21" xfId="20613"/>
    <cellStyle name="Ç¥ÁØ_p.mix  38 21" xfId="20614"/>
    <cellStyle name="C￥AØ_p.mix  38 22" xfId="20615"/>
    <cellStyle name="Ç¥ÁØ_p.mix  38 22" xfId="20616"/>
    <cellStyle name="C￥AØ_p.mix  38 23" xfId="20617"/>
    <cellStyle name="Ç¥ÁØ_p.mix  38 23" xfId="20618"/>
    <cellStyle name="C￥AØ_p.mix  38 24" xfId="20619"/>
    <cellStyle name="Ç¥ÁØ_p.mix  38 24" xfId="20620"/>
    <cellStyle name="C￥AØ_p.mix  38 25" xfId="20621"/>
    <cellStyle name="Ç¥ÁØ_p.mix  38 25" xfId="20622"/>
    <cellStyle name="C￥AØ_p.mix  38 26" xfId="20623"/>
    <cellStyle name="Ç¥ÁØ_p.mix  38 26" xfId="20624"/>
    <cellStyle name="C￥AØ_p.mix  38 27" xfId="20625"/>
    <cellStyle name="Ç¥ÁØ_p.mix  38 27" xfId="20626"/>
    <cellStyle name="C￥AØ_p.mix  38 28" xfId="20627"/>
    <cellStyle name="Ç¥ÁØ_p.mix  38 28" xfId="20628"/>
    <cellStyle name="C￥AØ_p.mix  38 29" xfId="20629"/>
    <cellStyle name="Ç¥ÁØ_p.mix  38 29" xfId="20630"/>
    <cellStyle name="C￥AØ_p.mix  38 3" xfId="20631"/>
    <cellStyle name="Ç¥ÁØ_p.mix  38 3" xfId="20632"/>
    <cellStyle name="C￥AØ_p.mix  38 30" xfId="20633"/>
    <cellStyle name="Ç¥ÁØ_p.mix  38 30" xfId="20634"/>
    <cellStyle name="C￥AØ_p.mix  38 31" xfId="20635"/>
    <cellStyle name="Ç¥ÁØ_p.mix  38 31" xfId="20636"/>
    <cellStyle name="C￥AØ_p.mix  38 32" xfId="20637"/>
    <cellStyle name="Ç¥ÁØ_p.mix  38 32" xfId="20638"/>
    <cellStyle name="C￥AØ_p.mix  38 33" xfId="20639"/>
    <cellStyle name="Ç¥ÁØ_p.mix  38 33" xfId="20640"/>
    <cellStyle name="C￥AØ_p.mix  38 34" xfId="20641"/>
    <cellStyle name="Ç¥ÁØ_p.mix  38 34" xfId="20642"/>
    <cellStyle name="C￥AØ_p.mix  38 4" xfId="20643"/>
    <cellStyle name="Ç¥ÁØ_p.mix  38 4" xfId="20644"/>
    <cellStyle name="C￥AØ_p.mix  38 5" xfId="20645"/>
    <cellStyle name="Ç¥ÁØ_p.mix  38 5" xfId="20646"/>
    <cellStyle name="C￥AØ_p.mix  38 6" xfId="20647"/>
    <cellStyle name="Ç¥ÁØ_p.mix  38 6" xfId="20648"/>
    <cellStyle name="C￥AØ_p.mix  38 7" xfId="20649"/>
    <cellStyle name="Ç¥ÁØ_p.mix  38 7" xfId="20650"/>
    <cellStyle name="C￥AØ_p.mix  38 8" xfId="20651"/>
    <cellStyle name="Ç¥ÁØ_p.mix  38 8" xfId="20652"/>
    <cellStyle name="C￥AØ_p.mix  38 9" xfId="20653"/>
    <cellStyle name="Ç¥ÁØ_p.mix  38 9" xfId="20654"/>
    <cellStyle name="C￥AØ_p.mix  39" xfId="20655"/>
    <cellStyle name="Ç¥ÁØ_p.mix  39" xfId="20656"/>
    <cellStyle name="C￥AØ_p.mix  39 10" xfId="20657"/>
    <cellStyle name="Ç¥ÁØ_p.mix  39 10" xfId="20658"/>
    <cellStyle name="C￥AØ_p.mix  39 11" xfId="20659"/>
    <cellStyle name="Ç¥ÁØ_p.mix  39 11" xfId="20660"/>
    <cellStyle name="C￥AØ_p.mix  39 12" xfId="20661"/>
    <cellStyle name="Ç¥ÁØ_p.mix  39 12" xfId="20662"/>
    <cellStyle name="C￥AØ_p.mix  39 13" xfId="20663"/>
    <cellStyle name="Ç¥ÁØ_p.mix  39 13" xfId="20664"/>
    <cellStyle name="C￥AØ_p.mix  39 14" xfId="20665"/>
    <cellStyle name="Ç¥ÁØ_p.mix  39 14" xfId="20666"/>
    <cellStyle name="C￥AØ_p.mix  39 15" xfId="20667"/>
    <cellStyle name="Ç¥ÁØ_p.mix  39 15" xfId="20668"/>
    <cellStyle name="C￥AØ_p.mix  39 16" xfId="20669"/>
    <cellStyle name="Ç¥ÁØ_p.mix  39 16" xfId="20670"/>
    <cellStyle name="C￥AØ_p.mix  39 17" xfId="20671"/>
    <cellStyle name="Ç¥ÁØ_p.mix  39 17" xfId="20672"/>
    <cellStyle name="C￥AØ_p.mix  39 18" xfId="20673"/>
    <cellStyle name="Ç¥ÁØ_p.mix  39 18" xfId="20674"/>
    <cellStyle name="C￥AØ_p.mix  39 19" xfId="20675"/>
    <cellStyle name="Ç¥ÁØ_p.mix  39 19" xfId="20676"/>
    <cellStyle name="C￥AØ_p.mix  39 2" xfId="20677"/>
    <cellStyle name="Ç¥ÁØ_p.mix  39 2" xfId="20678"/>
    <cellStyle name="C￥AØ_p.mix  39 20" xfId="20679"/>
    <cellStyle name="Ç¥ÁØ_p.mix  39 20" xfId="20680"/>
    <cellStyle name="C￥AØ_p.mix  39 21" xfId="20681"/>
    <cellStyle name="Ç¥ÁØ_p.mix  39 21" xfId="20682"/>
    <cellStyle name="C￥AØ_p.mix  39 22" xfId="20683"/>
    <cellStyle name="Ç¥ÁØ_p.mix  39 22" xfId="20684"/>
    <cellStyle name="C￥AØ_p.mix  39 23" xfId="20685"/>
    <cellStyle name="Ç¥ÁØ_p.mix  39 23" xfId="20686"/>
    <cellStyle name="C￥AØ_p.mix  39 24" xfId="20687"/>
    <cellStyle name="Ç¥ÁØ_p.mix  39 24" xfId="20688"/>
    <cellStyle name="C￥AØ_p.mix  39 25" xfId="20689"/>
    <cellStyle name="Ç¥ÁØ_p.mix  39 25" xfId="20690"/>
    <cellStyle name="C￥AØ_p.mix  39 26" xfId="20691"/>
    <cellStyle name="Ç¥ÁØ_p.mix  39 26" xfId="20692"/>
    <cellStyle name="C￥AØ_p.mix  39 27" xfId="20693"/>
    <cellStyle name="Ç¥ÁØ_p.mix  39 27" xfId="20694"/>
    <cellStyle name="C￥AØ_p.mix  39 28" xfId="20695"/>
    <cellStyle name="Ç¥ÁØ_p.mix  39 28" xfId="20696"/>
    <cellStyle name="C￥AØ_p.mix  39 29" xfId="20697"/>
    <cellStyle name="Ç¥ÁØ_p.mix  39 29" xfId="20698"/>
    <cellStyle name="C￥AØ_p.mix  39 3" xfId="20699"/>
    <cellStyle name="Ç¥ÁØ_p.mix  39 3" xfId="20700"/>
    <cellStyle name="C￥AØ_p.mix  39 30" xfId="20701"/>
    <cellStyle name="Ç¥ÁØ_p.mix  39 30" xfId="20702"/>
    <cellStyle name="C￥AØ_p.mix  39 31" xfId="20703"/>
    <cellStyle name="Ç¥ÁØ_p.mix  39 31" xfId="20704"/>
    <cellStyle name="C￥AØ_p.mix  39 32" xfId="20705"/>
    <cellStyle name="Ç¥ÁØ_p.mix  39 32" xfId="20706"/>
    <cellStyle name="C￥AØ_p.mix  39 33" xfId="20707"/>
    <cellStyle name="Ç¥ÁØ_p.mix  39 33" xfId="20708"/>
    <cellStyle name="C￥AØ_p.mix  39 34" xfId="20709"/>
    <cellStyle name="Ç¥ÁØ_p.mix  39 34" xfId="20710"/>
    <cellStyle name="C￥AØ_p.mix  39 4" xfId="20711"/>
    <cellStyle name="Ç¥ÁØ_p.mix  39 4" xfId="20712"/>
    <cellStyle name="C￥AØ_p.mix  39 5" xfId="20713"/>
    <cellStyle name="Ç¥ÁØ_p.mix  39 5" xfId="20714"/>
    <cellStyle name="C￥AØ_p.mix  39 6" xfId="20715"/>
    <cellStyle name="Ç¥ÁØ_p.mix  39 6" xfId="20716"/>
    <cellStyle name="C￥AØ_p.mix  39 7" xfId="20717"/>
    <cellStyle name="Ç¥ÁØ_p.mix  39 7" xfId="20718"/>
    <cellStyle name="C￥AØ_p.mix  39 8" xfId="20719"/>
    <cellStyle name="Ç¥ÁØ_p.mix  39 8" xfId="20720"/>
    <cellStyle name="C￥AØ_p.mix  39 9" xfId="20721"/>
    <cellStyle name="Ç¥ÁØ_p.mix  39 9" xfId="20722"/>
    <cellStyle name="C￥AØ_p.mix  4" xfId="20723"/>
    <cellStyle name="Ç¥ÁØ_p.mix  4" xfId="20724"/>
    <cellStyle name="C￥AØ_p.mix  4 10" xfId="20725"/>
    <cellStyle name="Ç¥ÁØ_p.mix  4 10" xfId="20726"/>
    <cellStyle name="C￥AØ_p.mix  4 11" xfId="20727"/>
    <cellStyle name="Ç¥ÁØ_p.mix  4 11" xfId="20728"/>
    <cellStyle name="C￥AØ_p.mix  4 12" xfId="20729"/>
    <cellStyle name="Ç¥ÁØ_p.mix  4 12" xfId="20730"/>
    <cellStyle name="C￥AØ_p.mix  4 13" xfId="20731"/>
    <cellStyle name="Ç¥ÁØ_p.mix  4 13" xfId="20732"/>
    <cellStyle name="C￥AØ_p.mix  4 14" xfId="20733"/>
    <cellStyle name="Ç¥ÁØ_p.mix  4 14" xfId="20734"/>
    <cellStyle name="C￥AØ_p.mix  4 15" xfId="20735"/>
    <cellStyle name="Ç¥ÁØ_p.mix  4 15" xfId="20736"/>
    <cellStyle name="C￥AØ_p.mix  4 16" xfId="20737"/>
    <cellStyle name="Ç¥ÁØ_p.mix  4 16" xfId="20738"/>
    <cellStyle name="C￥AØ_p.mix  4 17" xfId="20739"/>
    <cellStyle name="Ç¥ÁØ_p.mix  4 17" xfId="20740"/>
    <cellStyle name="C￥AØ_p.mix  4 18" xfId="20741"/>
    <cellStyle name="Ç¥ÁØ_p.mix  4 18" xfId="20742"/>
    <cellStyle name="C￥AØ_p.mix  4 19" xfId="20743"/>
    <cellStyle name="Ç¥ÁØ_p.mix  4 19" xfId="20744"/>
    <cellStyle name="C￥AØ_p.mix  4 2" xfId="20745"/>
    <cellStyle name="Ç¥ÁØ_p.mix  4 2" xfId="20746"/>
    <cellStyle name="C￥AØ_p.mix  4 20" xfId="20747"/>
    <cellStyle name="Ç¥ÁØ_p.mix  4 20" xfId="20748"/>
    <cellStyle name="C￥AØ_p.mix  4 21" xfId="20749"/>
    <cellStyle name="Ç¥ÁØ_p.mix  4 21" xfId="20750"/>
    <cellStyle name="C￥AØ_p.mix  4 22" xfId="20751"/>
    <cellStyle name="Ç¥ÁØ_p.mix  4 22" xfId="20752"/>
    <cellStyle name="C￥AØ_p.mix  4 23" xfId="20753"/>
    <cellStyle name="Ç¥ÁØ_p.mix  4 23" xfId="20754"/>
    <cellStyle name="C￥AØ_p.mix  4 24" xfId="20755"/>
    <cellStyle name="Ç¥ÁØ_p.mix  4 24" xfId="20756"/>
    <cellStyle name="C￥AØ_p.mix  4 25" xfId="20757"/>
    <cellStyle name="Ç¥ÁØ_p.mix  4 25" xfId="20758"/>
    <cellStyle name="C￥AØ_p.mix  4 26" xfId="20759"/>
    <cellStyle name="Ç¥ÁØ_p.mix  4 26" xfId="20760"/>
    <cellStyle name="C￥AØ_p.mix  4 27" xfId="20761"/>
    <cellStyle name="Ç¥ÁØ_p.mix  4 27" xfId="20762"/>
    <cellStyle name="C￥AØ_p.mix  4 28" xfId="20763"/>
    <cellStyle name="Ç¥ÁØ_p.mix  4 28" xfId="20764"/>
    <cellStyle name="C￥AØ_p.mix  4 29" xfId="20765"/>
    <cellStyle name="Ç¥ÁØ_p.mix  4 29" xfId="20766"/>
    <cellStyle name="C￥AØ_p.mix  4 3" xfId="20767"/>
    <cellStyle name="Ç¥ÁØ_p.mix  4 3" xfId="20768"/>
    <cellStyle name="C￥AØ_p.mix  4 30" xfId="20769"/>
    <cellStyle name="Ç¥ÁØ_p.mix  4 30" xfId="20770"/>
    <cellStyle name="C￥AØ_p.mix  4 31" xfId="20771"/>
    <cellStyle name="Ç¥ÁØ_p.mix  4 31" xfId="20772"/>
    <cellStyle name="C￥AØ_p.mix  4 32" xfId="20773"/>
    <cellStyle name="Ç¥ÁØ_p.mix  4 32" xfId="20774"/>
    <cellStyle name="C￥AØ_p.mix  4 33" xfId="20775"/>
    <cellStyle name="Ç¥ÁØ_p.mix  4 33" xfId="20776"/>
    <cellStyle name="C￥AØ_p.mix  4 34" xfId="20777"/>
    <cellStyle name="Ç¥ÁØ_p.mix  4 34" xfId="20778"/>
    <cellStyle name="C￥AØ_p.mix  4 4" xfId="20779"/>
    <cellStyle name="Ç¥ÁØ_p.mix  4 4" xfId="20780"/>
    <cellStyle name="C￥AØ_p.mix  4 5" xfId="20781"/>
    <cellStyle name="Ç¥ÁØ_p.mix  4 5" xfId="20782"/>
    <cellStyle name="C￥AØ_p.mix  4 6" xfId="20783"/>
    <cellStyle name="Ç¥ÁØ_p.mix  4 6" xfId="20784"/>
    <cellStyle name="C￥AØ_p.mix  4 7" xfId="20785"/>
    <cellStyle name="Ç¥ÁØ_p.mix  4 7" xfId="20786"/>
    <cellStyle name="C￥AØ_p.mix  4 8" xfId="20787"/>
    <cellStyle name="Ç¥ÁØ_p.mix  4 8" xfId="20788"/>
    <cellStyle name="C￥AØ_p.mix  4 9" xfId="20789"/>
    <cellStyle name="Ç¥ÁØ_p.mix  4 9" xfId="20790"/>
    <cellStyle name="C￥AØ_p.mix  40" xfId="20791"/>
    <cellStyle name="Ç¥ÁØ_p.mix  40" xfId="20792"/>
    <cellStyle name="C￥AØ_p.mix  40 10" xfId="20793"/>
    <cellStyle name="Ç¥ÁØ_p.mix  40 10" xfId="20794"/>
    <cellStyle name="C￥AØ_p.mix  40 11" xfId="20795"/>
    <cellStyle name="Ç¥ÁØ_p.mix  40 11" xfId="20796"/>
    <cellStyle name="C￥AØ_p.mix  40 12" xfId="20797"/>
    <cellStyle name="Ç¥ÁØ_p.mix  40 12" xfId="20798"/>
    <cellStyle name="C￥AØ_p.mix  40 13" xfId="20799"/>
    <cellStyle name="Ç¥ÁØ_p.mix  40 13" xfId="20800"/>
    <cellStyle name="C￥AØ_p.mix  40 14" xfId="20801"/>
    <cellStyle name="Ç¥ÁØ_p.mix  40 14" xfId="20802"/>
    <cellStyle name="C￥AØ_p.mix  40 15" xfId="20803"/>
    <cellStyle name="Ç¥ÁØ_p.mix  40 15" xfId="20804"/>
    <cellStyle name="C￥AØ_p.mix  40 16" xfId="20805"/>
    <cellStyle name="Ç¥ÁØ_p.mix  40 16" xfId="20806"/>
    <cellStyle name="C￥AØ_p.mix  40 17" xfId="20807"/>
    <cellStyle name="Ç¥ÁØ_p.mix  40 17" xfId="20808"/>
    <cellStyle name="C￥AØ_p.mix  40 18" xfId="20809"/>
    <cellStyle name="Ç¥ÁØ_p.mix  40 18" xfId="20810"/>
    <cellStyle name="C￥AØ_p.mix  40 19" xfId="20811"/>
    <cellStyle name="Ç¥ÁØ_p.mix  40 19" xfId="20812"/>
    <cellStyle name="C￥AØ_p.mix  40 2" xfId="20813"/>
    <cellStyle name="Ç¥ÁØ_p.mix  40 2" xfId="20814"/>
    <cellStyle name="C￥AØ_p.mix  40 20" xfId="20815"/>
    <cellStyle name="Ç¥ÁØ_p.mix  40 20" xfId="20816"/>
    <cellStyle name="C￥AØ_p.mix  40 21" xfId="20817"/>
    <cellStyle name="Ç¥ÁØ_p.mix  40 21" xfId="20818"/>
    <cellStyle name="C￥AØ_p.mix  40 22" xfId="20819"/>
    <cellStyle name="Ç¥ÁØ_p.mix  40 22" xfId="20820"/>
    <cellStyle name="C￥AØ_p.mix  40 23" xfId="20821"/>
    <cellStyle name="Ç¥ÁØ_p.mix  40 23" xfId="20822"/>
    <cellStyle name="C￥AØ_p.mix  40 24" xfId="20823"/>
    <cellStyle name="Ç¥ÁØ_p.mix  40 24" xfId="20824"/>
    <cellStyle name="C￥AØ_p.mix  40 25" xfId="20825"/>
    <cellStyle name="Ç¥ÁØ_p.mix  40 25" xfId="20826"/>
    <cellStyle name="C￥AØ_p.mix  40 26" xfId="20827"/>
    <cellStyle name="Ç¥ÁØ_p.mix  40 26" xfId="20828"/>
    <cellStyle name="C￥AØ_p.mix  40 27" xfId="20829"/>
    <cellStyle name="Ç¥ÁØ_p.mix  40 27" xfId="20830"/>
    <cellStyle name="C￥AØ_p.mix  40 28" xfId="20831"/>
    <cellStyle name="Ç¥ÁØ_p.mix  40 28" xfId="20832"/>
    <cellStyle name="C￥AØ_p.mix  40 29" xfId="20833"/>
    <cellStyle name="Ç¥ÁØ_p.mix  40 29" xfId="20834"/>
    <cellStyle name="C￥AØ_p.mix  40 3" xfId="20835"/>
    <cellStyle name="Ç¥ÁØ_p.mix  40 3" xfId="20836"/>
    <cellStyle name="C￥AØ_p.mix  40 30" xfId="20837"/>
    <cellStyle name="Ç¥ÁØ_p.mix  40 30" xfId="20838"/>
    <cellStyle name="C￥AØ_p.mix  40 31" xfId="20839"/>
    <cellStyle name="Ç¥ÁØ_p.mix  40 31" xfId="20840"/>
    <cellStyle name="C￥AØ_p.mix  40 32" xfId="20841"/>
    <cellStyle name="Ç¥ÁØ_p.mix  40 32" xfId="20842"/>
    <cellStyle name="C￥AØ_p.mix  40 33" xfId="20843"/>
    <cellStyle name="Ç¥ÁØ_p.mix  40 33" xfId="20844"/>
    <cellStyle name="C￥AØ_p.mix  40 34" xfId="20845"/>
    <cellStyle name="Ç¥ÁØ_p.mix  40 34" xfId="20846"/>
    <cellStyle name="C￥AØ_p.mix  40 4" xfId="20847"/>
    <cellStyle name="Ç¥ÁØ_p.mix  40 4" xfId="20848"/>
    <cellStyle name="C￥AØ_p.mix  40 5" xfId="20849"/>
    <cellStyle name="Ç¥ÁØ_p.mix  40 5" xfId="20850"/>
    <cellStyle name="C￥AØ_p.mix  40 6" xfId="20851"/>
    <cellStyle name="Ç¥ÁØ_p.mix  40 6" xfId="20852"/>
    <cellStyle name="C￥AØ_p.mix  40 7" xfId="20853"/>
    <cellStyle name="Ç¥ÁØ_p.mix  40 7" xfId="20854"/>
    <cellStyle name="C￥AØ_p.mix  40 8" xfId="20855"/>
    <cellStyle name="Ç¥ÁØ_p.mix  40 8" xfId="20856"/>
    <cellStyle name="C￥AØ_p.mix  40 9" xfId="20857"/>
    <cellStyle name="Ç¥ÁØ_p.mix  40 9" xfId="20858"/>
    <cellStyle name="C￥AØ_p.mix  41" xfId="20859"/>
    <cellStyle name="Ç¥ÁØ_p.mix  41" xfId="20860"/>
    <cellStyle name="C￥AØ_p.mix  41 10" xfId="20861"/>
    <cellStyle name="Ç¥ÁØ_p.mix  41 10" xfId="20862"/>
    <cellStyle name="C￥AØ_p.mix  41 11" xfId="20863"/>
    <cellStyle name="Ç¥ÁØ_p.mix  41 11" xfId="20864"/>
    <cellStyle name="C￥AØ_p.mix  41 12" xfId="20865"/>
    <cellStyle name="Ç¥ÁØ_p.mix  41 12" xfId="20866"/>
    <cellStyle name="C￥AØ_p.mix  41 13" xfId="20867"/>
    <cellStyle name="Ç¥ÁØ_p.mix  41 13" xfId="20868"/>
    <cellStyle name="C￥AØ_p.mix  41 14" xfId="20869"/>
    <cellStyle name="Ç¥ÁØ_p.mix  41 14" xfId="20870"/>
    <cellStyle name="C￥AØ_p.mix  41 15" xfId="20871"/>
    <cellStyle name="Ç¥ÁØ_p.mix  41 15" xfId="20872"/>
    <cellStyle name="C￥AØ_p.mix  41 16" xfId="20873"/>
    <cellStyle name="Ç¥ÁØ_p.mix  41 16" xfId="20874"/>
    <cellStyle name="C￥AØ_p.mix  41 17" xfId="20875"/>
    <cellStyle name="Ç¥ÁØ_p.mix  41 17" xfId="20876"/>
    <cellStyle name="C￥AØ_p.mix  41 18" xfId="20877"/>
    <cellStyle name="Ç¥ÁØ_p.mix  41 18" xfId="20878"/>
    <cellStyle name="C￥AØ_p.mix  41 19" xfId="20879"/>
    <cellStyle name="Ç¥ÁØ_p.mix  41 19" xfId="20880"/>
    <cellStyle name="C￥AØ_p.mix  41 2" xfId="20881"/>
    <cellStyle name="Ç¥ÁØ_p.mix  41 2" xfId="20882"/>
    <cellStyle name="C￥AØ_p.mix  41 20" xfId="20883"/>
    <cellStyle name="Ç¥ÁØ_p.mix  41 20" xfId="20884"/>
    <cellStyle name="C￥AØ_p.mix  41 21" xfId="20885"/>
    <cellStyle name="Ç¥ÁØ_p.mix  41 21" xfId="20886"/>
    <cellStyle name="C￥AØ_p.mix  41 22" xfId="20887"/>
    <cellStyle name="Ç¥ÁØ_p.mix  41 22" xfId="20888"/>
    <cellStyle name="C￥AØ_p.mix  41 23" xfId="20889"/>
    <cellStyle name="Ç¥ÁØ_p.mix  41 23" xfId="20890"/>
    <cellStyle name="C￥AØ_p.mix  41 24" xfId="20891"/>
    <cellStyle name="Ç¥ÁØ_p.mix  41 24" xfId="20892"/>
    <cellStyle name="C￥AØ_p.mix  41 25" xfId="20893"/>
    <cellStyle name="Ç¥ÁØ_p.mix  41 25" xfId="20894"/>
    <cellStyle name="C￥AØ_p.mix  41 26" xfId="20895"/>
    <cellStyle name="Ç¥ÁØ_p.mix  41 26" xfId="20896"/>
    <cellStyle name="C￥AØ_p.mix  41 27" xfId="20897"/>
    <cellStyle name="Ç¥ÁØ_p.mix  41 27" xfId="20898"/>
    <cellStyle name="C￥AØ_p.mix  41 28" xfId="20899"/>
    <cellStyle name="Ç¥ÁØ_p.mix  41 28" xfId="20900"/>
    <cellStyle name="C￥AØ_p.mix  41 29" xfId="20901"/>
    <cellStyle name="Ç¥ÁØ_p.mix  41 29" xfId="20902"/>
    <cellStyle name="C￥AØ_p.mix  41 3" xfId="20903"/>
    <cellStyle name="Ç¥ÁØ_p.mix  41 3" xfId="20904"/>
    <cellStyle name="C￥AØ_p.mix  41 30" xfId="20905"/>
    <cellStyle name="Ç¥ÁØ_p.mix  41 30" xfId="20906"/>
    <cellStyle name="C￥AØ_p.mix  41 31" xfId="20907"/>
    <cellStyle name="Ç¥ÁØ_p.mix  41 31" xfId="20908"/>
    <cellStyle name="C￥AØ_p.mix  41 32" xfId="20909"/>
    <cellStyle name="Ç¥ÁØ_p.mix  41 32" xfId="20910"/>
    <cellStyle name="C￥AØ_p.mix  41 33" xfId="20911"/>
    <cellStyle name="Ç¥ÁØ_p.mix  41 33" xfId="20912"/>
    <cellStyle name="C￥AØ_p.mix  41 34" xfId="20913"/>
    <cellStyle name="Ç¥ÁØ_p.mix  41 34" xfId="20914"/>
    <cellStyle name="C￥AØ_p.mix  41 4" xfId="20915"/>
    <cellStyle name="Ç¥ÁØ_p.mix  41 4" xfId="20916"/>
    <cellStyle name="C￥AØ_p.mix  41 5" xfId="20917"/>
    <cellStyle name="Ç¥ÁØ_p.mix  41 5" xfId="20918"/>
    <cellStyle name="C￥AØ_p.mix  41 6" xfId="20919"/>
    <cellStyle name="Ç¥ÁØ_p.mix  41 6" xfId="20920"/>
    <cellStyle name="C￥AØ_p.mix  41 7" xfId="20921"/>
    <cellStyle name="Ç¥ÁØ_p.mix  41 7" xfId="20922"/>
    <cellStyle name="C￥AØ_p.mix  41 8" xfId="20923"/>
    <cellStyle name="Ç¥ÁØ_p.mix  41 8" xfId="20924"/>
    <cellStyle name="C￥AØ_p.mix  41 9" xfId="20925"/>
    <cellStyle name="Ç¥ÁØ_p.mix  41 9" xfId="20926"/>
    <cellStyle name="C￥AØ_p.mix  42" xfId="20927"/>
    <cellStyle name="Ç¥ÁØ_p.mix  42" xfId="20928"/>
    <cellStyle name="C￥AØ_p.mix  42 10" xfId="20929"/>
    <cellStyle name="Ç¥ÁØ_p.mix  42 10" xfId="20930"/>
    <cellStyle name="C￥AØ_p.mix  42 11" xfId="20931"/>
    <cellStyle name="Ç¥ÁØ_p.mix  42 11" xfId="20932"/>
    <cellStyle name="C￥AØ_p.mix  42 12" xfId="20933"/>
    <cellStyle name="Ç¥ÁØ_p.mix  42 12" xfId="20934"/>
    <cellStyle name="C￥AØ_p.mix  42 13" xfId="20935"/>
    <cellStyle name="Ç¥ÁØ_p.mix  42 13" xfId="20936"/>
    <cellStyle name="C￥AØ_p.mix  42 14" xfId="20937"/>
    <cellStyle name="Ç¥ÁØ_p.mix  42 14" xfId="20938"/>
    <cellStyle name="C￥AØ_p.mix  42 15" xfId="20939"/>
    <cellStyle name="Ç¥ÁØ_p.mix  42 15" xfId="20940"/>
    <cellStyle name="C￥AØ_p.mix  42 16" xfId="20941"/>
    <cellStyle name="Ç¥ÁØ_p.mix  42 16" xfId="20942"/>
    <cellStyle name="C￥AØ_p.mix  42 17" xfId="20943"/>
    <cellStyle name="Ç¥ÁØ_p.mix  42 17" xfId="20944"/>
    <cellStyle name="C￥AØ_p.mix  42 18" xfId="20945"/>
    <cellStyle name="Ç¥ÁØ_p.mix  42 18" xfId="20946"/>
    <cellStyle name="C￥AØ_p.mix  42 19" xfId="20947"/>
    <cellStyle name="Ç¥ÁØ_p.mix  42 19" xfId="20948"/>
    <cellStyle name="C￥AØ_p.mix  42 2" xfId="20949"/>
    <cellStyle name="Ç¥ÁØ_p.mix  42 2" xfId="20950"/>
    <cellStyle name="C￥AØ_p.mix  42 20" xfId="20951"/>
    <cellStyle name="Ç¥ÁØ_p.mix  42 20" xfId="20952"/>
    <cellStyle name="C￥AØ_p.mix  42 21" xfId="20953"/>
    <cellStyle name="Ç¥ÁØ_p.mix  42 21" xfId="20954"/>
    <cellStyle name="C￥AØ_p.mix  42 22" xfId="20955"/>
    <cellStyle name="Ç¥ÁØ_p.mix  42 22" xfId="20956"/>
    <cellStyle name="C￥AØ_p.mix  42 23" xfId="20957"/>
    <cellStyle name="Ç¥ÁØ_p.mix  42 23" xfId="20958"/>
    <cellStyle name="C￥AØ_p.mix  42 24" xfId="20959"/>
    <cellStyle name="Ç¥ÁØ_p.mix  42 24" xfId="20960"/>
    <cellStyle name="C￥AØ_p.mix  42 25" xfId="20961"/>
    <cellStyle name="Ç¥ÁØ_p.mix  42 25" xfId="20962"/>
    <cellStyle name="C￥AØ_p.mix  42 26" xfId="20963"/>
    <cellStyle name="Ç¥ÁØ_p.mix  42 26" xfId="20964"/>
    <cellStyle name="C￥AØ_p.mix  42 27" xfId="20965"/>
    <cellStyle name="Ç¥ÁØ_p.mix  42 27" xfId="20966"/>
    <cellStyle name="C￥AØ_p.mix  42 28" xfId="20967"/>
    <cellStyle name="Ç¥ÁØ_p.mix  42 28" xfId="20968"/>
    <cellStyle name="C￥AØ_p.mix  42 29" xfId="20969"/>
    <cellStyle name="Ç¥ÁØ_p.mix  42 29" xfId="20970"/>
    <cellStyle name="C￥AØ_p.mix  42 3" xfId="20971"/>
    <cellStyle name="Ç¥ÁØ_p.mix  42 3" xfId="20972"/>
    <cellStyle name="C￥AØ_p.mix  42 30" xfId="20973"/>
    <cellStyle name="Ç¥ÁØ_p.mix  42 30" xfId="20974"/>
    <cellStyle name="C￥AØ_p.mix  42 31" xfId="20975"/>
    <cellStyle name="Ç¥ÁØ_p.mix  42 31" xfId="20976"/>
    <cellStyle name="C￥AØ_p.mix  42 32" xfId="20977"/>
    <cellStyle name="Ç¥ÁØ_p.mix  42 32" xfId="20978"/>
    <cellStyle name="C￥AØ_p.mix  42 33" xfId="20979"/>
    <cellStyle name="Ç¥ÁØ_p.mix  42 33" xfId="20980"/>
    <cellStyle name="C￥AØ_p.mix  42 34" xfId="20981"/>
    <cellStyle name="Ç¥ÁØ_p.mix  42 34" xfId="20982"/>
    <cellStyle name="C￥AØ_p.mix  42 4" xfId="20983"/>
    <cellStyle name="Ç¥ÁØ_p.mix  42 4" xfId="20984"/>
    <cellStyle name="C￥AØ_p.mix  42 5" xfId="20985"/>
    <cellStyle name="Ç¥ÁØ_p.mix  42 5" xfId="20986"/>
    <cellStyle name="C￥AØ_p.mix  42 6" xfId="20987"/>
    <cellStyle name="Ç¥ÁØ_p.mix  42 6" xfId="20988"/>
    <cellStyle name="C￥AØ_p.mix  42 7" xfId="20989"/>
    <cellStyle name="Ç¥ÁØ_p.mix  42 7" xfId="20990"/>
    <cellStyle name="C￥AØ_p.mix  42 8" xfId="20991"/>
    <cellStyle name="Ç¥ÁØ_p.mix  42 8" xfId="20992"/>
    <cellStyle name="C￥AØ_p.mix  42 9" xfId="20993"/>
    <cellStyle name="Ç¥ÁØ_p.mix  42 9" xfId="20994"/>
    <cellStyle name="C￥AØ_p.mix  43" xfId="20995"/>
    <cellStyle name="Ç¥ÁØ_p.mix  43" xfId="20996"/>
    <cellStyle name="C￥AØ_p.mix  43 10" xfId="20997"/>
    <cellStyle name="Ç¥ÁØ_p.mix  43 10" xfId="20998"/>
    <cellStyle name="C￥AØ_p.mix  43 11" xfId="20999"/>
    <cellStyle name="Ç¥ÁØ_p.mix  43 11" xfId="21000"/>
    <cellStyle name="C￥AØ_p.mix  43 12" xfId="21001"/>
    <cellStyle name="Ç¥ÁØ_p.mix  43 12" xfId="21002"/>
    <cellStyle name="C￥AØ_p.mix  43 13" xfId="21003"/>
    <cellStyle name="Ç¥ÁØ_p.mix  43 13" xfId="21004"/>
    <cellStyle name="C￥AØ_p.mix  43 14" xfId="21005"/>
    <cellStyle name="Ç¥ÁØ_p.mix  43 14" xfId="21006"/>
    <cellStyle name="C￥AØ_p.mix  43 15" xfId="21007"/>
    <cellStyle name="Ç¥ÁØ_p.mix  43 15" xfId="21008"/>
    <cellStyle name="C￥AØ_p.mix  43 16" xfId="21009"/>
    <cellStyle name="Ç¥ÁØ_p.mix  43 16" xfId="21010"/>
    <cellStyle name="C￥AØ_p.mix  43 17" xfId="21011"/>
    <cellStyle name="Ç¥ÁØ_p.mix  43 17" xfId="21012"/>
    <cellStyle name="C￥AØ_p.mix  43 18" xfId="21013"/>
    <cellStyle name="Ç¥ÁØ_p.mix  43 18" xfId="21014"/>
    <cellStyle name="C￥AØ_p.mix  43 19" xfId="21015"/>
    <cellStyle name="Ç¥ÁØ_p.mix  43 19" xfId="21016"/>
    <cellStyle name="C￥AØ_p.mix  43 2" xfId="21017"/>
    <cellStyle name="Ç¥ÁØ_p.mix  43 2" xfId="21018"/>
    <cellStyle name="C￥AØ_p.mix  43 20" xfId="21019"/>
    <cellStyle name="Ç¥ÁØ_p.mix  43 20" xfId="21020"/>
    <cellStyle name="C￥AØ_p.mix  43 21" xfId="21021"/>
    <cellStyle name="Ç¥ÁØ_p.mix  43 21" xfId="21022"/>
    <cellStyle name="C￥AØ_p.mix  43 22" xfId="21023"/>
    <cellStyle name="Ç¥ÁØ_p.mix  43 22" xfId="21024"/>
    <cellStyle name="C￥AØ_p.mix  43 23" xfId="21025"/>
    <cellStyle name="Ç¥ÁØ_p.mix  43 23" xfId="21026"/>
    <cellStyle name="C￥AØ_p.mix  43 24" xfId="21027"/>
    <cellStyle name="Ç¥ÁØ_p.mix  43 24" xfId="21028"/>
    <cellStyle name="C￥AØ_p.mix  43 25" xfId="21029"/>
    <cellStyle name="Ç¥ÁØ_p.mix  43 25" xfId="21030"/>
    <cellStyle name="C￥AØ_p.mix  43 26" xfId="21031"/>
    <cellStyle name="Ç¥ÁØ_p.mix  43 26" xfId="21032"/>
    <cellStyle name="C￥AØ_p.mix  43 27" xfId="21033"/>
    <cellStyle name="Ç¥ÁØ_p.mix  43 27" xfId="21034"/>
    <cellStyle name="C￥AØ_p.mix  43 28" xfId="21035"/>
    <cellStyle name="Ç¥ÁØ_p.mix  43 28" xfId="21036"/>
    <cellStyle name="C￥AØ_p.mix  43 29" xfId="21037"/>
    <cellStyle name="Ç¥ÁØ_p.mix  43 29" xfId="21038"/>
    <cellStyle name="C￥AØ_p.mix  43 3" xfId="21039"/>
    <cellStyle name="Ç¥ÁØ_p.mix  43 3" xfId="21040"/>
    <cellStyle name="C￥AØ_p.mix  43 30" xfId="21041"/>
    <cellStyle name="Ç¥ÁØ_p.mix  43 30" xfId="21042"/>
    <cellStyle name="C￥AØ_p.mix  43 31" xfId="21043"/>
    <cellStyle name="Ç¥ÁØ_p.mix  43 31" xfId="21044"/>
    <cellStyle name="C￥AØ_p.mix  43 32" xfId="21045"/>
    <cellStyle name="Ç¥ÁØ_p.mix  43 32" xfId="21046"/>
    <cellStyle name="C￥AØ_p.mix  43 33" xfId="21047"/>
    <cellStyle name="Ç¥ÁØ_p.mix  43 33" xfId="21048"/>
    <cellStyle name="C￥AØ_p.mix  43 34" xfId="21049"/>
    <cellStyle name="Ç¥ÁØ_p.mix  43 34" xfId="21050"/>
    <cellStyle name="C￥AØ_p.mix  43 4" xfId="21051"/>
    <cellStyle name="Ç¥ÁØ_p.mix  43 4" xfId="21052"/>
    <cellStyle name="C￥AØ_p.mix  43 5" xfId="21053"/>
    <cellStyle name="Ç¥ÁØ_p.mix  43 5" xfId="21054"/>
    <cellStyle name="C￥AØ_p.mix  43 6" xfId="21055"/>
    <cellStyle name="Ç¥ÁØ_p.mix  43 6" xfId="21056"/>
    <cellStyle name="C￥AØ_p.mix  43 7" xfId="21057"/>
    <cellStyle name="Ç¥ÁØ_p.mix  43 7" xfId="21058"/>
    <cellStyle name="C￥AØ_p.mix  43 8" xfId="21059"/>
    <cellStyle name="Ç¥ÁØ_p.mix  43 8" xfId="21060"/>
    <cellStyle name="C￥AØ_p.mix  43 9" xfId="21061"/>
    <cellStyle name="Ç¥ÁØ_p.mix  43 9" xfId="21062"/>
    <cellStyle name="C￥AØ_p.mix  5" xfId="21063"/>
    <cellStyle name="Ç¥ÁØ_p.mix  5" xfId="21064"/>
    <cellStyle name="C￥AØ_p.mix  5 10" xfId="21065"/>
    <cellStyle name="Ç¥ÁØ_p.mix  5 10" xfId="21066"/>
    <cellStyle name="C￥AØ_p.mix  5 11" xfId="21067"/>
    <cellStyle name="Ç¥ÁØ_p.mix  5 11" xfId="21068"/>
    <cellStyle name="C￥AØ_p.mix  5 12" xfId="21069"/>
    <cellStyle name="Ç¥ÁØ_p.mix  5 12" xfId="21070"/>
    <cellStyle name="C￥AØ_p.mix  5 13" xfId="21071"/>
    <cellStyle name="Ç¥ÁØ_p.mix  5 13" xfId="21072"/>
    <cellStyle name="C￥AØ_p.mix  5 14" xfId="21073"/>
    <cellStyle name="Ç¥ÁØ_p.mix  5 14" xfId="21074"/>
    <cellStyle name="C￥AØ_p.mix  5 15" xfId="21075"/>
    <cellStyle name="Ç¥ÁØ_p.mix  5 15" xfId="21076"/>
    <cellStyle name="C￥AØ_p.mix  5 16" xfId="21077"/>
    <cellStyle name="Ç¥ÁØ_p.mix  5 16" xfId="21078"/>
    <cellStyle name="C￥AØ_p.mix  5 17" xfId="21079"/>
    <cellStyle name="Ç¥ÁØ_p.mix  5 17" xfId="21080"/>
    <cellStyle name="C￥AØ_p.mix  5 18" xfId="21081"/>
    <cellStyle name="Ç¥ÁØ_p.mix  5 18" xfId="21082"/>
    <cellStyle name="C￥AØ_p.mix  5 19" xfId="21083"/>
    <cellStyle name="Ç¥ÁØ_p.mix  5 19" xfId="21084"/>
    <cellStyle name="C￥AØ_p.mix  5 2" xfId="21085"/>
    <cellStyle name="Ç¥ÁØ_p.mix  5 2" xfId="21086"/>
    <cellStyle name="C￥AØ_p.mix  5 20" xfId="21087"/>
    <cellStyle name="Ç¥ÁØ_p.mix  5 20" xfId="21088"/>
    <cellStyle name="C￥AØ_p.mix  5 21" xfId="21089"/>
    <cellStyle name="Ç¥ÁØ_p.mix  5 21" xfId="21090"/>
    <cellStyle name="C￥AØ_p.mix  5 22" xfId="21091"/>
    <cellStyle name="Ç¥ÁØ_p.mix  5 22" xfId="21092"/>
    <cellStyle name="C￥AØ_p.mix  5 23" xfId="21093"/>
    <cellStyle name="Ç¥ÁØ_p.mix  5 23" xfId="21094"/>
    <cellStyle name="C￥AØ_p.mix  5 24" xfId="21095"/>
    <cellStyle name="Ç¥ÁØ_p.mix  5 24" xfId="21096"/>
    <cellStyle name="C￥AØ_p.mix  5 25" xfId="21097"/>
    <cellStyle name="Ç¥ÁØ_p.mix  5 25" xfId="21098"/>
    <cellStyle name="C￥AØ_p.mix  5 26" xfId="21099"/>
    <cellStyle name="Ç¥ÁØ_p.mix  5 26" xfId="21100"/>
    <cellStyle name="C￥AØ_p.mix  5 27" xfId="21101"/>
    <cellStyle name="Ç¥ÁØ_p.mix  5 27" xfId="21102"/>
    <cellStyle name="C￥AØ_p.mix  5 28" xfId="21103"/>
    <cellStyle name="Ç¥ÁØ_p.mix  5 28" xfId="21104"/>
    <cellStyle name="C￥AØ_p.mix  5 29" xfId="21105"/>
    <cellStyle name="Ç¥ÁØ_p.mix  5 29" xfId="21106"/>
    <cellStyle name="C￥AØ_p.mix  5 3" xfId="21107"/>
    <cellStyle name="Ç¥ÁØ_p.mix  5 3" xfId="21108"/>
    <cellStyle name="C￥AØ_p.mix  5 30" xfId="21109"/>
    <cellStyle name="Ç¥ÁØ_p.mix  5 30" xfId="21110"/>
    <cellStyle name="C￥AØ_p.mix  5 31" xfId="21111"/>
    <cellStyle name="Ç¥ÁØ_p.mix  5 31" xfId="21112"/>
    <cellStyle name="C￥AØ_p.mix  5 32" xfId="21113"/>
    <cellStyle name="Ç¥ÁØ_p.mix  5 32" xfId="21114"/>
    <cellStyle name="C￥AØ_p.mix  5 33" xfId="21115"/>
    <cellStyle name="Ç¥ÁØ_p.mix  5 33" xfId="21116"/>
    <cellStyle name="C￥AØ_p.mix  5 34" xfId="21117"/>
    <cellStyle name="Ç¥ÁØ_p.mix  5 34" xfId="21118"/>
    <cellStyle name="C￥AØ_p.mix  5 4" xfId="21119"/>
    <cellStyle name="Ç¥ÁØ_p.mix  5 4" xfId="21120"/>
    <cellStyle name="C￥AØ_p.mix  5 5" xfId="21121"/>
    <cellStyle name="Ç¥ÁØ_p.mix  5 5" xfId="21122"/>
    <cellStyle name="C￥AØ_p.mix  5 6" xfId="21123"/>
    <cellStyle name="Ç¥ÁØ_p.mix  5 6" xfId="21124"/>
    <cellStyle name="C￥AØ_p.mix  5 7" xfId="21125"/>
    <cellStyle name="Ç¥ÁØ_p.mix  5 7" xfId="21126"/>
    <cellStyle name="C￥AØ_p.mix  5 8" xfId="21127"/>
    <cellStyle name="Ç¥ÁØ_p.mix  5 8" xfId="21128"/>
    <cellStyle name="C￥AØ_p.mix  5 9" xfId="21129"/>
    <cellStyle name="Ç¥ÁØ_p.mix  5 9" xfId="21130"/>
    <cellStyle name="C￥AØ_p.mix  6" xfId="21131"/>
    <cellStyle name="Ç¥ÁØ_p.mix  6" xfId="21132"/>
    <cellStyle name="C￥AØ_p.mix  6 10" xfId="21133"/>
    <cellStyle name="Ç¥ÁØ_p.mix  6 10" xfId="21134"/>
    <cellStyle name="C￥AØ_p.mix  6 11" xfId="21135"/>
    <cellStyle name="Ç¥ÁØ_p.mix  6 11" xfId="21136"/>
    <cellStyle name="C￥AØ_p.mix  6 12" xfId="21137"/>
    <cellStyle name="Ç¥ÁØ_p.mix  6 12" xfId="21138"/>
    <cellStyle name="C￥AØ_p.mix  6 13" xfId="21139"/>
    <cellStyle name="Ç¥ÁØ_p.mix  6 13" xfId="21140"/>
    <cellStyle name="C￥AØ_p.mix  6 14" xfId="21141"/>
    <cellStyle name="Ç¥ÁØ_p.mix  6 14" xfId="21142"/>
    <cellStyle name="C￥AØ_p.mix  6 15" xfId="21143"/>
    <cellStyle name="Ç¥ÁØ_p.mix  6 15" xfId="21144"/>
    <cellStyle name="C￥AØ_p.mix  6 16" xfId="21145"/>
    <cellStyle name="Ç¥ÁØ_p.mix  6 16" xfId="21146"/>
    <cellStyle name="C￥AØ_p.mix  6 17" xfId="21147"/>
    <cellStyle name="Ç¥ÁØ_p.mix  6 17" xfId="21148"/>
    <cellStyle name="C￥AØ_p.mix  6 18" xfId="21149"/>
    <cellStyle name="Ç¥ÁØ_p.mix  6 18" xfId="21150"/>
    <cellStyle name="C￥AØ_p.mix  6 19" xfId="21151"/>
    <cellStyle name="Ç¥ÁØ_p.mix  6 19" xfId="21152"/>
    <cellStyle name="C￥AØ_p.mix  6 2" xfId="21153"/>
    <cellStyle name="Ç¥ÁØ_p.mix  6 2" xfId="21154"/>
    <cellStyle name="C￥AØ_p.mix  6 20" xfId="21155"/>
    <cellStyle name="Ç¥ÁØ_p.mix  6 20" xfId="21156"/>
    <cellStyle name="C￥AØ_p.mix  6 21" xfId="21157"/>
    <cellStyle name="Ç¥ÁØ_p.mix  6 21" xfId="21158"/>
    <cellStyle name="C￥AØ_p.mix  6 22" xfId="21159"/>
    <cellStyle name="Ç¥ÁØ_p.mix  6 22" xfId="21160"/>
    <cellStyle name="C￥AØ_p.mix  6 23" xfId="21161"/>
    <cellStyle name="Ç¥ÁØ_p.mix  6 23" xfId="21162"/>
    <cellStyle name="C￥AØ_p.mix  6 24" xfId="21163"/>
    <cellStyle name="Ç¥ÁØ_p.mix  6 24" xfId="21164"/>
    <cellStyle name="C￥AØ_p.mix  6 25" xfId="21165"/>
    <cellStyle name="Ç¥ÁØ_p.mix  6 25" xfId="21166"/>
    <cellStyle name="C￥AØ_p.mix  6 26" xfId="21167"/>
    <cellStyle name="Ç¥ÁØ_p.mix  6 26" xfId="21168"/>
    <cellStyle name="C￥AØ_p.mix  6 27" xfId="21169"/>
    <cellStyle name="Ç¥ÁØ_p.mix  6 27" xfId="21170"/>
    <cellStyle name="C￥AØ_p.mix  6 28" xfId="21171"/>
    <cellStyle name="Ç¥ÁØ_p.mix  6 28" xfId="21172"/>
    <cellStyle name="C￥AØ_p.mix  6 29" xfId="21173"/>
    <cellStyle name="Ç¥ÁØ_p.mix  6 29" xfId="21174"/>
    <cellStyle name="C￥AØ_p.mix  6 3" xfId="21175"/>
    <cellStyle name="Ç¥ÁØ_p.mix  6 3" xfId="21176"/>
    <cellStyle name="C￥AØ_p.mix  6 30" xfId="21177"/>
    <cellStyle name="Ç¥ÁØ_p.mix  6 30" xfId="21178"/>
    <cellStyle name="C￥AØ_p.mix  6 31" xfId="21179"/>
    <cellStyle name="Ç¥ÁØ_p.mix  6 31" xfId="21180"/>
    <cellStyle name="C￥AØ_p.mix  6 32" xfId="21181"/>
    <cellStyle name="Ç¥ÁØ_p.mix  6 32" xfId="21182"/>
    <cellStyle name="C￥AØ_p.mix  6 33" xfId="21183"/>
    <cellStyle name="Ç¥ÁØ_p.mix  6 33" xfId="21184"/>
    <cellStyle name="C￥AØ_p.mix  6 34" xfId="21185"/>
    <cellStyle name="Ç¥ÁØ_p.mix  6 34" xfId="21186"/>
    <cellStyle name="C￥AØ_p.mix  6 4" xfId="21187"/>
    <cellStyle name="Ç¥ÁØ_p.mix  6 4" xfId="21188"/>
    <cellStyle name="C￥AØ_p.mix  6 5" xfId="21189"/>
    <cellStyle name="Ç¥ÁØ_p.mix  6 5" xfId="21190"/>
    <cellStyle name="C￥AØ_p.mix  6 6" xfId="21191"/>
    <cellStyle name="Ç¥ÁØ_p.mix  6 6" xfId="21192"/>
    <cellStyle name="C￥AØ_p.mix  6 7" xfId="21193"/>
    <cellStyle name="Ç¥ÁØ_p.mix  6 7" xfId="21194"/>
    <cellStyle name="C￥AØ_p.mix  6 8" xfId="21195"/>
    <cellStyle name="Ç¥ÁØ_p.mix  6 8" xfId="21196"/>
    <cellStyle name="C￥AØ_p.mix  6 9" xfId="21197"/>
    <cellStyle name="Ç¥ÁØ_p.mix  6 9" xfId="21198"/>
    <cellStyle name="C￥AØ_p.mix  7" xfId="21199"/>
    <cellStyle name="Ç¥ÁØ_p.mix  7" xfId="21200"/>
    <cellStyle name="C￥AØ_p.mix  7 10" xfId="21201"/>
    <cellStyle name="Ç¥ÁØ_p.mix  7 10" xfId="21202"/>
    <cellStyle name="C￥AØ_p.mix  7 11" xfId="21203"/>
    <cellStyle name="Ç¥ÁØ_p.mix  7 11" xfId="21204"/>
    <cellStyle name="C￥AØ_p.mix  7 12" xfId="21205"/>
    <cellStyle name="Ç¥ÁØ_p.mix  7 12" xfId="21206"/>
    <cellStyle name="C￥AØ_p.mix  7 13" xfId="21207"/>
    <cellStyle name="Ç¥ÁØ_p.mix  7 13" xfId="21208"/>
    <cellStyle name="C￥AØ_p.mix  7 14" xfId="21209"/>
    <cellStyle name="Ç¥ÁØ_p.mix  7 14" xfId="21210"/>
    <cellStyle name="C￥AØ_p.mix  7 15" xfId="21211"/>
    <cellStyle name="Ç¥ÁØ_p.mix  7 15" xfId="21212"/>
    <cellStyle name="C￥AØ_p.mix  7 16" xfId="21213"/>
    <cellStyle name="Ç¥ÁØ_p.mix  7 16" xfId="21214"/>
    <cellStyle name="C￥AØ_p.mix  7 17" xfId="21215"/>
    <cellStyle name="Ç¥ÁØ_p.mix  7 17" xfId="21216"/>
    <cellStyle name="C￥AØ_p.mix  7 18" xfId="21217"/>
    <cellStyle name="Ç¥ÁØ_p.mix  7 18" xfId="21218"/>
    <cellStyle name="C￥AØ_p.mix  7 19" xfId="21219"/>
    <cellStyle name="Ç¥ÁØ_p.mix  7 19" xfId="21220"/>
    <cellStyle name="C￥AØ_p.mix  7 2" xfId="21221"/>
    <cellStyle name="Ç¥ÁØ_p.mix  7 2" xfId="21222"/>
    <cellStyle name="C￥AØ_p.mix  7 20" xfId="21223"/>
    <cellStyle name="Ç¥ÁØ_p.mix  7 20" xfId="21224"/>
    <cellStyle name="C￥AØ_p.mix  7 21" xfId="21225"/>
    <cellStyle name="Ç¥ÁØ_p.mix  7 21" xfId="21226"/>
    <cellStyle name="C￥AØ_p.mix  7 22" xfId="21227"/>
    <cellStyle name="Ç¥ÁØ_p.mix  7 22" xfId="21228"/>
    <cellStyle name="C￥AØ_p.mix  7 23" xfId="21229"/>
    <cellStyle name="Ç¥ÁØ_p.mix  7 23" xfId="21230"/>
    <cellStyle name="C￥AØ_p.mix  7 24" xfId="21231"/>
    <cellStyle name="Ç¥ÁØ_p.mix  7 24" xfId="21232"/>
    <cellStyle name="C￥AØ_p.mix  7 25" xfId="21233"/>
    <cellStyle name="Ç¥ÁØ_p.mix  7 25" xfId="21234"/>
    <cellStyle name="C￥AØ_p.mix  7 26" xfId="21235"/>
    <cellStyle name="Ç¥ÁØ_p.mix  7 26" xfId="21236"/>
    <cellStyle name="C￥AØ_p.mix  7 27" xfId="21237"/>
    <cellStyle name="Ç¥ÁØ_p.mix  7 27" xfId="21238"/>
    <cellStyle name="C￥AØ_p.mix  7 28" xfId="21239"/>
    <cellStyle name="Ç¥ÁØ_p.mix  7 28" xfId="21240"/>
    <cellStyle name="C￥AØ_p.mix  7 29" xfId="21241"/>
    <cellStyle name="Ç¥ÁØ_p.mix  7 29" xfId="21242"/>
    <cellStyle name="C￥AØ_p.mix  7 3" xfId="21243"/>
    <cellStyle name="Ç¥ÁØ_p.mix  7 3" xfId="21244"/>
    <cellStyle name="C￥AØ_p.mix  7 30" xfId="21245"/>
    <cellStyle name="Ç¥ÁØ_p.mix  7 30" xfId="21246"/>
    <cellStyle name="C￥AØ_p.mix  7 31" xfId="21247"/>
    <cellStyle name="Ç¥ÁØ_p.mix  7 31" xfId="21248"/>
    <cellStyle name="C￥AØ_p.mix  7 32" xfId="21249"/>
    <cellStyle name="Ç¥ÁØ_p.mix  7 32" xfId="21250"/>
    <cellStyle name="C￥AØ_p.mix  7 33" xfId="21251"/>
    <cellStyle name="Ç¥ÁØ_p.mix  7 33" xfId="21252"/>
    <cellStyle name="C￥AØ_p.mix  7 34" xfId="21253"/>
    <cellStyle name="Ç¥ÁØ_p.mix  7 34" xfId="21254"/>
    <cellStyle name="C￥AØ_p.mix  7 4" xfId="21255"/>
    <cellStyle name="Ç¥ÁØ_p.mix  7 4" xfId="21256"/>
    <cellStyle name="C￥AØ_p.mix  7 5" xfId="21257"/>
    <cellStyle name="Ç¥ÁØ_p.mix  7 5" xfId="21258"/>
    <cellStyle name="C￥AØ_p.mix  7 6" xfId="21259"/>
    <cellStyle name="Ç¥ÁØ_p.mix  7 6" xfId="21260"/>
    <cellStyle name="C￥AØ_p.mix  7 7" xfId="21261"/>
    <cellStyle name="Ç¥ÁØ_p.mix  7 7" xfId="21262"/>
    <cellStyle name="C￥AØ_p.mix  7 8" xfId="21263"/>
    <cellStyle name="Ç¥ÁØ_p.mix  7 8" xfId="21264"/>
    <cellStyle name="C￥AØ_p.mix  7 9" xfId="21265"/>
    <cellStyle name="Ç¥ÁØ_p.mix  7 9" xfId="21266"/>
    <cellStyle name="C￥AØ_p.mix  8" xfId="21267"/>
    <cellStyle name="Ç¥ÁØ_p.mix  8" xfId="21268"/>
    <cellStyle name="C￥AØ_p.mix  8 10" xfId="21269"/>
    <cellStyle name="Ç¥ÁØ_p.mix  8 10" xfId="21270"/>
    <cellStyle name="C￥AØ_p.mix  8 11" xfId="21271"/>
    <cellStyle name="Ç¥ÁØ_p.mix  8 11" xfId="21272"/>
    <cellStyle name="C￥AØ_p.mix  8 12" xfId="21273"/>
    <cellStyle name="Ç¥ÁØ_p.mix  8 12" xfId="21274"/>
    <cellStyle name="C￥AØ_p.mix  8 13" xfId="21275"/>
    <cellStyle name="Ç¥ÁØ_p.mix  8 13" xfId="21276"/>
    <cellStyle name="C￥AØ_p.mix  8 14" xfId="21277"/>
    <cellStyle name="Ç¥ÁØ_p.mix  8 14" xfId="21278"/>
    <cellStyle name="C￥AØ_p.mix  8 15" xfId="21279"/>
    <cellStyle name="Ç¥ÁØ_p.mix  8 15" xfId="21280"/>
    <cellStyle name="C￥AØ_p.mix  8 16" xfId="21281"/>
    <cellStyle name="Ç¥ÁØ_p.mix  8 16" xfId="21282"/>
    <cellStyle name="C￥AØ_p.mix  8 17" xfId="21283"/>
    <cellStyle name="Ç¥ÁØ_p.mix  8 17" xfId="21284"/>
    <cellStyle name="C￥AØ_p.mix  8 18" xfId="21285"/>
    <cellStyle name="Ç¥ÁØ_p.mix  8 18" xfId="21286"/>
    <cellStyle name="C￥AØ_p.mix  8 19" xfId="21287"/>
    <cellStyle name="Ç¥ÁØ_p.mix  8 19" xfId="21288"/>
    <cellStyle name="C￥AØ_p.mix  8 2" xfId="21289"/>
    <cellStyle name="Ç¥ÁØ_p.mix  8 2" xfId="21290"/>
    <cellStyle name="C￥AØ_p.mix  8 20" xfId="21291"/>
    <cellStyle name="Ç¥ÁØ_p.mix  8 20" xfId="21292"/>
    <cellStyle name="C￥AØ_p.mix  8 21" xfId="21293"/>
    <cellStyle name="Ç¥ÁØ_p.mix  8 21" xfId="21294"/>
    <cellStyle name="C￥AØ_p.mix  8 22" xfId="21295"/>
    <cellStyle name="Ç¥ÁØ_p.mix  8 22" xfId="21296"/>
    <cellStyle name="C￥AØ_p.mix  8 23" xfId="21297"/>
    <cellStyle name="Ç¥ÁØ_p.mix  8 23" xfId="21298"/>
    <cellStyle name="C￥AØ_p.mix  8 24" xfId="21299"/>
    <cellStyle name="Ç¥ÁØ_p.mix  8 24" xfId="21300"/>
    <cellStyle name="C￥AØ_p.mix  8 25" xfId="21301"/>
    <cellStyle name="Ç¥ÁØ_p.mix  8 25" xfId="21302"/>
    <cellStyle name="C￥AØ_p.mix  8 26" xfId="21303"/>
    <cellStyle name="Ç¥ÁØ_p.mix  8 26" xfId="21304"/>
    <cellStyle name="C￥AØ_p.mix  8 27" xfId="21305"/>
    <cellStyle name="Ç¥ÁØ_p.mix  8 27" xfId="21306"/>
    <cellStyle name="C￥AØ_p.mix  8 28" xfId="21307"/>
    <cellStyle name="Ç¥ÁØ_p.mix  8 28" xfId="21308"/>
    <cellStyle name="C￥AØ_p.mix  8 29" xfId="21309"/>
    <cellStyle name="Ç¥ÁØ_p.mix  8 29" xfId="21310"/>
    <cellStyle name="C￥AØ_p.mix  8 3" xfId="21311"/>
    <cellStyle name="Ç¥ÁØ_p.mix  8 3" xfId="21312"/>
    <cellStyle name="C￥AØ_p.mix  8 30" xfId="21313"/>
    <cellStyle name="Ç¥ÁØ_p.mix  8 30" xfId="21314"/>
    <cellStyle name="C￥AØ_p.mix  8 31" xfId="21315"/>
    <cellStyle name="Ç¥ÁØ_p.mix  8 31" xfId="21316"/>
    <cellStyle name="C￥AØ_p.mix  8 32" xfId="21317"/>
    <cellStyle name="Ç¥ÁØ_p.mix  8 32" xfId="21318"/>
    <cellStyle name="C￥AØ_p.mix  8 33" xfId="21319"/>
    <cellStyle name="Ç¥ÁØ_p.mix  8 33" xfId="21320"/>
    <cellStyle name="C￥AØ_p.mix  8 34" xfId="21321"/>
    <cellStyle name="Ç¥ÁØ_p.mix  8 34" xfId="21322"/>
    <cellStyle name="C￥AØ_p.mix  8 4" xfId="21323"/>
    <cellStyle name="Ç¥ÁØ_p.mix  8 4" xfId="21324"/>
    <cellStyle name="C￥AØ_p.mix  8 5" xfId="21325"/>
    <cellStyle name="Ç¥ÁØ_p.mix  8 5" xfId="21326"/>
    <cellStyle name="C￥AØ_p.mix  8 6" xfId="21327"/>
    <cellStyle name="Ç¥ÁØ_p.mix  8 6" xfId="21328"/>
    <cellStyle name="C￥AØ_p.mix  8 7" xfId="21329"/>
    <cellStyle name="Ç¥ÁØ_p.mix  8 7" xfId="21330"/>
    <cellStyle name="C￥AØ_p.mix  8 8" xfId="21331"/>
    <cellStyle name="Ç¥ÁØ_p.mix  8 8" xfId="21332"/>
    <cellStyle name="C￥AØ_p.mix  8 9" xfId="21333"/>
    <cellStyle name="Ç¥ÁØ_p.mix  8 9" xfId="21334"/>
    <cellStyle name="C￥AØ_p.mix  9" xfId="21335"/>
    <cellStyle name="Ç¥ÁØ_p.mix  9" xfId="21336"/>
    <cellStyle name="C￥AØ_p.mix  9 10" xfId="21337"/>
    <cellStyle name="Ç¥ÁØ_p.mix  9 10" xfId="21338"/>
    <cellStyle name="C￥AØ_p.mix  9 11" xfId="21339"/>
    <cellStyle name="Ç¥ÁØ_p.mix  9 11" xfId="21340"/>
    <cellStyle name="C￥AØ_p.mix  9 12" xfId="21341"/>
    <cellStyle name="Ç¥ÁØ_p.mix  9 12" xfId="21342"/>
    <cellStyle name="C￥AØ_p.mix  9 13" xfId="21343"/>
    <cellStyle name="Ç¥ÁØ_p.mix  9 13" xfId="21344"/>
    <cellStyle name="C￥AØ_p.mix  9 14" xfId="21345"/>
    <cellStyle name="Ç¥ÁØ_p.mix  9 14" xfId="21346"/>
    <cellStyle name="C￥AØ_p.mix  9 15" xfId="21347"/>
    <cellStyle name="Ç¥ÁØ_p.mix  9 15" xfId="21348"/>
    <cellStyle name="C￥AØ_p.mix  9 16" xfId="21349"/>
    <cellStyle name="Ç¥ÁØ_p.mix  9 16" xfId="21350"/>
    <cellStyle name="C￥AØ_p.mix  9 17" xfId="21351"/>
    <cellStyle name="Ç¥ÁØ_p.mix  9 17" xfId="21352"/>
    <cellStyle name="C￥AØ_p.mix  9 18" xfId="21353"/>
    <cellStyle name="Ç¥ÁØ_p.mix  9 18" xfId="21354"/>
    <cellStyle name="C￥AØ_p.mix  9 19" xfId="21355"/>
    <cellStyle name="Ç¥ÁØ_p.mix  9 19" xfId="21356"/>
    <cellStyle name="C￥AØ_p.mix  9 2" xfId="21357"/>
    <cellStyle name="Ç¥ÁØ_p.mix  9 2" xfId="21358"/>
    <cellStyle name="C￥AØ_p.mix  9 20" xfId="21359"/>
    <cellStyle name="Ç¥ÁØ_p.mix  9 20" xfId="21360"/>
    <cellStyle name="C￥AØ_p.mix  9 21" xfId="21361"/>
    <cellStyle name="Ç¥ÁØ_p.mix  9 21" xfId="21362"/>
    <cellStyle name="C￥AØ_p.mix  9 22" xfId="21363"/>
    <cellStyle name="Ç¥ÁØ_p.mix  9 22" xfId="21364"/>
    <cellStyle name="C￥AØ_p.mix  9 23" xfId="21365"/>
    <cellStyle name="Ç¥ÁØ_p.mix  9 23" xfId="21366"/>
    <cellStyle name="C￥AØ_p.mix  9 24" xfId="21367"/>
    <cellStyle name="Ç¥ÁØ_p.mix  9 24" xfId="21368"/>
    <cellStyle name="C￥AØ_p.mix  9 25" xfId="21369"/>
    <cellStyle name="Ç¥ÁØ_p.mix  9 25" xfId="21370"/>
    <cellStyle name="C￥AØ_p.mix  9 26" xfId="21371"/>
    <cellStyle name="Ç¥ÁØ_p.mix  9 26" xfId="21372"/>
    <cellStyle name="C￥AØ_p.mix  9 27" xfId="21373"/>
    <cellStyle name="Ç¥ÁØ_p.mix  9 27" xfId="21374"/>
    <cellStyle name="C￥AØ_p.mix  9 28" xfId="21375"/>
    <cellStyle name="Ç¥ÁØ_p.mix  9 28" xfId="21376"/>
    <cellStyle name="C￥AØ_p.mix  9 29" xfId="21377"/>
    <cellStyle name="Ç¥ÁØ_p.mix  9 29" xfId="21378"/>
    <cellStyle name="C￥AØ_p.mix  9 3" xfId="21379"/>
    <cellStyle name="Ç¥ÁØ_p.mix  9 3" xfId="21380"/>
    <cellStyle name="C￥AØ_p.mix  9 30" xfId="21381"/>
    <cellStyle name="Ç¥ÁØ_p.mix  9 30" xfId="21382"/>
    <cellStyle name="C￥AØ_p.mix  9 31" xfId="21383"/>
    <cellStyle name="Ç¥ÁØ_p.mix  9 31" xfId="21384"/>
    <cellStyle name="C￥AØ_p.mix  9 32" xfId="21385"/>
    <cellStyle name="Ç¥ÁØ_p.mix  9 32" xfId="21386"/>
    <cellStyle name="C￥AØ_p.mix  9 33" xfId="21387"/>
    <cellStyle name="Ç¥ÁØ_p.mix  9 33" xfId="21388"/>
    <cellStyle name="C￥AØ_p.mix  9 34" xfId="21389"/>
    <cellStyle name="Ç¥ÁØ_p.mix  9 34" xfId="21390"/>
    <cellStyle name="C￥AØ_p.mix  9 4" xfId="21391"/>
    <cellStyle name="Ç¥ÁØ_p.mix  9 4" xfId="21392"/>
    <cellStyle name="C￥AØ_p.mix  9 5" xfId="21393"/>
    <cellStyle name="Ç¥ÁØ_p.mix  9 5" xfId="21394"/>
    <cellStyle name="C￥AØ_p.mix  9 6" xfId="21395"/>
    <cellStyle name="Ç¥ÁØ_p.mix  9 6" xfId="21396"/>
    <cellStyle name="C￥AØ_p.mix  9 7" xfId="21397"/>
    <cellStyle name="Ç¥ÁØ_p.mix  9 7" xfId="21398"/>
    <cellStyle name="C￥AØ_p.mix  9 8" xfId="21399"/>
    <cellStyle name="Ç¥ÁØ_p.mix  9 8" xfId="21400"/>
    <cellStyle name="C￥AØ_p.mix  9 9" xfId="21401"/>
    <cellStyle name="Ç¥ÁØ_p.mix  9 9" xfId="21402"/>
    <cellStyle name="C￥AØ_Sheet1_¿μ¾÷CoE² " xfId="21403"/>
    <cellStyle name="Ç¥ÁØ_Sheet1_0N-HANDLING " xfId="21404"/>
    <cellStyle name="C￥AØ_Sheet1_Ay°eC￥(2¿u) " xfId="21405"/>
    <cellStyle name="Ç¥ÁØ_Sheet1_Áý°èÇ¥(2¿ù) " xfId="21406"/>
    <cellStyle name="Calc Currency (0)" xfId="21407"/>
    <cellStyle name="Calc Currency (0) 2" xfId="21408"/>
    <cellStyle name="Calc Currency (0) 3" xfId="21409"/>
    <cellStyle name="Calc Currency (0)_ECH IO List &amp; Terminal Allocation_110720 발송" xfId="21410"/>
    <cellStyle name="Calc Currency (2)" xfId="21411"/>
    <cellStyle name="Calc Percent (0)" xfId="21412"/>
    <cellStyle name="Calc Percent (1)" xfId="21413"/>
    <cellStyle name="Calc Percent (2)" xfId="21414"/>
    <cellStyle name="Calc Units (0)" xfId="21415"/>
    <cellStyle name="Calc Units (1)" xfId="21416"/>
    <cellStyle name="Calc Units (2)" xfId="21417"/>
    <cellStyle name="Calcolo" xfId="21418"/>
    <cellStyle name="Calculation" xfId="21419"/>
    <cellStyle name="Calculation 2" xfId="21420"/>
    <cellStyle name="Calculation 2 2" xfId="21421"/>
    <cellStyle name="Calculation 2 2 2" xfId="21422"/>
    <cellStyle name="Calculation 3" xfId="21423"/>
    <cellStyle name="Calculation 3 2" xfId="21424"/>
    <cellStyle name="Calculation 4" xfId="21425"/>
    <cellStyle name="Calculation 5" xfId="21426"/>
    <cellStyle name="Calculation 6" xfId="21427"/>
    <cellStyle name="Calculation_IO LIST" xfId="21428"/>
    <cellStyle name="category" xfId="21429"/>
    <cellStyle name="category 2" xfId="21430"/>
    <cellStyle name="category 3" xfId="21431"/>
    <cellStyle name="Cella collegata" xfId="21432"/>
    <cellStyle name="Cella da controllare" xfId="21433"/>
    <cellStyle name="CHANGES" xfId="21434"/>
    <cellStyle name="Check Cell" xfId="21435"/>
    <cellStyle name="Check Cell 2" xfId="21436"/>
    <cellStyle name="Check Cell 2 2" xfId="21437"/>
    <cellStyle name="Check Cell 3" xfId="21438"/>
    <cellStyle name="Check Cell 4" xfId="21439"/>
    <cellStyle name="Check Cell 5" xfId="21440"/>
    <cellStyle name="CMH/대" xfId="21441"/>
    <cellStyle name="CMM/대" xfId="21442"/>
    <cellStyle name="Cmma_을지 (2)_갑지 (2)_집계표 (2)_집계표 (3)_견적서 (2)" xfId="21443"/>
    <cellStyle name="Colore 1" xfId="21444"/>
    <cellStyle name="Colore 2" xfId="21445"/>
    <cellStyle name="Colore 3" xfId="21446"/>
    <cellStyle name="Colore 4" xfId="21447"/>
    <cellStyle name="Colore 5" xfId="21448"/>
    <cellStyle name="Colore 6" xfId="21449"/>
    <cellStyle name="Com? [0]_ SG&amp;A Bridge " xfId="21450"/>
    <cellStyle name="Comma" xfId="21451"/>
    <cellStyle name="Comma  - Style1" xfId="21452"/>
    <cellStyle name="Comma  - Style1 2" xfId="21453"/>
    <cellStyle name="Comma  - Style2" xfId="21454"/>
    <cellStyle name="Comma  - Style3" xfId="21455"/>
    <cellStyle name="Comma  - Style4" xfId="21456"/>
    <cellStyle name="Comma  - Style5" xfId="21457"/>
    <cellStyle name="Comma  - Style6" xfId="21458"/>
    <cellStyle name="Comma  - Style7" xfId="21459"/>
    <cellStyle name="Comma  - Style8" xfId="21460"/>
    <cellStyle name="Comma [?_ SG&amp;A Bridge " xfId="21461"/>
    <cellStyle name="Comma [0]" xfId="21462"/>
    <cellStyle name="Comma [0] 2" xfId="21463"/>
    <cellStyle name="Comma [0] 2 2" xfId="21464"/>
    <cellStyle name="Comma [0] 3" xfId="21465"/>
    <cellStyle name="Comma [0]_ SG&amp;A Bridge " xfId="21466"/>
    <cellStyle name="Comma [00]" xfId="21467"/>
    <cellStyle name="Comma [3]" xfId="21468"/>
    <cellStyle name="Comma 2" xfId="21469"/>
    <cellStyle name="Comma 3" xfId="21470"/>
    <cellStyle name="Comma 4" xfId="21471"/>
    <cellStyle name="comma zerodec" xfId="21472"/>
    <cellStyle name="comma zerodec 2" xfId="21473"/>
    <cellStyle name="comma zerodec 3" xfId="21474"/>
    <cellStyle name="Comma_ " xfId="21475"/>
    <cellStyle name="Comma0" xfId="21476"/>
    <cellStyle name="Comma0 2" xfId="21477"/>
    <cellStyle name="Comma0 3" xfId="21478"/>
    <cellStyle name="CONSIGNEE" xfId="21479"/>
    <cellStyle name="Copied" xfId="21480"/>
    <cellStyle name="Copied 2" xfId="21481"/>
    <cellStyle name="Cover Sheet" xfId="21482"/>
    <cellStyle name="Curren - Style3" xfId="21483"/>
    <cellStyle name="Curren - Style4" xfId="21484"/>
    <cellStyle name="Curren?_x0012_퐀_x0017_?" xfId="21485"/>
    <cellStyle name="Currency" xfId="21486"/>
    <cellStyle name="Currency [0]" xfId="21487"/>
    <cellStyle name="Currency [0] 2" xfId="21488"/>
    <cellStyle name="Currency [0] 3" xfId="21489"/>
    <cellStyle name="Currency [0]_laroux" xfId="21490"/>
    <cellStyle name="Currency [00]" xfId="21491"/>
    <cellStyle name="Currency 2" xfId="21492"/>
    <cellStyle name="Currency 3" xfId="21493"/>
    <cellStyle name="Currency 4" xfId="21494"/>
    <cellStyle name="Currency_ " xfId="21495"/>
    <cellStyle name="Currency0" xfId="21496"/>
    <cellStyle name="Currency0 2" xfId="21497"/>
    <cellStyle name="Currency0 2 2" xfId="21498"/>
    <cellStyle name="Currency0 2 2 2" xfId="21499"/>
    <cellStyle name="Currency0 2 2 2 2" xfId="21500"/>
    <cellStyle name="Currency0 2 2 3" xfId="21501"/>
    <cellStyle name="Currency0 2 2 4" xfId="21502"/>
    <cellStyle name="Currency0 2 2 5" xfId="21503"/>
    <cellStyle name="Currency0 2 2 6" xfId="21504"/>
    <cellStyle name="Currency0 2 3" xfId="21505"/>
    <cellStyle name="Currency0 2 3 2" xfId="21506"/>
    <cellStyle name="Currency0 2 3 3" xfId="21507"/>
    <cellStyle name="Currency0 2 4" xfId="21508"/>
    <cellStyle name="Currency0 2 5" xfId="21509"/>
    <cellStyle name="Currency0 2 6" xfId="21510"/>
    <cellStyle name="Currency0 2 7" xfId="21511"/>
    <cellStyle name="Currency0 3" xfId="21512"/>
    <cellStyle name="Currency0 3 2" xfId="21513"/>
    <cellStyle name="Currency0 3 2 2" xfId="21514"/>
    <cellStyle name="Currency0 3 3" xfId="21515"/>
    <cellStyle name="Currency0 3 4" xfId="21516"/>
    <cellStyle name="Currency0 3 5" xfId="21517"/>
    <cellStyle name="Currency0 3 6" xfId="21518"/>
    <cellStyle name="Currency1" xfId="21519"/>
    <cellStyle name="Currency1 2" xfId="21520"/>
    <cellStyle name="Currency1 2 2" xfId="21521"/>
    <cellStyle name="Currency1 3" xfId="21522"/>
    <cellStyle name="Currency1 4" xfId="21523"/>
    <cellStyle name="Currency1 5" xfId="21524"/>
    <cellStyle name="Data Labels" xfId="21525"/>
    <cellStyle name="DATA SHEET" xfId="21526"/>
    <cellStyle name="DATA_ENTRY" xfId="21527"/>
    <cellStyle name="DataLabels" xfId="21528"/>
    <cellStyle name="DataLabelsForUPS" xfId="21529"/>
    <cellStyle name="Date" xfId="21530"/>
    <cellStyle name="Date 2" xfId="21531"/>
    <cellStyle name="Date 2 2" xfId="21532"/>
    <cellStyle name="Date 2 3" xfId="21533"/>
    <cellStyle name="Date 3" xfId="21534"/>
    <cellStyle name="DATE 4" xfId="21535"/>
    <cellStyle name="DATE 5" xfId="21536"/>
    <cellStyle name="Date 6" xfId="21537"/>
    <cellStyle name="Date Short" xfId="21538"/>
    <cellStyle name="Date_비교검토-1022" xfId="21539"/>
    <cellStyle name="dcDataSheetHeadings" xfId="21540"/>
    <cellStyle name="dcDataSheetLabels" xfId="21541"/>
    <cellStyle name="DELTA" xfId="21542"/>
    <cellStyle name="Dezimal [0]_laroux" xfId="21543"/>
    <cellStyle name="Dezimal_laroux" xfId="21544"/>
    <cellStyle name="Dia" xfId="21545"/>
    <cellStyle name="Dollar (zero dec)" xfId="21546"/>
    <cellStyle name="Dollar (zero dec) 2" xfId="21547"/>
    <cellStyle name="Dollar (zero dec) 3" xfId="21548"/>
    <cellStyle name="Dollars" xfId="21549"/>
    <cellStyle name="Dollars 2" xfId="21550"/>
    <cellStyle name="Dollars(0)" xfId="21551"/>
    <cellStyle name="Dollars(0) 2" xfId="21552"/>
    <cellStyle name="Dollars_2115_08_SP_0610_01_PC__E_80" xfId="21553"/>
    <cellStyle name="Enter Currency (0)" xfId="21554"/>
    <cellStyle name="Enter Currency (2)" xfId="21555"/>
    <cellStyle name="Enter Units (0)" xfId="21556"/>
    <cellStyle name="Enter Units (1)" xfId="21557"/>
    <cellStyle name="Enter Units (2)" xfId="21558"/>
    <cellStyle name="Entered" xfId="21559"/>
    <cellStyle name="Entered 2" xfId="21560"/>
    <cellStyle name="Euro" xfId="21561"/>
    <cellStyle name="Euro 2" xfId="21562"/>
    <cellStyle name="Explanatory Text" xfId="21563"/>
    <cellStyle name="Explanatory Text 2" xfId="21564"/>
    <cellStyle name="Explanatory Text 2 2" xfId="21565"/>
    <cellStyle name="Explanatory Text 3" xfId="21566"/>
    <cellStyle name="Explanatory Text 4" xfId="21567"/>
    <cellStyle name="Explanatory Text 5" xfId="21568"/>
    <cellStyle name="F2" xfId="21569"/>
    <cellStyle name="F2 2" xfId="21570"/>
    <cellStyle name="F3" xfId="21571"/>
    <cellStyle name="F3 2" xfId="21572"/>
    <cellStyle name="F4" xfId="21573"/>
    <cellStyle name="F4 2" xfId="21574"/>
    <cellStyle name="F5" xfId="21575"/>
    <cellStyle name="F5 2" xfId="21576"/>
    <cellStyle name="F6" xfId="21577"/>
    <cellStyle name="F6 2" xfId="21578"/>
    <cellStyle name="F7" xfId="21579"/>
    <cellStyle name="F7 2" xfId="21580"/>
    <cellStyle name="F8" xfId="21581"/>
    <cellStyle name="F8 2" xfId="21582"/>
    <cellStyle name="Fixed" xfId="21583"/>
    <cellStyle name="Fixed 2" xfId="21584"/>
    <cellStyle name="Fixed 2 2" xfId="21585"/>
    <cellStyle name="Fixed 2 3" xfId="21586"/>
    <cellStyle name="Fixed 3" xfId="21587"/>
    <cellStyle name="Fixed 4" xfId="21588"/>
    <cellStyle name="Fixed_IO LIST" xfId="21589"/>
    <cellStyle name="Followed Hyperlink" xfId="21590"/>
    <cellStyle name="Followed Hyperlink 2" xfId="21591"/>
    <cellStyle name="Followed Hyperlink 3" xfId="21592"/>
    <cellStyle name="Followed Hyperlink 3 2" xfId="21593"/>
    <cellStyle name="Footer" xfId="21594"/>
    <cellStyle name="FORM" xfId="21595"/>
    <cellStyle name="FORM 2" xfId="21596"/>
    <cellStyle name="FORM 3" xfId="21597"/>
    <cellStyle name="Good" xfId="21598"/>
    <cellStyle name="Good 2" xfId="21599"/>
    <cellStyle name="Good 2 2" xfId="21600"/>
    <cellStyle name="Good 3" xfId="21601"/>
    <cellStyle name="Good 4" xfId="21602"/>
    <cellStyle name="Good 5" xfId="21603"/>
    <cellStyle name="Grey" xfId="21604"/>
    <cellStyle name="Grey 2" xfId="21605"/>
    <cellStyle name="Grey 3" xfId="21606"/>
    <cellStyle name="head" xfId="21607"/>
    <cellStyle name="head 1" xfId="21608"/>
    <cellStyle name="head 1-1" xfId="21609"/>
    <cellStyle name="HEADER" xfId="21610"/>
    <cellStyle name="HEADER 2" xfId="21611"/>
    <cellStyle name="Header 3" xfId="21612"/>
    <cellStyle name="Header 4" xfId="21613"/>
    <cellStyle name="HEADER 5" xfId="21614"/>
    <cellStyle name="Header1" xfId="21615"/>
    <cellStyle name="Header1 2" xfId="21616"/>
    <cellStyle name="header1 3" xfId="21617"/>
    <cellStyle name="header1 4" xfId="21618"/>
    <cellStyle name="Header1 5" xfId="21619"/>
    <cellStyle name="Header1 6" xfId="21620"/>
    <cellStyle name="Header2" xfId="21621"/>
    <cellStyle name="Header2 2" xfId="21622"/>
    <cellStyle name="Header2 2 2" xfId="21623"/>
    <cellStyle name="header2 3" xfId="21624"/>
    <cellStyle name="Header2 3 2" xfId="21625"/>
    <cellStyle name="header2 4" xfId="21626"/>
    <cellStyle name="Header2 4 2" xfId="21627"/>
    <cellStyle name="Header2 5" xfId="21628"/>
    <cellStyle name="Header2 6" xfId="21629"/>
    <cellStyle name="Header2_IO LIST" xfId="21630"/>
    <cellStyle name="header3" xfId="21631"/>
    <cellStyle name="header3 2" xfId="21632"/>
    <cellStyle name="Heading" xfId="21633"/>
    <cellStyle name="Heading 1" xfId="21634"/>
    <cellStyle name="Heading 1 2" xfId="21635"/>
    <cellStyle name="Heading 1 2 2" xfId="21636"/>
    <cellStyle name="Heading 1 2 2 2" xfId="21637"/>
    <cellStyle name="Heading 1 2 3" xfId="21638"/>
    <cellStyle name="Heading 1 2 4" xfId="21639"/>
    <cellStyle name="Heading 1 2 5" xfId="21640"/>
    <cellStyle name="Heading 2" xfId="21641"/>
    <cellStyle name="Heading 2 2" xfId="21642"/>
    <cellStyle name="Heading 2 2 2" xfId="21643"/>
    <cellStyle name="Heading 2 2 2 2" xfId="21644"/>
    <cellStyle name="Heading 2 2 3" xfId="21645"/>
    <cellStyle name="Heading 2 2 4" xfId="21646"/>
    <cellStyle name="Heading 2 2 5" xfId="21647"/>
    <cellStyle name="Heading 3" xfId="21648"/>
    <cellStyle name="Heading 3 2" xfId="21649"/>
    <cellStyle name="Heading 3 2 2" xfId="21650"/>
    <cellStyle name="Heading 3 3" xfId="21651"/>
    <cellStyle name="Heading 3 4" xfId="21652"/>
    <cellStyle name="Heading 3 5" xfId="21653"/>
    <cellStyle name="Heading 4" xfId="21654"/>
    <cellStyle name="Heading 4 2" xfId="21655"/>
    <cellStyle name="Heading 4 2 2" xfId="21656"/>
    <cellStyle name="Heading 4 3" xfId="21657"/>
    <cellStyle name="Heading 4 4" xfId="21658"/>
    <cellStyle name="Heading 4 5" xfId="21659"/>
    <cellStyle name="HEADING1" xfId="21660"/>
    <cellStyle name="Heading1 2" xfId="21661"/>
    <cellStyle name="HEADING1 3" xfId="21662"/>
    <cellStyle name="HEADING1 4" xfId="21663"/>
    <cellStyle name="HEADING1_IO LIST" xfId="21664"/>
    <cellStyle name="HEADING2" xfId="21665"/>
    <cellStyle name="Heading2 2" xfId="21666"/>
    <cellStyle name="HEADING2 3" xfId="21667"/>
    <cellStyle name="HEADING2 4" xfId="21668"/>
    <cellStyle name="HEADING2_IO LIST" xfId="21669"/>
    <cellStyle name="HEADINGS" xfId="21670"/>
    <cellStyle name="Helv8_PFD4.XLS" xfId="21671"/>
    <cellStyle name="Helvetica" xfId="21672"/>
    <cellStyle name="Helvetica10" xfId="21673"/>
    <cellStyle name="Helvetica11" xfId="21674"/>
    <cellStyle name="Hyperlink" xfId="21675"/>
    <cellStyle name="Hyperlink 2" xfId="21676"/>
    <cellStyle name="Hyperlink 3" xfId="21677"/>
    <cellStyle name="Hyperlink 3 2" xfId="21678"/>
    <cellStyle name="Index Sheet" xfId="21679"/>
    <cellStyle name="Input" xfId="21680"/>
    <cellStyle name="Input [yellow]" xfId="21681"/>
    <cellStyle name="Input [yellow] 2" xfId="21682"/>
    <cellStyle name="Input [yellow] 2 2" xfId="21683"/>
    <cellStyle name="Input [yellow] 2 3" xfId="21684"/>
    <cellStyle name="Input [yellow] 2 4" xfId="21685"/>
    <cellStyle name="Input [yellow] 3" xfId="21686"/>
    <cellStyle name="Input [yellow] 3 2" xfId="21687"/>
    <cellStyle name="Input [yellow] 4" xfId="21688"/>
    <cellStyle name="Input 10" xfId="21689"/>
    <cellStyle name="Input 10 2" xfId="21690"/>
    <cellStyle name="Input 11" xfId="21691"/>
    <cellStyle name="Input 11 2" xfId="21692"/>
    <cellStyle name="Input 12" xfId="21693"/>
    <cellStyle name="Input 12 2" xfId="21694"/>
    <cellStyle name="Input 13" xfId="21695"/>
    <cellStyle name="Input 13 2" xfId="21696"/>
    <cellStyle name="Input 14" xfId="21697"/>
    <cellStyle name="Input 14 2" xfId="21698"/>
    <cellStyle name="Input 15" xfId="21699"/>
    <cellStyle name="Input 15 2" xfId="21700"/>
    <cellStyle name="Input 16" xfId="21701"/>
    <cellStyle name="Input 16 2" xfId="21702"/>
    <cellStyle name="Input 17" xfId="21703"/>
    <cellStyle name="Input 17 2" xfId="21704"/>
    <cellStyle name="Input 18" xfId="21705"/>
    <cellStyle name="Input 18 2" xfId="21706"/>
    <cellStyle name="Input 19" xfId="21707"/>
    <cellStyle name="Input 19 2" xfId="21708"/>
    <cellStyle name="Input 2" xfId="21709"/>
    <cellStyle name="Input 2 2" xfId="21710"/>
    <cellStyle name="Input 2 2 2" xfId="21711"/>
    <cellStyle name="Input 20" xfId="21712"/>
    <cellStyle name="Input 21" xfId="21713"/>
    <cellStyle name="Input 22" xfId="21714"/>
    <cellStyle name="Input 23" xfId="21715"/>
    <cellStyle name="Input 24" xfId="21716"/>
    <cellStyle name="Input 25" xfId="21717"/>
    <cellStyle name="Input 3" xfId="21718"/>
    <cellStyle name="Input 3 2" xfId="21719"/>
    <cellStyle name="Input 4" xfId="21720"/>
    <cellStyle name="Input 4 2" xfId="21721"/>
    <cellStyle name="Input 5" xfId="21722"/>
    <cellStyle name="Input 5 2" xfId="21723"/>
    <cellStyle name="Input 6" xfId="21724"/>
    <cellStyle name="Input 6 2" xfId="21725"/>
    <cellStyle name="Input 7" xfId="21726"/>
    <cellStyle name="Input 7 2" xfId="21727"/>
    <cellStyle name="Input 8" xfId="21728"/>
    <cellStyle name="Input 8 2" xfId="21729"/>
    <cellStyle name="Input 9" xfId="21730"/>
    <cellStyle name="Input 9 2" xfId="21731"/>
    <cellStyle name="Input_IO LIST" xfId="21732"/>
    <cellStyle name="JOB_DATA" xfId="21733"/>
    <cellStyle name="kg/대" xfId="21734"/>
    <cellStyle name="ŀ?" xfId="21735"/>
    <cellStyle name="ŀ? 2" xfId="21736"/>
    <cellStyle name="ŀ? 2 2" xfId="21737"/>
    <cellStyle name="ŀ?_x0001_ŀŀ?" xfId="21738"/>
    <cellStyle name="ŀ?_x0001_ŀŀ? 2" xfId="21739"/>
    <cellStyle name="ŀ?_x0001_ŀŀ? 2 2" xfId="21740"/>
    <cellStyle name="LABEL" xfId="21741"/>
    <cellStyle name="left" xfId="21742"/>
    <cellStyle name="left 2" xfId="21743"/>
    <cellStyle name="Link Currency (0)" xfId="21744"/>
    <cellStyle name="Link Currency (2)" xfId="21745"/>
    <cellStyle name="Link to Cover" xfId="21746"/>
    <cellStyle name="Link Units (0)" xfId="21747"/>
    <cellStyle name="Link Units (1)" xfId="21748"/>
    <cellStyle name="Link Units (2)" xfId="21749"/>
    <cellStyle name="Linked Cell" xfId="21750"/>
    <cellStyle name="Linked Cell 2" xfId="21751"/>
    <cellStyle name="Linked Cell 2 2" xfId="21752"/>
    <cellStyle name="Linked Cell 3" xfId="21753"/>
    <cellStyle name="Linked Cell 4" xfId="21754"/>
    <cellStyle name="Linked Cell 5" xfId="21755"/>
    <cellStyle name="Linked data" xfId="21756"/>
    <cellStyle name="Links to Cover" xfId="21757"/>
    <cellStyle name="LOOKUP" xfId="21758"/>
    <cellStyle name="ŀ䅀" xfId="21759"/>
    <cellStyle name="ŀ䅀 2" xfId="21760"/>
    <cellStyle name="ŀ䅀 2 2" xfId="21761"/>
    <cellStyle name="ŀ䀪_x0001_ŀŀ䅀" xfId="21762"/>
    <cellStyle name="ŀ䀪_x0001_ŀŀ䅀 2" xfId="21763"/>
    <cellStyle name="ŀ䀪_x0001_ŀŀ䅀 2 2" xfId="21764"/>
    <cellStyle name="M" xfId="21765"/>
    <cellStyle name="m3/대" xfId="21766"/>
    <cellStyle name="MainHeading" xfId="21767"/>
    <cellStyle name="MainHeadingTwo" xfId="21768"/>
    <cellStyle name="mhcha" xfId="21769"/>
    <cellStyle name="Miglia - Stile1" xfId="21770"/>
    <cellStyle name="Miglia - Stile2" xfId="21771"/>
    <cellStyle name="Miglia - Stile3" xfId="21772"/>
    <cellStyle name="Miglia - Stile4" xfId="21773"/>
    <cellStyle name="Miglia - Stile5" xfId="21774"/>
    <cellStyle name="Migliaia (0)_1" xfId="21775"/>
    <cellStyle name="Millares [0]_elec" xfId="21776"/>
    <cellStyle name="Millares_elec" xfId="21777"/>
    <cellStyle name="Milliers [0]_AR1194" xfId="21778"/>
    <cellStyle name="Milliers_AR1194" xfId="21779"/>
    <cellStyle name="Model" xfId="21780"/>
    <cellStyle name="Model 2" xfId="21781"/>
    <cellStyle name="Model 2 2" xfId="21782"/>
    <cellStyle name="Model 3" xfId="21783"/>
    <cellStyle name="Mon?aire [0]_Arabian Spec" xfId="21784"/>
    <cellStyle name="Mon?aire_Arabian Spec" xfId="21785"/>
    <cellStyle name="Monétaire [0]_AR1194" xfId="21786"/>
    <cellStyle name="Monétaire_AR1194" xfId="21787"/>
    <cellStyle name="mystyle" xfId="21788"/>
    <cellStyle name="Neutral" xfId="21789"/>
    <cellStyle name="Neutral 2" xfId="21790"/>
    <cellStyle name="Neutral 2 2" xfId="21791"/>
    <cellStyle name="Neutral 3" xfId="21792"/>
    <cellStyle name="Neutral 4" xfId="21793"/>
    <cellStyle name="Neutral 5" xfId="21794"/>
    <cellStyle name="Neutrale" xfId="21795"/>
    <cellStyle name="NewKw" xfId="21796"/>
    <cellStyle name="no dec" xfId="21797"/>
    <cellStyle name="No-definido" xfId="21798"/>
    <cellStyle name="Non_definito" xfId="21799"/>
    <cellStyle name="Norma`" xfId="21800"/>
    <cellStyle name="normal" xfId="21801"/>
    <cellStyle name="Normal - Stile6" xfId="21802"/>
    <cellStyle name="Normal - Stile7" xfId="21803"/>
    <cellStyle name="Normal - Stile8" xfId="21804"/>
    <cellStyle name="Normal - Style1" xfId="21805"/>
    <cellStyle name="Normal - Style1 2" xfId="21806"/>
    <cellStyle name="Normal - Style1 2 2" xfId="21807"/>
    <cellStyle name="Normal - Style1 2 3" xfId="21808"/>
    <cellStyle name="Normal - Style1 3" xfId="21809"/>
    <cellStyle name="Normal - Style1 3 2" xfId="21810"/>
    <cellStyle name="Normal - Style1 4" xfId="21811"/>
    <cellStyle name="Normal - Style1 5" xfId="21812"/>
    <cellStyle name="Normal - Style1_IO LIST" xfId="21813"/>
    <cellStyle name="Normal - Style5" xfId="21814"/>
    <cellStyle name="Normal - 유형1" xfId="21815"/>
    <cellStyle name="Normal 10" xfId="21816"/>
    <cellStyle name="Normal 11" xfId="21817"/>
    <cellStyle name="Normal 12" xfId="21818"/>
    <cellStyle name="Normal 13" xfId="21819"/>
    <cellStyle name="Normal 14" xfId="21820"/>
    <cellStyle name="Normal 15" xfId="21821"/>
    <cellStyle name="Normal 16" xfId="21822"/>
    <cellStyle name="Normal 17" xfId="21823"/>
    <cellStyle name="Normal 17 2" xfId="21824"/>
    <cellStyle name="Normal 2" xfId="21825"/>
    <cellStyle name="Normal 2 2" xfId="21826"/>
    <cellStyle name="Normal 2 3" xfId="21827"/>
    <cellStyle name="Normal 2 4" xfId="21828"/>
    <cellStyle name="Normal 2_BOM Notes and assumptions" xfId="21829"/>
    <cellStyle name="Normal 3" xfId="21830"/>
    <cellStyle name="Normal 3 2" xfId="21831"/>
    <cellStyle name="Normal 3 2 2" xfId="21832"/>
    <cellStyle name="Normal 3 3" xfId="21833"/>
    <cellStyle name="Normal 3 4" xfId="21834"/>
    <cellStyle name="Normal 4" xfId="21835"/>
    <cellStyle name="Normal 4 2" xfId="21836"/>
    <cellStyle name="Normal 4 2 2" xfId="21837"/>
    <cellStyle name="Normal 4 3" xfId="21838"/>
    <cellStyle name="Normal 4_BOM Notes and assumptions" xfId="21839"/>
    <cellStyle name="Normal 446" xfId="21840"/>
    <cellStyle name="Normal 5" xfId="21841"/>
    <cellStyle name="Normal 5 2" xfId="21842"/>
    <cellStyle name="Normal 6" xfId="21843"/>
    <cellStyle name="Normal 7" xfId="21844"/>
    <cellStyle name="Normal 8" xfId="21845"/>
    <cellStyle name="Normal 9" xfId="21846"/>
    <cellStyle name="Normal_ " xfId="21847"/>
    <cellStyle name="Normal_MD-II- CONTROL SYSTEM IO LIST_Rev p1 (20.10.2011)" xfId="37104"/>
    <cellStyle name="Normale_863-S-100 COVER-NOTE Rev 1B" xfId="21848"/>
    <cellStyle name="Nota" xfId="21849"/>
    <cellStyle name="Note" xfId="21850"/>
    <cellStyle name="Note 2" xfId="21851"/>
    <cellStyle name="Note 2 2" xfId="21852"/>
    <cellStyle name="Note 3" xfId="21853"/>
    <cellStyle name="Note 3 2" xfId="21854"/>
    <cellStyle name="Note 4" xfId="21855"/>
    <cellStyle name="Note 5" xfId="21856"/>
    <cellStyle name="Note 6" xfId="21857"/>
    <cellStyle name="Note_IO LIST" xfId="21858"/>
    <cellStyle name="NUOVO" xfId="21859"/>
    <cellStyle name="oft Excel]_x000d__x000a_Comment=The open=/f lines load custom functions into the Paste Function list._x000d__x000a_Maximized=3_x000d__x000a_AutoFormat=" xfId="21860"/>
    <cellStyle name="omma [0]_Mktg Prog" xfId="21861"/>
    <cellStyle name="ormal_Sheet1_1" xfId="21862"/>
    <cellStyle name="Output" xfId="21863"/>
    <cellStyle name="Output 2" xfId="21864"/>
    <cellStyle name="Output 2 2" xfId="21865"/>
    <cellStyle name="Output 2 2 2" xfId="21866"/>
    <cellStyle name="Output 3" xfId="21867"/>
    <cellStyle name="Output 3 2" xfId="21868"/>
    <cellStyle name="Output 3 3" xfId="21869"/>
    <cellStyle name="Output 4" xfId="21870"/>
    <cellStyle name="Output 5" xfId="21871"/>
    <cellStyle name="Output_IO LIST" xfId="21872"/>
    <cellStyle name="p time]_x000d__x000a_time-zone-subsection=japan_x000d__x000a_save-on-exit=yes_x000d__x000a_show-log=no_x000d__x000a_updates=single_x000d__x000a_authorization=m" xfId="21874"/>
    <cellStyle name="ParameterLabelsForUPS" xfId="21875"/>
    <cellStyle name="PE_1월" xfId="21876"/>
    <cellStyle name="Percent" xfId="21877"/>
    <cellStyle name="Percent [0]" xfId="21878"/>
    <cellStyle name="Percent [00]" xfId="21879"/>
    <cellStyle name="Percent [2]" xfId="21880"/>
    <cellStyle name="Percent [2] 2" xfId="21881"/>
    <cellStyle name="Percent 2" xfId="21882"/>
    <cellStyle name="Percent 3" xfId="21883"/>
    <cellStyle name="Percent 4" xfId="21884"/>
    <cellStyle name="Percent_(01)재원산업 인력 용역(7-27)" xfId="21885"/>
    <cellStyle name="PERCENTAGE" xfId="21886"/>
    <cellStyle name="PrePop Currency (0)" xfId="21887"/>
    <cellStyle name="PrePop Currency (2)" xfId="21888"/>
    <cellStyle name="PrePop Units (0)" xfId="21889"/>
    <cellStyle name="PrePop Units (1)" xfId="21890"/>
    <cellStyle name="PrePop Units (2)" xfId="21891"/>
    <cellStyle name="PRICIPAL" xfId="21892"/>
    <cellStyle name="PROJECT TITLE" xfId="21893"/>
    <cellStyle name="PSChar" xfId="21894"/>
    <cellStyle name="REMARKS" xfId="21895"/>
    <cellStyle name="Result" xfId="21896"/>
    <cellStyle name="RevList" xfId="21897"/>
    <cellStyle name="RevList 2" xfId="21898"/>
    <cellStyle name="Standaard_BasisCalc rev.3b AMOC rev.0" xfId="21899"/>
    <cellStyle name="Standard_Angebotsblatt" xfId="21900"/>
    <cellStyle name="STD" xfId="21901"/>
    <cellStyle name="STD1" xfId="21902"/>
    <cellStyle name="subhead" xfId="21903"/>
    <cellStyle name="subhead 2" xfId="21904"/>
    <cellStyle name="subhead 3" xfId="21905"/>
    <cellStyle name="Subtotal" xfId="21906"/>
    <cellStyle name="Subtotal 2" xfId="21907"/>
    <cellStyle name="SUBTOTALS" xfId="21908"/>
    <cellStyle name="Testo avviso" xfId="21909"/>
    <cellStyle name="Testo descrittivo" xfId="21910"/>
    <cellStyle name="Text Indent A" xfId="21911"/>
    <cellStyle name="Text Indent B" xfId="21912"/>
    <cellStyle name="Text Indent C" xfId="21913"/>
    <cellStyle name="þ_x001d_ð'&amp;Oý&amp;Hý9_x0008__x000f__x0007_æ_x0007__x0007__x0001__x0001_" xfId="21914"/>
    <cellStyle name="þ_x001d_ð+&amp;„ý›&amp;}ý_x000b__x0008__x0011__x000b_å_x000b__x0007__x0001__x0001_" xfId="21915"/>
    <cellStyle name="Title" xfId="21916"/>
    <cellStyle name="title [1]" xfId="21917"/>
    <cellStyle name="title [2]" xfId="21918"/>
    <cellStyle name="Title 2" xfId="21919"/>
    <cellStyle name="Title 2 2" xfId="21920"/>
    <cellStyle name="Title 3" xfId="21921"/>
    <cellStyle name="Title 4" xfId="21922"/>
    <cellStyle name="Title 5" xfId="21923"/>
    <cellStyle name="Title1" xfId="21924"/>
    <cellStyle name="TitleBlock" xfId="21925"/>
    <cellStyle name="Titolo" xfId="21926"/>
    <cellStyle name="Titolo 1" xfId="21927"/>
    <cellStyle name="Titolo 2" xfId="21928"/>
    <cellStyle name="Titolo 3" xfId="21929"/>
    <cellStyle name="Titolo 4" xfId="21930"/>
    <cellStyle name="Ton/set" xfId="21931"/>
    <cellStyle name="Ton/대" xfId="21932"/>
    <cellStyle name="Total" xfId="21933"/>
    <cellStyle name="Total 2" xfId="21934"/>
    <cellStyle name="Total 2 2" xfId="21935"/>
    <cellStyle name="Total 2 2 2" xfId="21936"/>
    <cellStyle name="Total 2 3" xfId="21937"/>
    <cellStyle name="Total 2 4" xfId="21938"/>
    <cellStyle name="Total 2 5" xfId="21939"/>
    <cellStyle name="Total 2 6" xfId="21940"/>
    <cellStyle name="Total 2 7" xfId="21941"/>
    <cellStyle name="Total 3" xfId="21942"/>
    <cellStyle name="Total_IO LIST" xfId="21943"/>
    <cellStyle name="Totale" xfId="21944"/>
    <cellStyle name="TPH/대" xfId="21945"/>
    <cellStyle name="Units" xfId="21946"/>
    <cellStyle name="ûóÆÞï`" xfId="21947"/>
    <cellStyle name="Valore non valido" xfId="21948"/>
    <cellStyle name="Valore valido" xfId="21949"/>
    <cellStyle name="Valuta (0)_1" xfId="21950"/>
    <cellStyle name="Valuta_PERSONAL" xfId="21951"/>
    <cellStyle name="VendorParametersForUPS" xfId="21952"/>
    <cellStyle name="W?rung [0]_laroux" xfId="21953"/>
    <cellStyle name="W?rung_laroux" xfId="21954"/>
    <cellStyle name="Währung [0]_laroux" xfId="21955"/>
    <cellStyle name="Währung_laroux" xfId="21956"/>
    <cellStyle name="Warning Text" xfId="21957"/>
    <cellStyle name="Warning Text 2" xfId="21958"/>
    <cellStyle name="Warning Text 2 2" xfId="21959"/>
    <cellStyle name="Warning Text 3" xfId="21960"/>
    <cellStyle name="Warning Text 4" xfId="21961"/>
    <cellStyle name="Warning Text 5" xfId="21962"/>
    <cellStyle name="Warning Text 6" xfId="21963"/>
    <cellStyle name="wrap" xfId="21964"/>
    <cellStyle name="wrap 2" xfId="21965"/>
    <cellStyle name="ƸōዊbǜōዚbǸōዪbɄōዺb쉀ōጊb쉬ōጚb슔ōጪb싀ōጺb쌐ōፊbɤōፚbʀō፪bʘō፺bʼōᎊb˜ō᎚b쌼ōᎪb쎄ōᎺb쎨ōᏊb쏄ōᏚb쏜ōᏪb̀ōᏺb̤ōᐊb͔ōᐚb΀ōᐪbΰōᐺb쏸ō" xfId="21966"/>
    <cellStyle name="ハイパーリンク" xfId="21967"/>
    <cellStyle name="ハイパーリンク 2" xfId="21968"/>
    <cellStyle name="ハイパーリンク 2 2" xfId="21969"/>
    <cellStyle name="ハイパーリンク 3" xfId="21970"/>
    <cellStyle name="ハイパーリンク 4" xfId="21971"/>
    <cellStyle name="ハイパーリンク 5" xfId="21972"/>
    <cellStyle name="්b뉜ōේb뉼ō෪b늠ō෺b부ōชb붘ōบb붴ōสb뷄ōฺb뷘ō๊b닄ō๚b닜ō๪b닰ō๺b댜ōຊb댸ōບb뷬ōສb븄ō຺b블ō໊b븨ō໚b븼ō໪b덐ō໺b덠ō༊b델ō༚b뎔ō༪b뎬ō༺b빘ōཊb빰ōཚb뺌ōཪb뻘ōེb뻴ōྊb돌ōྚb돴ōྪb된ōྺb됸ō࿊b둔ō࿚b뼘ō࿪b뼸ō࿺b뽨ōညb뾔ōယb뿄ōဪb뒜ō်b뒸ō၊b듌ōၚb들ōၪb듸ōၺb뿴ōႊb쀐ōႚb쀬ōႪb쁴ōႺb삐ō჊b딐ōლb따ōცb땔ōჺb땬ōᄊb떀ōᄚb산ōᄪb새ōᄺb샘ōᅋb샬ōᅛb샴ōᅪb_x000c_ōᅺb0ōᆊbXōᆚbōᆪb¨ōᆺb섄" xfId="12803"/>
    <cellStyle name="เครื่องหมายจุลภาค [0]_Boiler_5 Power Plant2" xfId="21973"/>
    <cellStyle name="เครื่องหมายจุลภาค_Boiler_5 Power Plant2" xfId="21974"/>
    <cellStyle name="เครื่องหมายสกุลเงิน [0]_APP 2 - SEC 2 - LPG Mech" xfId="21975"/>
    <cellStyle name="เครื่องหมายสกุลเงิน_APP 2 - SEC 2 - LPG Mech" xfId="21976"/>
    <cellStyle name="ปกติ_APP 2 - SEC 2 - LPG Mech" xfId="21977"/>
    <cellStyle name="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ō៪b‬ō៺bᏜō᠊b᐀ō᠚bᐬōᠪbᑜōᠺbᒌōᡊb⁜ōᡚb€ōᡪb⃔ō᡺bℌ" xfId="21978"/>
    <cellStyle name="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ō៪b‬ō៺bᏜō᠊b᐀ō᠚bᐬōᠪbᑜōᠺbᒌōᡊb⁜ōᡚb€ōᡪb⃔ō᡺bℌōᢊb⅀ōᢚbⅸōᢪb⇐" xfId="21979"/>
    <cellStyle name="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ōᘚbذōᘪbڀōᘺbڬōᙊbیōᙚb۰ōᙪbᇤōᙺbሀōᚊbሜōᚚbሼōᚪbቘōᚺb܈ōᛊbܬōᛚb݌ōᛪbݬō᛺bބōᜊbኌō᜚bከōᜪbዌō᜺bዤōᝊbጄō᝚bጨōᝪbፐō᝺b፰ōដb᎘ōរbᎸōឪb὘ōឺbᾬō៊bῐō៚bῼ" xfId="21980"/>
    <cellStyle name="ሚbôōሪbŀōሺbŨōቊbƀōቚb솴ōቪb쇌ōቺb쇬ōኊb숄ōኚb술ōኪbƜōኺbƸōዊbǜōዚbǸōዪbɄōዺb쉀ōጊb쉬ōጚb슔ōጪb싀ōጺb쌐ōፊbɤōፚbʀō፪bʘō፺bʼōᎊb˜ō᎚b쌼ōᎪb쎄ōᎺb쎨ōᏊb쏄ōᏚb쏜ōᏪb̀ōᏺb̤ōᐊb͔ōᐚb΀ōᐪbΰōᐺb쏸ōᑊb쐨ōᑚb쑀ōᑪb쑜ōᑺb쑸ōᒊbЄōᒚbЬōᒪbјōᒺbҤōᓊbӐōᓚb쒤ōᓪb쓄ōᓺb쓠ōᔊb씈ōᔚb씬ōᔪbӰōᔺbԈōᕊbԤōᕚbՀōᕪb՜ōᕺb앐ōᖊb앴ōᖚb얐ōᖪb얼ōᖺb엤ōᗊbոōᗚb֐ōᗪbְōᗺbלōᘊb؄" xfId="21981"/>
    <cellStyle name="ꯠōකb갈ōඪb눠ōයb눸ō්b뉜ōේb뉼ō෪b늠ō෺b부ōชb붘ōบb붴ōสb뷄ōฺb뷘ō๊b닄ō๚b닜ō๪b닰ō๺b댜ōຊb댸ōບb뷬ōສb븄ō຺b블ō໊b븨ō໚b븼ō໪b덐ō໺b덠ō༊b델ō" xfId="21873"/>
    <cellStyle name="訶택?12월당월" xfId="21982"/>
    <cellStyle name="訶택?부문별" xfId="21983"/>
    <cellStyle name="强调文字颜色 1" xfId="21984"/>
    <cellStyle name="强调文字颜色 1 2" xfId="21985"/>
    <cellStyle name="强调文字颜色 1 2 2" xfId="21986"/>
    <cellStyle name="强调文字颜色 2" xfId="21987"/>
    <cellStyle name="强调文字颜色 2 2" xfId="21988"/>
    <cellStyle name="强调文字颜色 2 2 2" xfId="21989"/>
    <cellStyle name="强调文字颜色 3" xfId="21990"/>
    <cellStyle name="强调文字颜色 3 2" xfId="21991"/>
    <cellStyle name="强调文字颜色 3 2 2" xfId="21992"/>
    <cellStyle name="强调文字颜色 4" xfId="21993"/>
    <cellStyle name="强调文字颜色 4 2" xfId="21994"/>
    <cellStyle name="强调文字颜色 4 2 2" xfId="21995"/>
    <cellStyle name="强调文字颜色 5" xfId="21996"/>
    <cellStyle name="强调文字颜色 5 2" xfId="21997"/>
    <cellStyle name="强调文字颜色 5 2 2" xfId="21998"/>
    <cellStyle name="强调文字颜色 6" xfId="21999"/>
    <cellStyle name="强调文字颜色 6 2" xfId="22000"/>
    <cellStyle name="强调文字颜色 6 2 2" xfId="22001"/>
    <cellStyle name="강조색1 10" xfId="22002"/>
    <cellStyle name="강조색1 10 2" xfId="22003"/>
    <cellStyle name="강조색1 10 2 2" xfId="22004"/>
    <cellStyle name="강조색1 10 2 2 2" xfId="22005"/>
    <cellStyle name="강조색1 10 2 2 2 2" xfId="22006"/>
    <cellStyle name="강조색1 10 2 2 3" xfId="22007"/>
    <cellStyle name="강조색1 10 2 2 4" xfId="22008"/>
    <cellStyle name="강조색1 10 2 2 5" xfId="22009"/>
    <cellStyle name="강조색1 10 2 3" xfId="22010"/>
    <cellStyle name="강조색1 10 2 3 2" xfId="22011"/>
    <cellStyle name="강조색1 10 2 4" xfId="22012"/>
    <cellStyle name="강조색1 10 2 5" xfId="22013"/>
    <cellStyle name="강조색1 10 2 6" xfId="22014"/>
    <cellStyle name="강조색1 10 3" xfId="22015"/>
    <cellStyle name="강조색1 10 3 2" xfId="22016"/>
    <cellStyle name="강조색1 10 3 2 2" xfId="22017"/>
    <cellStyle name="강조색1 10 3 3" xfId="22018"/>
    <cellStyle name="강조색1 10 3 4" xfId="22019"/>
    <cellStyle name="강조색1 10 3 5" xfId="22020"/>
    <cellStyle name="강조색1 11" xfId="22021"/>
    <cellStyle name="강조색1 11 2" xfId="22022"/>
    <cellStyle name="강조색1 11 2 2" xfId="22023"/>
    <cellStyle name="강조색1 11 2 2 2" xfId="22024"/>
    <cellStyle name="강조색1 11 2 2 2 2" xfId="22025"/>
    <cellStyle name="강조색1 11 2 2 3" xfId="22026"/>
    <cellStyle name="강조색1 11 2 2 4" xfId="22027"/>
    <cellStyle name="강조색1 11 2 2 5" xfId="22028"/>
    <cellStyle name="강조색1 11 2 3" xfId="22029"/>
    <cellStyle name="강조색1 11 2 3 2" xfId="22030"/>
    <cellStyle name="강조색1 11 2 4" xfId="22031"/>
    <cellStyle name="강조색1 11 2 5" xfId="22032"/>
    <cellStyle name="강조색1 11 2 6" xfId="22033"/>
    <cellStyle name="강조색1 11 3" xfId="22034"/>
    <cellStyle name="강조색1 11 3 2" xfId="22035"/>
    <cellStyle name="강조색1 11 3 2 2" xfId="22036"/>
    <cellStyle name="강조색1 11 3 3" xfId="22037"/>
    <cellStyle name="강조색1 11 3 4" xfId="22038"/>
    <cellStyle name="강조색1 11 3 5" xfId="22039"/>
    <cellStyle name="강조색1 12" xfId="22040"/>
    <cellStyle name="강조색1 12 2" xfId="22041"/>
    <cellStyle name="강조색1 12 2 2" xfId="22042"/>
    <cellStyle name="강조색1 12 2 2 2" xfId="22043"/>
    <cellStyle name="강조색1 12 2 3" xfId="22044"/>
    <cellStyle name="강조색1 12 2 4" xfId="22045"/>
    <cellStyle name="강조색1 12 2 5" xfId="22046"/>
    <cellStyle name="강조색1 13" xfId="22047"/>
    <cellStyle name="강조색1 13 2" xfId="22048"/>
    <cellStyle name="강조색1 13 2 2" xfId="22049"/>
    <cellStyle name="강조색1 13 3" xfId="22050"/>
    <cellStyle name="강조색1 13 4" xfId="22051"/>
    <cellStyle name="강조색1 13 5" xfId="22052"/>
    <cellStyle name="강조색1 14" xfId="22053"/>
    <cellStyle name="강조색1 2" xfId="22054"/>
    <cellStyle name="강조색1 2 2" xfId="22055"/>
    <cellStyle name="강조색1 2 2 2" xfId="22056"/>
    <cellStyle name="강조색1 2 2 2 2" xfId="22057"/>
    <cellStyle name="강조색1 2 2 2 2 2" xfId="22058"/>
    <cellStyle name="강조색1 2 2 2 3" xfId="22059"/>
    <cellStyle name="강조색1 2 2 2 4" xfId="22060"/>
    <cellStyle name="강조색1 2 2 2 5" xfId="22061"/>
    <cellStyle name="강조색1 2 2 3" xfId="22062"/>
    <cellStyle name="강조색1 2 2 3 2" xfId="22063"/>
    <cellStyle name="강조색1 2 2 4" xfId="22064"/>
    <cellStyle name="강조색1 2 2 5" xfId="22065"/>
    <cellStyle name="강조색1 2 2 6" xfId="22066"/>
    <cellStyle name="강조색1 2 2 7" xfId="22067"/>
    <cellStyle name="강조색1 2 3" xfId="22068"/>
    <cellStyle name="강조색1 2 3 2" xfId="22069"/>
    <cellStyle name="강조색1 2 3 2 2" xfId="22070"/>
    <cellStyle name="강조색1 2 3 3" xfId="22071"/>
    <cellStyle name="강조색1 2 3 4" xfId="22072"/>
    <cellStyle name="강조색1 2 3 5" xfId="22073"/>
    <cellStyle name="강조색1 2 4" xfId="22074"/>
    <cellStyle name="강조색1 3" xfId="22075"/>
    <cellStyle name="강조색1 3 2" xfId="22076"/>
    <cellStyle name="강조색1 3 2 2" xfId="22077"/>
    <cellStyle name="강조색1 3 2 2 2" xfId="22078"/>
    <cellStyle name="강조색1 3 2 2 2 2" xfId="22079"/>
    <cellStyle name="강조색1 3 2 2 3" xfId="22080"/>
    <cellStyle name="강조색1 3 2 2 4" xfId="22081"/>
    <cellStyle name="강조색1 3 2 2 5" xfId="22082"/>
    <cellStyle name="강조색1 3 2 3" xfId="22083"/>
    <cellStyle name="강조색1 3 2 3 2" xfId="22084"/>
    <cellStyle name="강조색1 3 2 4" xfId="22085"/>
    <cellStyle name="강조색1 3 2 5" xfId="22086"/>
    <cellStyle name="강조색1 3 2 6" xfId="22087"/>
    <cellStyle name="강조색1 3 2 7" xfId="22088"/>
    <cellStyle name="강조색1 3 3" xfId="22089"/>
    <cellStyle name="강조색1 3 3 2" xfId="22090"/>
    <cellStyle name="강조색1 3 3 2 2" xfId="22091"/>
    <cellStyle name="강조색1 3 3 3" xfId="22092"/>
    <cellStyle name="강조색1 3 3 4" xfId="22093"/>
    <cellStyle name="강조색1 3 3 5" xfId="22094"/>
    <cellStyle name="강조색1 3 4" xfId="22095"/>
    <cellStyle name="강조색1 4" xfId="22096"/>
    <cellStyle name="강조색1 4 2" xfId="22097"/>
    <cellStyle name="강조색1 4 2 2" xfId="22098"/>
    <cellStyle name="강조색1 4 2 2 2" xfId="22099"/>
    <cellStyle name="강조색1 4 2 2 2 2" xfId="22100"/>
    <cellStyle name="강조색1 4 2 2 3" xfId="22101"/>
    <cellStyle name="강조색1 4 2 2 4" xfId="22102"/>
    <cellStyle name="강조색1 4 2 2 5" xfId="22103"/>
    <cellStyle name="강조색1 4 2 3" xfId="22104"/>
    <cellStyle name="강조색1 4 2 3 2" xfId="22105"/>
    <cellStyle name="강조색1 4 2 4" xfId="22106"/>
    <cellStyle name="강조색1 4 2 5" xfId="22107"/>
    <cellStyle name="강조색1 4 2 6" xfId="22108"/>
    <cellStyle name="강조색1 4 3" xfId="22109"/>
    <cellStyle name="강조색1 4 3 2" xfId="22110"/>
    <cellStyle name="강조색1 4 3 2 2" xfId="22111"/>
    <cellStyle name="강조색1 4 3 3" xfId="22112"/>
    <cellStyle name="강조색1 4 3 4" xfId="22113"/>
    <cellStyle name="강조색1 4 3 5" xfId="22114"/>
    <cellStyle name="강조색1 5" xfId="22115"/>
    <cellStyle name="강조색1 5 2" xfId="22116"/>
    <cellStyle name="강조색1 5 2 2" xfId="22117"/>
    <cellStyle name="강조색1 5 2 2 2" xfId="22118"/>
    <cellStyle name="강조색1 5 2 2 2 2" xfId="22119"/>
    <cellStyle name="강조색1 5 2 2 3" xfId="22120"/>
    <cellStyle name="강조색1 5 2 2 4" xfId="22121"/>
    <cellStyle name="강조색1 5 2 2 5" xfId="22122"/>
    <cellStyle name="강조색1 5 2 3" xfId="22123"/>
    <cellStyle name="강조색1 5 2 3 2" xfId="22124"/>
    <cellStyle name="강조색1 5 2 4" xfId="22125"/>
    <cellStyle name="강조색1 5 2 5" xfId="22126"/>
    <cellStyle name="강조색1 5 2 6" xfId="22127"/>
    <cellStyle name="강조색1 5 3" xfId="22128"/>
    <cellStyle name="강조색1 5 3 2" xfId="22129"/>
    <cellStyle name="강조색1 5 3 2 2" xfId="22130"/>
    <cellStyle name="강조색1 5 3 3" xfId="22131"/>
    <cellStyle name="강조색1 5 3 4" xfId="22132"/>
    <cellStyle name="강조색1 5 3 5" xfId="22133"/>
    <cellStyle name="강조색1 6" xfId="22134"/>
    <cellStyle name="강조색1 6 2" xfId="22135"/>
    <cellStyle name="강조색1 6 2 2" xfId="22136"/>
    <cellStyle name="강조색1 6 2 2 2" xfId="22137"/>
    <cellStyle name="강조색1 6 2 2 2 2" xfId="22138"/>
    <cellStyle name="강조색1 6 2 2 3" xfId="22139"/>
    <cellStyle name="강조색1 6 2 2 4" xfId="22140"/>
    <cellStyle name="강조색1 6 2 2 5" xfId="22141"/>
    <cellStyle name="강조색1 6 2 3" xfId="22142"/>
    <cellStyle name="강조색1 6 2 3 2" xfId="22143"/>
    <cellStyle name="강조색1 6 2 4" xfId="22144"/>
    <cellStyle name="강조색1 6 2 5" xfId="22145"/>
    <cellStyle name="강조색1 6 2 6" xfId="22146"/>
    <cellStyle name="강조색1 6 3" xfId="22147"/>
    <cellStyle name="강조색1 6 3 2" xfId="22148"/>
    <cellStyle name="강조색1 6 3 2 2" xfId="22149"/>
    <cellStyle name="강조색1 6 3 3" xfId="22150"/>
    <cellStyle name="강조색1 6 3 4" xfId="22151"/>
    <cellStyle name="강조색1 6 3 5" xfId="22152"/>
    <cellStyle name="강조색1 7" xfId="22153"/>
    <cellStyle name="강조색1 7 2" xfId="22154"/>
    <cellStyle name="강조색1 7 2 2" xfId="22155"/>
    <cellStyle name="강조색1 7 2 2 2" xfId="22156"/>
    <cellStyle name="강조색1 7 2 2 2 2" xfId="22157"/>
    <cellStyle name="강조색1 7 2 2 3" xfId="22158"/>
    <cellStyle name="강조색1 7 2 2 4" xfId="22159"/>
    <cellStyle name="강조색1 7 2 2 5" xfId="22160"/>
    <cellStyle name="강조색1 7 2 3" xfId="22161"/>
    <cellStyle name="강조색1 7 2 3 2" xfId="22162"/>
    <cellStyle name="강조색1 7 2 4" xfId="22163"/>
    <cellStyle name="강조색1 7 2 5" xfId="22164"/>
    <cellStyle name="강조색1 7 2 6" xfId="22165"/>
    <cellStyle name="강조색1 7 3" xfId="22166"/>
    <cellStyle name="강조색1 7 3 2" xfId="22167"/>
    <cellStyle name="강조색1 7 3 2 2" xfId="22168"/>
    <cellStyle name="강조색1 7 3 3" xfId="22169"/>
    <cellStyle name="강조색1 7 3 4" xfId="22170"/>
    <cellStyle name="강조색1 7 3 5" xfId="22171"/>
    <cellStyle name="강조색1 8" xfId="22172"/>
    <cellStyle name="강조색1 8 2" xfId="22173"/>
    <cellStyle name="강조색1 8 2 2" xfId="22174"/>
    <cellStyle name="강조색1 8 2 2 2" xfId="22175"/>
    <cellStyle name="강조색1 8 2 2 2 2" xfId="22176"/>
    <cellStyle name="강조색1 8 2 2 3" xfId="22177"/>
    <cellStyle name="강조색1 8 2 2 4" xfId="22178"/>
    <cellStyle name="강조색1 8 2 2 5" xfId="22179"/>
    <cellStyle name="강조색1 8 2 3" xfId="22180"/>
    <cellStyle name="강조색1 8 2 3 2" xfId="22181"/>
    <cellStyle name="강조색1 8 2 4" xfId="22182"/>
    <cellStyle name="강조색1 8 2 5" xfId="22183"/>
    <cellStyle name="강조색1 8 2 6" xfId="22184"/>
    <cellStyle name="강조색1 8 3" xfId="22185"/>
    <cellStyle name="강조색1 8 3 2" xfId="22186"/>
    <cellStyle name="강조색1 8 3 2 2" xfId="22187"/>
    <cellStyle name="강조색1 8 3 3" xfId="22188"/>
    <cellStyle name="강조색1 8 3 4" xfId="22189"/>
    <cellStyle name="강조색1 8 3 5" xfId="22190"/>
    <cellStyle name="강조색1 9" xfId="22191"/>
    <cellStyle name="강조색1 9 2" xfId="22192"/>
    <cellStyle name="강조색1 9 2 2" xfId="22193"/>
    <cellStyle name="강조색1 9 2 2 2" xfId="22194"/>
    <cellStyle name="강조색1 9 2 2 2 2" xfId="22195"/>
    <cellStyle name="강조색1 9 2 2 3" xfId="22196"/>
    <cellStyle name="강조색1 9 2 2 4" xfId="22197"/>
    <cellStyle name="강조색1 9 2 2 5" xfId="22198"/>
    <cellStyle name="강조색1 9 2 3" xfId="22199"/>
    <cellStyle name="강조색1 9 2 3 2" xfId="22200"/>
    <cellStyle name="강조색1 9 2 4" xfId="22201"/>
    <cellStyle name="강조색1 9 2 5" xfId="22202"/>
    <cellStyle name="강조색1 9 2 6" xfId="22203"/>
    <cellStyle name="강조색1 9 3" xfId="22204"/>
    <cellStyle name="강조색1 9 3 2" xfId="22205"/>
    <cellStyle name="강조색1 9 3 2 2" xfId="22206"/>
    <cellStyle name="강조색1 9 3 3" xfId="22207"/>
    <cellStyle name="강조색1 9 3 4" xfId="22208"/>
    <cellStyle name="강조색1 9 3 5" xfId="22209"/>
    <cellStyle name="강조색2 10" xfId="22210"/>
    <cellStyle name="강조색2 10 2" xfId="22211"/>
    <cellStyle name="강조색2 10 2 2" xfId="22212"/>
    <cellStyle name="강조색2 10 2 2 2" xfId="22213"/>
    <cellStyle name="강조색2 10 2 2 2 2" xfId="22214"/>
    <cellStyle name="강조색2 10 2 2 3" xfId="22215"/>
    <cellStyle name="강조색2 10 2 2 4" xfId="22216"/>
    <cellStyle name="강조색2 10 2 2 5" xfId="22217"/>
    <cellStyle name="강조색2 10 2 3" xfId="22218"/>
    <cellStyle name="강조색2 10 2 3 2" xfId="22219"/>
    <cellStyle name="강조색2 10 2 4" xfId="22220"/>
    <cellStyle name="강조색2 10 2 5" xfId="22221"/>
    <cellStyle name="강조색2 10 2 6" xfId="22222"/>
    <cellStyle name="강조색2 10 3" xfId="22223"/>
    <cellStyle name="강조색2 10 3 2" xfId="22224"/>
    <cellStyle name="강조색2 10 3 2 2" xfId="22225"/>
    <cellStyle name="강조색2 10 3 3" xfId="22226"/>
    <cellStyle name="강조색2 10 3 4" xfId="22227"/>
    <cellStyle name="강조색2 10 3 5" xfId="22228"/>
    <cellStyle name="강조색2 11" xfId="22229"/>
    <cellStyle name="강조색2 11 2" xfId="22230"/>
    <cellStyle name="강조색2 11 2 2" xfId="22231"/>
    <cellStyle name="강조색2 11 2 2 2" xfId="22232"/>
    <cellStyle name="강조색2 11 2 2 2 2" xfId="22233"/>
    <cellStyle name="강조색2 11 2 2 3" xfId="22234"/>
    <cellStyle name="강조색2 11 2 2 4" xfId="22235"/>
    <cellStyle name="강조색2 11 2 2 5" xfId="22236"/>
    <cellStyle name="강조색2 11 2 3" xfId="22237"/>
    <cellStyle name="강조색2 11 2 3 2" xfId="22238"/>
    <cellStyle name="강조색2 11 2 4" xfId="22239"/>
    <cellStyle name="강조색2 11 2 5" xfId="22240"/>
    <cellStyle name="강조색2 11 2 6" xfId="22241"/>
    <cellStyle name="강조색2 11 3" xfId="22242"/>
    <cellStyle name="강조색2 11 3 2" xfId="22243"/>
    <cellStyle name="강조색2 11 3 2 2" xfId="22244"/>
    <cellStyle name="강조색2 11 3 3" xfId="22245"/>
    <cellStyle name="강조색2 11 3 4" xfId="22246"/>
    <cellStyle name="강조색2 11 3 5" xfId="22247"/>
    <cellStyle name="강조색2 12" xfId="22248"/>
    <cellStyle name="강조색2 12 2" xfId="22249"/>
    <cellStyle name="강조색2 12 2 2" xfId="22250"/>
    <cellStyle name="강조색2 12 2 2 2" xfId="22251"/>
    <cellStyle name="강조색2 12 2 3" xfId="22252"/>
    <cellStyle name="강조색2 12 2 4" xfId="22253"/>
    <cellStyle name="강조색2 12 2 5" xfId="22254"/>
    <cellStyle name="강조색2 13" xfId="22255"/>
    <cellStyle name="강조색2 13 2" xfId="22256"/>
    <cellStyle name="강조색2 13 2 2" xfId="22257"/>
    <cellStyle name="강조색2 13 3" xfId="22258"/>
    <cellStyle name="강조색2 13 4" xfId="22259"/>
    <cellStyle name="강조색2 13 5" xfId="22260"/>
    <cellStyle name="강조색2 14" xfId="22261"/>
    <cellStyle name="강조색2 2" xfId="22262"/>
    <cellStyle name="강조색2 2 2" xfId="22263"/>
    <cellStyle name="강조색2 2 2 2" xfId="22264"/>
    <cellStyle name="강조색2 2 2 2 2" xfId="22265"/>
    <cellStyle name="강조색2 2 2 2 2 2" xfId="22266"/>
    <cellStyle name="강조색2 2 2 2 3" xfId="22267"/>
    <cellStyle name="강조색2 2 2 2 4" xfId="22268"/>
    <cellStyle name="강조색2 2 2 2 5" xfId="22269"/>
    <cellStyle name="강조색2 2 2 3" xfId="22270"/>
    <cellStyle name="강조색2 2 2 3 2" xfId="22271"/>
    <cellStyle name="강조색2 2 2 4" xfId="22272"/>
    <cellStyle name="강조색2 2 2 5" xfId="22273"/>
    <cellStyle name="강조색2 2 2 6" xfId="22274"/>
    <cellStyle name="강조색2 2 2 7" xfId="22275"/>
    <cellStyle name="강조색2 2 3" xfId="22276"/>
    <cellStyle name="강조색2 2 3 2" xfId="22277"/>
    <cellStyle name="강조색2 2 3 2 2" xfId="22278"/>
    <cellStyle name="강조색2 2 3 3" xfId="22279"/>
    <cellStyle name="강조색2 2 3 4" xfId="22280"/>
    <cellStyle name="강조색2 2 3 5" xfId="22281"/>
    <cellStyle name="강조색2 2 4" xfId="22282"/>
    <cellStyle name="강조색2 3" xfId="22283"/>
    <cellStyle name="강조색2 3 2" xfId="22284"/>
    <cellStyle name="강조색2 3 2 2" xfId="22285"/>
    <cellStyle name="강조색2 3 2 2 2" xfId="22286"/>
    <cellStyle name="강조색2 3 2 2 2 2" xfId="22287"/>
    <cellStyle name="강조색2 3 2 2 3" xfId="22288"/>
    <cellStyle name="강조색2 3 2 2 4" xfId="22289"/>
    <cellStyle name="강조색2 3 2 2 5" xfId="22290"/>
    <cellStyle name="강조색2 3 2 3" xfId="22291"/>
    <cellStyle name="강조색2 3 2 3 2" xfId="22292"/>
    <cellStyle name="강조색2 3 2 4" xfId="22293"/>
    <cellStyle name="강조색2 3 2 5" xfId="22294"/>
    <cellStyle name="강조색2 3 2 6" xfId="22295"/>
    <cellStyle name="강조색2 3 2 7" xfId="22296"/>
    <cellStyle name="강조색2 3 3" xfId="22297"/>
    <cellStyle name="강조색2 3 3 2" xfId="22298"/>
    <cellStyle name="강조색2 3 3 2 2" xfId="22299"/>
    <cellStyle name="강조색2 3 3 3" xfId="22300"/>
    <cellStyle name="강조색2 3 3 4" xfId="22301"/>
    <cellStyle name="강조색2 3 3 5" xfId="22302"/>
    <cellStyle name="강조색2 3 4" xfId="22303"/>
    <cellStyle name="강조색2 4" xfId="22304"/>
    <cellStyle name="강조색2 4 2" xfId="22305"/>
    <cellStyle name="강조색2 4 2 2" xfId="22306"/>
    <cellStyle name="강조색2 4 2 2 2" xfId="22307"/>
    <cellStyle name="강조색2 4 2 2 2 2" xfId="22308"/>
    <cellStyle name="강조색2 4 2 2 3" xfId="22309"/>
    <cellStyle name="강조색2 4 2 2 4" xfId="22310"/>
    <cellStyle name="강조색2 4 2 2 5" xfId="22311"/>
    <cellStyle name="강조색2 4 2 3" xfId="22312"/>
    <cellStyle name="강조색2 4 2 3 2" xfId="22313"/>
    <cellStyle name="강조색2 4 2 4" xfId="22314"/>
    <cellStyle name="강조색2 4 2 5" xfId="22315"/>
    <cellStyle name="강조색2 4 2 6" xfId="22316"/>
    <cellStyle name="강조색2 4 3" xfId="22317"/>
    <cellStyle name="강조색2 4 3 2" xfId="22318"/>
    <cellStyle name="강조색2 4 3 2 2" xfId="22319"/>
    <cellStyle name="강조색2 4 3 3" xfId="22320"/>
    <cellStyle name="강조색2 4 3 4" xfId="22321"/>
    <cellStyle name="강조색2 4 3 5" xfId="22322"/>
    <cellStyle name="강조색2 5" xfId="22323"/>
    <cellStyle name="강조색2 5 2" xfId="22324"/>
    <cellStyle name="강조색2 5 2 2" xfId="22325"/>
    <cellStyle name="강조색2 5 2 2 2" xfId="22326"/>
    <cellStyle name="강조색2 5 2 2 2 2" xfId="22327"/>
    <cellStyle name="강조색2 5 2 2 3" xfId="22328"/>
    <cellStyle name="강조색2 5 2 2 4" xfId="22329"/>
    <cellStyle name="강조색2 5 2 2 5" xfId="22330"/>
    <cellStyle name="강조색2 5 2 3" xfId="22331"/>
    <cellStyle name="강조색2 5 2 3 2" xfId="22332"/>
    <cellStyle name="강조색2 5 2 4" xfId="22333"/>
    <cellStyle name="강조색2 5 2 5" xfId="22334"/>
    <cellStyle name="강조색2 5 2 6" xfId="22335"/>
    <cellStyle name="강조색2 5 3" xfId="22336"/>
    <cellStyle name="강조색2 5 3 2" xfId="22337"/>
    <cellStyle name="강조색2 5 3 2 2" xfId="22338"/>
    <cellStyle name="강조색2 5 3 3" xfId="22339"/>
    <cellStyle name="강조색2 5 3 4" xfId="22340"/>
    <cellStyle name="강조색2 5 3 5" xfId="22341"/>
    <cellStyle name="강조색2 6" xfId="22342"/>
    <cellStyle name="강조색2 6 2" xfId="22343"/>
    <cellStyle name="강조색2 6 2 2" xfId="22344"/>
    <cellStyle name="강조색2 6 2 2 2" xfId="22345"/>
    <cellStyle name="강조색2 6 2 2 2 2" xfId="22346"/>
    <cellStyle name="강조색2 6 2 2 3" xfId="22347"/>
    <cellStyle name="강조색2 6 2 2 4" xfId="22348"/>
    <cellStyle name="강조색2 6 2 2 5" xfId="22349"/>
    <cellStyle name="강조색2 6 2 3" xfId="22350"/>
    <cellStyle name="강조색2 6 2 3 2" xfId="22351"/>
    <cellStyle name="강조색2 6 2 4" xfId="22352"/>
    <cellStyle name="강조색2 6 2 5" xfId="22353"/>
    <cellStyle name="강조색2 6 2 6" xfId="22354"/>
    <cellStyle name="강조색2 6 3" xfId="22355"/>
    <cellStyle name="강조색2 6 3 2" xfId="22356"/>
    <cellStyle name="강조색2 6 3 2 2" xfId="22357"/>
    <cellStyle name="강조색2 6 3 3" xfId="22358"/>
    <cellStyle name="강조색2 6 3 4" xfId="22359"/>
    <cellStyle name="강조색2 6 3 5" xfId="22360"/>
    <cellStyle name="강조색2 7" xfId="22361"/>
    <cellStyle name="강조색2 7 2" xfId="22362"/>
    <cellStyle name="강조색2 7 2 2" xfId="22363"/>
    <cellStyle name="강조색2 7 2 2 2" xfId="22364"/>
    <cellStyle name="강조색2 7 2 2 2 2" xfId="22365"/>
    <cellStyle name="강조색2 7 2 2 3" xfId="22366"/>
    <cellStyle name="강조색2 7 2 2 4" xfId="22367"/>
    <cellStyle name="강조색2 7 2 2 5" xfId="22368"/>
    <cellStyle name="강조색2 7 2 3" xfId="22369"/>
    <cellStyle name="강조색2 7 2 3 2" xfId="22370"/>
    <cellStyle name="강조색2 7 2 4" xfId="22371"/>
    <cellStyle name="강조색2 7 2 5" xfId="22372"/>
    <cellStyle name="강조색2 7 2 6" xfId="22373"/>
    <cellStyle name="강조색2 7 3" xfId="22374"/>
    <cellStyle name="강조색2 7 3 2" xfId="22375"/>
    <cellStyle name="강조색2 7 3 2 2" xfId="22376"/>
    <cellStyle name="강조색2 7 3 3" xfId="22377"/>
    <cellStyle name="강조색2 7 3 4" xfId="22378"/>
    <cellStyle name="강조색2 7 3 5" xfId="22379"/>
    <cellStyle name="강조색2 8" xfId="22380"/>
    <cellStyle name="강조색2 8 2" xfId="22381"/>
    <cellStyle name="강조색2 8 2 2" xfId="22382"/>
    <cellStyle name="강조색2 8 2 2 2" xfId="22383"/>
    <cellStyle name="강조색2 8 2 2 2 2" xfId="22384"/>
    <cellStyle name="강조색2 8 2 2 3" xfId="22385"/>
    <cellStyle name="강조색2 8 2 2 4" xfId="22386"/>
    <cellStyle name="강조색2 8 2 2 5" xfId="22387"/>
    <cellStyle name="강조색2 8 2 3" xfId="22388"/>
    <cellStyle name="강조색2 8 2 3 2" xfId="22389"/>
    <cellStyle name="강조색2 8 2 4" xfId="22390"/>
    <cellStyle name="강조색2 8 2 5" xfId="22391"/>
    <cellStyle name="강조색2 8 2 6" xfId="22392"/>
    <cellStyle name="강조색2 8 3" xfId="22393"/>
    <cellStyle name="강조색2 8 3 2" xfId="22394"/>
    <cellStyle name="강조색2 8 3 2 2" xfId="22395"/>
    <cellStyle name="강조색2 8 3 3" xfId="22396"/>
    <cellStyle name="강조색2 8 3 4" xfId="22397"/>
    <cellStyle name="강조색2 8 3 5" xfId="22398"/>
    <cellStyle name="강조색2 9" xfId="22399"/>
    <cellStyle name="강조색2 9 2" xfId="22400"/>
    <cellStyle name="강조색2 9 2 2" xfId="22401"/>
    <cellStyle name="강조색2 9 2 2 2" xfId="22402"/>
    <cellStyle name="강조색2 9 2 2 2 2" xfId="22403"/>
    <cellStyle name="강조색2 9 2 2 3" xfId="22404"/>
    <cellStyle name="강조색2 9 2 2 4" xfId="22405"/>
    <cellStyle name="강조색2 9 2 2 5" xfId="22406"/>
    <cellStyle name="강조색2 9 2 3" xfId="22407"/>
    <cellStyle name="강조색2 9 2 3 2" xfId="22408"/>
    <cellStyle name="강조색2 9 2 4" xfId="22409"/>
    <cellStyle name="강조색2 9 2 5" xfId="22410"/>
    <cellStyle name="강조색2 9 2 6" xfId="22411"/>
    <cellStyle name="강조색2 9 3" xfId="22412"/>
    <cellStyle name="강조색2 9 3 2" xfId="22413"/>
    <cellStyle name="강조색2 9 3 2 2" xfId="22414"/>
    <cellStyle name="강조색2 9 3 3" xfId="22415"/>
    <cellStyle name="강조색2 9 3 4" xfId="22416"/>
    <cellStyle name="강조색2 9 3 5" xfId="22417"/>
    <cellStyle name="강조색3 10" xfId="22418"/>
    <cellStyle name="강조색3 10 2" xfId="22419"/>
    <cellStyle name="강조색3 10 2 2" xfId="22420"/>
    <cellStyle name="강조색3 10 2 2 2" xfId="22421"/>
    <cellStyle name="강조색3 10 2 2 2 2" xfId="22422"/>
    <cellStyle name="강조색3 10 2 2 3" xfId="22423"/>
    <cellStyle name="강조색3 10 2 2 4" xfId="22424"/>
    <cellStyle name="강조색3 10 2 2 5" xfId="22425"/>
    <cellStyle name="강조색3 10 2 3" xfId="22426"/>
    <cellStyle name="강조색3 10 2 3 2" xfId="22427"/>
    <cellStyle name="강조색3 10 2 4" xfId="22428"/>
    <cellStyle name="강조색3 10 2 5" xfId="22429"/>
    <cellStyle name="강조색3 10 2 6" xfId="22430"/>
    <cellStyle name="강조색3 10 3" xfId="22431"/>
    <cellStyle name="강조색3 10 3 2" xfId="22432"/>
    <cellStyle name="강조색3 10 3 2 2" xfId="22433"/>
    <cellStyle name="강조색3 10 3 3" xfId="22434"/>
    <cellStyle name="강조색3 10 3 4" xfId="22435"/>
    <cellStyle name="강조색3 10 3 5" xfId="22436"/>
    <cellStyle name="강조색3 11" xfId="22437"/>
    <cellStyle name="강조색3 11 2" xfId="22438"/>
    <cellStyle name="강조색3 11 2 2" xfId="22439"/>
    <cellStyle name="강조색3 11 2 2 2" xfId="22440"/>
    <cellStyle name="강조색3 11 2 2 2 2" xfId="22441"/>
    <cellStyle name="강조색3 11 2 2 3" xfId="22442"/>
    <cellStyle name="강조색3 11 2 2 4" xfId="22443"/>
    <cellStyle name="강조색3 11 2 2 5" xfId="22444"/>
    <cellStyle name="강조색3 11 2 3" xfId="22445"/>
    <cellStyle name="강조색3 11 2 3 2" xfId="22446"/>
    <cellStyle name="강조색3 11 2 4" xfId="22447"/>
    <cellStyle name="강조색3 11 2 5" xfId="22448"/>
    <cellStyle name="강조색3 11 2 6" xfId="22449"/>
    <cellStyle name="강조색3 11 3" xfId="22450"/>
    <cellStyle name="강조색3 11 3 2" xfId="22451"/>
    <cellStyle name="강조색3 11 3 2 2" xfId="22452"/>
    <cellStyle name="강조색3 11 3 3" xfId="22453"/>
    <cellStyle name="강조색3 11 3 4" xfId="22454"/>
    <cellStyle name="강조색3 11 3 5" xfId="22455"/>
    <cellStyle name="강조색3 12" xfId="22456"/>
    <cellStyle name="강조색3 12 2" xfId="22457"/>
    <cellStyle name="강조색3 12 2 2" xfId="22458"/>
    <cellStyle name="강조색3 12 2 2 2" xfId="22459"/>
    <cellStyle name="강조색3 12 2 3" xfId="22460"/>
    <cellStyle name="강조색3 12 2 4" xfId="22461"/>
    <cellStyle name="강조색3 12 2 5" xfId="22462"/>
    <cellStyle name="강조색3 13" xfId="22463"/>
    <cellStyle name="강조색3 13 2" xfId="22464"/>
    <cellStyle name="강조색3 13 2 2" xfId="22465"/>
    <cellStyle name="강조색3 13 3" xfId="22466"/>
    <cellStyle name="강조색3 13 4" xfId="22467"/>
    <cellStyle name="강조색3 13 5" xfId="22468"/>
    <cellStyle name="강조색3 14" xfId="22469"/>
    <cellStyle name="강조색3 2" xfId="22470"/>
    <cellStyle name="강조색3 2 2" xfId="22471"/>
    <cellStyle name="강조색3 2 2 2" xfId="22472"/>
    <cellStyle name="강조색3 2 2 2 2" xfId="22473"/>
    <cellStyle name="강조색3 2 2 2 2 2" xfId="22474"/>
    <cellStyle name="강조색3 2 2 2 3" xfId="22475"/>
    <cellStyle name="강조색3 2 2 2 4" xfId="22476"/>
    <cellStyle name="강조색3 2 2 2 5" xfId="22477"/>
    <cellStyle name="강조색3 2 2 3" xfId="22478"/>
    <cellStyle name="강조색3 2 2 3 2" xfId="22479"/>
    <cellStyle name="강조색3 2 2 4" xfId="22480"/>
    <cellStyle name="강조색3 2 2 5" xfId="22481"/>
    <cellStyle name="강조색3 2 2 6" xfId="22482"/>
    <cellStyle name="강조색3 2 2 7" xfId="22483"/>
    <cellStyle name="강조색3 2 3" xfId="22484"/>
    <cellStyle name="강조색3 2 3 2" xfId="22485"/>
    <cellStyle name="강조색3 2 3 2 2" xfId="22486"/>
    <cellStyle name="강조색3 2 3 3" xfId="22487"/>
    <cellStyle name="강조색3 2 3 4" xfId="22488"/>
    <cellStyle name="강조색3 2 3 5" xfId="22489"/>
    <cellStyle name="강조색3 2 4" xfId="22490"/>
    <cellStyle name="강조색3 3" xfId="22491"/>
    <cellStyle name="강조색3 3 2" xfId="22492"/>
    <cellStyle name="강조색3 3 2 2" xfId="22493"/>
    <cellStyle name="강조색3 3 2 2 2" xfId="22494"/>
    <cellStyle name="강조색3 3 2 2 2 2" xfId="22495"/>
    <cellStyle name="강조색3 3 2 2 3" xfId="22496"/>
    <cellStyle name="강조색3 3 2 2 4" xfId="22497"/>
    <cellStyle name="강조색3 3 2 2 5" xfId="22498"/>
    <cellStyle name="강조색3 3 2 3" xfId="22499"/>
    <cellStyle name="강조색3 3 2 3 2" xfId="22500"/>
    <cellStyle name="강조색3 3 2 4" xfId="22501"/>
    <cellStyle name="강조색3 3 2 5" xfId="22502"/>
    <cellStyle name="강조색3 3 2 6" xfId="22503"/>
    <cellStyle name="강조색3 3 2 7" xfId="22504"/>
    <cellStyle name="강조색3 3 3" xfId="22505"/>
    <cellStyle name="강조색3 3 3 2" xfId="22506"/>
    <cellStyle name="강조색3 3 3 2 2" xfId="22507"/>
    <cellStyle name="강조색3 3 3 3" xfId="22508"/>
    <cellStyle name="강조색3 3 3 4" xfId="22509"/>
    <cellStyle name="강조색3 3 3 5" xfId="22510"/>
    <cellStyle name="강조색3 3 4" xfId="22511"/>
    <cellStyle name="강조색3 4" xfId="22512"/>
    <cellStyle name="강조색3 4 2" xfId="22513"/>
    <cellStyle name="강조색3 4 2 2" xfId="22514"/>
    <cellStyle name="강조색3 4 2 2 2" xfId="22515"/>
    <cellStyle name="강조색3 4 2 2 2 2" xfId="22516"/>
    <cellStyle name="강조색3 4 2 2 3" xfId="22517"/>
    <cellStyle name="강조색3 4 2 2 4" xfId="22518"/>
    <cellStyle name="강조색3 4 2 2 5" xfId="22519"/>
    <cellStyle name="강조색3 4 2 3" xfId="22520"/>
    <cellStyle name="강조색3 4 2 3 2" xfId="22521"/>
    <cellStyle name="강조색3 4 2 4" xfId="22522"/>
    <cellStyle name="강조색3 4 2 5" xfId="22523"/>
    <cellStyle name="강조색3 4 2 6" xfId="22524"/>
    <cellStyle name="강조색3 4 3" xfId="22525"/>
    <cellStyle name="강조색3 4 3 2" xfId="22526"/>
    <cellStyle name="강조색3 4 3 2 2" xfId="22527"/>
    <cellStyle name="강조색3 4 3 3" xfId="22528"/>
    <cellStyle name="강조색3 4 3 4" xfId="22529"/>
    <cellStyle name="강조색3 4 3 5" xfId="22530"/>
    <cellStyle name="강조색3 5" xfId="22531"/>
    <cellStyle name="강조색3 5 2" xfId="22532"/>
    <cellStyle name="강조색3 5 2 2" xfId="22533"/>
    <cellStyle name="강조색3 5 2 2 2" xfId="22534"/>
    <cellStyle name="강조색3 5 2 2 2 2" xfId="22535"/>
    <cellStyle name="강조색3 5 2 2 3" xfId="22536"/>
    <cellStyle name="강조색3 5 2 2 4" xfId="22537"/>
    <cellStyle name="강조색3 5 2 2 5" xfId="22538"/>
    <cellStyle name="강조색3 5 2 3" xfId="22539"/>
    <cellStyle name="강조색3 5 2 3 2" xfId="22540"/>
    <cellStyle name="강조색3 5 2 4" xfId="22541"/>
    <cellStyle name="강조색3 5 2 5" xfId="22542"/>
    <cellStyle name="강조색3 5 2 6" xfId="22543"/>
    <cellStyle name="강조색3 5 3" xfId="22544"/>
    <cellStyle name="강조색3 5 3 2" xfId="22545"/>
    <cellStyle name="강조색3 5 3 2 2" xfId="22546"/>
    <cellStyle name="강조색3 5 3 3" xfId="22547"/>
    <cellStyle name="강조색3 5 3 4" xfId="22548"/>
    <cellStyle name="강조색3 5 3 5" xfId="22549"/>
    <cellStyle name="강조색3 6" xfId="22550"/>
    <cellStyle name="강조색3 6 2" xfId="22551"/>
    <cellStyle name="강조색3 6 2 2" xfId="22552"/>
    <cellStyle name="강조색3 6 2 2 2" xfId="22553"/>
    <cellStyle name="강조색3 6 2 2 2 2" xfId="22554"/>
    <cellStyle name="강조색3 6 2 2 3" xfId="22555"/>
    <cellStyle name="강조색3 6 2 2 4" xfId="22556"/>
    <cellStyle name="강조색3 6 2 2 5" xfId="22557"/>
    <cellStyle name="강조색3 6 2 3" xfId="22558"/>
    <cellStyle name="강조색3 6 2 3 2" xfId="22559"/>
    <cellStyle name="강조색3 6 2 4" xfId="22560"/>
    <cellStyle name="강조색3 6 2 5" xfId="22561"/>
    <cellStyle name="강조색3 6 2 6" xfId="22562"/>
    <cellStyle name="강조색3 6 3" xfId="22563"/>
    <cellStyle name="강조색3 6 3 2" xfId="22564"/>
    <cellStyle name="강조색3 6 3 2 2" xfId="22565"/>
    <cellStyle name="강조색3 6 3 3" xfId="22566"/>
    <cellStyle name="강조색3 6 3 4" xfId="22567"/>
    <cellStyle name="강조색3 6 3 5" xfId="22568"/>
    <cellStyle name="강조색3 7" xfId="22569"/>
    <cellStyle name="강조색3 7 2" xfId="22570"/>
    <cellStyle name="강조색3 7 2 2" xfId="22571"/>
    <cellStyle name="강조색3 7 2 2 2" xfId="22572"/>
    <cellStyle name="강조색3 7 2 2 2 2" xfId="22573"/>
    <cellStyle name="강조색3 7 2 2 3" xfId="22574"/>
    <cellStyle name="강조색3 7 2 2 4" xfId="22575"/>
    <cellStyle name="강조색3 7 2 2 5" xfId="22576"/>
    <cellStyle name="강조색3 7 2 3" xfId="22577"/>
    <cellStyle name="강조색3 7 2 3 2" xfId="22578"/>
    <cellStyle name="강조색3 7 2 4" xfId="22579"/>
    <cellStyle name="강조색3 7 2 5" xfId="22580"/>
    <cellStyle name="강조색3 7 2 6" xfId="22581"/>
    <cellStyle name="강조색3 7 3" xfId="22582"/>
    <cellStyle name="강조색3 7 3 2" xfId="22583"/>
    <cellStyle name="강조색3 7 3 2 2" xfId="22584"/>
    <cellStyle name="강조색3 7 3 3" xfId="22585"/>
    <cellStyle name="강조색3 7 3 4" xfId="22586"/>
    <cellStyle name="강조색3 7 3 5" xfId="22587"/>
    <cellStyle name="강조색3 8" xfId="22588"/>
    <cellStyle name="강조색3 8 2" xfId="22589"/>
    <cellStyle name="강조색3 8 2 2" xfId="22590"/>
    <cellStyle name="강조색3 8 2 2 2" xfId="22591"/>
    <cellStyle name="강조색3 8 2 2 2 2" xfId="22592"/>
    <cellStyle name="강조색3 8 2 2 3" xfId="22593"/>
    <cellStyle name="강조색3 8 2 2 4" xfId="22594"/>
    <cellStyle name="강조색3 8 2 2 5" xfId="22595"/>
    <cellStyle name="강조색3 8 2 3" xfId="22596"/>
    <cellStyle name="강조색3 8 2 3 2" xfId="22597"/>
    <cellStyle name="강조색3 8 2 4" xfId="22598"/>
    <cellStyle name="강조색3 8 2 5" xfId="22599"/>
    <cellStyle name="강조색3 8 2 6" xfId="22600"/>
    <cellStyle name="강조색3 8 3" xfId="22601"/>
    <cellStyle name="강조색3 8 3 2" xfId="22602"/>
    <cellStyle name="강조색3 8 3 2 2" xfId="22603"/>
    <cellStyle name="강조색3 8 3 3" xfId="22604"/>
    <cellStyle name="강조색3 8 3 4" xfId="22605"/>
    <cellStyle name="강조색3 8 3 5" xfId="22606"/>
    <cellStyle name="강조색3 9" xfId="22607"/>
    <cellStyle name="강조색3 9 2" xfId="22608"/>
    <cellStyle name="강조색3 9 2 2" xfId="22609"/>
    <cellStyle name="강조색3 9 2 2 2" xfId="22610"/>
    <cellStyle name="강조색3 9 2 2 2 2" xfId="22611"/>
    <cellStyle name="강조색3 9 2 2 3" xfId="22612"/>
    <cellStyle name="강조색3 9 2 2 4" xfId="22613"/>
    <cellStyle name="강조색3 9 2 2 5" xfId="22614"/>
    <cellStyle name="강조색3 9 2 3" xfId="22615"/>
    <cellStyle name="강조색3 9 2 3 2" xfId="22616"/>
    <cellStyle name="강조색3 9 2 4" xfId="22617"/>
    <cellStyle name="강조색3 9 2 5" xfId="22618"/>
    <cellStyle name="강조색3 9 2 6" xfId="22619"/>
    <cellStyle name="강조색3 9 3" xfId="22620"/>
    <cellStyle name="강조색3 9 3 2" xfId="22621"/>
    <cellStyle name="강조색3 9 3 2 2" xfId="22622"/>
    <cellStyle name="강조색3 9 3 3" xfId="22623"/>
    <cellStyle name="강조색3 9 3 4" xfId="22624"/>
    <cellStyle name="강조색3 9 3 5" xfId="22625"/>
    <cellStyle name="강조색4 10" xfId="22626"/>
    <cellStyle name="강조색4 10 2" xfId="22627"/>
    <cellStyle name="강조색4 10 2 2" xfId="22628"/>
    <cellStyle name="강조색4 10 2 2 2" xfId="22629"/>
    <cellStyle name="강조색4 10 2 2 2 2" xfId="22630"/>
    <cellStyle name="강조색4 10 2 2 3" xfId="22631"/>
    <cellStyle name="강조색4 10 2 2 4" xfId="22632"/>
    <cellStyle name="강조색4 10 2 2 5" xfId="22633"/>
    <cellStyle name="강조색4 10 2 3" xfId="22634"/>
    <cellStyle name="강조색4 10 2 3 2" xfId="22635"/>
    <cellStyle name="강조색4 10 2 4" xfId="22636"/>
    <cellStyle name="강조색4 10 2 5" xfId="22637"/>
    <cellStyle name="강조색4 10 2 6" xfId="22638"/>
    <cellStyle name="강조색4 10 3" xfId="22639"/>
    <cellStyle name="강조색4 10 3 2" xfId="22640"/>
    <cellStyle name="강조색4 10 3 2 2" xfId="22641"/>
    <cellStyle name="강조색4 10 3 3" xfId="22642"/>
    <cellStyle name="강조색4 10 3 4" xfId="22643"/>
    <cellStyle name="강조색4 10 3 5" xfId="22644"/>
    <cellStyle name="강조색4 11" xfId="22645"/>
    <cellStyle name="강조색4 11 2" xfId="22646"/>
    <cellStyle name="강조색4 11 2 2" xfId="22647"/>
    <cellStyle name="강조색4 11 2 2 2" xfId="22648"/>
    <cellStyle name="강조색4 11 2 2 2 2" xfId="22649"/>
    <cellStyle name="강조색4 11 2 2 3" xfId="22650"/>
    <cellStyle name="강조색4 11 2 2 4" xfId="22651"/>
    <cellStyle name="강조색4 11 2 2 5" xfId="22652"/>
    <cellStyle name="강조색4 11 2 3" xfId="22653"/>
    <cellStyle name="강조색4 11 2 3 2" xfId="22654"/>
    <cellStyle name="강조색4 11 2 4" xfId="22655"/>
    <cellStyle name="강조색4 11 2 5" xfId="22656"/>
    <cellStyle name="강조색4 11 2 6" xfId="22657"/>
    <cellStyle name="강조색4 11 3" xfId="22658"/>
    <cellStyle name="강조색4 11 3 2" xfId="22659"/>
    <cellStyle name="강조색4 11 3 2 2" xfId="22660"/>
    <cellStyle name="강조색4 11 3 3" xfId="22661"/>
    <cellStyle name="강조색4 11 3 4" xfId="22662"/>
    <cellStyle name="강조색4 11 3 5" xfId="22663"/>
    <cellStyle name="강조색4 12" xfId="22664"/>
    <cellStyle name="강조색4 12 2" xfId="22665"/>
    <cellStyle name="강조색4 12 2 2" xfId="22666"/>
    <cellStyle name="강조색4 12 2 2 2" xfId="22667"/>
    <cellStyle name="강조색4 12 2 3" xfId="22668"/>
    <cellStyle name="강조색4 12 2 4" xfId="22669"/>
    <cellStyle name="강조색4 12 2 5" xfId="22670"/>
    <cellStyle name="강조색4 13" xfId="22671"/>
    <cellStyle name="강조색4 13 2" xfId="22672"/>
    <cellStyle name="강조색4 13 2 2" xfId="22673"/>
    <cellStyle name="강조색4 13 3" xfId="22674"/>
    <cellStyle name="강조색4 13 4" xfId="22675"/>
    <cellStyle name="강조색4 13 5" xfId="22676"/>
    <cellStyle name="강조색4 14" xfId="22677"/>
    <cellStyle name="강조색4 2" xfId="22678"/>
    <cellStyle name="강조색4 2 2" xfId="22679"/>
    <cellStyle name="강조색4 2 2 2" xfId="22680"/>
    <cellStyle name="강조색4 2 2 2 2" xfId="22681"/>
    <cellStyle name="강조색4 2 2 2 2 2" xfId="22682"/>
    <cellStyle name="강조색4 2 2 2 3" xfId="22683"/>
    <cellStyle name="강조색4 2 2 2 4" xfId="22684"/>
    <cellStyle name="강조색4 2 2 2 5" xfId="22685"/>
    <cellStyle name="강조색4 2 2 3" xfId="22686"/>
    <cellStyle name="강조색4 2 2 3 2" xfId="22687"/>
    <cellStyle name="강조색4 2 2 4" xfId="22688"/>
    <cellStyle name="강조색4 2 2 5" xfId="22689"/>
    <cellStyle name="강조색4 2 2 6" xfId="22690"/>
    <cellStyle name="강조색4 2 2 7" xfId="22691"/>
    <cellStyle name="강조색4 2 3" xfId="22692"/>
    <cellStyle name="강조색4 2 3 2" xfId="22693"/>
    <cellStyle name="강조색4 2 3 2 2" xfId="22694"/>
    <cellStyle name="강조색4 2 3 3" xfId="22695"/>
    <cellStyle name="강조색4 2 3 4" xfId="22696"/>
    <cellStyle name="강조색4 2 3 5" xfId="22697"/>
    <cellStyle name="강조색4 2 4" xfId="22698"/>
    <cellStyle name="강조색4 3" xfId="22699"/>
    <cellStyle name="강조색4 3 2" xfId="22700"/>
    <cellStyle name="강조색4 3 2 2" xfId="22701"/>
    <cellStyle name="강조색4 3 2 2 2" xfId="22702"/>
    <cellStyle name="강조색4 3 2 2 2 2" xfId="22703"/>
    <cellStyle name="강조색4 3 2 2 3" xfId="22704"/>
    <cellStyle name="강조색4 3 2 2 4" xfId="22705"/>
    <cellStyle name="강조색4 3 2 2 5" xfId="22706"/>
    <cellStyle name="강조색4 3 2 3" xfId="22707"/>
    <cellStyle name="강조색4 3 2 3 2" xfId="22708"/>
    <cellStyle name="강조색4 3 2 4" xfId="22709"/>
    <cellStyle name="강조색4 3 2 5" xfId="22710"/>
    <cellStyle name="강조색4 3 2 6" xfId="22711"/>
    <cellStyle name="강조색4 3 2 7" xfId="22712"/>
    <cellStyle name="강조색4 3 3" xfId="22713"/>
    <cellStyle name="강조색4 3 3 2" xfId="22714"/>
    <cellStyle name="강조색4 3 3 2 2" xfId="22715"/>
    <cellStyle name="강조색4 3 3 3" xfId="22716"/>
    <cellStyle name="강조색4 3 3 4" xfId="22717"/>
    <cellStyle name="강조색4 3 3 5" xfId="22718"/>
    <cellStyle name="강조색4 3 4" xfId="22719"/>
    <cellStyle name="강조색4 4" xfId="22720"/>
    <cellStyle name="강조색4 4 2" xfId="22721"/>
    <cellStyle name="강조색4 4 2 2" xfId="22722"/>
    <cellStyle name="강조색4 4 2 2 2" xfId="22723"/>
    <cellStyle name="강조색4 4 2 2 2 2" xfId="22724"/>
    <cellStyle name="강조색4 4 2 2 3" xfId="22725"/>
    <cellStyle name="강조색4 4 2 2 4" xfId="22726"/>
    <cellStyle name="강조색4 4 2 2 5" xfId="22727"/>
    <cellStyle name="강조색4 4 2 3" xfId="22728"/>
    <cellStyle name="강조색4 4 2 3 2" xfId="22729"/>
    <cellStyle name="강조색4 4 2 4" xfId="22730"/>
    <cellStyle name="강조색4 4 2 5" xfId="22731"/>
    <cellStyle name="강조색4 4 2 6" xfId="22732"/>
    <cellStyle name="강조색4 4 3" xfId="22733"/>
    <cellStyle name="강조색4 4 3 2" xfId="22734"/>
    <cellStyle name="강조색4 4 3 2 2" xfId="22735"/>
    <cellStyle name="강조색4 4 3 3" xfId="22736"/>
    <cellStyle name="강조색4 4 3 4" xfId="22737"/>
    <cellStyle name="강조색4 4 3 5" xfId="22738"/>
    <cellStyle name="강조색4 5" xfId="22739"/>
    <cellStyle name="강조색4 5 2" xfId="22740"/>
    <cellStyle name="강조색4 5 2 2" xfId="22741"/>
    <cellStyle name="강조색4 5 2 2 2" xfId="22742"/>
    <cellStyle name="강조색4 5 2 2 2 2" xfId="22743"/>
    <cellStyle name="강조색4 5 2 2 3" xfId="22744"/>
    <cellStyle name="강조색4 5 2 2 4" xfId="22745"/>
    <cellStyle name="강조색4 5 2 2 5" xfId="22746"/>
    <cellStyle name="강조색4 5 2 3" xfId="22747"/>
    <cellStyle name="강조색4 5 2 3 2" xfId="22748"/>
    <cellStyle name="강조색4 5 2 4" xfId="22749"/>
    <cellStyle name="강조색4 5 2 5" xfId="22750"/>
    <cellStyle name="강조색4 5 2 6" xfId="22751"/>
    <cellStyle name="강조색4 5 3" xfId="22752"/>
    <cellStyle name="강조색4 5 3 2" xfId="22753"/>
    <cellStyle name="강조색4 5 3 2 2" xfId="22754"/>
    <cellStyle name="강조색4 5 3 3" xfId="22755"/>
    <cellStyle name="강조색4 5 3 4" xfId="22756"/>
    <cellStyle name="강조색4 5 3 5" xfId="22757"/>
    <cellStyle name="강조색4 6" xfId="22758"/>
    <cellStyle name="강조색4 6 2" xfId="22759"/>
    <cellStyle name="강조색4 6 2 2" xfId="22760"/>
    <cellStyle name="강조색4 6 2 2 2" xfId="22761"/>
    <cellStyle name="강조색4 6 2 2 2 2" xfId="22762"/>
    <cellStyle name="강조색4 6 2 2 3" xfId="22763"/>
    <cellStyle name="강조색4 6 2 2 4" xfId="22764"/>
    <cellStyle name="강조색4 6 2 2 5" xfId="22765"/>
    <cellStyle name="강조색4 6 2 3" xfId="22766"/>
    <cellStyle name="강조색4 6 2 3 2" xfId="22767"/>
    <cellStyle name="강조색4 6 2 4" xfId="22768"/>
    <cellStyle name="강조색4 6 2 5" xfId="22769"/>
    <cellStyle name="강조색4 6 2 6" xfId="22770"/>
    <cellStyle name="강조색4 6 3" xfId="22771"/>
    <cellStyle name="강조색4 6 3 2" xfId="22772"/>
    <cellStyle name="강조색4 6 3 2 2" xfId="22773"/>
    <cellStyle name="강조색4 6 3 3" xfId="22774"/>
    <cellStyle name="강조색4 6 3 4" xfId="22775"/>
    <cellStyle name="강조색4 6 3 5" xfId="22776"/>
    <cellStyle name="강조색4 7" xfId="22777"/>
    <cellStyle name="강조색4 7 2" xfId="22778"/>
    <cellStyle name="강조색4 7 2 2" xfId="22779"/>
    <cellStyle name="강조색4 7 2 2 2" xfId="22780"/>
    <cellStyle name="강조색4 7 2 2 2 2" xfId="22781"/>
    <cellStyle name="강조색4 7 2 2 3" xfId="22782"/>
    <cellStyle name="강조색4 7 2 2 4" xfId="22783"/>
    <cellStyle name="강조색4 7 2 2 5" xfId="22784"/>
    <cellStyle name="강조색4 7 2 3" xfId="22785"/>
    <cellStyle name="강조색4 7 2 3 2" xfId="22786"/>
    <cellStyle name="강조색4 7 2 4" xfId="22787"/>
    <cellStyle name="강조색4 7 2 5" xfId="22788"/>
    <cellStyle name="강조색4 7 2 6" xfId="22789"/>
    <cellStyle name="강조색4 7 3" xfId="22790"/>
    <cellStyle name="강조색4 7 3 2" xfId="22791"/>
    <cellStyle name="강조색4 7 3 2 2" xfId="22792"/>
    <cellStyle name="강조색4 7 3 3" xfId="22793"/>
    <cellStyle name="강조색4 7 3 4" xfId="22794"/>
    <cellStyle name="강조색4 7 3 5" xfId="22795"/>
    <cellStyle name="강조색4 8" xfId="22796"/>
    <cellStyle name="강조색4 8 2" xfId="22797"/>
    <cellStyle name="강조색4 8 2 2" xfId="22798"/>
    <cellStyle name="강조색4 8 2 2 2" xfId="22799"/>
    <cellStyle name="강조색4 8 2 2 2 2" xfId="22800"/>
    <cellStyle name="강조색4 8 2 2 3" xfId="22801"/>
    <cellStyle name="강조색4 8 2 2 4" xfId="22802"/>
    <cellStyle name="강조색4 8 2 2 5" xfId="22803"/>
    <cellStyle name="강조색4 8 2 3" xfId="22804"/>
    <cellStyle name="강조색4 8 2 3 2" xfId="22805"/>
    <cellStyle name="강조색4 8 2 4" xfId="22806"/>
    <cellStyle name="강조색4 8 2 5" xfId="22807"/>
    <cellStyle name="강조색4 8 2 6" xfId="22808"/>
    <cellStyle name="강조색4 8 3" xfId="22809"/>
    <cellStyle name="강조색4 8 3 2" xfId="22810"/>
    <cellStyle name="강조색4 8 3 2 2" xfId="22811"/>
    <cellStyle name="강조색4 8 3 3" xfId="22812"/>
    <cellStyle name="강조색4 8 3 4" xfId="22813"/>
    <cellStyle name="강조색4 8 3 5" xfId="22814"/>
    <cellStyle name="강조색4 9" xfId="22815"/>
    <cellStyle name="강조색4 9 2" xfId="22816"/>
    <cellStyle name="강조색4 9 2 2" xfId="22817"/>
    <cellStyle name="강조색4 9 2 2 2" xfId="22818"/>
    <cellStyle name="강조색4 9 2 2 2 2" xfId="22819"/>
    <cellStyle name="강조색4 9 2 2 3" xfId="22820"/>
    <cellStyle name="강조색4 9 2 2 4" xfId="22821"/>
    <cellStyle name="강조색4 9 2 2 5" xfId="22822"/>
    <cellStyle name="강조색4 9 2 3" xfId="22823"/>
    <cellStyle name="강조색4 9 2 3 2" xfId="22824"/>
    <cellStyle name="강조색4 9 2 4" xfId="22825"/>
    <cellStyle name="강조색4 9 2 5" xfId="22826"/>
    <cellStyle name="강조색4 9 2 6" xfId="22827"/>
    <cellStyle name="강조색4 9 3" xfId="22828"/>
    <cellStyle name="강조색4 9 3 2" xfId="22829"/>
    <cellStyle name="강조색4 9 3 2 2" xfId="22830"/>
    <cellStyle name="강조색4 9 3 3" xfId="22831"/>
    <cellStyle name="강조색4 9 3 4" xfId="22832"/>
    <cellStyle name="강조색4 9 3 5" xfId="22833"/>
    <cellStyle name="강조색5 10" xfId="22834"/>
    <cellStyle name="강조색5 10 2" xfId="22835"/>
    <cellStyle name="강조색5 10 2 2" xfId="22836"/>
    <cellStyle name="강조색5 10 2 2 2" xfId="22837"/>
    <cellStyle name="강조색5 10 2 2 2 2" xfId="22838"/>
    <cellStyle name="강조색5 10 2 2 3" xfId="22839"/>
    <cellStyle name="강조색5 10 2 2 4" xfId="22840"/>
    <cellStyle name="강조색5 10 2 2 5" xfId="22841"/>
    <cellStyle name="강조색5 10 2 3" xfId="22842"/>
    <cellStyle name="강조색5 10 2 3 2" xfId="22843"/>
    <cellStyle name="강조색5 10 2 4" xfId="22844"/>
    <cellStyle name="강조색5 10 2 5" xfId="22845"/>
    <cellStyle name="강조색5 10 2 6" xfId="22846"/>
    <cellStyle name="강조색5 10 3" xfId="22847"/>
    <cellStyle name="강조색5 10 3 2" xfId="22848"/>
    <cellStyle name="강조색5 10 3 2 2" xfId="22849"/>
    <cellStyle name="강조색5 10 3 3" xfId="22850"/>
    <cellStyle name="강조색5 10 3 4" xfId="22851"/>
    <cellStyle name="강조색5 10 3 5" xfId="22852"/>
    <cellStyle name="강조색5 11" xfId="22853"/>
    <cellStyle name="강조색5 11 2" xfId="22854"/>
    <cellStyle name="강조색5 11 2 2" xfId="22855"/>
    <cellStyle name="강조색5 11 2 2 2" xfId="22856"/>
    <cellStyle name="강조색5 11 2 2 2 2" xfId="22857"/>
    <cellStyle name="강조색5 11 2 2 3" xfId="22858"/>
    <cellStyle name="강조색5 11 2 2 4" xfId="22859"/>
    <cellStyle name="강조색5 11 2 2 5" xfId="22860"/>
    <cellStyle name="강조색5 11 2 3" xfId="22861"/>
    <cellStyle name="강조색5 11 2 3 2" xfId="22862"/>
    <cellStyle name="강조색5 11 2 4" xfId="22863"/>
    <cellStyle name="강조색5 11 2 5" xfId="22864"/>
    <cellStyle name="강조색5 11 2 6" xfId="22865"/>
    <cellStyle name="강조색5 11 3" xfId="22866"/>
    <cellStyle name="강조색5 11 3 2" xfId="22867"/>
    <cellStyle name="강조색5 11 3 2 2" xfId="22868"/>
    <cellStyle name="강조색5 11 3 3" xfId="22869"/>
    <cellStyle name="강조색5 11 3 4" xfId="22870"/>
    <cellStyle name="강조색5 11 3 5" xfId="22871"/>
    <cellStyle name="강조색5 12" xfId="22872"/>
    <cellStyle name="강조색5 12 2" xfId="22873"/>
    <cellStyle name="강조색5 12 2 2" xfId="22874"/>
    <cellStyle name="강조색5 12 2 2 2" xfId="22875"/>
    <cellStyle name="강조색5 12 2 3" xfId="22876"/>
    <cellStyle name="강조색5 12 2 4" xfId="22877"/>
    <cellStyle name="강조색5 12 2 5" xfId="22878"/>
    <cellStyle name="강조색5 13" xfId="22879"/>
    <cellStyle name="강조색5 13 2" xfId="22880"/>
    <cellStyle name="강조색5 13 2 2" xfId="22881"/>
    <cellStyle name="강조색5 13 3" xfId="22882"/>
    <cellStyle name="강조색5 13 4" xfId="22883"/>
    <cellStyle name="강조색5 13 5" xfId="22884"/>
    <cellStyle name="강조색5 14" xfId="22885"/>
    <cellStyle name="강조색5 2" xfId="22886"/>
    <cellStyle name="강조색5 2 2" xfId="22887"/>
    <cellStyle name="강조색5 2 2 2" xfId="22888"/>
    <cellStyle name="강조색5 2 2 2 2" xfId="22889"/>
    <cellStyle name="강조색5 2 2 2 2 2" xfId="22890"/>
    <cellStyle name="강조색5 2 2 2 3" xfId="22891"/>
    <cellStyle name="강조색5 2 2 2 4" xfId="22892"/>
    <cellStyle name="강조색5 2 2 2 5" xfId="22893"/>
    <cellStyle name="강조색5 2 2 3" xfId="22894"/>
    <cellStyle name="강조색5 2 2 3 2" xfId="22895"/>
    <cellStyle name="강조색5 2 2 4" xfId="22896"/>
    <cellStyle name="강조색5 2 2 5" xfId="22897"/>
    <cellStyle name="강조색5 2 2 6" xfId="22898"/>
    <cellStyle name="강조색5 2 2 7" xfId="22899"/>
    <cellStyle name="강조색5 2 3" xfId="22900"/>
    <cellStyle name="강조색5 2 3 2" xfId="22901"/>
    <cellStyle name="강조색5 2 3 2 2" xfId="22902"/>
    <cellStyle name="강조색5 2 3 3" xfId="22903"/>
    <cellStyle name="강조색5 2 3 4" xfId="22904"/>
    <cellStyle name="강조색5 2 3 5" xfId="22905"/>
    <cellStyle name="강조색5 2 3 6" xfId="22906"/>
    <cellStyle name="강조색5 2 4" xfId="22907"/>
    <cellStyle name="강조색5 3" xfId="22908"/>
    <cellStyle name="강조색5 3 2" xfId="22909"/>
    <cellStyle name="강조색5 3 2 2" xfId="22910"/>
    <cellStyle name="강조색5 3 2 2 2" xfId="22911"/>
    <cellStyle name="강조색5 3 2 2 2 2" xfId="22912"/>
    <cellStyle name="강조색5 3 2 2 3" xfId="22913"/>
    <cellStyle name="강조색5 3 2 2 4" xfId="22914"/>
    <cellStyle name="강조색5 3 2 2 5" xfId="22915"/>
    <cellStyle name="강조색5 3 2 3" xfId="22916"/>
    <cellStyle name="강조색5 3 2 3 2" xfId="22917"/>
    <cellStyle name="강조색5 3 2 4" xfId="22918"/>
    <cellStyle name="강조색5 3 2 5" xfId="22919"/>
    <cellStyle name="강조색5 3 2 6" xfId="22920"/>
    <cellStyle name="강조색5 3 3" xfId="22921"/>
    <cellStyle name="강조색5 3 3 2" xfId="22922"/>
    <cellStyle name="강조색5 3 3 2 2" xfId="22923"/>
    <cellStyle name="강조색5 3 3 3" xfId="22924"/>
    <cellStyle name="강조색5 3 3 4" xfId="22925"/>
    <cellStyle name="강조색5 3 3 5" xfId="22926"/>
    <cellStyle name="강조색5 4" xfId="22927"/>
    <cellStyle name="강조색5 4 2" xfId="22928"/>
    <cellStyle name="강조색5 4 2 2" xfId="22929"/>
    <cellStyle name="강조색5 4 2 2 2" xfId="22930"/>
    <cellStyle name="강조색5 4 2 2 2 2" xfId="22931"/>
    <cellStyle name="강조색5 4 2 2 3" xfId="22932"/>
    <cellStyle name="강조색5 4 2 2 4" xfId="22933"/>
    <cellStyle name="강조색5 4 2 2 5" xfId="22934"/>
    <cellStyle name="강조색5 4 2 3" xfId="22935"/>
    <cellStyle name="강조색5 4 2 3 2" xfId="22936"/>
    <cellStyle name="강조색5 4 2 4" xfId="22937"/>
    <cellStyle name="강조색5 4 2 5" xfId="22938"/>
    <cellStyle name="강조색5 4 2 6" xfId="22939"/>
    <cellStyle name="강조색5 4 3" xfId="22940"/>
    <cellStyle name="강조색5 4 3 2" xfId="22941"/>
    <cellStyle name="강조색5 4 3 2 2" xfId="22942"/>
    <cellStyle name="강조색5 4 3 3" xfId="22943"/>
    <cellStyle name="강조색5 4 3 4" xfId="22944"/>
    <cellStyle name="강조색5 4 3 5" xfId="22945"/>
    <cellStyle name="강조색5 5" xfId="22946"/>
    <cellStyle name="강조색5 5 2" xfId="22947"/>
    <cellStyle name="강조색5 5 2 2" xfId="22948"/>
    <cellStyle name="강조색5 5 2 2 2" xfId="22949"/>
    <cellStyle name="강조색5 5 2 2 2 2" xfId="22950"/>
    <cellStyle name="강조색5 5 2 2 3" xfId="22951"/>
    <cellStyle name="강조색5 5 2 2 4" xfId="22952"/>
    <cellStyle name="강조색5 5 2 2 5" xfId="22953"/>
    <cellStyle name="강조색5 5 2 3" xfId="22954"/>
    <cellStyle name="강조색5 5 2 3 2" xfId="22955"/>
    <cellStyle name="강조색5 5 2 4" xfId="22956"/>
    <cellStyle name="강조색5 5 2 5" xfId="22957"/>
    <cellStyle name="강조색5 5 2 6" xfId="22958"/>
    <cellStyle name="강조색5 5 3" xfId="22959"/>
    <cellStyle name="강조색5 5 3 2" xfId="22960"/>
    <cellStyle name="강조색5 5 3 2 2" xfId="22961"/>
    <cellStyle name="강조색5 5 3 3" xfId="22962"/>
    <cellStyle name="강조색5 5 3 4" xfId="22963"/>
    <cellStyle name="강조색5 5 3 5" xfId="22964"/>
    <cellStyle name="강조색5 6" xfId="22965"/>
    <cellStyle name="강조색5 6 2" xfId="22966"/>
    <cellStyle name="강조색5 6 2 2" xfId="22967"/>
    <cellStyle name="강조색5 6 2 2 2" xfId="22968"/>
    <cellStyle name="강조색5 6 2 2 2 2" xfId="22969"/>
    <cellStyle name="강조색5 6 2 2 3" xfId="22970"/>
    <cellStyle name="강조색5 6 2 2 4" xfId="22971"/>
    <cellStyle name="강조색5 6 2 2 5" xfId="22972"/>
    <cellStyle name="강조색5 6 2 3" xfId="22973"/>
    <cellStyle name="강조색5 6 2 3 2" xfId="22974"/>
    <cellStyle name="강조색5 6 2 4" xfId="22975"/>
    <cellStyle name="강조색5 6 2 5" xfId="22976"/>
    <cellStyle name="강조색5 6 2 6" xfId="22977"/>
    <cellStyle name="강조색5 6 3" xfId="22978"/>
    <cellStyle name="강조색5 6 3 2" xfId="22979"/>
    <cellStyle name="강조색5 6 3 2 2" xfId="22980"/>
    <cellStyle name="강조색5 6 3 3" xfId="22981"/>
    <cellStyle name="강조색5 6 3 4" xfId="22982"/>
    <cellStyle name="강조색5 6 3 5" xfId="22983"/>
    <cellStyle name="강조색5 7" xfId="22984"/>
    <cellStyle name="강조색5 7 2" xfId="22985"/>
    <cellStyle name="강조색5 7 2 2" xfId="22986"/>
    <cellStyle name="강조색5 7 2 2 2" xfId="22987"/>
    <cellStyle name="강조색5 7 2 2 2 2" xfId="22988"/>
    <cellStyle name="강조색5 7 2 2 3" xfId="22989"/>
    <cellStyle name="강조색5 7 2 2 4" xfId="22990"/>
    <cellStyle name="강조색5 7 2 2 5" xfId="22991"/>
    <cellStyle name="강조색5 7 2 3" xfId="22992"/>
    <cellStyle name="강조색5 7 2 3 2" xfId="22993"/>
    <cellStyle name="강조색5 7 2 4" xfId="22994"/>
    <cellStyle name="강조색5 7 2 5" xfId="22995"/>
    <cellStyle name="강조색5 7 2 6" xfId="22996"/>
    <cellStyle name="강조색5 7 3" xfId="22997"/>
    <cellStyle name="강조색5 7 3 2" xfId="22998"/>
    <cellStyle name="강조색5 7 3 2 2" xfId="22999"/>
    <cellStyle name="강조색5 7 3 3" xfId="23000"/>
    <cellStyle name="강조색5 7 3 4" xfId="23001"/>
    <cellStyle name="강조색5 7 3 5" xfId="23002"/>
    <cellStyle name="강조색5 8" xfId="23003"/>
    <cellStyle name="강조색5 8 2" xfId="23004"/>
    <cellStyle name="강조색5 8 2 2" xfId="23005"/>
    <cellStyle name="강조색5 8 2 2 2" xfId="23006"/>
    <cellStyle name="강조색5 8 2 2 2 2" xfId="23007"/>
    <cellStyle name="강조색5 8 2 2 3" xfId="23008"/>
    <cellStyle name="강조색5 8 2 2 4" xfId="23009"/>
    <cellStyle name="강조색5 8 2 2 5" xfId="23010"/>
    <cellStyle name="강조색5 8 2 3" xfId="23011"/>
    <cellStyle name="강조색5 8 2 3 2" xfId="23012"/>
    <cellStyle name="강조색5 8 2 4" xfId="23013"/>
    <cellStyle name="강조색5 8 2 5" xfId="23014"/>
    <cellStyle name="강조색5 8 2 6" xfId="23015"/>
    <cellStyle name="강조색5 8 3" xfId="23016"/>
    <cellStyle name="강조색5 8 3 2" xfId="23017"/>
    <cellStyle name="강조색5 8 3 2 2" xfId="23018"/>
    <cellStyle name="강조색5 8 3 3" xfId="23019"/>
    <cellStyle name="강조색5 8 3 4" xfId="23020"/>
    <cellStyle name="강조색5 8 3 5" xfId="23021"/>
    <cellStyle name="강조색5 9" xfId="23022"/>
    <cellStyle name="강조색5 9 2" xfId="23023"/>
    <cellStyle name="강조색5 9 2 2" xfId="23024"/>
    <cellStyle name="강조색5 9 2 2 2" xfId="23025"/>
    <cellStyle name="강조색5 9 2 2 2 2" xfId="23026"/>
    <cellStyle name="강조색5 9 2 2 3" xfId="23027"/>
    <cellStyle name="강조색5 9 2 2 4" xfId="23028"/>
    <cellStyle name="강조색5 9 2 2 5" xfId="23029"/>
    <cellStyle name="강조색5 9 2 3" xfId="23030"/>
    <cellStyle name="강조색5 9 2 3 2" xfId="23031"/>
    <cellStyle name="강조색5 9 2 4" xfId="23032"/>
    <cellStyle name="강조색5 9 2 5" xfId="23033"/>
    <cellStyle name="강조색5 9 2 6" xfId="23034"/>
    <cellStyle name="강조색5 9 3" xfId="23035"/>
    <cellStyle name="강조색5 9 3 2" xfId="23036"/>
    <cellStyle name="강조색5 9 3 2 2" xfId="23037"/>
    <cellStyle name="강조색5 9 3 3" xfId="23038"/>
    <cellStyle name="강조색5 9 3 4" xfId="23039"/>
    <cellStyle name="강조색5 9 3 5" xfId="23040"/>
    <cellStyle name="강조색6 10" xfId="23041"/>
    <cellStyle name="강조색6 10 2" xfId="23042"/>
    <cellStyle name="강조색6 10 2 2" xfId="23043"/>
    <cellStyle name="강조색6 10 2 2 2" xfId="23044"/>
    <cellStyle name="강조색6 10 2 2 2 2" xfId="23045"/>
    <cellStyle name="강조색6 10 2 2 3" xfId="23046"/>
    <cellStyle name="강조색6 10 2 2 4" xfId="23047"/>
    <cellStyle name="강조색6 10 2 2 5" xfId="23048"/>
    <cellStyle name="강조색6 10 2 3" xfId="23049"/>
    <cellStyle name="강조색6 10 2 3 2" xfId="23050"/>
    <cellStyle name="강조색6 10 2 4" xfId="23051"/>
    <cellStyle name="강조색6 10 2 5" xfId="23052"/>
    <cellStyle name="강조색6 10 2 6" xfId="23053"/>
    <cellStyle name="강조색6 10 3" xfId="23054"/>
    <cellStyle name="강조색6 10 3 2" xfId="23055"/>
    <cellStyle name="강조색6 10 3 2 2" xfId="23056"/>
    <cellStyle name="강조색6 10 3 3" xfId="23057"/>
    <cellStyle name="강조색6 10 3 4" xfId="23058"/>
    <cellStyle name="강조색6 10 3 5" xfId="23059"/>
    <cellStyle name="강조색6 11" xfId="23060"/>
    <cellStyle name="강조색6 11 2" xfId="23061"/>
    <cellStyle name="강조색6 11 2 2" xfId="23062"/>
    <cellStyle name="강조색6 11 2 2 2" xfId="23063"/>
    <cellStyle name="강조색6 11 2 2 2 2" xfId="23064"/>
    <cellStyle name="강조색6 11 2 2 3" xfId="23065"/>
    <cellStyle name="강조색6 11 2 2 4" xfId="23066"/>
    <cellStyle name="강조색6 11 2 2 5" xfId="23067"/>
    <cellStyle name="강조색6 11 2 3" xfId="23068"/>
    <cellStyle name="강조색6 11 2 3 2" xfId="23069"/>
    <cellStyle name="강조색6 11 2 4" xfId="23070"/>
    <cellStyle name="강조색6 11 2 5" xfId="23071"/>
    <cellStyle name="강조색6 11 2 6" xfId="23072"/>
    <cellStyle name="강조색6 11 3" xfId="23073"/>
    <cellStyle name="강조색6 11 3 2" xfId="23074"/>
    <cellStyle name="강조색6 11 3 2 2" xfId="23075"/>
    <cellStyle name="강조색6 11 3 3" xfId="23076"/>
    <cellStyle name="강조색6 11 3 4" xfId="23077"/>
    <cellStyle name="강조색6 11 3 5" xfId="23078"/>
    <cellStyle name="강조색6 12" xfId="23079"/>
    <cellStyle name="강조색6 12 2" xfId="23080"/>
    <cellStyle name="강조색6 12 2 2" xfId="23081"/>
    <cellStyle name="강조색6 12 2 2 2" xfId="23082"/>
    <cellStyle name="강조색6 12 2 3" xfId="23083"/>
    <cellStyle name="강조색6 12 2 4" xfId="23084"/>
    <cellStyle name="강조색6 12 2 5" xfId="23085"/>
    <cellStyle name="강조색6 13" xfId="23086"/>
    <cellStyle name="강조색6 13 2" xfId="23087"/>
    <cellStyle name="강조색6 13 2 2" xfId="23088"/>
    <cellStyle name="강조색6 13 3" xfId="23089"/>
    <cellStyle name="강조색6 13 4" xfId="23090"/>
    <cellStyle name="강조색6 13 5" xfId="23091"/>
    <cellStyle name="강조색6 14" xfId="23092"/>
    <cellStyle name="강조색6 2" xfId="23093"/>
    <cellStyle name="강조색6 2 2" xfId="23094"/>
    <cellStyle name="강조색6 2 2 2" xfId="23095"/>
    <cellStyle name="강조색6 2 2 2 2" xfId="23096"/>
    <cellStyle name="강조색6 2 2 2 2 2" xfId="23097"/>
    <cellStyle name="강조색6 2 2 2 3" xfId="23098"/>
    <cellStyle name="강조색6 2 2 2 4" xfId="23099"/>
    <cellStyle name="강조색6 2 2 2 5" xfId="23100"/>
    <cellStyle name="강조색6 2 2 3" xfId="23101"/>
    <cellStyle name="강조색6 2 2 3 2" xfId="23102"/>
    <cellStyle name="강조색6 2 2 4" xfId="23103"/>
    <cellStyle name="강조색6 2 2 5" xfId="23104"/>
    <cellStyle name="강조색6 2 2 6" xfId="23105"/>
    <cellStyle name="강조색6 2 2 7" xfId="23106"/>
    <cellStyle name="강조색6 2 3" xfId="23107"/>
    <cellStyle name="강조색6 2 3 2" xfId="23108"/>
    <cellStyle name="강조색6 2 3 2 2" xfId="23109"/>
    <cellStyle name="강조색6 2 3 3" xfId="23110"/>
    <cellStyle name="강조색6 2 3 4" xfId="23111"/>
    <cellStyle name="강조색6 2 3 5" xfId="23112"/>
    <cellStyle name="강조색6 2 4" xfId="23113"/>
    <cellStyle name="강조색6 3" xfId="23114"/>
    <cellStyle name="강조색6 3 2" xfId="23115"/>
    <cellStyle name="강조색6 3 2 2" xfId="23116"/>
    <cellStyle name="강조색6 3 2 2 2" xfId="23117"/>
    <cellStyle name="강조색6 3 2 2 2 2" xfId="23118"/>
    <cellStyle name="강조색6 3 2 2 3" xfId="23119"/>
    <cellStyle name="강조색6 3 2 2 4" xfId="23120"/>
    <cellStyle name="강조색6 3 2 2 5" xfId="23121"/>
    <cellStyle name="강조색6 3 2 3" xfId="23122"/>
    <cellStyle name="강조색6 3 2 3 2" xfId="23123"/>
    <cellStyle name="강조색6 3 2 4" xfId="23124"/>
    <cellStyle name="강조색6 3 2 5" xfId="23125"/>
    <cellStyle name="강조색6 3 2 6" xfId="23126"/>
    <cellStyle name="강조색6 3 2 7" xfId="23127"/>
    <cellStyle name="강조색6 3 3" xfId="23128"/>
    <cellStyle name="강조색6 3 3 2" xfId="23129"/>
    <cellStyle name="강조색6 3 3 2 2" xfId="23130"/>
    <cellStyle name="강조색6 3 3 3" xfId="23131"/>
    <cellStyle name="강조색6 3 3 4" xfId="23132"/>
    <cellStyle name="강조색6 3 3 5" xfId="23133"/>
    <cellStyle name="강조색6 3 4" xfId="23134"/>
    <cellStyle name="강조색6 4" xfId="23135"/>
    <cellStyle name="강조색6 4 2" xfId="23136"/>
    <cellStyle name="강조색6 4 2 2" xfId="23137"/>
    <cellStyle name="강조색6 4 2 2 2" xfId="23138"/>
    <cellStyle name="강조색6 4 2 2 2 2" xfId="23139"/>
    <cellStyle name="강조색6 4 2 2 3" xfId="23140"/>
    <cellStyle name="강조색6 4 2 2 4" xfId="23141"/>
    <cellStyle name="강조색6 4 2 2 5" xfId="23142"/>
    <cellStyle name="강조색6 4 2 3" xfId="23143"/>
    <cellStyle name="강조색6 4 2 3 2" xfId="23144"/>
    <cellStyle name="강조색6 4 2 4" xfId="23145"/>
    <cellStyle name="강조색6 4 2 5" xfId="23146"/>
    <cellStyle name="강조색6 4 2 6" xfId="23147"/>
    <cellStyle name="강조색6 4 3" xfId="23148"/>
    <cellStyle name="강조색6 4 3 2" xfId="23149"/>
    <cellStyle name="강조색6 4 3 2 2" xfId="23150"/>
    <cellStyle name="강조색6 4 3 3" xfId="23151"/>
    <cellStyle name="강조색6 4 3 4" xfId="23152"/>
    <cellStyle name="강조색6 4 3 5" xfId="23153"/>
    <cellStyle name="강조색6 5" xfId="23154"/>
    <cellStyle name="강조색6 5 2" xfId="23155"/>
    <cellStyle name="강조색6 5 2 2" xfId="23156"/>
    <cellStyle name="강조색6 5 2 2 2" xfId="23157"/>
    <cellStyle name="강조색6 5 2 2 2 2" xfId="23158"/>
    <cellStyle name="강조색6 5 2 2 3" xfId="23159"/>
    <cellStyle name="강조색6 5 2 2 4" xfId="23160"/>
    <cellStyle name="강조색6 5 2 2 5" xfId="23161"/>
    <cellStyle name="강조색6 5 2 3" xfId="23162"/>
    <cellStyle name="강조색6 5 2 3 2" xfId="23163"/>
    <cellStyle name="강조색6 5 2 4" xfId="23164"/>
    <cellStyle name="강조색6 5 2 5" xfId="23165"/>
    <cellStyle name="강조색6 5 2 6" xfId="23166"/>
    <cellStyle name="강조색6 5 3" xfId="23167"/>
    <cellStyle name="강조색6 5 3 2" xfId="23168"/>
    <cellStyle name="강조색6 5 3 2 2" xfId="23169"/>
    <cellStyle name="강조색6 5 3 3" xfId="23170"/>
    <cellStyle name="강조색6 5 3 4" xfId="23171"/>
    <cellStyle name="강조색6 5 3 5" xfId="23172"/>
    <cellStyle name="강조색6 6" xfId="23173"/>
    <cellStyle name="강조색6 6 2" xfId="23174"/>
    <cellStyle name="강조색6 6 2 2" xfId="23175"/>
    <cellStyle name="강조색6 6 2 2 2" xfId="23176"/>
    <cellStyle name="강조색6 6 2 2 2 2" xfId="23177"/>
    <cellStyle name="강조색6 6 2 2 3" xfId="23178"/>
    <cellStyle name="강조색6 6 2 2 4" xfId="23179"/>
    <cellStyle name="강조색6 6 2 2 5" xfId="23180"/>
    <cellStyle name="강조색6 6 2 3" xfId="23181"/>
    <cellStyle name="강조색6 6 2 3 2" xfId="23182"/>
    <cellStyle name="강조색6 6 2 4" xfId="23183"/>
    <cellStyle name="강조색6 6 2 5" xfId="23184"/>
    <cellStyle name="강조색6 6 2 6" xfId="23185"/>
    <cellStyle name="강조색6 6 3" xfId="23186"/>
    <cellStyle name="강조색6 6 3 2" xfId="23187"/>
    <cellStyle name="강조색6 6 3 2 2" xfId="23188"/>
    <cellStyle name="강조색6 6 3 3" xfId="23189"/>
    <cellStyle name="강조색6 6 3 4" xfId="23190"/>
    <cellStyle name="강조색6 6 3 5" xfId="23191"/>
    <cellStyle name="강조색6 7" xfId="23192"/>
    <cellStyle name="강조색6 7 2" xfId="23193"/>
    <cellStyle name="강조색6 7 2 2" xfId="23194"/>
    <cellStyle name="강조색6 7 2 2 2" xfId="23195"/>
    <cellStyle name="강조색6 7 2 2 2 2" xfId="23196"/>
    <cellStyle name="강조색6 7 2 2 3" xfId="23197"/>
    <cellStyle name="강조색6 7 2 2 4" xfId="23198"/>
    <cellStyle name="강조색6 7 2 2 5" xfId="23199"/>
    <cellStyle name="강조색6 7 2 3" xfId="23200"/>
    <cellStyle name="강조색6 7 2 3 2" xfId="23201"/>
    <cellStyle name="강조색6 7 2 4" xfId="23202"/>
    <cellStyle name="강조색6 7 2 5" xfId="23203"/>
    <cellStyle name="강조색6 7 2 6" xfId="23204"/>
    <cellStyle name="강조색6 7 3" xfId="23205"/>
    <cellStyle name="강조색6 7 3 2" xfId="23206"/>
    <cellStyle name="강조색6 7 3 2 2" xfId="23207"/>
    <cellStyle name="강조색6 7 3 3" xfId="23208"/>
    <cellStyle name="강조색6 7 3 4" xfId="23209"/>
    <cellStyle name="강조색6 7 3 5" xfId="23210"/>
    <cellStyle name="강조색6 8" xfId="23211"/>
    <cellStyle name="강조색6 8 2" xfId="23212"/>
    <cellStyle name="강조색6 8 2 2" xfId="23213"/>
    <cellStyle name="강조색6 8 2 2 2" xfId="23214"/>
    <cellStyle name="강조색6 8 2 2 2 2" xfId="23215"/>
    <cellStyle name="강조색6 8 2 2 3" xfId="23216"/>
    <cellStyle name="강조색6 8 2 2 4" xfId="23217"/>
    <cellStyle name="강조색6 8 2 2 5" xfId="23218"/>
    <cellStyle name="강조색6 8 2 3" xfId="23219"/>
    <cellStyle name="강조색6 8 2 3 2" xfId="23220"/>
    <cellStyle name="강조색6 8 2 4" xfId="23221"/>
    <cellStyle name="강조색6 8 2 5" xfId="23222"/>
    <cellStyle name="강조색6 8 2 6" xfId="23223"/>
    <cellStyle name="강조색6 8 3" xfId="23224"/>
    <cellStyle name="강조색6 8 3 2" xfId="23225"/>
    <cellStyle name="강조색6 8 3 2 2" xfId="23226"/>
    <cellStyle name="강조색6 8 3 3" xfId="23227"/>
    <cellStyle name="강조색6 8 3 4" xfId="23228"/>
    <cellStyle name="강조색6 8 3 5" xfId="23229"/>
    <cellStyle name="강조색6 9" xfId="23230"/>
    <cellStyle name="강조색6 9 2" xfId="23231"/>
    <cellStyle name="강조색6 9 2 2" xfId="23232"/>
    <cellStyle name="강조색6 9 2 2 2" xfId="23233"/>
    <cellStyle name="강조색6 9 2 2 2 2" xfId="23234"/>
    <cellStyle name="강조색6 9 2 2 3" xfId="23235"/>
    <cellStyle name="강조색6 9 2 2 4" xfId="23236"/>
    <cellStyle name="강조색6 9 2 2 5" xfId="23237"/>
    <cellStyle name="강조색6 9 2 3" xfId="23238"/>
    <cellStyle name="강조색6 9 2 3 2" xfId="23239"/>
    <cellStyle name="강조색6 9 2 4" xfId="23240"/>
    <cellStyle name="강조색6 9 2 5" xfId="23241"/>
    <cellStyle name="강조색6 9 2 6" xfId="23242"/>
    <cellStyle name="강조색6 9 3" xfId="23243"/>
    <cellStyle name="강조색6 9 3 2" xfId="23244"/>
    <cellStyle name="강조색6 9 3 2 2" xfId="23245"/>
    <cellStyle name="강조색6 9 3 3" xfId="23246"/>
    <cellStyle name="강조색6 9 3 4" xfId="23247"/>
    <cellStyle name="강조색6 9 3 5" xfId="23248"/>
    <cellStyle name="检查单元格" xfId="23249"/>
    <cellStyle name="检查单元格 2" xfId="23250"/>
    <cellStyle name="检查单元格 2 2" xfId="23251"/>
    <cellStyle name="경고문 10" xfId="23252"/>
    <cellStyle name="경고문 10 2" xfId="23253"/>
    <cellStyle name="경고문 10 2 2" xfId="23254"/>
    <cellStyle name="경고문 10 2 2 2" xfId="23255"/>
    <cellStyle name="경고문 10 2 2 2 2" xfId="23256"/>
    <cellStyle name="경고문 10 2 2 3" xfId="23257"/>
    <cellStyle name="경고문 10 2 2 4" xfId="23258"/>
    <cellStyle name="경고문 10 2 2 5" xfId="23259"/>
    <cellStyle name="경고문 10 2 3" xfId="23260"/>
    <cellStyle name="경고문 10 2 3 2" xfId="23261"/>
    <cellStyle name="경고문 10 2 4" xfId="23262"/>
    <cellStyle name="경고문 10 2 5" xfId="23263"/>
    <cellStyle name="경고문 10 2 6" xfId="23264"/>
    <cellStyle name="경고문 10 3" xfId="23265"/>
    <cellStyle name="경고문 10 3 2" xfId="23266"/>
    <cellStyle name="경고문 10 3 2 2" xfId="23267"/>
    <cellStyle name="경고문 10 3 3" xfId="23268"/>
    <cellStyle name="경고문 10 3 4" xfId="23269"/>
    <cellStyle name="경고문 10 3 5" xfId="23270"/>
    <cellStyle name="경고문 11" xfId="23271"/>
    <cellStyle name="경고문 11 2" xfId="23272"/>
    <cellStyle name="경고문 11 2 2" xfId="23273"/>
    <cellStyle name="경고문 11 2 2 2" xfId="23274"/>
    <cellStyle name="경고문 11 2 2 2 2" xfId="23275"/>
    <cellStyle name="경고문 11 2 2 3" xfId="23276"/>
    <cellStyle name="경고문 11 2 2 4" xfId="23277"/>
    <cellStyle name="경고문 11 2 2 5" xfId="23278"/>
    <cellStyle name="경고문 11 2 3" xfId="23279"/>
    <cellStyle name="경고문 11 2 3 2" xfId="23280"/>
    <cellStyle name="경고문 11 2 4" xfId="23281"/>
    <cellStyle name="경고문 11 2 5" xfId="23282"/>
    <cellStyle name="경고문 11 2 6" xfId="23283"/>
    <cellStyle name="경고문 11 3" xfId="23284"/>
    <cellStyle name="경고문 11 3 2" xfId="23285"/>
    <cellStyle name="경고문 11 3 2 2" xfId="23286"/>
    <cellStyle name="경고문 11 3 3" xfId="23287"/>
    <cellStyle name="경고문 11 3 4" xfId="23288"/>
    <cellStyle name="경고문 11 3 5" xfId="23289"/>
    <cellStyle name="경고문 12" xfId="23290"/>
    <cellStyle name="경고문 12 2" xfId="23291"/>
    <cellStyle name="경고문 12 2 2" xfId="23292"/>
    <cellStyle name="경고문 12 2 2 2" xfId="23293"/>
    <cellStyle name="경고문 12 2 3" xfId="23294"/>
    <cellStyle name="경고문 12 2 4" xfId="23295"/>
    <cellStyle name="경고문 12 2 5" xfId="23296"/>
    <cellStyle name="경고문 13" xfId="23297"/>
    <cellStyle name="경고문 13 2" xfId="23298"/>
    <cellStyle name="경고문 13 2 2" xfId="23299"/>
    <cellStyle name="경고문 13 3" xfId="23300"/>
    <cellStyle name="경고문 13 4" xfId="23301"/>
    <cellStyle name="경고문 13 5" xfId="23302"/>
    <cellStyle name="경고문 14" xfId="23303"/>
    <cellStyle name="경고문 2" xfId="23304"/>
    <cellStyle name="경고문 2 2" xfId="23305"/>
    <cellStyle name="경고문 2 2 2" xfId="23306"/>
    <cellStyle name="경고문 2 2 2 2" xfId="23307"/>
    <cellStyle name="경고문 2 2 2 2 2" xfId="23308"/>
    <cellStyle name="경고문 2 2 2 3" xfId="23309"/>
    <cellStyle name="경고문 2 2 2 4" xfId="23310"/>
    <cellStyle name="경고문 2 2 2 5" xfId="23311"/>
    <cellStyle name="경고문 2 2 3" xfId="23312"/>
    <cellStyle name="경고문 2 2 3 2" xfId="23313"/>
    <cellStyle name="경고문 2 2 4" xfId="23314"/>
    <cellStyle name="경고문 2 2 5" xfId="23315"/>
    <cellStyle name="경고문 2 2 6" xfId="23316"/>
    <cellStyle name="경고문 2 2 7" xfId="23317"/>
    <cellStyle name="경고문 2 3" xfId="23318"/>
    <cellStyle name="경고문 2 3 2" xfId="23319"/>
    <cellStyle name="경고문 2 3 2 2" xfId="23320"/>
    <cellStyle name="경고문 2 3 3" xfId="23321"/>
    <cellStyle name="경고문 2 3 4" xfId="23322"/>
    <cellStyle name="경고문 2 3 5" xfId="23323"/>
    <cellStyle name="경고문 2 3 6" xfId="23324"/>
    <cellStyle name="경고문 2 4" xfId="23325"/>
    <cellStyle name="경고문 3" xfId="23326"/>
    <cellStyle name="경고문 3 2" xfId="23327"/>
    <cellStyle name="경고문 3 2 2" xfId="23328"/>
    <cellStyle name="경고문 3 2 2 2" xfId="23329"/>
    <cellStyle name="경고문 3 2 2 2 2" xfId="23330"/>
    <cellStyle name="경고문 3 2 2 3" xfId="23331"/>
    <cellStyle name="경고문 3 2 2 4" xfId="23332"/>
    <cellStyle name="경고문 3 2 2 5" xfId="23333"/>
    <cellStyle name="경고문 3 2 3" xfId="23334"/>
    <cellStyle name="경고문 3 2 3 2" xfId="23335"/>
    <cellStyle name="경고문 3 2 4" xfId="23336"/>
    <cellStyle name="경고문 3 2 5" xfId="23337"/>
    <cellStyle name="경고문 3 2 6" xfId="23338"/>
    <cellStyle name="경고문 3 3" xfId="23339"/>
    <cellStyle name="경고문 3 3 2" xfId="23340"/>
    <cellStyle name="경고문 3 3 2 2" xfId="23341"/>
    <cellStyle name="경고문 3 3 3" xfId="23342"/>
    <cellStyle name="경고문 3 3 4" xfId="23343"/>
    <cellStyle name="경고문 3 3 5" xfId="23344"/>
    <cellStyle name="경고문 4" xfId="23345"/>
    <cellStyle name="경고문 4 2" xfId="23346"/>
    <cellStyle name="경고문 4 2 2" xfId="23347"/>
    <cellStyle name="경고문 4 2 2 2" xfId="23348"/>
    <cellStyle name="경고문 4 2 2 2 2" xfId="23349"/>
    <cellStyle name="경고문 4 2 2 3" xfId="23350"/>
    <cellStyle name="경고문 4 2 2 4" xfId="23351"/>
    <cellStyle name="경고문 4 2 2 5" xfId="23352"/>
    <cellStyle name="경고문 4 2 3" xfId="23353"/>
    <cellStyle name="경고문 4 2 3 2" xfId="23354"/>
    <cellStyle name="경고문 4 2 4" xfId="23355"/>
    <cellStyle name="경고문 4 2 5" xfId="23356"/>
    <cellStyle name="경고문 4 2 6" xfId="23357"/>
    <cellStyle name="경고문 4 3" xfId="23358"/>
    <cellStyle name="경고문 4 3 2" xfId="23359"/>
    <cellStyle name="경고문 4 3 2 2" xfId="23360"/>
    <cellStyle name="경고문 4 3 3" xfId="23361"/>
    <cellStyle name="경고문 4 3 4" xfId="23362"/>
    <cellStyle name="경고문 4 3 5" xfId="23363"/>
    <cellStyle name="경고문 5" xfId="23364"/>
    <cellStyle name="경고문 5 2" xfId="23365"/>
    <cellStyle name="경고문 5 2 2" xfId="23366"/>
    <cellStyle name="경고문 5 2 2 2" xfId="23367"/>
    <cellStyle name="경고문 5 2 2 2 2" xfId="23368"/>
    <cellStyle name="경고문 5 2 2 3" xfId="23369"/>
    <cellStyle name="경고문 5 2 2 4" xfId="23370"/>
    <cellStyle name="경고문 5 2 2 5" xfId="23371"/>
    <cellStyle name="경고문 5 2 3" xfId="23372"/>
    <cellStyle name="경고문 5 2 3 2" xfId="23373"/>
    <cellStyle name="경고문 5 2 4" xfId="23374"/>
    <cellStyle name="경고문 5 2 5" xfId="23375"/>
    <cellStyle name="경고문 5 2 6" xfId="23376"/>
    <cellStyle name="경고문 5 3" xfId="23377"/>
    <cellStyle name="경고문 5 3 2" xfId="23378"/>
    <cellStyle name="경고문 5 3 2 2" xfId="23379"/>
    <cellStyle name="경고문 5 3 3" xfId="23380"/>
    <cellStyle name="경고문 5 3 4" xfId="23381"/>
    <cellStyle name="경고문 5 3 5" xfId="23382"/>
    <cellStyle name="경고문 6" xfId="23383"/>
    <cellStyle name="경고문 6 2" xfId="23384"/>
    <cellStyle name="경고문 6 2 2" xfId="23385"/>
    <cellStyle name="경고문 6 2 2 2" xfId="23386"/>
    <cellStyle name="경고문 6 2 2 2 2" xfId="23387"/>
    <cellStyle name="경고문 6 2 2 3" xfId="23388"/>
    <cellStyle name="경고문 6 2 2 4" xfId="23389"/>
    <cellStyle name="경고문 6 2 2 5" xfId="23390"/>
    <cellStyle name="경고문 6 2 3" xfId="23391"/>
    <cellStyle name="경고문 6 2 3 2" xfId="23392"/>
    <cellStyle name="경고문 6 2 4" xfId="23393"/>
    <cellStyle name="경고문 6 2 5" xfId="23394"/>
    <cellStyle name="경고문 6 2 6" xfId="23395"/>
    <cellStyle name="경고문 6 3" xfId="23396"/>
    <cellStyle name="경고문 6 3 2" xfId="23397"/>
    <cellStyle name="경고문 6 3 2 2" xfId="23398"/>
    <cellStyle name="경고문 6 3 3" xfId="23399"/>
    <cellStyle name="경고문 6 3 4" xfId="23400"/>
    <cellStyle name="경고문 6 3 5" xfId="23401"/>
    <cellStyle name="경고문 7" xfId="23402"/>
    <cellStyle name="경고문 7 2" xfId="23403"/>
    <cellStyle name="경고문 7 2 2" xfId="23404"/>
    <cellStyle name="경고문 7 2 2 2" xfId="23405"/>
    <cellStyle name="경고문 7 2 2 2 2" xfId="23406"/>
    <cellStyle name="경고문 7 2 2 3" xfId="23407"/>
    <cellStyle name="경고문 7 2 2 4" xfId="23408"/>
    <cellStyle name="경고문 7 2 2 5" xfId="23409"/>
    <cellStyle name="경고문 7 2 3" xfId="23410"/>
    <cellStyle name="경고문 7 2 3 2" xfId="23411"/>
    <cellStyle name="경고문 7 2 4" xfId="23412"/>
    <cellStyle name="경고문 7 2 5" xfId="23413"/>
    <cellStyle name="경고문 7 2 6" xfId="23414"/>
    <cellStyle name="경고문 7 3" xfId="23415"/>
    <cellStyle name="경고문 7 3 2" xfId="23416"/>
    <cellStyle name="경고문 7 3 2 2" xfId="23417"/>
    <cellStyle name="경고문 7 3 3" xfId="23418"/>
    <cellStyle name="경고문 7 3 4" xfId="23419"/>
    <cellStyle name="경고문 7 3 5" xfId="23420"/>
    <cellStyle name="경고문 8" xfId="23421"/>
    <cellStyle name="경고문 8 2" xfId="23422"/>
    <cellStyle name="경고문 8 2 2" xfId="23423"/>
    <cellStyle name="경고문 8 2 2 2" xfId="23424"/>
    <cellStyle name="경고문 8 2 2 2 2" xfId="23425"/>
    <cellStyle name="경고문 8 2 2 3" xfId="23426"/>
    <cellStyle name="경고문 8 2 2 4" xfId="23427"/>
    <cellStyle name="경고문 8 2 2 5" xfId="23428"/>
    <cellStyle name="경고문 8 2 3" xfId="23429"/>
    <cellStyle name="경고문 8 2 3 2" xfId="23430"/>
    <cellStyle name="경고문 8 2 4" xfId="23431"/>
    <cellStyle name="경고문 8 2 5" xfId="23432"/>
    <cellStyle name="경고문 8 2 6" xfId="23433"/>
    <cellStyle name="경고문 8 3" xfId="23434"/>
    <cellStyle name="경고문 8 3 2" xfId="23435"/>
    <cellStyle name="경고문 8 3 2 2" xfId="23436"/>
    <cellStyle name="경고문 8 3 3" xfId="23437"/>
    <cellStyle name="경고문 8 3 4" xfId="23438"/>
    <cellStyle name="경고문 8 3 5" xfId="23439"/>
    <cellStyle name="경고문 9" xfId="23440"/>
    <cellStyle name="경고문 9 2" xfId="23441"/>
    <cellStyle name="경고문 9 2 2" xfId="23442"/>
    <cellStyle name="경고문 9 2 2 2" xfId="23443"/>
    <cellStyle name="경고문 9 2 2 2 2" xfId="23444"/>
    <cellStyle name="경고문 9 2 2 3" xfId="23445"/>
    <cellStyle name="경고문 9 2 2 4" xfId="23446"/>
    <cellStyle name="경고문 9 2 2 5" xfId="23447"/>
    <cellStyle name="경고문 9 2 3" xfId="23448"/>
    <cellStyle name="경고문 9 2 3 2" xfId="23449"/>
    <cellStyle name="경고문 9 2 4" xfId="23450"/>
    <cellStyle name="경고문 9 2 5" xfId="23451"/>
    <cellStyle name="경고문 9 2 6" xfId="23452"/>
    <cellStyle name="경고문 9 3" xfId="23453"/>
    <cellStyle name="경고문 9 3 2" xfId="23454"/>
    <cellStyle name="경고문 9 3 2 2" xfId="23455"/>
    <cellStyle name="경고문 9 3 3" xfId="23456"/>
    <cellStyle name="경고문 9 3 4" xfId="23457"/>
    <cellStyle name="경고문 9 3 5" xfId="23458"/>
    <cellStyle name="警告文本" xfId="23459"/>
    <cellStyle name="警告文本 2" xfId="23460"/>
    <cellStyle name="警告文本 2 2" xfId="23461"/>
    <cellStyle name="计算" xfId="23462"/>
    <cellStyle name="계산 10" xfId="23463"/>
    <cellStyle name="계산 10 2" xfId="23464"/>
    <cellStyle name="계산 10 2 2" xfId="23465"/>
    <cellStyle name="계산 10 2 2 2" xfId="23466"/>
    <cellStyle name="계산 10 2 2 2 2" xfId="23467"/>
    <cellStyle name="계산 10 2 2 3" xfId="23468"/>
    <cellStyle name="계산 10 2 2 4" xfId="23469"/>
    <cellStyle name="계산 10 2 2 5" xfId="23470"/>
    <cellStyle name="계산 10 2 3" xfId="23471"/>
    <cellStyle name="계산 10 2 3 2" xfId="23472"/>
    <cellStyle name="계산 10 2 4" xfId="23473"/>
    <cellStyle name="계산 10 2 5" xfId="23474"/>
    <cellStyle name="계산 10 2 6" xfId="23475"/>
    <cellStyle name="계산 10 3" xfId="23476"/>
    <cellStyle name="계산 10 3 2" xfId="23477"/>
    <cellStyle name="계산 10 3 2 2" xfId="23478"/>
    <cellStyle name="계산 10 3 3" xfId="23479"/>
    <cellStyle name="계산 10 3 4" xfId="23480"/>
    <cellStyle name="계산 10 3 5" xfId="23481"/>
    <cellStyle name="계산 11" xfId="23482"/>
    <cellStyle name="계산 11 2" xfId="23483"/>
    <cellStyle name="계산 11 2 2" xfId="23484"/>
    <cellStyle name="계산 11 2 2 2" xfId="23485"/>
    <cellStyle name="계산 11 2 2 2 2" xfId="23486"/>
    <cellStyle name="계산 11 2 2 3" xfId="23487"/>
    <cellStyle name="계산 11 2 2 4" xfId="23488"/>
    <cellStyle name="계산 11 2 2 5" xfId="23489"/>
    <cellStyle name="계산 11 2 3" xfId="23490"/>
    <cellStyle name="계산 11 2 3 2" xfId="23491"/>
    <cellStyle name="계산 11 2 4" xfId="23492"/>
    <cellStyle name="계산 11 2 5" xfId="23493"/>
    <cellStyle name="계산 11 2 6" xfId="23494"/>
    <cellStyle name="계산 11 3" xfId="23495"/>
    <cellStyle name="계산 11 3 2" xfId="23496"/>
    <cellStyle name="계산 11 3 2 2" xfId="23497"/>
    <cellStyle name="계산 11 3 3" xfId="23498"/>
    <cellStyle name="계산 11 3 4" xfId="23499"/>
    <cellStyle name="계산 11 3 5" xfId="23500"/>
    <cellStyle name="계산 12" xfId="23501"/>
    <cellStyle name="계산 12 2" xfId="23502"/>
    <cellStyle name="계산 12 2 2" xfId="23503"/>
    <cellStyle name="계산 12 2 2 2" xfId="23504"/>
    <cellStyle name="계산 12 2 3" xfId="23505"/>
    <cellStyle name="계산 12 2 4" xfId="23506"/>
    <cellStyle name="계산 12 2 5" xfId="23507"/>
    <cellStyle name="계산 13" xfId="23508"/>
    <cellStyle name="계산 13 2" xfId="23509"/>
    <cellStyle name="계산 13 2 2" xfId="23510"/>
    <cellStyle name="계산 13 3" xfId="23511"/>
    <cellStyle name="계산 13 4" xfId="23512"/>
    <cellStyle name="계산 13 5" xfId="23513"/>
    <cellStyle name="계산 14" xfId="23514"/>
    <cellStyle name="계산 15" xfId="23515"/>
    <cellStyle name="계산 2" xfId="23516"/>
    <cellStyle name="计算 2" xfId="23517"/>
    <cellStyle name="계산 2 2" xfId="23518"/>
    <cellStyle name="计算 2 2" xfId="23519"/>
    <cellStyle name="계산 2 2 2" xfId="23520"/>
    <cellStyle name="계산 2 2 2 2" xfId="23521"/>
    <cellStyle name="계산 2 2 2 2 2" xfId="23522"/>
    <cellStyle name="계산 2 2 2 2 2 2" xfId="23523"/>
    <cellStyle name="계산 2 2 2 2 3" xfId="23524"/>
    <cellStyle name="계산 2 2 2 2 4" xfId="23525"/>
    <cellStyle name="계산 2 2 2 2 5" xfId="23526"/>
    <cellStyle name="계산 2 2 2 3" xfId="23527"/>
    <cellStyle name="계산 2 2 2 3 2" xfId="23528"/>
    <cellStyle name="계산 2 2 2 4" xfId="23529"/>
    <cellStyle name="계산 2 2 2 5" xfId="23530"/>
    <cellStyle name="계산 2 2 2 6" xfId="23531"/>
    <cellStyle name="계산 2 2 3" xfId="23532"/>
    <cellStyle name="계산 2 2 3 2" xfId="23533"/>
    <cellStyle name="계산 2 2 3 2 2" xfId="23534"/>
    <cellStyle name="계산 2 2 3 3" xfId="23535"/>
    <cellStyle name="계산 2 2 3 4" xfId="23536"/>
    <cellStyle name="계산 2 2 3 5" xfId="23537"/>
    <cellStyle name="계산 2 2 4" xfId="23538"/>
    <cellStyle name="계산 2 3" xfId="23539"/>
    <cellStyle name="계산 2 3 2" xfId="23540"/>
    <cellStyle name="계산 2 3 2 2" xfId="23541"/>
    <cellStyle name="계산 2 3 2 2 2" xfId="23542"/>
    <cellStyle name="계산 2 3 2 2 2 2" xfId="23543"/>
    <cellStyle name="계산 2 3 2 2 3" xfId="23544"/>
    <cellStyle name="계산 2 3 2 2 4" xfId="23545"/>
    <cellStyle name="계산 2 3 2 2 5" xfId="23546"/>
    <cellStyle name="계산 2 3 2 3" xfId="23547"/>
    <cellStyle name="계산 2 3 2 3 2" xfId="23548"/>
    <cellStyle name="계산 2 3 2 4" xfId="23549"/>
    <cellStyle name="계산 2 3 2 5" xfId="23550"/>
    <cellStyle name="계산 2 3 2 6" xfId="23551"/>
    <cellStyle name="계산 2 3 3" xfId="23552"/>
    <cellStyle name="계산 2 3 3 2" xfId="23553"/>
    <cellStyle name="계산 2 3 3 2 2" xfId="23554"/>
    <cellStyle name="계산 2 3 3 3" xfId="23555"/>
    <cellStyle name="계산 2 3 3 4" xfId="23556"/>
    <cellStyle name="계산 2 3 3 5" xfId="23557"/>
    <cellStyle name="계산 2 4" xfId="23558"/>
    <cellStyle name="계산 2 4 2" xfId="23559"/>
    <cellStyle name="계산 2 4 2 2" xfId="23560"/>
    <cellStyle name="계산 2 4 2 2 2" xfId="23561"/>
    <cellStyle name="계산 2 4 2 3" xfId="23562"/>
    <cellStyle name="계산 2 4 2 4" xfId="23563"/>
    <cellStyle name="계산 2 4 2 5" xfId="23564"/>
    <cellStyle name="계산 2 4 3" xfId="23565"/>
    <cellStyle name="계산 2 4 3 2" xfId="23566"/>
    <cellStyle name="계산 2 4 4" xfId="23567"/>
    <cellStyle name="계산 2 4 5" xfId="23568"/>
    <cellStyle name="계산 2 4 6" xfId="23569"/>
    <cellStyle name="계산 2 5" xfId="23570"/>
    <cellStyle name="계산 2 5 2" xfId="23571"/>
    <cellStyle name="계산 2 5 2 2" xfId="23572"/>
    <cellStyle name="계산 2 5 3" xfId="23573"/>
    <cellStyle name="계산 2 5 4" xfId="23574"/>
    <cellStyle name="계산 2 5 5" xfId="23575"/>
    <cellStyle name="계산 2 6" xfId="23576"/>
    <cellStyle name="계산 3" xfId="23577"/>
    <cellStyle name="计算 3" xfId="23578"/>
    <cellStyle name="계산 3 2" xfId="23579"/>
    <cellStyle name="계산 3 2 2" xfId="23580"/>
    <cellStyle name="계산 3 2 2 2" xfId="23581"/>
    <cellStyle name="계산 3 2 2 2 2" xfId="23582"/>
    <cellStyle name="계산 3 2 2 3" xfId="23583"/>
    <cellStyle name="계산 3 2 2 4" xfId="23584"/>
    <cellStyle name="계산 3 2 2 5" xfId="23585"/>
    <cellStyle name="계산 3 2 3" xfId="23586"/>
    <cellStyle name="계산 3 2 3 2" xfId="23587"/>
    <cellStyle name="계산 3 2 4" xfId="23588"/>
    <cellStyle name="계산 3 2 5" xfId="23589"/>
    <cellStyle name="계산 3 2 6" xfId="23590"/>
    <cellStyle name="계산 3 2 7" xfId="23591"/>
    <cellStyle name="계산 3 3" xfId="23592"/>
    <cellStyle name="계산 3 3 2" xfId="23593"/>
    <cellStyle name="계산 3 3 2 2" xfId="23594"/>
    <cellStyle name="계산 3 3 3" xfId="23595"/>
    <cellStyle name="계산 3 3 4" xfId="23596"/>
    <cellStyle name="계산 3 3 5" xfId="23597"/>
    <cellStyle name="계산 3 4" xfId="23598"/>
    <cellStyle name="계산 4" xfId="23599"/>
    <cellStyle name="계산 4 2" xfId="23600"/>
    <cellStyle name="계산 4 2 2" xfId="23601"/>
    <cellStyle name="계산 4 2 2 2" xfId="23602"/>
    <cellStyle name="계산 4 2 2 2 2" xfId="23603"/>
    <cellStyle name="계산 4 2 2 3" xfId="23604"/>
    <cellStyle name="계산 4 2 2 4" xfId="23605"/>
    <cellStyle name="계산 4 2 2 5" xfId="23606"/>
    <cellStyle name="계산 4 2 3" xfId="23607"/>
    <cellStyle name="계산 4 2 3 2" xfId="23608"/>
    <cellStyle name="계산 4 2 4" xfId="23609"/>
    <cellStyle name="계산 4 2 5" xfId="23610"/>
    <cellStyle name="계산 4 2 6" xfId="23611"/>
    <cellStyle name="계산 4 3" xfId="23612"/>
    <cellStyle name="계산 4 3 2" xfId="23613"/>
    <cellStyle name="계산 4 3 2 2" xfId="23614"/>
    <cellStyle name="계산 4 3 3" xfId="23615"/>
    <cellStyle name="계산 4 3 4" xfId="23616"/>
    <cellStyle name="계산 4 3 5" xfId="23617"/>
    <cellStyle name="계산 5" xfId="23618"/>
    <cellStyle name="계산 5 2" xfId="23619"/>
    <cellStyle name="계산 5 2 2" xfId="23620"/>
    <cellStyle name="계산 5 2 2 2" xfId="23621"/>
    <cellStyle name="계산 5 2 2 2 2" xfId="23622"/>
    <cellStyle name="계산 5 2 2 3" xfId="23623"/>
    <cellStyle name="계산 5 2 2 4" xfId="23624"/>
    <cellStyle name="계산 5 2 2 5" xfId="23625"/>
    <cellStyle name="계산 5 2 3" xfId="23626"/>
    <cellStyle name="계산 5 2 3 2" xfId="23627"/>
    <cellStyle name="계산 5 2 4" xfId="23628"/>
    <cellStyle name="계산 5 2 5" xfId="23629"/>
    <cellStyle name="계산 5 2 6" xfId="23630"/>
    <cellStyle name="계산 5 3" xfId="23631"/>
    <cellStyle name="계산 5 3 2" xfId="23632"/>
    <cellStyle name="계산 5 3 2 2" xfId="23633"/>
    <cellStyle name="계산 5 3 3" xfId="23634"/>
    <cellStyle name="계산 5 3 4" xfId="23635"/>
    <cellStyle name="계산 5 3 5" xfId="23636"/>
    <cellStyle name="계산 6" xfId="23637"/>
    <cellStyle name="계산 6 2" xfId="23638"/>
    <cellStyle name="계산 6 2 2" xfId="23639"/>
    <cellStyle name="계산 6 2 2 2" xfId="23640"/>
    <cellStyle name="계산 6 2 2 2 2" xfId="23641"/>
    <cellStyle name="계산 6 2 2 3" xfId="23642"/>
    <cellStyle name="계산 6 2 2 4" xfId="23643"/>
    <cellStyle name="계산 6 2 2 5" xfId="23644"/>
    <cellStyle name="계산 6 2 3" xfId="23645"/>
    <cellStyle name="계산 6 2 3 2" xfId="23646"/>
    <cellStyle name="계산 6 2 4" xfId="23647"/>
    <cellStyle name="계산 6 2 5" xfId="23648"/>
    <cellStyle name="계산 6 2 6" xfId="23649"/>
    <cellStyle name="계산 6 3" xfId="23650"/>
    <cellStyle name="계산 6 3 2" xfId="23651"/>
    <cellStyle name="계산 6 3 2 2" xfId="23652"/>
    <cellStyle name="계산 6 3 3" xfId="23653"/>
    <cellStyle name="계산 6 3 4" xfId="23654"/>
    <cellStyle name="계산 6 3 5" xfId="23655"/>
    <cellStyle name="계산 7" xfId="23656"/>
    <cellStyle name="계산 7 2" xfId="23657"/>
    <cellStyle name="계산 7 2 2" xfId="23658"/>
    <cellStyle name="계산 7 2 2 2" xfId="23659"/>
    <cellStyle name="계산 7 2 2 2 2" xfId="23660"/>
    <cellStyle name="계산 7 2 2 3" xfId="23661"/>
    <cellStyle name="계산 7 2 2 4" xfId="23662"/>
    <cellStyle name="계산 7 2 2 5" xfId="23663"/>
    <cellStyle name="계산 7 2 3" xfId="23664"/>
    <cellStyle name="계산 7 2 3 2" xfId="23665"/>
    <cellStyle name="계산 7 2 4" xfId="23666"/>
    <cellStyle name="계산 7 2 5" xfId="23667"/>
    <cellStyle name="계산 7 2 6" xfId="23668"/>
    <cellStyle name="계산 7 3" xfId="23669"/>
    <cellStyle name="계산 7 3 2" xfId="23670"/>
    <cellStyle name="계산 7 3 2 2" xfId="23671"/>
    <cellStyle name="계산 7 3 3" xfId="23672"/>
    <cellStyle name="계산 7 3 4" xfId="23673"/>
    <cellStyle name="계산 7 3 5" xfId="23674"/>
    <cellStyle name="계산 8" xfId="23675"/>
    <cellStyle name="계산 8 2" xfId="23676"/>
    <cellStyle name="계산 8 2 2" xfId="23677"/>
    <cellStyle name="계산 8 2 2 2" xfId="23678"/>
    <cellStyle name="계산 8 2 2 2 2" xfId="23679"/>
    <cellStyle name="계산 8 2 2 3" xfId="23680"/>
    <cellStyle name="계산 8 2 2 4" xfId="23681"/>
    <cellStyle name="계산 8 2 2 5" xfId="23682"/>
    <cellStyle name="계산 8 2 3" xfId="23683"/>
    <cellStyle name="계산 8 2 3 2" xfId="23684"/>
    <cellStyle name="계산 8 2 4" xfId="23685"/>
    <cellStyle name="계산 8 2 5" xfId="23686"/>
    <cellStyle name="계산 8 2 6" xfId="23687"/>
    <cellStyle name="계산 8 3" xfId="23688"/>
    <cellStyle name="계산 8 3 2" xfId="23689"/>
    <cellStyle name="계산 8 3 2 2" xfId="23690"/>
    <cellStyle name="계산 8 3 3" xfId="23691"/>
    <cellStyle name="계산 8 3 4" xfId="23692"/>
    <cellStyle name="계산 8 3 5" xfId="23693"/>
    <cellStyle name="계산 9" xfId="23694"/>
    <cellStyle name="계산 9 2" xfId="23695"/>
    <cellStyle name="계산 9 2 2" xfId="23696"/>
    <cellStyle name="계산 9 2 2 2" xfId="23697"/>
    <cellStyle name="계산 9 2 2 2 2" xfId="23698"/>
    <cellStyle name="계산 9 2 2 3" xfId="23699"/>
    <cellStyle name="계산 9 2 2 4" xfId="23700"/>
    <cellStyle name="계산 9 2 2 5" xfId="23701"/>
    <cellStyle name="계산 9 2 3" xfId="23702"/>
    <cellStyle name="계산 9 2 3 2" xfId="23703"/>
    <cellStyle name="계산 9 2 4" xfId="23704"/>
    <cellStyle name="계산 9 2 5" xfId="23705"/>
    <cellStyle name="계산 9 2 6" xfId="23706"/>
    <cellStyle name="계산 9 3" xfId="23707"/>
    <cellStyle name="계산 9 3 2" xfId="23708"/>
    <cellStyle name="계산 9 3 2 2" xfId="23709"/>
    <cellStyle name="계산 9 3 3" xfId="23710"/>
    <cellStyle name="계산 9 3 4" xfId="23711"/>
    <cellStyle name="계산 9 3 5" xfId="23712"/>
    <cellStyle name="고정소숫점" xfId="23713"/>
    <cellStyle name="고정소숫점 2" xfId="23714"/>
    <cellStyle name="고정소숫점 2 2" xfId="23715"/>
    <cellStyle name="고정소숫점 2 2 2" xfId="23716"/>
    <cellStyle name="고정소숫점 2 2 2 2" xfId="23717"/>
    <cellStyle name="고정소숫점 2 2 3" xfId="23718"/>
    <cellStyle name="고정소숫점 2 2 4" xfId="23719"/>
    <cellStyle name="고정소숫점 2 2 5" xfId="23720"/>
    <cellStyle name="고정소숫점 2 3" xfId="23721"/>
    <cellStyle name="고정소숫점 2 3 2" xfId="23722"/>
    <cellStyle name="고정소숫점 2 4" xfId="23723"/>
    <cellStyle name="고정소숫점 2 5" xfId="23724"/>
    <cellStyle name="고정소숫점 2 6" xfId="23725"/>
    <cellStyle name="고정소숫점 2 7" xfId="23726"/>
    <cellStyle name="고정소숫점 2 8" xfId="23727"/>
    <cellStyle name="고정소숫점 3" xfId="23728"/>
    <cellStyle name="고정소숫점 3 2" xfId="23729"/>
    <cellStyle name="고정소숫점 3 2 2" xfId="23730"/>
    <cellStyle name="고정소숫점 3 3" xfId="23731"/>
    <cellStyle name="고정소숫점 3 4" xfId="23732"/>
    <cellStyle name="고정소숫점 3 5" xfId="23733"/>
    <cellStyle name="고정출력1" xfId="23734"/>
    <cellStyle name="고정출력1 2" xfId="23735"/>
    <cellStyle name="고정출력2" xfId="23736"/>
    <cellStyle name="고정출력2 2" xfId="23737"/>
    <cellStyle name="괄(계정)" xfId="23738"/>
    <cellStyle name="适中" xfId="23739"/>
    <cellStyle name="适中 2" xfId="23740"/>
    <cellStyle name="适中 2 2" xfId="23741"/>
    <cellStyle name="咬訌裝?report-2 " xfId="23742"/>
    <cellStyle name="글꼴" xfId="23743"/>
    <cellStyle name="글자" xfId="23744"/>
    <cellStyle name="끽방_inquiry_bq_hvac" xfId="23745"/>
    <cellStyle name="나쁨 10" xfId="23746"/>
    <cellStyle name="나쁨 10 2" xfId="23747"/>
    <cellStyle name="나쁨 10 2 2" xfId="23748"/>
    <cellStyle name="나쁨 10 2 2 2" xfId="23749"/>
    <cellStyle name="나쁨 10 2 2 2 2" xfId="23750"/>
    <cellStyle name="나쁨 10 2 2 3" xfId="23751"/>
    <cellStyle name="나쁨 10 2 2 4" xfId="23752"/>
    <cellStyle name="나쁨 10 2 2 5" xfId="23753"/>
    <cellStyle name="나쁨 10 2 3" xfId="23754"/>
    <cellStyle name="나쁨 10 2 3 2" xfId="23755"/>
    <cellStyle name="나쁨 10 2 4" xfId="23756"/>
    <cellStyle name="나쁨 10 2 5" xfId="23757"/>
    <cellStyle name="나쁨 10 2 6" xfId="23758"/>
    <cellStyle name="나쁨 10 3" xfId="23759"/>
    <cellStyle name="나쁨 10 3 2" xfId="23760"/>
    <cellStyle name="나쁨 10 3 2 2" xfId="23761"/>
    <cellStyle name="나쁨 10 3 3" xfId="23762"/>
    <cellStyle name="나쁨 10 3 4" xfId="23763"/>
    <cellStyle name="나쁨 10 3 5" xfId="23764"/>
    <cellStyle name="나쁨 11" xfId="23765"/>
    <cellStyle name="나쁨 11 2" xfId="23766"/>
    <cellStyle name="나쁨 11 2 2" xfId="23767"/>
    <cellStyle name="나쁨 11 2 2 2" xfId="23768"/>
    <cellStyle name="나쁨 11 2 2 2 2" xfId="23769"/>
    <cellStyle name="나쁨 11 2 2 3" xfId="23770"/>
    <cellStyle name="나쁨 11 2 2 4" xfId="23771"/>
    <cellStyle name="나쁨 11 2 2 5" xfId="23772"/>
    <cellStyle name="나쁨 11 2 3" xfId="23773"/>
    <cellStyle name="나쁨 11 2 3 2" xfId="23774"/>
    <cellStyle name="나쁨 11 2 4" xfId="23775"/>
    <cellStyle name="나쁨 11 2 5" xfId="23776"/>
    <cellStyle name="나쁨 11 2 6" xfId="23777"/>
    <cellStyle name="나쁨 11 3" xfId="23778"/>
    <cellStyle name="나쁨 11 3 2" xfId="23779"/>
    <cellStyle name="나쁨 11 3 2 2" xfId="23780"/>
    <cellStyle name="나쁨 11 3 3" xfId="23781"/>
    <cellStyle name="나쁨 11 3 4" xfId="23782"/>
    <cellStyle name="나쁨 11 3 5" xfId="23783"/>
    <cellStyle name="나쁨 12" xfId="23784"/>
    <cellStyle name="나쁨 12 2" xfId="23785"/>
    <cellStyle name="나쁨 12 2 2" xfId="23786"/>
    <cellStyle name="나쁨 12 2 2 2" xfId="23787"/>
    <cellStyle name="나쁨 12 2 3" xfId="23788"/>
    <cellStyle name="나쁨 12 2 4" xfId="23789"/>
    <cellStyle name="나쁨 12 2 5" xfId="23790"/>
    <cellStyle name="나쁨 13" xfId="23791"/>
    <cellStyle name="나쁨 13 2" xfId="23792"/>
    <cellStyle name="나쁨 13 2 2" xfId="23793"/>
    <cellStyle name="나쁨 13 3" xfId="23794"/>
    <cellStyle name="나쁨 13 4" xfId="23795"/>
    <cellStyle name="나쁨 13 5" xfId="23796"/>
    <cellStyle name="나쁨 14" xfId="23797"/>
    <cellStyle name="나쁨 2" xfId="23798"/>
    <cellStyle name="나쁨 2 2" xfId="23799"/>
    <cellStyle name="나쁨 2 2 2" xfId="23800"/>
    <cellStyle name="나쁨 2 2 2 2" xfId="23801"/>
    <cellStyle name="나쁨 2 2 2 2 2" xfId="23802"/>
    <cellStyle name="나쁨 2 2 2 3" xfId="23803"/>
    <cellStyle name="나쁨 2 2 2 4" xfId="23804"/>
    <cellStyle name="나쁨 2 2 2 5" xfId="23805"/>
    <cellStyle name="나쁨 2 2 3" xfId="23806"/>
    <cellStyle name="나쁨 2 2 3 2" xfId="23807"/>
    <cellStyle name="나쁨 2 2 4" xfId="23808"/>
    <cellStyle name="나쁨 2 2 5" xfId="23809"/>
    <cellStyle name="나쁨 2 2 6" xfId="23810"/>
    <cellStyle name="나쁨 2 2 7" xfId="23811"/>
    <cellStyle name="나쁨 2 3" xfId="23812"/>
    <cellStyle name="나쁨 2 3 2" xfId="23813"/>
    <cellStyle name="나쁨 2 3 2 2" xfId="23814"/>
    <cellStyle name="나쁨 2 3 3" xfId="23815"/>
    <cellStyle name="나쁨 2 3 4" xfId="23816"/>
    <cellStyle name="나쁨 2 3 5" xfId="23817"/>
    <cellStyle name="나쁨 2 4" xfId="23818"/>
    <cellStyle name="나쁨 3" xfId="23819"/>
    <cellStyle name="나쁨 3 2" xfId="23820"/>
    <cellStyle name="나쁨 3 2 2" xfId="23821"/>
    <cellStyle name="나쁨 3 2 2 2" xfId="23822"/>
    <cellStyle name="나쁨 3 2 2 2 2" xfId="23823"/>
    <cellStyle name="나쁨 3 2 2 3" xfId="23824"/>
    <cellStyle name="나쁨 3 2 2 4" xfId="23825"/>
    <cellStyle name="나쁨 3 2 2 5" xfId="23826"/>
    <cellStyle name="나쁨 3 2 3" xfId="23827"/>
    <cellStyle name="나쁨 3 2 3 2" xfId="23828"/>
    <cellStyle name="나쁨 3 2 4" xfId="23829"/>
    <cellStyle name="나쁨 3 2 5" xfId="23830"/>
    <cellStyle name="나쁨 3 2 6" xfId="23831"/>
    <cellStyle name="나쁨 3 2 7" xfId="23832"/>
    <cellStyle name="나쁨 3 3" xfId="23833"/>
    <cellStyle name="나쁨 3 3 2" xfId="23834"/>
    <cellStyle name="나쁨 3 3 2 2" xfId="23835"/>
    <cellStyle name="나쁨 3 3 3" xfId="23836"/>
    <cellStyle name="나쁨 3 3 4" xfId="23837"/>
    <cellStyle name="나쁨 3 3 5" xfId="23838"/>
    <cellStyle name="나쁨 3 4" xfId="23839"/>
    <cellStyle name="나쁨 4" xfId="23840"/>
    <cellStyle name="나쁨 4 2" xfId="23841"/>
    <cellStyle name="나쁨 4 2 2" xfId="23842"/>
    <cellStyle name="나쁨 4 2 2 2" xfId="23843"/>
    <cellStyle name="나쁨 4 2 2 2 2" xfId="23844"/>
    <cellStyle name="나쁨 4 2 2 3" xfId="23845"/>
    <cellStyle name="나쁨 4 2 2 4" xfId="23846"/>
    <cellStyle name="나쁨 4 2 2 5" xfId="23847"/>
    <cellStyle name="나쁨 4 2 3" xfId="23848"/>
    <cellStyle name="나쁨 4 2 3 2" xfId="23849"/>
    <cellStyle name="나쁨 4 2 4" xfId="23850"/>
    <cellStyle name="나쁨 4 2 5" xfId="23851"/>
    <cellStyle name="나쁨 4 2 6" xfId="23852"/>
    <cellStyle name="나쁨 4 3" xfId="23853"/>
    <cellStyle name="나쁨 4 3 2" xfId="23854"/>
    <cellStyle name="나쁨 4 3 2 2" xfId="23855"/>
    <cellStyle name="나쁨 4 3 3" xfId="23856"/>
    <cellStyle name="나쁨 4 3 4" xfId="23857"/>
    <cellStyle name="나쁨 4 3 5" xfId="23858"/>
    <cellStyle name="나쁨 5" xfId="23859"/>
    <cellStyle name="나쁨 5 2" xfId="23860"/>
    <cellStyle name="나쁨 5 2 2" xfId="23861"/>
    <cellStyle name="나쁨 5 2 2 2" xfId="23862"/>
    <cellStyle name="나쁨 5 2 2 2 2" xfId="23863"/>
    <cellStyle name="나쁨 5 2 2 3" xfId="23864"/>
    <cellStyle name="나쁨 5 2 2 4" xfId="23865"/>
    <cellStyle name="나쁨 5 2 2 5" xfId="23866"/>
    <cellStyle name="나쁨 5 2 3" xfId="23867"/>
    <cellStyle name="나쁨 5 2 3 2" xfId="23868"/>
    <cellStyle name="나쁨 5 2 4" xfId="23869"/>
    <cellStyle name="나쁨 5 2 5" xfId="23870"/>
    <cellStyle name="나쁨 5 2 6" xfId="23871"/>
    <cellStyle name="나쁨 5 3" xfId="23872"/>
    <cellStyle name="나쁨 5 3 2" xfId="23873"/>
    <cellStyle name="나쁨 5 3 2 2" xfId="23874"/>
    <cellStyle name="나쁨 5 3 3" xfId="23875"/>
    <cellStyle name="나쁨 5 3 4" xfId="23876"/>
    <cellStyle name="나쁨 5 3 5" xfId="23877"/>
    <cellStyle name="나쁨 6" xfId="23878"/>
    <cellStyle name="나쁨 6 2" xfId="23879"/>
    <cellStyle name="나쁨 6 2 2" xfId="23880"/>
    <cellStyle name="나쁨 6 2 2 2" xfId="23881"/>
    <cellStyle name="나쁨 6 2 2 2 2" xfId="23882"/>
    <cellStyle name="나쁨 6 2 2 3" xfId="23883"/>
    <cellStyle name="나쁨 6 2 2 4" xfId="23884"/>
    <cellStyle name="나쁨 6 2 2 5" xfId="23885"/>
    <cellStyle name="나쁨 6 2 3" xfId="23886"/>
    <cellStyle name="나쁨 6 2 3 2" xfId="23887"/>
    <cellStyle name="나쁨 6 2 4" xfId="23888"/>
    <cellStyle name="나쁨 6 2 5" xfId="23889"/>
    <cellStyle name="나쁨 6 2 6" xfId="23890"/>
    <cellStyle name="나쁨 6 3" xfId="23891"/>
    <cellStyle name="나쁨 6 3 2" xfId="23892"/>
    <cellStyle name="나쁨 6 3 2 2" xfId="23893"/>
    <cellStyle name="나쁨 6 3 3" xfId="23894"/>
    <cellStyle name="나쁨 6 3 4" xfId="23895"/>
    <cellStyle name="나쁨 6 3 5" xfId="23896"/>
    <cellStyle name="나쁨 7" xfId="23897"/>
    <cellStyle name="나쁨 7 2" xfId="23898"/>
    <cellStyle name="나쁨 7 2 2" xfId="23899"/>
    <cellStyle name="나쁨 7 2 2 2" xfId="23900"/>
    <cellStyle name="나쁨 7 2 2 2 2" xfId="23901"/>
    <cellStyle name="나쁨 7 2 2 3" xfId="23902"/>
    <cellStyle name="나쁨 7 2 2 4" xfId="23903"/>
    <cellStyle name="나쁨 7 2 2 5" xfId="23904"/>
    <cellStyle name="나쁨 7 2 3" xfId="23905"/>
    <cellStyle name="나쁨 7 2 3 2" xfId="23906"/>
    <cellStyle name="나쁨 7 2 4" xfId="23907"/>
    <cellStyle name="나쁨 7 2 5" xfId="23908"/>
    <cellStyle name="나쁨 7 2 6" xfId="23909"/>
    <cellStyle name="나쁨 7 3" xfId="23910"/>
    <cellStyle name="나쁨 7 3 2" xfId="23911"/>
    <cellStyle name="나쁨 7 3 2 2" xfId="23912"/>
    <cellStyle name="나쁨 7 3 3" xfId="23913"/>
    <cellStyle name="나쁨 7 3 4" xfId="23914"/>
    <cellStyle name="나쁨 7 3 5" xfId="23915"/>
    <cellStyle name="나쁨 8" xfId="23916"/>
    <cellStyle name="나쁨 8 2" xfId="23917"/>
    <cellStyle name="나쁨 8 2 2" xfId="23918"/>
    <cellStyle name="나쁨 8 2 2 2" xfId="23919"/>
    <cellStyle name="나쁨 8 2 2 2 2" xfId="23920"/>
    <cellStyle name="나쁨 8 2 2 3" xfId="23921"/>
    <cellStyle name="나쁨 8 2 2 4" xfId="23922"/>
    <cellStyle name="나쁨 8 2 2 5" xfId="23923"/>
    <cellStyle name="나쁨 8 2 3" xfId="23924"/>
    <cellStyle name="나쁨 8 2 3 2" xfId="23925"/>
    <cellStyle name="나쁨 8 2 4" xfId="23926"/>
    <cellStyle name="나쁨 8 2 5" xfId="23927"/>
    <cellStyle name="나쁨 8 2 6" xfId="23928"/>
    <cellStyle name="나쁨 8 3" xfId="23929"/>
    <cellStyle name="나쁨 8 3 2" xfId="23930"/>
    <cellStyle name="나쁨 8 3 2 2" xfId="23931"/>
    <cellStyle name="나쁨 8 3 3" xfId="23932"/>
    <cellStyle name="나쁨 8 3 4" xfId="23933"/>
    <cellStyle name="나쁨 8 3 5" xfId="23934"/>
    <cellStyle name="나쁨 9" xfId="23935"/>
    <cellStyle name="나쁨 9 2" xfId="23936"/>
    <cellStyle name="나쁨 9 2 2" xfId="23937"/>
    <cellStyle name="나쁨 9 2 2 2" xfId="23938"/>
    <cellStyle name="나쁨 9 2 2 2 2" xfId="23939"/>
    <cellStyle name="나쁨 9 2 2 3" xfId="23940"/>
    <cellStyle name="나쁨 9 2 2 4" xfId="23941"/>
    <cellStyle name="나쁨 9 2 2 5" xfId="23942"/>
    <cellStyle name="나쁨 9 2 3" xfId="23943"/>
    <cellStyle name="나쁨 9 2 3 2" xfId="23944"/>
    <cellStyle name="나쁨 9 2 4" xfId="23945"/>
    <cellStyle name="나쁨 9 2 5" xfId="23946"/>
    <cellStyle name="나쁨 9 2 6" xfId="23947"/>
    <cellStyle name="나쁨 9 3" xfId="23948"/>
    <cellStyle name="나쁨 9 3 2" xfId="23949"/>
    <cellStyle name="나쁨 9 3 2 2" xfId="23950"/>
    <cellStyle name="나쁨 9 3 3" xfId="23951"/>
    <cellStyle name="나쁨 9 3 4" xfId="23952"/>
    <cellStyle name="나쁨 9 3 5" xfId="23953"/>
    <cellStyle name="날짜" xfId="23954"/>
    <cellStyle name="날짜 2" xfId="23955"/>
    <cellStyle name="내역서" xfId="23956"/>
    <cellStyle name="달러" xfId="23957"/>
    <cellStyle name="달러 2" xfId="23958"/>
    <cellStyle name="대제목" xfId="23959"/>
    <cellStyle name="델ō༚b뎔ō༪b뎬ō༺b빘ōཊb빰ōཚb뺌ōཪb뻘ōེb뻴ōྊb돌ōྚb돴ōྪb된ōྺb됸ō࿊b둔ō࿚b뼘ō࿪b뼸ō࿺b뽨ōညb뾔ōယb뿄ōဪb뒜ō်b뒸ō၊b듌ōၚb들ōၪb듸ōၺb뿴ōႊb쀐ō" xfId="23960"/>
    <cellStyle name="둔ō࿚b뼘ō࿪b뼸ō࿺b뽨ōညb뾔ōယb뿄ōဪb뒜ō်b뒸ō၊b듌ōၚb들ōၪb듸ōၺb뿴ōႊb쀐ōႚb쀬ōႪb쁴ōႺb삐ō჊b딐ōლb따ōცb땔ōჺb땬ōᄊb떀ōᄚb산ōᄪb새ōᄺb샘ōᅋb샬ō" xfId="23961"/>
    <cellStyle name="뒤에 오는 하이퍼링크" xfId="23962"/>
    <cellStyle name="뒤에 오는 하이퍼링크 2" xfId="23963"/>
    <cellStyle name="뒤에 오는 하이퍼링크 2 2" xfId="23964"/>
    <cellStyle name="뒤에 오는 하이퍼링크 2 3" xfId="23965"/>
    <cellStyle name="뒤에 오는 하이퍼링크 3" xfId="23966"/>
    <cellStyle name="뒤에 오는 하이퍼링크 4" xfId="23967"/>
    <cellStyle name="뒤에 오는 하이퍼링크_ECH IO List &amp; Terminal Allocation_110720 발송" xfId="23968"/>
    <cellStyle name="뒸ō၊b듌ōၚb들ōၪb듸ōၺb뿴ōႊb쀐ōႚb쀬ōႪb쁴ōႺb삐ō჊b딐ōლb따ōცb땔ōჺb땬ōᄊb떀ōᄚb산ōᄪb새ōᄺb샘ōᅋb샬ōᅛb샴ōᅪb_x000c_ōᅺb0ōᆊbXōᆚbōᆪb¨ōᆺb섄ō" xfId="23969"/>
    <cellStyle name="딐ōლb따ōცb땔ōჺb땬ōᄊb떀ōᄚb산ōᄪb새ōᄺb샘ōᅋb샬ōᅛb샴ōᅪb_x000c_ōᅺb0ōᆊbXōᆚbōᆪb¨ōᆺb섄ōᇊb섰ōᇚb셌ōᇪb셨ōᇺb손ōሊbÌōሚbôōሪbŀōሺbŨōቊbƀō" xfId="23970"/>
    <cellStyle name="똿떓죶Ø괻 [0.00]_NT Server " xfId="23971"/>
    <cellStyle name="똿떓죶Ø괻_NT Server " xfId="23972"/>
    <cellStyle name="똿뗦먛귟 [0.00]_mate" xfId="23973"/>
    <cellStyle name="똿뗦먛귟_GUIDE" xfId="23974"/>
    <cellStyle name="链接单元格" xfId="23975"/>
    <cellStyle name="链接单元格 2" xfId="23976"/>
    <cellStyle name="链接单元格 2 2" xfId="23977"/>
    <cellStyle name="메모 10" xfId="23978"/>
    <cellStyle name="메모 10 10" xfId="23979"/>
    <cellStyle name="메모 10 10 2" xfId="23980"/>
    <cellStyle name="메모 10 10 3" xfId="23981"/>
    <cellStyle name="메모 10 100" xfId="23982"/>
    <cellStyle name="메모 10 100 2" xfId="23983"/>
    <cellStyle name="메모 10 100 3" xfId="23984"/>
    <cellStyle name="메모 10 101" xfId="23985"/>
    <cellStyle name="메모 10 101 2" xfId="23986"/>
    <cellStyle name="메모 10 101 3" xfId="23987"/>
    <cellStyle name="메모 10 102" xfId="23988"/>
    <cellStyle name="메모 10 102 2" xfId="23989"/>
    <cellStyle name="메모 10 102 3" xfId="23990"/>
    <cellStyle name="메모 10 103" xfId="23991"/>
    <cellStyle name="메모 10 103 2" xfId="23992"/>
    <cellStyle name="메모 10 103 3" xfId="23993"/>
    <cellStyle name="메모 10 104" xfId="23994"/>
    <cellStyle name="메모 10 104 2" xfId="23995"/>
    <cellStyle name="메모 10 104 3" xfId="23996"/>
    <cellStyle name="메모 10 105" xfId="23997"/>
    <cellStyle name="메모 10 105 2" xfId="23998"/>
    <cellStyle name="메모 10 105 3" xfId="23999"/>
    <cellStyle name="메모 10 106" xfId="24000"/>
    <cellStyle name="메모 10 106 2" xfId="24001"/>
    <cellStyle name="메모 10 106 3" xfId="24002"/>
    <cellStyle name="메모 10 107" xfId="24003"/>
    <cellStyle name="메모 10 107 2" xfId="24004"/>
    <cellStyle name="메모 10 107 3" xfId="24005"/>
    <cellStyle name="메모 10 108" xfId="24006"/>
    <cellStyle name="메모 10 108 2" xfId="24007"/>
    <cellStyle name="메모 10 108 3" xfId="24008"/>
    <cellStyle name="메모 10 109" xfId="24009"/>
    <cellStyle name="메모 10 109 2" xfId="24010"/>
    <cellStyle name="메모 10 109 3" xfId="24011"/>
    <cellStyle name="메모 10 11" xfId="24012"/>
    <cellStyle name="메모 10 11 2" xfId="24013"/>
    <cellStyle name="메모 10 11 3" xfId="24014"/>
    <cellStyle name="메모 10 110" xfId="24015"/>
    <cellStyle name="메모 10 110 2" xfId="24016"/>
    <cellStyle name="메모 10 110 3" xfId="24017"/>
    <cellStyle name="메모 10 111" xfId="24018"/>
    <cellStyle name="메모 10 111 2" xfId="24019"/>
    <cellStyle name="메모 10 111 3" xfId="24020"/>
    <cellStyle name="메모 10 112" xfId="24021"/>
    <cellStyle name="메모 10 112 2" xfId="24022"/>
    <cellStyle name="메모 10 112 3" xfId="24023"/>
    <cellStyle name="메모 10 113" xfId="24024"/>
    <cellStyle name="메모 10 113 2" xfId="24025"/>
    <cellStyle name="메모 10 113 3" xfId="24026"/>
    <cellStyle name="메모 10 113 4" xfId="24027"/>
    <cellStyle name="메모 10 114" xfId="24028"/>
    <cellStyle name="메모 10 115" xfId="24029"/>
    <cellStyle name="메모 10 12" xfId="24030"/>
    <cellStyle name="메모 10 12 2" xfId="24031"/>
    <cellStyle name="메모 10 12 3" xfId="24032"/>
    <cellStyle name="메모 10 13" xfId="24033"/>
    <cellStyle name="메모 10 13 2" xfId="24034"/>
    <cellStyle name="메모 10 13 3" xfId="24035"/>
    <cellStyle name="메모 10 14" xfId="24036"/>
    <cellStyle name="메모 10 14 2" xfId="24037"/>
    <cellStyle name="메모 10 14 3" xfId="24038"/>
    <cellStyle name="메모 10 15" xfId="24039"/>
    <cellStyle name="메모 10 15 2" xfId="24040"/>
    <cellStyle name="메모 10 15 3" xfId="24041"/>
    <cellStyle name="메모 10 16" xfId="24042"/>
    <cellStyle name="메모 10 16 2" xfId="24043"/>
    <cellStyle name="메모 10 16 3" xfId="24044"/>
    <cellStyle name="메모 10 17" xfId="24045"/>
    <cellStyle name="메모 10 17 2" xfId="24046"/>
    <cellStyle name="메모 10 17 3" xfId="24047"/>
    <cellStyle name="메모 10 18" xfId="24048"/>
    <cellStyle name="메모 10 18 2" xfId="24049"/>
    <cellStyle name="메모 10 18 3" xfId="24050"/>
    <cellStyle name="메모 10 19" xfId="24051"/>
    <cellStyle name="메모 10 19 2" xfId="24052"/>
    <cellStyle name="메모 10 19 3" xfId="24053"/>
    <cellStyle name="메모 10 2" xfId="24054"/>
    <cellStyle name="메모 10 2 2" xfId="24055"/>
    <cellStyle name="메모 10 2 2 2" xfId="24056"/>
    <cellStyle name="메모 10 2 2 2 2" xfId="24057"/>
    <cellStyle name="메모 10 2 2 3" xfId="24058"/>
    <cellStyle name="메모 10 2 2 4" xfId="24059"/>
    <cellStyle name="메모 10 2 2 5" xfId="24060"/>
    <cellStyle name="메모 10 2 3" xfId="24061"/>
    <cellStyle name="메모 10 2 3 2" xfId="24062"/>
    <cellStyle name="메모 10 2 3 3" xfId="24063"/>
    <cellStyle name="메모 10 2 3 4" xfId="24064"/>
    <cellStyle name="메모 10 2 4" xfId="24065"/>
    <cellStyle name="메모 10 2 4 2" xfId="24066"/>
    <cellStyle name="메모 10 2 5" xfId="24067"/>
    <cellStyle name="메모 10 2 6" xfId="24068"/>
    <cellStyle name="메모 10 2 7" xfId="24069"/>
    <cellStyle name="메모 10 20" xfId="24070"/>
    <cellStyle name="메모 10 20 2" xfId="24071"/>
    <cellStyle name="메모 10 20 3" xfId="24072"/>
    <cellStyle name="메모 10 21" xfId="24073"/>
    <cellStyle name="메모 10 21 2" xfId="24074"/>
    <cellStyle name="메모 10 21 3" xfId="24075"/>
    <cellStyle name="메모 10 22" xfId="24076"/>
    <cellStyle name="메모 10 22 2" xfId="24077"/>
    <cellStyle name="메모 10 22 3" xfId="24078"/>
    <cellStyle name="메모 10 23" xfId="24079"/>
    <cellStyle name="메모 10 23 2" xfId="24080"/>
    <cellStyle name="메모 10 23 3" xfId="24081"/>
    <cellStyle name="메모 10 24" xfId="24082"/>
    <cellStyle name="메모 10 24 2" xfId="24083"/>
    <cellStyle name="메모 10 24 3" xfId="24084"/>
    <cellStyle name="메모 10 25" xfId="24085"/>
    <cellStyle name="메모 10 25 2" xfId="24086"/>
    <cellStyle name="메모 10 25 3" xfId="24087"/>
    <cellStyle name="메모 10 26" xfId="24088"/>
    <cellStyle name="메모 10 26 2" xfId="24089"/>
    <cellStyle name="메모 10 26 3" xfId="24090"/>
    <cellStyle name="메모 10 27" xfId="24091"/>
    <cellStyle name="메모 10 27 2" xfId="24092"/>
    <cellStyle name="메모 10 27 3" xfId="24093"/>
    <cellStyle name="메모 10 28" xfId="24094"/>
    <cellStyle name="메모 10 28 2" xfId="24095"/>
    <cellStyle name="메모 10 28 3" xfId="24096"/>
    <cellStyle name="메모 10 29" xfId="24097"/>
    <cellStyle name="메모 10 29 2" xfId="24098"/>
    <cellStyle name="메모 10 29 3" xfId="24099"/>
    <cellStyle name="메모 10 3" xfId="24100"/>
    <cellStyle name="메모 10 3 2" xfId="24101"/>
    <cellStyle name="메모 10 3 2 2" xfId="24102"/>
    <cellStyle name="메모 10 3 2 3" xfId="24103"/>
    <cellStyle name="메모 10 3 2 4" xfId="24104"/>
    <cellStyle name="메모 10 3 3" xfId="24105"/>
    <cellStyle name="메모 10 3 3 2" xfId="24106"/>
    <cellStyle name="메모 10 3 4" xfId="24107"/>
    <cellStyle name="메모 10 3 5" xfId="24108"/>
    <cellStyle name="메모 10 3 6" xfId="24109"/>
    <cellStyle name="메모 10 30" xfId="24110"/>
    <cellStyle name="메모 10 30 2" xfId="24111"/>
    <cellStyle name="메모 10 30 3" xfId="24112"/>
    <cellStyle name="메모 10 31" xfId="24113"/>
    <cellStyle name="메모 10 31 2" xfId="24114"/>
    <cellStyle name="메모 10 31 3" xfId="24115"/>
    <cellStyle name="메모 10 32" xfId="24116"/>
    <cellStyle name="메모 10 32 2" xfId="24117"/>
    <cellStyle name="메모 10 32 3" xfId="24118"/>
    <cellStyle name="메모 10 33" xfId="24119"/>
    <cellStyle name="메모 10 33 2" xfId="24120"/>
    <cellStyle name="메모 10 33 3" xfId="24121"/>
    <cellStyle name="메모 10 34" xfId="24122"/>
    <cellStyle name="메모 10 34 2" xfId="24123"/>
    <cellStyle name="메모 10 34 3" xfId="24124"/>
    <cellStyle name="메모 10 35" xfId="24125"/>
    <cellStyle name="메모 10 35 2" xfId="24126"/>
    <cellStyle name="메모 10 35 3" xfId="24127"/>
    <cellStyle name="메모 10 36" xfId="24128"/>
    <cellStyle name="메모 10 36 2" xfId="24129"/>
    <cellStyle name="메모 10 36 3" xfId="24130"/>
    <cellStyle name="메모 10 37" xfId="24131"/>
    <cellStyle name="메모 10 37 2" xfId="24132"/>
    <cellStyle name="메모 10 37 3" xfId="24133"/>
    <cellStyle name="메모 10 38" xfId="24134"/>
    <cellStyle name="메모 10 38 2" xfId="24135"/>
    <cellStyle name="메모 10 38 3" xfId="24136"/>
    <cellStyle name="메모 10 39" xfId="24137"/>
    <cellStyle name="메모 10 39 2" xfId="24138"/>
    <cellStyle name="메모 10 39 3" xfId="24139"/>
    <cellStyle name="메모 10 4" xfId="24140"/>
    <cellStyle name="메모 10 4 2" xfId="24141"/>
    <cellStyle name="메모 10 4 3" xfId="24142"/>
    <cellStyle name="메모 10 40" xfId="24143"/>
    <cellStyle name="메모 10 40 2" xfId="24144"/>
    <cellStyle name="메모 10 40 3" xfId="24145"/>
    <cellStyle name="메모 10 41" xfId="24146"/>
    <cellStyle name="메모 10 41 2" xfId="24147"/>
    <cellStyle name="메모 10 41 3" xfId="24148"/>
    <cellStyle name="메모 10 42" xfId="24149"/>
    <cellStyle name="메모 10 42 2" xfId="24150"/>
    <cellStyle name="메모 10 42 3" xfId="24151"/>
    <cellStyle name="메모 10 43" xfId="24152"/>
    <cellStyle name="메모 10 43 2" xfId="24153"/>
    <cellStyle name="메모 10 43 3" xfId="24154"/>
    <cellStyle name="메모 10 44" xfId="24155"/>
    <cellStyle name="메모 10 44 2" xfId="24156"/>
    <cellStyle name="메모 10 44 3" xfId="24157"/>
    <cellStyle name="메모 10 45" xfId="24158"/>
    <cellStyle name="메모 10 45 2" xfId="24159"/>
    <cellStyle name="메모 10 45 3" xfId="24160"/>
    <cellStyle name="메모 10 46" xfId="24161"/>
    <cellStyle name="메모 10 46 2" xfId="24162"/>
    <cellStyle name="메모 10 46 3" xfId="24163"/>
    <cellStyle name="메모 10 47" xfId="24164"/>
    <cellStyle name="메모 10 47 2" xfId="24165"/>
    <cellStyle name="메모 10 47 3" xfId="24166"/>
    <cellStyle name="메모 10 48" xfId="24167"/>
    <cellStyle name="메모 10 48 2" xfId="24168"/>
    <cellStyle name="메모 10 48 3" xfId="24169"/>
    <cellStyle name="메모 10 49" xfId="24170"/>
    <cellStyle name="메모 10 49 2" xfId="24171"/>
    <cellStyle name="메모 10 49 3" xfId="24172"/>
    <cellStyle name="메모 10 5" xfId="24173"/>
    <cellStyle name="메모 10 5 2" xfId="24174"/>
    <cellStyle name="메모 10 5 3" xfId="24175"/>
    <cellStyle name="메모 10 50" xfId="24176"/>
    <cellStyle name="메모 10 50 2" xfId="24177"/>
    <cellStyle name="메모 10 50 3" xfId="24178"/>
    <cellStyle name="메모 10 51" xfId="24179"/>
    <cellStyle name="메모 10 51 2" xfId="24180"/>
    <cellStyle name="메모 10 51 3" xfId="24181"/>
    <cellStyle name="메모 10 52" xfId="24182"/>
    <cellStyle name="메모 10 52 2" xfId="24183"/>
    <cellStyle name="메모 10 52 3" xfId="24184"/>
    <cellStyle name="메모 10 53" xfId="24185"/>
    <cellStyle name="메모 10 53 2" xfId="24186"/>
    <cellStyle name="메모 10 53 3" xfId="24187"/>
    <cellStyle name="메모 10 54" xfId="24188"/>
    <cellStyle name="메모 10 54 2" xfId="24189"/>
    <cellStyle name="메모 10 54 3" xfId="24190"/>
    <cellStyle name="메모 10 55" xfId="24191"/>
    <cellStyle name="메모 10 55 2" xfId="24192"/>
    <cellStyle name="메모 10 55 3" xfId="24193"/>
    <cellStyle name="메모 10 56" xfId="24194"/>
    <cellStyle name="메모 10 56 2" xfId="24195"/>
    <cellStyle name="메모 10 56 3" xfId="24196"/>
    <cellStyle name="메모 10 57" xfId="24197"/>
    <cellStyle name="메모 10 57 2" xfId="24198"/>
    <cellStyle name="메모 10 57 3" xfId="24199"/>
    <cellStyle name="메모 10 58" xfId="24200"/>
    <cellStyle name="메모 10 58 2" xfId="24201"/>
    <cellStyle name="메모 10 58 3" xfId="24202"/>
    <cellStyle name="메모 10 59" xfId="24203"/>
    <cellStyle name="메모 10 59 2" xfId="24204"/>
    <cellStyle name="메모 10 59 3" xfId="24205"/>
    <cellStyle name="메모 10 6" xfId="24206"/>
    <cellStyle name="메모 10 6 2" xfId="24207"/>
    <cellStyle name="메모 10 6 3" xfId="24208"/>
    <cellStyle name="메모 10 60" xfId="24209"/>
    <cellStyle name="메모 10 60 2" xfId="24210"/>
    <cellStyle name="메모 10 60 3" xfId="24211"/>
    <cellStyle name="메모 10 61" xfId="24212"/>
    <cellStyle name="메모 10 61 2" xfId="24213"/>
    <cellStyle name="메모 10 61 3" xfId="24214"/>
    <cellStyle name="메모 10 62" xfId="24215"/>
    <cellStyle name="메모 10 62 2" xfId="24216"/>
    <cellStyle name="메모 10 62 3" xfId="24217"/>
    <cellStyle name="메모 10 63" xfId="24218"/>
    <cellStyle name="메모 10 63 2" xfId="24219"/>
    <cellStyle name="메모 10 63 3" xfId="24220"/>
    <cellStyle name="메모 10 64" xfId="24221"/>
    <cellStyle name="메모 10 64 2" xfId="24222"/>
    <cellStyle name="메모 10 64 3" xfId="24223"/>
    <cellStyle name="메모 10 65" xfId="24224"/>
    <cellStyle name="메모 10 65 2" xfId="24225"/>
    <cellStyle name="메모 10 65 3" xfId="24226"/>
    <cellStyle name="메모 10 66" xfId="24227"/>
    <cellStyle name="메모 10 66 2" xfId="24228"/>
    <cellStyle name="메모 10 66 3" xfId="24229"/>
    <cellStyle name="메모 10 67" xfId="24230"/>
    <cellStyle name="메모 10 67 2" xfId="24231"/>
    <cellStyle name="메모 10 67 3" xfId="24232"/>
    <cellStyle name="메모 10 68" xfId="24233"/>
    <cellStyle name="메모 10 68 2" xfId="24234"/>
    <cellStyle name="메모 10 68 3" xfId="24235"/>
    <cellStyle name="메모 10 69" xfId="24236"/>
    <cellStyle name="메모 10 69 2" xfId="24237"/>
    <cellStyle name="메모 10 69 3" xfId="24238"/>
    <cellStyle name="메모 10 7" xfId="24239"/>
    <cellStyle name="메모 10 7 2" xfId="24240"/>
    <cellStyle name="메모 10 7 3" xfId="24241"/>
    <cellStyle name="메모 10 70" xfId="24242"/>
    <cellStyle name="메모 10 70 2" xfId="24243"/>
    <cellStyle name="메모 10 70 3" xfId="24244"/>
    <cellStyle name="메모 10 71" xfId="24245"/>
    <cellStyle name="메모 10 71 2" xfId="24246"/>
    <cellStyle name="메모 10 71 3" xfId="24247"/>
    <cellStyle name="메모 10 72" xfId="24248"/>
    <cellStyle name="메모 10 72 2" xfId="24249"/>
    <cellStyle name="메모 10 72 3" xfId="24250"/>
    <cellStyle name="메모 10 73" xfId="24251"/>
    <cellStyle name="메모 10 73 2" xfId="24252"/>
    <cellStyle name="메모 10 73 3" xfId="24253"/>
    <cellStyle name="메모 10 74" xfId="24254"/>
    <cellStyle name="메모 10 74 2" xfId="24255"/>
    <cellStyle name="메모 10 74 3" xfId="24256"/>
    <cellStyle name="메모 10 75" xfId="24257"/>
    <cellStyle name="메모 10 75 2" xfId="24258"/>
    <cellStyle name="메모 10 75 3" xfId="24259"/>
    <cellStyle name="메모 10 76" xfId="24260"/>
    <cellStyle name="메모 10 76 2" xfId="24261"/>
    <cellStyle name="메모 10 76 3" xfId="24262"/>
    <cellStyle name="메모 10 77" xfId="24263"/>
    <cellStyle name="메모 10 77 2" xfId="24264"/>
    <cellStyle name="메모 10 77 3" xfId="24265"/>
    <cellStyle name="메모 10 78" xfId="24266"/>
    <cellStyle name="메모 10 78 2" xfId="24267"/>
    <cellStyle name="메모 10 78 3" xfId="24268"/>
    <cellStyle name="메모 10 79" xfId="24269"/>
    <cellStyle name="메모 10 79 2" xfId="24270"/>
    <cellStyle name="메모 10 79 3" xfId="24271"/>
    <cellStyle name="메모 10 8" xfId="24272"/>
    <cellStyle name="메모 10 8 2" xfId="24273"/>
    <cellStyle name="메모 10 8 3" xfId="24274"/>
    <cellStyle name="메모 10 80" xfId="24275"/>
    <cellStyle name="메모 10 80 2" xfId="24276"/>
    <cellStyle name="메모 10 80 3" xfId="24277"/>
    <cellStyle name="메모 10 81" xfId="24278"/>
    <cellStyle name="메모 10 81 2" xfId="24279"/>
    <cellStyle name="메모 10 81 3" xfId="24280"/>
    <cellStyle name="메모 10 82" xfId="24281"/>
    <cellStyle name="메모 10 82 2" xfId="24282"/>
    <cellStyle name="메모 10 82 3" xfId="24283"/>
    <cellStyle name="메모 10 83" xfId="24284"/>
    <cellStyle name="메모 10 83 2" xfId="24285"/>
    <cellStyle name="메모 10 83 3" xfId="24286"/>
    <cellStyle name="메모 10 84" xfId="24287"/>
    <cellStyle name="메모 10 84 2" xfId="24288"/>
    <cellStyle name="메모 10 84 3" xfId="24289"/>
    <cellStyle name="메모 10 85" xfId="24290"/>
    <cellStyle name="메모 10 85 2" xfId="24291"/>
    <cellStyle name="메모 10 85 3" xfId="24292"/>
    <cellStyle name="메모 10 86" xfId="24293"/>
    <cellStyle name="메모 10 86 2" xfId="24294"/>
    <cellStyle name="메모 10 86 3" xfId="24295"/>
    <cellStyle name="메모 10 87" xfId="24296"/>
    <cellStyle name="메모 10 87 2" xfId="24297"/>
    <cellStyle name="메모 10 87 3" xfId="24298"/>
    <cellStyle name="메모 10 88" xfId="24299"/>
    <cellStyle name="메모 10 88 2" xfId="24300"/>
    <cellStyle name="메모 10 88 3" xfId="24301"/>
    <cellStyle name="메모 10 89" xfId="24302"/>
    <cellStyle name="메모 10 89 2" xfId="24303"/>
    <cellStyle name="메모 10 89 3" xfId="24304"/>
    <cellStyle name="메모 10 9" xfId="24305"/>
    <cellStyle name="메모 10 9 2" xfId="24306"/>
    <cellStyle name="메모 10 9 3" xfId="24307"/>
    <cellStyle name="메모 10 90" xfId="24308"/>
    <cellStyle name="메모 10 90 2" xfId="24309"/>
    <cellStyle name="메모 10 90 3" xfId="24310"/>
    <cellStyle name="메모 10 91" xfId="24311"/>
    <cellStyle name="메모 10 91 2" xfId="24312"/>
    <cellStyle name="메모 10 91 3" xfId="24313"/>
    <cellStyle name="메모 10 92" xfId="24314"/>
    <cellStyle name="메모 10 92 2" xfId="24315"/>
    <cellStyle name="메모 10 92 3" xfId="24316"/>
    <cellStyle name="메모 10 93" xfId="24317"/>
    <cellStyle name="메모 10 93 2" xfId="24318"/>
    <cellStyle name="메모 10 93 3" xfId="24319"/>
    <cellStyle name="메모 10 94" xfId="24320"/>
    <cellStyle name="메모 10 94 2" xfId="24321"/>
    <cellStyle name="메모 10 94 3" xfId="24322"/>
    <cellStyle name="메모 10 95" xfId="24323"/>
    <cellStyle name="메모 10 95 2" xfId="24324"/>
    <cellStyle name="메모 10 95 3" xfId="24325"/>
    <cellStyle name="메모 10 96" xfId="24326"/>
    <cellStyle name="메모 10 96 2" xfId="24327"/>
    <cellStyle name="메모 10 96 3" xfId="24328"/>
    <cellStyle name="메모 10 97" xfId="24329"/>
    <cellStyle name="메모 10 97 2" xfId="24330"/>
    <cellStyle name="메모 10 97 3" xfId="24331"/>
    <cellStyle name="메모 10 98" xfId="24332"/>
    <cellStyle name="메모 10 98 2" xfId="24333"/>
    <cellStyle name="메모 10 98 3" xfId="24334"/>
    <cellStyle name="메모 10 99" xfId="24335"/>
    <cellStyle name="메모 10 99 2" xfId="24336"/>
    <cellStyle name="메모 10 99 3" xfId="24337"/>
    <cellStyle name="메모 11" xfId="24338"/>
    <cellStyle name="메모 11 10" xfId="24339"/>
    <cellStyle name="메모 11 10 2" xfId="24340"/>
    <cellStyle name="메모 11 10 3" xfId="24341"/>
    <cellStyle name="메모 11 100" xfId="24342"/>
    <cellStyle name="메모 11 100 2" xfId="24343"/>
    <cellStyle name="메모 11 100 3" xfId="24344"/>
    <cellStyle name="메모 11 101" xfId="24345"/>
    <cellStyle name="메모 11 101 2" xfId="24346"/>
    <cellStyle name="메모 11 101 3" xfId="24347"/>
    <cellStyle name="메모 11 102" xfId="24348"/>
    <cellStyle name="메모 11 102 2" xfId="24349"/>
    <cellStyle name="메모 11 102 3" xfId="24350"/>
    <cellStyle name="메모 11 103" xfId="24351"/>
    <cellStyle name="메모 11 103 2" xfId="24352"/>
    <cellStyle name="메모 11 103 3" xfId="24353"/>
    <cellStyle name="메모 11 104" xfId="24354"/>
    <cellStyle name="메모 11 104 2" xfId="24355"/>
    <cellStyle name="메모 11 104 3" xfId="24356"/>
    <cellStyle name="메모 11 105" xfId="24357"/>
    <cellStyle name="메모 11 105 2" xfId="24358"/>
    <cellStyle name="메모 11 105 3" xfId="24359"/>
    <cellStyle name="메모 11 106" xfId="24360"/>
    <cellStyle name="메모 11 106 2" xfId="24361"/>
    <cellStyle name="메모 11 106 3" xfId="24362"/>
    <cellStyle name="메모 11 107" xfId="24363"/>
    <cellStyle name="메모 11 107 2" xfId="24364"/>
    <cellStyle name="메모 11 107 3" xfId="24365"/>
    <cellStyle name="메모 11 108" xfId="24366"/>
    <cellStyle name="메모 11 108 2" xfId="24367"/>
    <cellStyle name="메모 11 108 3" xfId="24368"/>
    <cellStyle name="메모 11 109" xfId="24369"/>
    <cellStyle name="메모 11 109 2" xfId="24370"/>
    <cellStyle name="메모 11 109 3" xfId="24371"/>
    <cellStyle name="메모 11 11" xfId="24372"/>
    <cellStyle name="메모 11 11 2" xfId="24373"/>
    <cellStyle name="메모 11 11 3" xfId="24374"/>
    <cellStyle name="메모 11 110" xfId="24375"/>
    <cellStyle name="메모 11 110 2" xfId="24376"/>
    <cellStyle name="메모 11 110 3" xfId="24377"/>
    <cellStyle name="메모 11 111" xfId="24378"/>
    <cellStyle name="메모 11 111 2" xfId="24379"/>
    <cellStyle name="메모 11 111 3" xfId="24380"/>
    <cellStyle name="메모 11 112" xfId="24381"/>
    <cellStyle name="메모 11 112 2" xfId="24382"/>
    <cellStyle name="메모 11 112 3" xfId="24383"/>
    <cellStyle name="메모 11 113" xfId="24384"/>
    <cellStyle name="메모 11 113 2" xfId="24385"/>
    <cellStyle name="메모 11 113 3" xfId="24386"/>
    <cellStyle name="메모 11 113 4" xfId="24387"/>
    <cellStyle name="메모 11 114" xfId="24388"/>
    <cellStyle name="메모 11 115" xfId="24389"/>
    <cellStyle name="메모 11 12" xfId="24390"/>
    <cellStyle name="메모 11 12 2" xfId="24391"/>
    <cellStyle name="메모 11 12 3" xfId="24392"/>
    <cellStyle name="메모 11 13" xfId="24393"/>
    <cellStyle name="메모 11 13 2" xfId="24394"/>
    <cellStyle name="메모 11 13 3" xfId="24395"/>
    <cellStyle name="메모 11 14" xfId="24396"/>
    <cellStyle name="메모 11 14 2" xfId="24397"/>
    <cellStyle name="메모 11 14 3" xfId="24398"/>
    <cellStyle name="메모 11 15" xfId="24399"/>
    <cellStyle name="메모 11 15 2" xfId="24400"/>
    <cellStyle name="메모 11 15 3" xfId="24401"/>
    <cellStyle name="메모 11 16" xfId="24402"/>
    <cellStyle name="메모 11 16 2" xfId="24403"/>
    <cellStyle name="메모 11 16 3" xfId="24404"/>
    <cellStyle name="메모 11 17" xfId="24405"/>
    <cellStyle name="메모 11 17 2" xfId="24406"/>
    <cellStyle name="메모 11 17 3" xfId="24407"/>
    <cellStyle name="메모 11 18" xfId="24408"/>
    <cellStyle name="메모 11 18 2" xfId="24409"/>
    <cellStyle name="메모 11 18 3" xfId="24410"/>
    <cellStyle name="메모 11 19" xfId="24411"/>
    <cellStyle name="메모 11 19 2" xfId="24412"/>
    <cellStyle name="메모 11 19 3" xfId="24413"/>
    <cellStyle name="메모 11 2" xfId="24414"/>
    <cellStyle name="메모 11 2 2" xfId="24415"/>
    <cellStyle name="메모 11 2 2 2" xfId="24416"/>
    <cellStyle name="메모 11 2 2 2 2" xfId="24417"/>
    <cellStyle name="메모 11 2 2 3" xfId="24418"/>
    <cellStyle name="메모 11 2 2 4" xfId="24419"/>
    <cellStyle name="메모 11 2 2 5" xfId="24420"/>
    <cellStyle name="메모 11 2 3" xfId="24421"/>
    <cellStyle name="메모 11 2 3 2" xfId="24422"/>
    <cellStyle name="메모 11 2 3 3" xfId="24423"/>
    <cellStyle name="메모 11 2 3 4" xfId="24424"/>
    <cellStyle name="메모 11 2 4" xfId="24425"/>
    <cellStyle name="메모 11 2 4 2" xfId="24426"/>
    <cellStyle name="메모 11 2 5" xfId="24427"/>
    <cellStyle name="메모 11 2 6" xfId="24428"/>
    <cellStyle name="메모 11 2 7" xfId="24429"/>
    <cellStyle name="메모 11 20" xfId="24430"/>
    <cellStyle name="메모 11 20 2" xfId="24431"/>
    <cellStyle name="메모 11 20 3" xfId="24432"/>
    <cellStyle name="메모 11 21" xfId="24433"/>
    <cellStyle name="메모 11 21 2" xfId="24434"/>
    <cellStyle name="메모 11 21 3" xfId="24435"/>
    <cellStyle name="메모 11 22" xfId="24436"/>
    <cellStyle name="메모 11 22 2" xfId="24437"/>
    <cellStyle name="메모 11 22 3" xfId="24438"/>
    <cellStyle name="메모 11 23" xfId="24439"/>
    <cellStyle name="메모 11 23 2" xfId="24440"/>
    <cellStyle name="메모 11 23 3" xfId="24441"/>
    <cellStyle name="메모 11 24" xfId="24442"/>
    <cellStyle name="메모 11 24 2" xfId="24443"/>
    <cellStyle name="메모 11 24 3" xfId="24444"/>
    <cellStyle name="메모 11 25" xfId="24445"/>
    <cellStyle name="메모 11 25 2" xfId="24446"/>
    <cellStyle name="메모 11 25 3" xfId="24447"/>
    <cellStyle name="메모 11 26" xfId="24448"/>
    <cellStyle name="메모 11 26 2" xfId="24449"/>
    <cellStyle name="메모 11 26 3" xfId="24450"/>
    <cellStyle name="메모 11 27" xfId="24451"/>
    <cellStyle name="메모 11 27 2" xfId="24452"/>
    <cellStyle name="메모 11 27 3" xfId="24453"/>
    <cellStyle name="메모 11 28" xfId="24454"/>
    <cellStyle name="메모 11 28 2" xfId="24455"/>
    <cellStyle name="메모 11 28 3" xfId="24456"/>
    <cellStyle name="메모 11 29" xfId="24457"/>
    <cellStyle name="메모 11 29 2" xfId="24458"/>
    <cellStyle name="메모 11 29 3" xfId="24459"/>
    <cellStyle name="메모 11 3" xfId="24460"/>
    <cellStyle name="메모 11 3 2" xfId="24461"/>
    <cellStyle name="메모 11 3 2 2" xfId="24462"/>
    <cellStyle name="메모 11 3 2 3" xfId="24463"/>
    <cellStyle name="메모 11 3 2 4" xfId="24464"/>
    <cellStyle name="메모 11 3 3" xfId="24465"/>
    <cellStyle name="메모 11 3 3 2" xfId="24466"/>
    <cellStyle name="메모 11 3 4" xfId="24467"/>
    <cellStyle name="메모 11 3 5" xfId="24468"/>
    <cellStyle name="메모 11 3 6" xfId="24469"/>
    <cellStyle name="메모 11 30" xfId="24470"/>
    <cellStyle name="메모 11 30 2" xfId="24471"/>
    <cellStyle name="메모 11 30 3" xfId="24472"/>
    <cellStyle name="메모 11 31" xfId="24473"/>
    <cellStyle name="메모 11 31 2" xfId="24474"/>
    <cellStyle name="메모 11 31 3" xfId="24475"/>
    <cellStyle name="메모 11 32" xfId="24476"/>
    <cellStyle name="메모 11 32 2" xfId="24477"/>
    <cellStyle name="메모 11 32 3" xfId="24478"/>
    <cellStyle name="메모 11 33" xfId="24479"/>
    <cellStyle name="메모 11 33 2" xfId="24480"/>
    <cellStyle name="메모 11 33 3" xfId="24481"/>
    <cellStyle name="메모 11 34" xfId="24482"/>
    <cellStyle name="메모 11 34 2" xfId="24483"/>
    <cellStyle name="메모 11 34 3" xfId="24484"/>
    <cellStyle name="메모 11 35" xfId="24485"/>
    <cellStyle name="메모 11 35 2" xfId="24486"/>
    <cellStyle name="메모 11 35 3" xfId="24487"/>
    <cellStyle name="메모 11 36" xfId="24488"/>
    <cellStyle name="메모 11 36 2" xfId="24489"/>
    <cellStyle name="메모 11 36 3" xfId="24490"/>
    <cellStyle name="메모 11 37" xfId="24491"/>
    <cellStyle name="메모 11 37 2" xfId="24492"/>
    <cellStyle name="메모 11 37 3" xfId="24493"/>
    <cellStyle name="메모 11 38" xfId="24494"/>
    <cellStyle name="메모 11 38 2" xfId="24495"/>
    <cellStyle name="메모 11 38 3" xfId="24496"/>
    <cellStyle name="메모 11 39" xfId="24497"/>
    <cellStyle name="메모 11 39 2" xfId="24498"/>
    <cellStyle name="메모 11 39 3" xfId="24499"/>
    <cellStyle name="메모 11 4" xfId="24500"/>
    <cellStyle name="메모 11 4 2" xfId="24501"/>
    <cellStyle name="메모 11 4 3" xfId="24502"/>
    <cellStyle name="메모 11 40" xfId="24503"/>
    <cellStyle name="메모 11 40 2" xfId="24504"/>
    <cellStyle name="메모 11 40 3" xfId="24505"/>
    <cellStyle name="메모 11 41" xfId="24506"/>
    <cellStyle name="메모 11 41 2" xfId="24507"/>
    <cellStyle name="메모 11 41 3" xfId="24508"/>
    <cellStyle name="메모 11 42" xfId="24509"/>
    <cellStyle name="메모 11 42 2" xfId="24510"/>
    <cellStyle name="메모 11 42 3" xfId="24511"/>
    <cellStyle name="메모 11 43" xfId="24512"/>
    <cellStyle name="메모 11 43 2" xfId="24513"/>
    <cellStyle name="메모 11 43 3" xfId="24514"/>
    <cellStyle name="메모 11 44" xfId="24515"/>
    <cellStyle name="메모 11 44 2" xfId="24516"/>
    <cellStyle name="메모 11 44 3" xfId="24517"/>
    <cellStyle name="메모 11 45" xfId="24518"/>
    <cellStyle name="메모 11 45 2" xfId="24519"/>
    <cellStyle name="메모 11 45 3" xfId="24520"/>
    <cellStyle name="메모 11 46" xfId="24521"/>
    <cellStyle name="메모 11 46 2" xfId="24522"/>
    <cellStyle name="메모 11 46 3" xfId="24523"/>
    <cellStyle name="메모 11 47" xfId="24524"/>
    <cellStyle name="메모 11 47 2" xfId="24525"/>
    <cellStyle name="메모 11 47 3" xfId="24526"/>
    <cellStyle name="메모 11 48" xfId="24527"/>
    <cellStyle name="메모 11 48 2" xfId="24528"/>
    <cellStyle name="메모 11 48 3" xfId="24529"/>
    <cellStyle name="메모 11 49" xfId="24530"/>
    <cellStyle name="메모 11 49 2" xfId="24531"/>
    <cellStyle name="메모 11 49 3" xfId="24532"/>
    <cellStyle name="메모 11 5" xfId="24533"/>
    <cellStyle name="메모 11 5 2" xfId="24534"/>
    <cellStyle name="메모 11 5 3" xfId="24535"/>
    <cellStyle name="메모 11 50" xfId="24536"/>
    <cellStyle name="메모 11 50 2" xfId="24537"/>
    <cellStyle name="메모 11 50 3" xfId="24538"/>
    <cellStyle name="메모 11 51" xfId="24539"/>
    <cellStyle name="메모 11 51 2" xfId="24540"/>
    <cellStyle name="메모 11 51 3" xfId="24541"/>
    <cellStyle name="메모 11 52" xfId="24542"/>
    <cellStyle name="메모 11 52 2" xfId="24543"/>
    <cellStyle name="메모 11 52 3" xfId="24544"/>
    <cellStyle name="메모 11 53" xfId="24545"/>
    <cellStyle name="메모 11 53 2" xfId="24546"/>
    <cellStyle name="메모 11 53 3" xfId="24547"/>
    <cellStyle name="메모 11 54" xfId="24548"/>
    <cellStyle name="메모 11 54 2" xfId="24549"/>
    <cellStyle name="메모 11 54 3" xfId="24550"/>
    <cellStyle name="메모 11 55" xfId="24551"/>
    <cellStyle name="메모 11 55 2" xfId="24552"/>
    <cellStyle name="메모 11 55 3" xfId="24553"/>
    <cellStyle name="메모 11 56" xfId="24554"/>
    <cellStyle name="메모 11 56 2" xfId="24555"/>
    <cellStyle name="메모 11 56 3" xfId="24556"/>
    <cellStyle name="메모 11 57" xfId="24557"/>
    <cellStyle name="메모 11 57 2" xfId="24558"/>
    <cellStyle name="메모 11 57 3" xfId="24559"/>
    <cellStyle name="메모 11 58" xfId="24560"/>
    <cellStyle name="메모 11 58 2" xfId="24561"/>
    <cellStyle name="메모 11 58 3" xfId="24562"/>
    <cellStyle name="메모 11 59" xfId="24563"/>
    <cellStyle name="메모 11 59 2" xfId="24564"/>
    <cellStyle name="메모 11 59 3" xfId="24565"/>
    <cellStyle name="메모 11 6" xfId="24566"/>
    <cellStyle name="메모 11 6 2" xfId="24567"/>
    <cellStyle name="메모 11 6 3" xfId="24568"/>
    <cellStyle name="메모 11 60" xfId="24569"/>
    <cellStyle name="메모 11 60 2" xfId="24570"/>
    <cellStyle name="메모 11 60 3" xfId="24571"/>
    <cellStyle name="메모 11 61" xfId="24572"/>
    <cellStyle name="메모 11 61 2" xfId="24573"/>
    <cellStyle name="메모 11 61 3" xfId="24574"/>
    <cellStyle name="메모 11 62" xfId="24575"/>
    <cellStyle name="메모 11 62 2" xfId="24576"/>
    <cellStyle name="메모 11 62 3" xfId="24577"/>
    <cellStyle name="메모 11 63" xfId="24578"/>
    <cellStyle name="메모 11 63 2" xfId="24579"/>
    <cellStyle name="메모 11 63 3" xfId="24580"/>
    <cellStyle name="메모 11 64" xfId="24581"/>
    <cellStyle name="메모 11 64 2" xfId="24582"/>
    <cellStyle name="메모 11 64 3" xfId="24583"/>
    <cellStyle name="메모 11 65" xfId="24584"/>
    <cellStyle name="메모 11 65 2" xfId="24585"/>
    <cellStyle name="메모 11 65 3" xfId="24586"/>
    <cellStyle name="메모 11 66" xfId="24587"/>
    <cellStyle name="메모 11 66 2" xfId="24588"/>
    <cellStyle name="메모 11 66 3" xfId="24589"/>
    <cellStyle name="메모 11 67" xfId="24590"/>
    <cellStyle name="메모 11 67 2" xfId="24591"/>
    <cellStyle name="메모 11 67 3" xfId="24592"/>
    <cellStyle name="메모 11 68" xfId="24593"/>
    <cellStyle name="메모 11 68 2" xfId="24594"/>
    <cellStyle name="메모 11 68 3" xfId="24595"/>
    <cellStyle name="메모 11 69" xfId="24596"/>
    <cellStyle name="메모 11 69 2" xfId="24597"/>
    <cellStyle name="메모 11 69 3" xfId="24598"/>
    <cellStyle name="메모 11 7" xfId="24599"/>
    <cellStyle name="메모 11 7 2" xfId="24600"/>
    <cellStyle name="메모 11 7 3" xfId="24601"/>
    <cellStyle name="메모 11 70" xfId="24602"/>
    <cellStyle name="메모 11 70 2" xfId="24603"/>
    <cellStyle name="메모 11 70 3" xfId="24604"/>
    <cellStyle name="메모 11 71" xfId="24605"/>
    <cellStyle name="메모 11 71 2" xfId="24606"/>
    <cellStyle name="메모 11 71 3" xfId="24607"/>
    <cellStyle name="메모 11 72" xfId="24608"/>
    <cellStyle name="메모 11 72 2" xfId="24609"/>
    <cellStyle name="메모 11 72 3" xfId="24610"/>
    <cellStyle name="메모 11 73" xfId="24611"/>
    <cellStyle name="메모 11 73 2" xfId="24612"/>
    <cellStyle name="메모 11 73 3" xfId="24613"/>
    <cellStyle name="메모 11 74" xfId="24614"/>
    <cellStyle name="메모 11 74 2" xfId="24615"/>
    <cellStyle name="메모 11 74 3" xfId="24616"/>
    <cellStyle name="메모 11 75" xfId="24617"/>
    <cellStyle name="메모 11 75 2" xfId="24618"/>
    <cellStyle name="메모 11 75 3" xfId="24619"/>
    <cellStyle name="메모 11 76" xfId="24620"/>
    <cellStyle name="메모 11 76 2" xfId="24621"/>
    <cellStyle name="메모 11 76 3" xfId="24622"/>
    <cellStyle name="메모 11 77" xfId="24623"/>
    <cellStyle name="메모 11 77 2" xfId="24624"/>
    <cellStyle name="메모 11 77 3" xfId="24625"/>
    <cellStyle name="메모 11 78" xfId="24626"/>
    <cellStyle name="메모 11 78 2" xfId="24627"/>
    <cellStyle name="메모 11 78 3" xfId="24628"/>
    <cellStyle name="메모 11 79" xfId="24629"/>
    <cellStyle name="메모 11 79 2" xfId="24630"/>
    <cellStyle name="메모 11 79 3" xfId="24631"/>
    <cellStyle name="메모 11 8" xfId="24632"/>
    <cellStyle name="메모 11 8 2" xfId="24633"/>
    <cellStyle name="메모 11 8 3" xfId="24634"/>
    <cellStyle name="메모 11 80" xfId="24635"/>
    <cellStyle name="메모 11 80 2" xfId="24636"/>
    <cellStyle name="메모 11 80 3" xfId="24637"/>
    <cellStyle name="메모 11 81" xfId="24638"/>
    <cellStyle name="메모 11 81 2" xfId="24639"/>
    <cellStyle name="메모 11 81 3" xfId="24640"/>
    <cellStyle name="메모 11 82" xfId="24641"/>
    <cellStyle name="메모 11 82 2" xfId="24642"/>
    <cellStyle name="메모 11 82 3" xfId="24643"/>
    <cellStyle name="메모 11 83" xfId="24644"/>
    <cellStyle name="메모 11 83 2" xfId="24645"/>
    <cellStyle name="메모 11 83 3" xfId="24646"/>
    <cellStyle name="메모 11 84" xfId="24647"/>
    <cellStyle name="메모 11 84 2" xfId="24648"/>
    <cellStyle name="메모 11 84 3" xfId="24649"/>
    <cellStyle name="메모 11 85" xfId="24650"/>
    <cellStyle name="메모 11 85 2" xfId="24651"/>
    <cellStyle name="메모 11 85 3" xfId="24652"/>
    <cellStyle name="메모 11 86" xfId="24653"/>
    <cellStyle name="메모 11 86 2" xfId="24654"/>
    <cellStyle name="메모 11 86 3" xfId="24655"/>
    <cellStyle name="메모 11 87" xfId="24656"/>
    <cellStyle name="메모 11 87 2" xfId="24657"/>
    <cellStyle name="메모 11 87 3" xfId="24658"/>
    <cellStyle name="메모 11 88" xfId="24659"/>
    <cellStyle name="메모 11 88 2" xfId="24660"/>
    <cellStyle name="메모 11 88 3" xfId="24661"/>
    <cellStyle name="메모 11 89" xfId="24662"/>
    <cellStyle name="메모 11 89 2" xfId="24663"/>
    <cellStyle name="메모 11 89 3" xfId="24664"/>
    <cellStyle name="메모 11 9" xfId="24665"/>
    <cellStyle name="메모 11 9 2" xfId="24666"/>
    <cellStyle name="메모 11 9 3" xfId="24667"/>
    <cellStyle name="메모 11 90" xfId="24668"/>
    <cellStyle name="메모 11 90 2" xfId="24669"/>
    <cellStyle name="메모 11 90 3" xfId="24670"/>
    <cellStyle name="메모 11 91" xfId="24671"/>
    <cellStyle name="메모 11 91 2" xfId="24672"/>
    <cellStyle name="메모 11 91 3" xfId="24673"/>
    <cellStyle name="메모 11 92" xfId="24674"/>
    <cellStyle name="메모 11 92 2" xfId="24675"/>
    <cellStyle name="메모 11 92 3" xfId="24676"/>
    <cellStyle name="메모 11 93" xfId="24677"/>
    <cellStyle name="메모 11 93 2" xfId="24678"/>
    <cellStyle name="메모 11 93 3" xfId="24679"/>
    <cellStyle name="메모 11 94" xfId="24680"/>
    <cellStyle name="메모 11 94 2" xfId="24681"/>
    <cellStyle name="메모 11 94 3" xfId="24682"/>
    <cellStyle name="메모 11 95" xfId="24683"/>
    <cellStyle name="메모 11 95 2" xfId="24684"/>
    <cellStyle name="메모 11 95 3" xfId="24685"/>
    <cellStyle name="메모 11 96" xfId="24686"/>
    <cellStyle name="메모 11 96 2" xfId="24687"/>
    <cellStyle name="메모 11 96 3" xfId="24688"/>
    <cellStyle name="메모 11 97" xfId="24689"/>
    <cellStyle name="메모 11 97 2" xfId="24690"/>
    <cellStyle name="메모 11 97 3" xfId="24691"/>
    <cellStyle name="메모 11 98" xfId="24692"/>
    <cellStyle name="메모 11 98 2" xfId="24693"/>
    <cellStyle name="메모 11 98 3" xfId="24694"/>
    <cellStyle name="메모 11 99" xfId="24695"/>
    <cellStyle name="메모 11 99 2" xfId="24696"/>
    <cellStyle name="메모 11 99 3" xfId="24697"/>
    <cellStyle name="메모 12" xfId="24698"/>
    <cellStyle name="메모 12 10" xfId="24699"/>
    <cellStyle name="메모 12 10 2" xfId="24700"/>
    <cellStyle name="메모 12 10 3" xfId="24701"/>
    <cellStyle name="메모 12 100" xfId="24702"/>
    <cellStyle name="메모 12 100 2" xfId="24703"/>
    <cellStyle name="메모 12 100 3" xfId="24704"/>
    <cellStyle name="메모 12 101" xfId="24705"/>
    <cellStyle name="메모 12 101 2" xfId="24706"/>
    <cellStyle name="메모 12 101 3" xfId="24707"/>
    <cellStyle name="메모 12 102" xfId="24708"/>
    <cellStyle name="메모 12 102 2" xfId="24709"/>
    <cellStyle name="메모 12 102 3" xfId="24710"/>
    <cellStyle name="메모 12 103" xfId="24711"/>
    <cellStyle name="메모 12 103 2" xfId="24712"/>
    <cellStyle name="메모 12 103 3" xfId="24713"/>
    <cellStyle name="메모 12 104" xfId="24714"/>
    <cellStyle name="메모 12 104 2" xfId="24715"/>
    <cellStyle name="메모 12 104 3" xfId="24716"/>
    <cellStyle name="메모 12 105" xfId="24717"/>
    <cellStyle name="메모 12 105 2" xfId="24718"/>
    <cellStyle name="메모 12 105 3" xfId="24719"/>
    <cellStyle name="메모 12 106" xfId="24720"/>
    <cellStyle name="메모 12 106 2" xfId="24721"/>
    <cellStyle name="메모 12 106 3" xfId="24722"/>
    <cellStyle name="메모 12 107" xfId="24723"/>
    <cellStyle name="메모 12 107 2" xfId="24724"/>
    <cellStyle name="메모 12 107 3" xfId="24725"/>
    <cellStyle name="메모 12 108" xfId="24726"/>
    <cellStyle name="메모 12 108 2" xfId="24727"/>
    <cellStyle name="메모 12 108 3" xfId="24728"/>
    <cellStyle name="메모 12 109" xfId="24729"/>
    <cellStyle name="메모 12 109 2" xfId="24730"/>
    <cellStyle name="메모 12 109 3" xfId="24731"/>
    <cellStyle name="메모 12 11" xfId="24732"/>
    <cellStyle name="메모 12 11 2" xfId="24733"/>
    <cellStyle name="메모 12 11 3" xfId="24734"/>
    <cellStyle name="메모 12 110" xfId="24735"/>
    <cellStyle name="메모 12 110 2" xfId="24736"/>
    <cellStyle name="메모 12 110 3" xfId="24737"/>
    <cellStyle name="메모 12 111" xfId="24738"/>
    <cellStyle name="메모 12 111 2" xfId="24739"/>
    <cellStyle name="메모 12 111 3" xfId="24740"/>
    <cellStyle name="메모 12 112" xfId="24741"/>
    <cellStyle name="메모 12 112 2" xfId="24742"/>
    <cellStyle name="메모 12 112 3" xfId="24743"/>
    <cellStyle name="메모 12 113" xfId="24744"/>
    <cellStyle name="메모 12 113 2" xfId="24745"/>
    <cellStyle name="메모 12 113 3" xfId="24746"/>
    <cellStyle name="메모 12 113 4" xfId="24747"/>
    <cellStyle name="메모 12 114" xfId="24748"/>
    <cellStyle name="메모 12 115" xfId="24749"/>
    <cellStyle name="메모 12 116" xfId="24750"/>
    <cellStyle name="메모 12 12" xfId="24751"/>
    <cellStyle name="메모 12 12 2" xfId="24752"/>
    <cellStyle name="메모 12 12 3" xfId="24753"/>
    <cellStyle name="메모 12 13" xfId="24754"/>
    <cellStyle name="메모 12 13 2" xfId="24755"/>
    <cellStyle name="메모 12 13 3" xfId="24756"/>
    <cellStyle name="메모 12 14" xfId="24757"/>
    <cellStyle name="메모 12 14 2" xfId="24758"/>
    <cellStyle name="메모 12 14 3" xfId="24759"/>
    <cellStyle name="메모 12 15" xfId="24760"/>
    <cellStyle name="메모 12 15 2" xfId="24761"/>
    <cellStyle name="메모 12 15 3" xfId="24762"/>
    <cellStyle name="메모 12 16" xfId="24763"/>
    <cellStyle name="메모 12 16 2" xfId="24764"/>
    <cellStyle name="메모 12 16 3" xfId="24765"/>
    <cellStyle name="메모 12 17" xfId="24766"/>
    <cellStyle name="메모 12 17 2" xfId="24767"/>
    <cellStyle name="메모 12 17 3" xfId="24768"/>
    <cellStyle name="메모 12 18" xfId="24769"/>
    <cellStyle name="메모 12 18 2" xfId="24770"/>
    <cellStyle name="메모 12 18 3" xfId="24771"/>
    <cellStyle name="메모 12 19" xfId="24772"/>
    <cellStyle name="메모 12 19 2" xfId="24773"/>
    <cellStyle name="메모 12 19 3" xfId="24774"/>
    <cellStyle name="메모 12 2" xfId="24775"/>
    <cellStyle name="메모 12 2 2" xfId="24776"/>
    <cellStyle name="메모 12 2 3" xfId="24777"/>
    <cellStyle name="메모 12 20" xfId="24778"/>
    <cellStyle name="메모 12 20 2" xfId="24779"/>
    <cellStyle name="메모 12 20 3" xfId="24780"/>
    <cellStyle name="메모 12 21" xfId="24781"/>
    <cellStyle name="메모 12 21 2" xfId="24782"/>
    <cellStyle name="메모 12 21 3" xfId="24783"/>
    <cellStyle name="메모 12 22" xfId="24784"/>
    <cellStyle name="메모 12 22 2" xfId="24785"/>
    <cellStyle name="메모 12 22 3" xfId="24786"/>
    <cellStyle name="메모 12 23" xfId="24787"/>
    <cellStyle name="메모 12 23 2" xfId="24788"/>
    <cellStyle name="메모 12 23 3" xfId="24789"/>
    <cellStyle name="메모 12 24" xfId="24790"/>
    <cellStyle name="메모 12 24 2" xfId="24791"/>
    <cellStyle name="메모 12 24 3" xfId="24792"/>
    <cellStyle name="메모 12 25" xfId="24793"/>
    <cellStyle name="메모 12 25 2" xfId="24794"/>
    <cellStyle name="메모 12 25 3" xfId="24795"/>
    <cellStyle name="메모 12 26" xfId="24796"/>
    <cellStyle name="메모 12 26 2" xfId="24797"/>
    <cellStyle name="메모 12 26 3" xfId="24798"/>
    <cellStyle name="메모 12 27" xfId="24799"/>
    <cellStyle name="메모 12 27 2" xfId="24800"/>
    <cellStyle name="메모 12 27 3" xfId="24801"/>
    <cellStyle name="메모 12 28" xfId="24802"/>
    <cellStyle name="메모 12 28 2" xfId="24803"/>
    <cellStyle name="메모 12 28 3" xfId="24804"/>
    <cellStyle name="메모 12 29" xfId="24805"/>
    <cellStyle name="메모 12 29 2" xfId="24806"/>
    <cellStyle name="메모 12 29 3" xfId="24807"/>
    <cellStyle name="메모 12 3" xfId="24808"/>
    <cellStyle name="메모 12 3 2" xfId="24809"/>
    <cellStyle name="메모 12 3 3" xfId="24810"/>
    <cellStyle name="메모 12 30" xfId="24811"/>
    <cellStyle name="메모 12 30 2" xfId="24812"/>
    <cellStyle name="메모 12 30 3" xfId="24813"/>
    <cellStyle name="메모 12 31" xfId="24814"/>
    <cellStyle name="메모 12 31 2" xfId="24815"/>
    <cellStyle name="메모 12 31 3" xfId="24816"/>
    <cellStyle name="메모 12 32" xfId="24817"/>
    <cellStyle name="메모 12 32 2" xfId="24818"/>
    <cellStyle name="메모 12 32 3" xfId="24819"/>
    <cellStyle name="메모 12 33" xfId="24820"/>
    <cellStyle name="메모 12 33 2" xfId="24821"/>
    <cellStyle name="메모 12 33 3" xfId="24822"/>
    <cellStyle name="메모 12 34" xfId="24823"/>
    <cellStyle name="메모 12 34 2" xfId="24824"/>
    <cellStyle name="메모 12 34 3" xfId="24825"/>
    <cellStyle name="메모 12 35" xfId="24826"/>
    <cellStyle name="메모 12 35 2" xfId="24827"/>
    <cellStyle name="메모 12 35 3" xfId="24828"/>
    <cellStyle name="메모 12 36" xfId="24829"/>
    <cellStyle name="메모 12 36 2" xfId="24830"/>
    <cellStyle name="메모 12 36 3" xfId="24831"/>
    <cellStyle name="메모 12 37" xfId="24832"/>
    <cellStyle name="메모 12 37 2" xfId="24833"/>
    <cellStyle name="메모 12 37 3" xfId="24834"/>
    <cellStyle name="메모 12 38" xfId="24835"/>
    <cellStyle name="메모 12 38 2" xfId="24836"/>
    <cellStyle name="메모 12 38 3" xfId="24837"/>
    <cellStyle name="메모 12 39" xfId="24838"/>
    <cellStyle name="메모 12 39 2" xfId="24839"/>
    <cellStyle name="메모 12 39 3" xfId="24840"/>
    <cellStyle name="메모 12 4" xfId="24841"/>
    <cellStyle name="메모 12 4 2" xfId="24842"/>
    <cellStyle name="메모 12 4 3" xfId="24843"/>
    <cellStyle name="메모 12 40" xfId="24844"/>
    <cellStyle name="메모 12 40 2" xfId="24845"/>
    <cellStyle name="메모 12 40 3" xfId="24846"/>
    <cellStyle name="메모 12 41" xfId="24847"/>
    <cellStyle name="메모 12 41 2" xfId="24848"/>
    <cellStyle name="메모 12 41 3" xfId="24849"/>
    <cellStyle name="메모 12 42" xfId="24850"/>
    <cellStyle name="메모 12 42 2" xfId="24851"/>
    <cellStyle name="메모 12 42 3" xfId="24852"/>
    <cellStyle name="메모 12 43" xfId="24853"/>
    <cellStyle name="메모 12 43 2" xfId="24854"/>
    <cellStyle name="메모 12 43 3" xfId="24855"/>
    <cellStyle name="메모 12 44" xfId="24856"/>
    <cellStyle name="메모 12 44 2" xfId="24857"/>
    <cellStyle name="메모 12 44 3" xfId="24858"/>
    <cellStyle name="메모 12 45" xfId="24859"/>
    <cellStyle name="메모 12 45 2" xfId="24860"/>
    <cellStyle name="메모 12 45 3" xfId="24861"/>
    <cellStyle name="메모 12 46" xfId="24862"/>
    <cellStyle name="메모 12 46 2" xfId="24863"/>
    <cellStyle name="메모 12 46 3" xfId="24864"/>
    <cellStyle name="메모 12 47" xfId="24865"/>
    <cellStyle name="메모 12 47 2" xfId="24866"/>
    <cellStyle name="메모 12 47 3" xfId="24867"/>
    <cellStyle name="메모 12 48" xfId="24868"/>
    <cellStyle name="메모 12 48 2" xfId="24869"/>
    <cellStyle name="메모 12 48 3" xfId="24870"/>
    <cellStyle name="메모 12 49" xfId="24871"/>
    <cellStyle name="메모 12 49 2" xfId="24872"/>
    <cellStyle name="메모 12 49 3" xfId="24873"/>
    <cellStyle name="메모 12 5" xfId="24874"/>
    <cellStyle name="메모 12 5 2" xfId="24875"/>
    <cellStyle name="메모 12 5 3" xfId="24876"/>
    <cellStyle name="메모 12 50" xfId="24877"/>
    <cellStyle name="메모 12 50 2" xfId="24878"/>
    <cellStyle name="메모 12 50 3" xfId="24879"/>
    <cellStyle name="메모 12 51" xfId="24880"/>
    <cellStyle name="메모 12 51 2" xfId="24881"/>
    <cellStyle name="메모 12 51 3" xfId="24882"/>
    <cellStyle name="메모 12 52" xfId="24883"/>
    <cellStyle name="메모 12 52 2" xfId="24884"/>
    <cellStyle name="메모 12 52 3" xfId="24885"/>
    <cellStyle name="메모 12 53" xfId="24886"/>
    <cellStyle name="메모 12 53 2" xfId="24887"/>
    <cellStyle name="메모 12 53 3" xfId="24888"/>
    <cellStyle name="메모 12 54" xfId="24889"/>
    <cellStyle name="메모 12 54 2" xfId="24890"/>
    <cellStyle name="메모 12 54 3" xfId="24891"/>
    <cellStyle name="메모 12 55" xfId="24892"/>
    <cellStyle name="메모 12 55 2" xfId="24893"/>
    <cellStyle name="메모 12 55 3" xfId="24894"/>
    <cellStyle name="메모 12 56" xfId="24895"/>
    <cellStyle name="메모 12 56 2" xfId="24896"/>
    <cellStyle name="메모 12 56 3" xfId="24897"/>
    <cellStyle name="메모 12 57" xfId="24898"/>
    <cellStyle name="메모 12 57 2" xfId="24899"/>
    <cellStyle name="메모 12 57 3" xfId="24900"/>
    <cellStyle name="메모 12 58" xfId="24901"/>
    <cellStyle name="메모 12 58 2" xfId="24902"/>
    <cellStyle name="메모 12 58 3" xfId="24903"/>
    <cellStyle name="메모 12 59" xfId="24904"/>
    <cellStyle name="메모 12 59 2" xfId="24905"/>
    <cellStyle name="메모 12 59 3" xfId="24906"/>
    <cellStyle name="메모 12 6" xfId="24907"/>
    <cellStyle name="메모 12 6 2" xfId="24908"/>
    <cellStyle name="메모 12 6 3" xfId="24909"/>
    <cellStyle name="메모 12 60" xfId="24910"/>
    <cellStyle name="메모 12 60 2" xfId="24911"/>
    <cellStyle name="메모 12 60 3" xfId="24912"/>
    <cellStyle name="메모 12 61" xfId="24913"/>
    <cellStyle name="메모 12 61 2" xfId="24914"/>
    <cellStyle name="메모 12 61 3" xfId="24915"/>
    <cellStyle name="메모 12 62" xfId="24916"/>
    <cellStyle name="메모 12 62 2" xfId="24917"/>
    <cellStyle name="메모 12 62 3" xfId="24918"/>
    <cellStyle name="메모 12 63" xfId="24919"/>
    <cellStyle name="메모 12 63 2" xfId="24920"/>
    <cellStyle name="메모 12 63 3" xfId="24921"/>
    <cellStyle name="메모 12 64" xfId="24922"/>
    <cellStyle name="메모 12 64 2" xfId="24923"/>
    <cellStyle name="메모 12 64 3" xfId="24924"/>
    <cellStyle name="메모 12 65" xfId="24925"/>
    <cellStyle name="메모 12 65 2" xfId="24926"/>
    <cellStyle name="메모 12 65 3" xfId="24927"/>
    <cellStyle name="메모 12 66" xfId="24928"/>
    <cellStyle name="메모 12 66 2" xfId="24929"/>
    <cellStyle name="메모 12 66 3" xfId="24930"/>
    <cellStyle name="메모 12 67" xfId="24931"/>
    <cellStyle name="메모 12 67 2" xfId="24932"/>
    <cellStyle name="메모 12 67 3" xfId="24933"/>
    <cellStyle name="메모 12 68" xfId="24934"/>
    <cellStyle name="메모 12 68 2" xfId="24935"/>
    <cellStyle name="메모 12 68 3" xfId="24936"/>
    <cellStyle name="메모 12 69" xfId="24937"/>
    <cellStyle name="메모 12 69 2" xfId="24938"/>
    <cellStyle name="메모 12 69 3" xfId="24939"/>
    <cellStyle name="메모 12 7" xfId="24940"/>
    <cellStyle name="메모 12 7 2" xfId="24941"/>
    <cellStyle name="메모 12 7 3" xfId="24942"/>
    <cellStyle name="메모 12 70" xfId="24943"/>
    <cellStyle name="메모 12 70 2" xfId="24944"/>
    <cellStyle name="메모 12 70 3" xfId="24945"/>
    <cellStyle name="메모 12 71" xfId="24946"/>
    <cellStyle name="메모 12 71 2" xfId="24947"/>
    <cellStyle name="메모 12 71 3" xfId="24948"/>
    <cellStyle name="메모 12 72" xfId="24949"/>
    <cellStyle name="메모 12 72 2" xfId="24950"/>
    <cellStyle name="메모 12 72 3" xfId="24951"/>
    <cellStyle name="메모 12 73" xfId="24952"/>
    <cellStyle name="메모 12 73 2" xfId="24953"/>
    <cellStyle name="메모 12 73 3" xfId="24954"/>
    <cellStyle name="메모 12 74" xfId="24955"/>
    <cellStyle name="메모 12 74 2" xfId="24956"/>
    <cellStyle name="메모 12 74 3" xfId="24957"/>
    <cellStyle name="메모 12 75" xfId="24958"/>
    <cellStyle name="메모 12 75 2" xfId="24959"/>
    <cellStyle name="메모 12 75 3" xfId="24960"/>
    <cellStyle name="메모 12 76" xfId="24961"/>
    <cellStyle name="메모 12 76 2" xfId="24962"/>
    <cellStyle name="메모 12 76 3" xfId="24963"/>
    <cellStyle name="메모 12 77" xfId="24964"/>
    <cellStyle name="메모 12 77 2" xfId="24965"/>
    <cellStyle name="메모 12 77 3" xfId="24966"/>
    <cellStyle name="메모 12 78" xfId="24967"/>
    <cellStyle name="메모 12 78 2" xfId="24968"/>
    <cellStyle name="메모 12 78 3" xfId="24969"/>
    <cellStyle name="메모 12 79" xfId="24970"/>
    <cellStyle name="메모 12 79 2" xfId="24971"/>
    <cellStyle name="메모 12 79 3" xfId="24972"/>
    <cellStyle name="메모 12 8" xfId="24973"/>
    <cellStyle name="메모 12 8 2" xfId="24974"/>
    <cellStyle name="메모 12 8 3" xfId="24975"/>
    <cellStyle name="메모 12 80" xfId="24976"/>
    <cellStyle name="메모 12 80 2" xfId="24977"/>
    <cellStyle name="메모 12 80 3" xfId="24978"/>
    <cellStyle name="메모 12 81" xfId="24979"/>
    <cellStyle name="메모 12 81 2" xfId="24980"/>
    <cellStyle name="메모 12 81 3" xfId="24981"/>
    <cellStyle name="메모 12 82" xfId="24982"/>
    <cellStyle name="메모 12 82 2" xfId="24983"/>
    <cellStyle name="메모 12 82 3" xfId="24984"/>
    <cellStyle name="메모 12 83" xfId="24985"/>
    <cellStyle name="메모 12 83 2" xfId="24986"/>
    <cellStyle name="메모 12 83 3" xfId="24987"/>
    <cellStyle name="메모 12 84" xfId="24988"/>
    <cellStyle name="메모 12 84 2" xfId="24989"/>
    <cellStyle name="메모 12 84 3" xfId="24990"/>
    <cellStyle name="메모 12 85" xfId="24991"/>
    <cellStyle name="메모 12 85 2" xfId="24992"/>
    <cellStyle name="메모 12 85 3" xfId="24993"/>
    <cellStyle name="메모 12 86" xfId="24994"/>
    <cellStyle name="메모 12 86 2" xfId="24995"/>
    <cellStyle name="메모 12 86 3" xfId="24996"/>
    <cellStyle name="메모 12 87" xfId="24997"/>
    <cellStyle name="메모 12 87 2" xfId="24998"/>
    <cellStyle name="메모 12 87 3" xfId="24999"/>
    <cellStyle name="메모 12 88" xfId="25000"/>
    <cellStyle name="메모 12 88 2" xfId="25001"/>
    <cellStyle name="메모 12 88 3" xfId="25002"/>
    <cellStyle name="메모 12 89" xfId="25003"/>
    <cellStyle name="메모 12 89 2" xfId="25004"/>
    <cellStyle name="메모 12 89 3" xfId="25005"/>
    <cellStyle name="메모 12 9" xfId="25006"/>
    <cellStyle name="메모 12 9 2" xfId="25007"/>
    <cellStyle name="메모 12 9 3" xfId="25008"/>
    <cellStyle name="메모 12 90" xfId="25009"/>
    <cellStyle name="메모 12 90 2" xfId="25010"/>
    <cellStyle name="메모 12 90 3" xfId="25011"/>
    <cellStyle name="메모 12 91" xfId="25012"/>
    <cellStyle name="메모 12 91 2" xfId="25013"/>
    <cellStyle name="메모 12 91 3" xfId="25014"/>
    <cellStyle name="메모 12 92" xfId="25015"/>
    <cellStyle name="메모 12 92 2" xfId="25016"/>
    <cellStyle name="메모 12 92 3" xfId="25017"/>
    <cellStyle name="메모 12 93" xfId="25018"/>
    <cellStyle name="메모 12 93 2" xfId="25019"/>
    <cellStyle name="메모 12 93 3" xfId="25020"/>
    <cellStyle name="메모 12 94" xfId="25021"/>
    <cellStyle name="메모 12 94 2" xfId="25022"/>
    <cellStyle name="메모 12 94 3" xfId="25023"/>
    <cellStyle name="메모 12 95" xfId="25024"/>
    <cellStyle name="메모 12 95 2" xfId="25025"/>
    <cellStyle name="메모 12 95 3" xfId="25026"/>
    <cellStyle name="메모 12 96" xfId="25027"/>
    <cellStyle name="메모 12 96 2" xfId="25028"/>
    <cellStyle name="메모 12 96 3" xfId="25029"/>
    <cellStyle name="메모 12 97" xfId="25030"/>
    <cellStyle name="메모 12 97 2" xfId="25031"/>
    <cellStyle name="메모 12 97 3" xfId="25032"/>
    <cellStyle name="메모 12 98" xfId="25033"/>
    <cellStyle name="메모 12 98 2" xfId="25034"/>
    <cellStyle name="메모 12 98 3" xfId="25035"/>
    <cellStyle name="메모 12 99" xfId="25036"/>
    <cellStyle name="메모 12 99 2" xfId="25037"/>
    <cellStyle name="메모 12 99 3" xfId="25038"/>
    <cellStyle name="메모 13" xfId="25039"/>
    <cellStyle name="메모 13 10" xfId="25040"/>
    <cellStyle name="메모 13 10 2" xfId="25041"/>
    <cellStyle name="메모 13 10 3" xfId="25042"/>
    <cellStyle name="메모 13 100" xfId="25043"/>
    <cellStyle name="메모 13 100 2" xfId="25044"/>
    <cellStyle name="메모 13 100 3" xfId="25045"/>
    <cellStyle name="메모 13 101" xfId="25046"/>
    <cellStyle name="메모 13 101 2" xfId="25047"/>
    <cellStyle name="메모 13 101 3" xfId="25048"/>
    <cellStyle name="메모 13 102" xfId="25049"/>
    <cellStyle name="메모 13 102 2" xfId="25050"/>
    <cellStyle name="메모 13 102 3" xfId="25051"/>
    <cellStyle name="메모 13 103" xfId="25052"/>
    <cellStyle name="메모 13 103 2" xfId="25053"/>
    <cellStyle name="메모 13 103 3" xfId="25054"/>
    <cellStyle name="메모 13 104" xfId="25055"/>
    <cellStyle name="메모 13 104 2" xfId="25056"/>
    <cellStyle name="메모 13 104 3" xfId="25057"/>
    <cellStyle name="메모 13 105" xfId="25058"/>
    <cellStyle name="메모 13 105 2" xfId="25059"/>
    <cellStyle name="메모 13 105 3" xfId="25060"/>
    <cellStyle name="메모 13 106" xfId="25061"/>
    <cellStyle name="메모 13 106 2" xfId="25062"/>
    <cellStyle name="메모 13 106 3" xfId="25063"/>
    <cellStyle name="메모 13 107" xfId="25064"/>
    <cellStyle name="메모 13 107 2" xfId="25065"/>
    <cellStyle name="메모 13 107 3" xfId="25066"/>
    <cellStyle name="메모 13 108" xfId="25067"/>
    <cellStyle name="메모 13 108 2" xfId="25068"/>
    <cellStyle name="메모 13 108 3" xfId="25069"/>
    <cellStyle name="메모 13 109" xfId="25070"/>
    <cellStyle name="메모 13 109 2" xfId="25071"/>
    <cellStyle name="메모 13 109 3" xfId="25072"/>
    <cellStyle name="메모 13 11" xfId="25073"/>
    <cellStyle name="메모 13 11 2" xfId="25074"/>
    <cellStyle name="메모 13 11 3" xfId="25075"/>
    <cellStyle name="메모 13 110" xfId="25076"/>
    <cellStyle name="메모 13 110 2" xfId="25077"/>
    <cellStyle name="메모 13 110 3" xfId="25078"/>
    <cellStyle name="메모 13 111" xfId="25079"/>
    <cellStyle name="메모 13 111 2" xfId="25080"/>
    <cellStyle name="메모 13 111 3" xfId="25081"/>
    <cellStyle name="메모 13 112" xfId="25082"/>
    <cellStyle name="메모 13 112 2" xfId="25083"/>
    <cellStyle name="메모 13 112 3" xfId="25084"/>
    <cellStyle name="메모 13 113" xfId="25085"/>
    <cellStyle name="메모 13 113 2" xfId="25086"/>
    <cellStyle name="메모 13 114" xfId="25087"/>
    <cellStyle name="메모 13 115" xfId="25088"/>
    <cellStyle name="메모 13 12" xfId="25089"/>
    <cellStyle name="메모 13 12 2" xfId="25090"/>
    <cellStyle name="메모 13 12 3" xfId="25091"/>
    <cellStyle name="메모 13 13" xfId="25092"/>
    <cellStyle name="메모 13 13 2" xfId="25093"/>
    <cellStyle name="메모 13 13 3" xfId="25094"/>
    <cellStyle name="메모 13 14" xfId="25095"/>
    <cellStyle name="메모 13 14 2" xfId="25096"/>
    <cellStyle name="메모 13 14 3" xfId="25097"/>
    <cellStyle name="메모 13 15" xfId="25098"/>
    <cellStyle name="메모 13 15 2" xfId="25099"/>
    <cellStyle name="메모 13 15 3" xfId="25100"/>
    <cellStyle name="메모 13 16" xfId="25101"/>
    <cellStyle name="메모 13 16 2" xfId="25102"/>
    <cellStyle name="메모 13 16 3" xfId="25103"/>
    <cellStyle name="메모 13 17" xfId="25104"/>
    <cellStyle name="메모 13 17 2" xfId="25105"/>
    <cellStyle name="메모 13 17 3" xfId="25106"/>
    <cellStyle name="메모 13 18" xfId="25107"/>
    <cellStyle name="메모 13 18 2" xfId="25108"/>
    <cellStyle name="메모 13 18 3" xfId="25109"/>
    <cellStyle name="메모 13 19" xfId="25110"/>
    <cellStyle name="메모 13 19 2" xfId="25111"/>
    <cellStyle name="메모 13 19 3" xfId="25112"/>
    <cellStyle name="메모 13 2" xfId="25113"/>
    <cellStyle name="메모 13 2 2" xfId="25114"/>
    <cellStyle name="메모 13 2 3" xfId="25115"/>
    <cellStyle name="메모 13 20" xfId="25116"/>
    <cellStyle name="메모 13 20 2" xfId="25117"/>
    <cellStyle name="메모 13 20 3" xfId="25118"/>
    <cellStyle name="메모 13 21" xfId="25119"/>
    <cellStyle name="메모 13 21 2" xfId="25120"/>
    <cellStyle name="메모 13 21 3" xfId="25121"/>
    <cellStyle name="메모 13 22" xfId="25122"/>
    <cellStyle name="메모 13 22 2" xfId="25123"/>
    <cellStyle name="메모 13 22 3" xfId="25124"/>
    <cellStyle name="메모 13 23" xfId="25125"/>
    <cellStyle name="메모 13 23 2" xfId="25126"/>
    <cellStyle name="메모 13 23 3" xfId="25127"/>
    <cellStyle name="메모 13 24" xfId="25128"/>
    <cellStyle name="메모 13 24 2" xfId="25129"/>
    <cellStyle name="메모 13 24 3" xfId="25130"/>
    <cellStyle name="메모 13 25" xfId="25131"/>
    <cellStyle name="메모 13 25 2" xfId="25132"/>
    <cellStyle name="메모 13 25 3" xfId="25133"/>
    <cellStyle name="메모 13 26" xfId="25134"/>
    <cellStyle name="메모 13 26 2" xfId="25135"/>
    <cellStyle name="메모 13 26 3" xfId="25136"/>
    <cellStyle name="메모 13 27" xfId="25137"/>
    <cellStyle name="메모 13 27 2" xfId="25138"/>
    <cellStyle name="메모 13 27 3" xfId="25139"/>
    <cellStyle name="메모 13 28" xfId="25140"/>
    <cellStyle name="메모 13 28 2" xfId="25141"/>
    <cellStyle name="메모 13 28 3" xfId="25142"/>
    <cellStyle name="메모 13 29" xfId="25143"/>
    <cellStyle name="메모 13 29 2" xfId="25144"/>
    <cellStyle name="메모 13 29 3" xfId="25145"/>
    <cellStyle name="메모 13 3" xfId="25146"/>
    <cellStyle name="메모 13 3 2" xfId="25147"/>
    <cellStyle name="메모 13 3 3" xfId="25148"/>
    <cellStyle name="메모 13 30" xfId="25149"/>
    <cellStyle name="메모 13 30 2" xfId="25150"/>
    <cellStyle name="메모 13 30 3" xfId="25151"/>
    <cellStyle name="메모 13 31" xfId="25152"/>
    <cellStyle name="메모 13 31 2" xfId="25153"/>
    <cellStyle name="메모 13 31 3" xfId="25154"/>
    <cellStyle name="메모 13 32" xfId="25155"/>
    <cellStyle name="메모 13 32 2" xfId="25156"/>
    <cellStyle name="메모 13 32 3" xfId="25157"/>
    <cellStyle name="메모 13 33" xfId="25158"/>
    <cellStyle name="메모 13 33 2" xfId="25159"/>
    <cellStyle name="메모 13 33 3" xfId="25160"/>
    <cellStyle name="메모 13 34" xfId="25161"/>
    <cellStyle name="메모 13 34 2" xfId="25162"/>
    <cellStyle name="메모 13 34 3" xfId="25163"/>
    <cellStyle name="메모 13 35" xfId="25164"/>
    <cellStyle name="메모 13 35 2" xfId="25165"/>
    <cellStyle name="메모 13 35 3" xfId="25166"/>
    <cellStyle name="메모 13 36" xfId="25167"/>
    <cellStyle name="메모 13 36 2" xfId="25168"/>
    <cellStyle name="메모 13 36 3" xfId="25169"/>
    <cellStyle name="메모 13 37" xfId="25170"/>
    <cellStyle name="메모 13 37 2" xfId="25171"/>
    <cellStyle name="메모 13 37 3" xfId="25172"/>
    <cellStyle name="메모 13 38" xfId="25173"/>
    <cellStyle name="메모 13 38 2" xfId="25174"/>
    <cellStyle name="메모 13 38 3" xfId="25175"/>
    <cellStyle name="메모 13 39" xfId="25176"/>
    <cellStyle name="메모 13 39 2" xfId="25177"/>
    <cellStyle name="메모 13 39 3" xfId="25178"/>
    <cellStyle name="메모 13 4" xfId="25179"/>
    <cellStyle name="메모 13 4 2" xfId="25180"/>
    <cellStyle name="메모 13 4 3" xfId="25181"/>
    <cellStyle name="메모 13 40" xfId="25182"/>
    <cellStyle name="메모 13 40 2" xfId="25183"/>
    <cellStyle name="메모 13 40 3" xfId="25184"/>
    <cellStyle name="메모 13 41" xfId="25185"/>
    <cellStyle name="메모 13 41 2" xfId="25186"/>
    <cellStyle name="메모 13 41 3" xfId="25187"/>
    <cellStyle name="메모 13 42" xfId="25188"/>
    <cellStyle name="메모 13 42 2" xfId="25189"/>
    <cellStyle name="메모 13 42 3" xfId="25190"/>
    <cellStyle name="메모 13 43" xfId="25191"/>
    <cellStyle name="메모 13 43 2" xfId="25192"/>
    <cellStyle name="메모 13 43 3" xfId="25193"/>
    <cellStyle name="메모 13 44" xfId="25194"/>
    <cellStyle name="메모 13 44 2" xfId="25195"/>
    <cellStyle name="메모 13 44 3" xfId="25196"/>
    <cellStyle name="메모 13 45" xfId="25197"/>
    <cellStyle name="메모 13 45 2" xfId="25198"/>
    <cellStyle name="메모 13 45 3" xfId="25199"/>
    <cellStyle name="메모 13 46" xfId="25200"/>
    <cellStyle name="메모 13 46 2" xfId="25201"/>
    <cellStyle name="메모 13 46 3" xfId="25202"/>
    <cellStyle name="메모 13 47" xfId="25203"/>
    <cellStyle name="메모 13 47 2" xfId="25204"/>
    <cellStyle name="메모 13 47 3" xfId="25205"/>
    <cellStyle name="메모 13 48" xfId="25206"/>
    <cellStyle name="메모 13 48 2" xfId="25207"/>
    <cellStyle name="메모 13 48 3" xfId="25208"/>
    <cellStyle name="메모 13 49" xfId="25209"/>
    <cellStyle name="메모 13 49 2" xfId="25210"/>
    <cellStyle name="메모 13 49 3" xfId="25211"/>
    <cellStyle name="메모 13 5" xfId="25212"/>
    <cellStyle name="메모 13 5 2" xfId="25213"/>
    <cellStyle name="메모 13 5 3" xfId="25214"/>
    <cellStyle name="메모 13 50" xfId="25215"/>
    <cellStyle name="메모 13 50 2" xfId="25216"/>
    <cellStyle name="메모 13 50 3" xfId="25217"/>
    <cellStyle name="메모 13 51" xfId="25218"/>
    <cellStyle name="메모 13 51 2" xfId="25219"/>
    <cellStyle name="메모 13 51 3" xfId="25220"/>
    <cellStyle name="메모 13 52" xfId="25221"/>
    <cellStyle name="메모 13 52 2" xfId="25222"/>
    <cellStyle name="메모 13 52 3" xfId="25223"/>
    <cellStyle name="메모 13 53" xfId="25224"/>
    <cellStyle name="메모 13 53 2" xfId="25225"/>
    <cellStyle name="메모 13 53 3" xfId="25226"/>
    <cellStyle name="메모 13 54" xfId="25227"/>
    <cellStyle name="메모 13 54 2" xfId="25228"/>
    <cellStyle name="메모 13 54 3" xfId="25229"/>
    <cellStyle name="메모 13 55" xfId="25230"/>
    <cellStyle name="메모 13 55 2" xfId="25231"/>
    <cellStyle name="메모 13 55 3" xfId="25232"/>
    <cellStyle name="메모 13 56" xfId="25233"/>
    <cellStyle name="메모 13 56 2" xfId="25234"/>
    <cellStyle name="메모 13 56 3" xfId="25235"/>
    <cellStyle name="메모 13 57" xfId="25236"/>
    <cellStyle name="메모 13 57 2" xfId="25237"/>
    <cellStyle name="메모 13 57 3" xfId="25238"/>
    <cellStyle name="메모 13 58" xfId="25239"/>
    <cellStyle name="메모 13 58 2" xfId="25240"/>
    <cellStyle name="메모 13 58 3" xfId="25241"/>
    <cellStyle name="메모 13 59" xfId="25242"/>
    <cellStyle name="메모 13 59 2" xfId="25243"/>
    <cellStyle name="메모 13 59 3" xfId="25244"/>
    <cellStyle name="메모 13 6" xfId="25245"/>
    <cellStyle name="메모 13 6 2" xfId="25246"/>
    <cellStyle name="메모 13 6 3" xfId="25247"/>
    <cellStyle name="메모 13 60" xfId="25248"/>
    <cellStyle name="메모 13 60 2" xfId="25249"/>
    <cellStyle name="메모 13 60 3" xfId="25250"/>
    <cellStyle name="메모 13 61" xfId="25251"/>
    <cellStyle name="메모 13 61 2" xfId="25252"/>
    <cellStyle name="메모 13 61 3" xfId="25253"/>
    <cellStyle name="메모 13 62" xfId="25254"/>
    <cellStyle name="메모 13 62 2" xfId="25255"/>
    <cellStyle name="메모 13 62 3" xfId="25256"/>
    <cellStyle name="메모 13 63" xfId="25257"/>
    <cellStyle name="메모 13 63 2" xfId="25258"/>
    <cellStyle name="메모 13 63 3" xfId="25259"/>
    <cellStyle name="메모 13 64" xfId="25260"/>
    <cellStyle name="메모 13 64 2" xfId="25261"/>
    <cellStyle name="메모 13 64 3" xfId="25262"/>
    <cellStyle name="메모 13 65" xfId="25263"/>
    <cellStyle name="메모 13 65 2" xfId="25264"/>
    <cellStyle name="메모 13 65 3" xfId="25265"/>
    <cellStyle name="메모 13 66" xfId="25266"/>
    <cellStyle name="메모 13 66 2" xfId="25267"/>
    <cellStyle name="메모 13 66 3" xfId="25268"/>
    <cellStyle name="메모 13 67" xfId="25269"/>
    <cellStyle name="메모 13 67 2" xfId="25270"/>
    <cellStyle name="메모 13 67 3" xfId="25271"/>
    <cellStyle name="메모 13 68" xfId="25272"/>
    <cellStyle name="메모 13 68 2" xfId="25273"/>
    <cellStyle name="메모 13 68 3" xfId="25274"/>
    <cellStyle name="메모 13 69" xfId="25275"/>
    <cellStyle name="메모 13 69 2" xfId="25276"/>
    <cellStyle name="메모 13 69 3" xfId="25277"/>
    <cellStyle name="메모 13 7" xfId="25278"/>
    <cellStyle name="메모 13 7 2" xfId="25279"/>
    <cellStyle name="메모 13 7 3" xfId="25280"/>
    <cellStyle name="메모 13 70" xfId="25281"/>
    <cellStyle name="메모 13 70 2" xfId="25282"/>
    <cellStyle name="메모 13 70 3" xfId="25283"/>
    <cellStyle name="메모 13 71" xfId="25284"/>
    <cellStyle name="메모 13 71 2" xfId="25285"/>
    <cellStyle name="메모 13 71 3" xfId="25286"/>
    <cellStyle name="메모 13 72" xfId="25287"/>
    <cellStyle name="메모 13 72 2" xfId="25288"/>
    <cellStyle name="메모 13 72 3" xfId="25289"/>
    <cellStyle name="메모 13 73" xfId="25290"/>
    <cellStyle name="메모 13 73 2" xfId="25291"/>
    <cellStyle name="메모 13 73 3" xfId="25292"/>
    <cellStyle name="메모 13 74" xfId="25293"/>
    <cellStyle name="메모 13 74 2" xfId="25294"/>
    <cellStyle name="메모 13 74 3" xfId="25295"/>
    <cellStyle name="메모 13 75" xfId="25296"/>
    <cellStyle name="메모 13 75 2" xfId="25297"/>
    <cellStyle name="메모 13 75 3" xfId="25298"/>
    <cellStyle name="메모 13 76" xfId="25299"/>
    <cellStyle name="메모 13 76 2" xfId="25300"/>
    <cellStyle name="메모 13 76 3" xfId="25301"/>
    <cellStyle name="메모 13 77" xfId="25302"/>
    <cellStyle name="메모 13 77 2" xfId="25303"/>
    <cellStyle name="메모 13 77 3" xfId="25304"/>
    <cellStyle name="메모 13 78" xfId="25305"/>
    <cellStyle name="메모 13 78 2" xfId="25306"/>
    <cellStyle name="메모 13 78 3" xfId="25307"/>
    <cellStyle name="메모 13 79" xfId="25308"/>
    <cellStyle name="메모 13 79 2" xfId="25309"/>
    <cellStyle name="메모 13 79 3" xfId="25310"/>
    <cellStyle name="메모 13 8" xfId="25311"/>
    <cellStyle name="메모 13 8 2" xfId="25312"/>
    <cellStyle name="메모 13 8 3" xfId="25313"/>
    <cellStyle name="메모 13 80" xfId="25314"/>
    <cellStyle name="메모 13 80 2" xfId="25315"/>
    <cellStyle name="메모 13 80 3" xfId="25316"/>
    <cellStyle name="메모 13 81" xfId="25317"/>
    <cellStyle name="메모 13 81 2" xfId="25318"/>
    <cellStyle name="메모 13 81 3" xfId="25319"/>
    <cellStyle name="메모 13 82" xfId="25320"/>
    <cellStyle name="메모 13 82 2" xfId="25321"/>
    <cellStyle name="메모 13 82 3" xfId="25322"/>
    <cellStyle name="메모 13 83" xfId="25323"/>
    <cellStyle name="메모 13 83 2" xfId="25324"/>
    <cellStyle name="메모 13 83 3" xfId="25325"/>
    <cellStyle name="메모 13 84" xfId="25326"/>
    <cellStyle name="메모 13 84 2" xfId="25327"/>
    <cellStyle name="메모 13 84 3" xfId="25328"/>
    <cellStyle name="메모 13 85" xfId="25329"/>
    <cellStyle name="메모 13 85 2" xfId="25330"/>
    <cellStyle name="메모 13 85 3" xfId="25331"/>
    <cellStyle name="메모 13 86" xfId="25332"/>
    <cellStyle name="메모 13 86 2" xfId="25333"/>
    <cellStyle name="메모 13 86 3" xfId="25334"/>
    <cellStyle name="메모 13 87" xfId="25335"/>
    <cellStyle name="메모 13 87 2" xfId="25336"/>
    <cellStyle name="메모 13 87 3" xfId="25337"/>
    <cellStyle name="메모 13 88" xfId="25338"/>
    <cellStyle name="메모 13 88 2" xfId="25339"/>
    <cellStyle name="메모 13 88 3" xfId="25340"/>
    <cellStyle name="메모 13 89" xfId="25341"/>
    <cellStyle name="메모 13 89 2" xfId="25342"/>
    <cellStyle name="메모 13 89 3" xfId="25343"/>
    <cellStyle name="메모 13 9" xfId="25344"/>
    <cellStyle name="메모 13 9 2" xfId="25345"/>
    <cellStyle name="메모 13 9 3" xfId="25346"/>
    <cellStyle name="메모 13 90" xfId="25347"/>
    <cellStyle name="메모 13 90 2" xfId="25348"/>
    <cellStyle name="메모 13 90 3" xfId="25349"/>
    <cellStyle name="메모 13 91" xfId="25350"/>
    <cellStyle name="메모 13 91 2" xfId="25351"/>
    <cellStyle name="메모 13 91 3" xfId="25352"/>
    <cellStyle name="메모 13 92" xfId="25353"/>
    <cellStyle name="메모 13 92 2" xfId="25354"/>
    <cellStyle name="메모 13 92 3" xfId="25355"/>
    <cellStyle name="메모 13 93" xfId="25356"/>
    <cellStyle name="메모 13 93 2" xfId="25357"/>
    <cellStyle name="메모 13 93 3" xfId="25358"/>
    <cellStyle name="메모 13 94" xfId="25359"/>
    <cellStyle name="메모 13 94 2" xfId="25360"/>
    <cellStyle name="메모 13 94 3" xfId="25361"/>
    <cellStyle name="메모 13 95" xfId="25362"/>
    <cellStyle name="메모 13 95 2" xfId="25363"/>
    <cellStyle name="메모 13 95 3" xfId="25364"/>
    <cellStyle name="메모 13 96" xfId="25365"/>
    <cellStyle name="메모 13 96 2" xfId="25366"/>
    <cellStyle name="메모 13 96 3" xfId="25367"/>
    <cellStyle name="메모 13 97" xfId="25368"/>
    <cellStyle name="메모 13 97 2" xfId="25369"/>
    <cellStyle name="메모 13 97 3" xfId="25370"/>
    <cellStyle name="메모 13 98" xfId="25371"/>
    <cellStyle name="메모 13 98 2" xfId="25372"/>
    <cellStyle name="메모 13 98 3" xfId="25373"/>
    <cellStyle name="메모 13 99" xfId="25374"/>
    <cellStyle name="메모 13 99 2" xfId="25375"/>
    <cellStyle name="메모 13 99 3" xfId="25376"/>
    <cellStyle name="메모 14" xfId="25377"/>
    <cellStyle name="메모 14 10" xfId="25378"/>
    <cellStyle name="메모 14 10 2" xfId="25379"/>
    <cellStyle name="메모 14 10 3" xfId="25380"/>
    <cellStyle name="메모 14 100" xfId="25381"/>
    <cellStyle name="메모 14 100 2" xfId="25382"/>
    <cellStyle name="메모 14 100 3" xfId="25383"/>
    <cellStyle name="메모 14 101" xfId="25384"/>
    <cellStyle name="메모 14 101 2" xfId="25385"/>
    <cellStyle name="메모 14 101 3" xfId="25386"/>
    <cellStyle name="메모 14 102" xfId="25387"/>
    <cellStyle name="메모 14 102 2" xfId="25388"/>
    <cellStyle name="메모 14 102 3" xfId="25389"/>
    <cellStyle name="메모 14 103" xfId="25390"/>
    <cellStyle name="메모 14 103 2" xfId="25391"/>
    <cellStyle name="메모 14 103 3" xfId="25392"/>
    <cellStyle name="메모 14 104" xfId="25393"/>
    <cellStyle name="메모 14 104 2" xfId="25394"/>
    <cellStyle name="메모 14 104 3" xfId="25395"/>
    <cellStyle name="메모 14 105" xfId="25396"/>
    <cellStyle name="메모 14 105 2" xfId="25397"/>
    <cellStyle name="메모 14 105 3" xfId="25398"/>
    <cellStyle name="메모 14 106" xfId="25399"/>
    <cellStyle name="메모 14 106 2" xfId="25400"/>
    <cellStyle name="메모 14 106 3" xfId="25401"/>
    <cellStyle name="메모 14 107" xfId="25402"/>
    <cellStyle name="메모 14 107 2" xfId="25403"/>
    <cellStyle name="메모 14 107 3" xfId="25404"/>
    <cellStyle name="메모 14 108" xfId="25405"/>
    <cellStyle name="메모 14 108 2" xfId="25406"/>
    <cellStyle name="메모 14 108 3" xfId="25407"/>
    <cellStyle name="메모 14 109" xfId="25408"/>
    <cellStyle name="메모 14 109 2" xfId="25409"/>
    <cellStyle name="메모 14 109 3" xfId="25410"/>
    <cellStyle name="메모 14 11" xfId="25411"/>
    <cellStyle name="메모 14 11 2" xfId="25412"/>
    <cellStyle name="메모 14 11 3" xfId="25413"/>
    <cellStyle name="메모 14 110" xfId="25414"/>
    <cellStyle name="메모 14 110 2" xfId="25415"/>
    <cellStyle name="메모 14 110 3" xfId="25416"/>
    <cellStyle name="메모 14 111" xfId="25417"/>
    <cellStyle name="메모 14 111 2" xfId="25418"/>
    <cellStyle name="메모 14 111 3" xfId="25419"/>
    <cellStyle name="메모 14 112" xfId="25420"/>
    <cellStyle name="메모 14 112 2" xfId="25421"/>
    <cellStyle name="메모 14 112 3" xfId="25422"/>
    <cellStyle name="메모 14 113" xfId="25423"/>
    <cellStyle name="메모 14 114" xfId="25424"/>
    <cellStyle name="메모 14 12" xfId="25425"/>
    <cellStyle name="메모 14 12 2" xfId="25426"/>
    <cellStyle name="메모 14 12 3" xfId="25427"/>
    <cellStyle name="메모 14 13" xfId="25428"/>
    <cellStyle name="메모 14 13 2" xfId="25429"/>
    <cellStyle name="메모 14 13 3" xfId="25430"/>
    <cellStyle name="메모 14 14" xfId="25431"/>
    <cellStyle name="메모 14 14 2" xfId="25432"/>
    <cellStyle name="메모 14 14 3" xfId="25433"/>
    <cellStyle name="메모 14 15" xfId="25434"/>
    <cellStyle name="메모 14 15 2" xfId="25435"/>
    <cellStyle name="메모 14 15 3" xfId="25436"/>
    <cellStyle name="메모 14 16" xfId="25437"/>
    <cellStyle name="메모 14 16 2" xfId="25438"/>
    <cellStyle name="메모 14 16 3" xfId="25439"/>
    <cellStyle name="메모 14 17" xfId="25440"/>
    <cellStyle name="메모 14 17 2" xfId="25441"/>
    <cellStyle name="메모 14 17 3" xfId="25442"/>
    <cellStyle name="메모 14 18" xfId="25443"/>
    <cellStyle name="메모 14 18 2" xfId="25444"/>
    <cellStyle name="메모 14 18 3" xfId="25445"/>
    <cellStyle name="메모 14 19" xfId="25446"/>
    <cellStyle name="메모 14 19 2" xfId="25447"/>
    <cellStyle name="메모 14 19 3" xfId="25448"/>
    <cellStyle name="메모 14 2" xfId="25449"/>
    <cellStyle name="메모 14 2 2" xfId="25450"/>
    <cellStyle name="메모 14 2 3" xfId="25451"/>
    <cellStyle name="메모 14 20" xfId="25452"/>
    <cellStyle name="메모 14 20 2" xfId="25453"/>
    <cellStyle name="메모 14 20 3" xfId="25454"/>
    <cellStyle name="메모 14 21" xfId="25455"/>
    <cellStyle name="메모 14 21 2" xfId="25456"/>
    <cellStyle name="메모 14 21 3" xfId="25457"/>
    <cellStyle name="메모 14 22" xfId="25458"/>
    <cellStyle name="메모 14 22 2" xfId="25459"/>
    <cellStyle name="메모 14 22 3" xfId="25460"/>
    <cellStyle name="메모 14 23" xfId="25461"/>
    <cellStyle name="메모 14 23 2" xfId="25462"/>
    <cellStyle name="메모 14 23 3" xfId="25463"/>
    <cellStyle name="메모 14 24" xfId="25464"/>
    <cellStyle name="메모 14 24 2" xfId="25465"/>
    <cellStyle name="메모 14 24 3" xfId="25466"/>
    <cellStyle name="메모 14 25" xfId="25467"/>
    <cellStyle name="메모 14 25 2" xfId="25468"/>
    <cellStyle name="메모 14 25 3" xfId="25469"/>
    <cellStyle name="메모 14 26" xfId="25470"/>
    <cellStyle name="메모 14 26 2" xfId="25471"/>
    <cellStyle name="메모 14 26 3" xfId="25472"/>
    <cellStyle name="메모 14 27" xfId="25473"/>
    <cellStyle name="메모 14 27 2" xfId="25474"/>
    <cellStyle name="메모 14 27 3" xfId="25475"/>
    <cellStyle name="메모 14 28" xfId="25476"/>
    <cellStyle name="메모 14 28 2" xfId="25477"/>
    <cellStyle name="메모 14 28 3" xfId="25478"/>
    <cellStyle name="메모 14 29" xfId="25479"/>
    <cellStyle name="메모 14 29 2" xfId="25480"/>
    <cellStyle name="메모 14 29 3" xfId="25481"/>
    <cellStyle name="메모 14 3" xfId="25482"/>
    <cellStyle name="메모 14 3 2" xfId="25483"/>
    <cellStyle name="메모 14 3 3" xfId="25484"/>
    <cellStyle name="메모 14 30" xfId="25485"/>
    <cellStyle name="메모 14 30 2" xfId="25486"/>
    <cellStyle name="메모 14 30 3" xfId="25487"/>
    <cellStyle name="메모 14 31" xfId="25488"/>
    <cellStyle name="메모 14 31 2" xfId="25489"/>
    <cellStyle name="메모 14 31 3" xfId="25490"/>
    <cellStyle name="메모 14 32" xfId="25491"/>
    <cellStyle name="메모 14 32 2" xfId="25492"/>
    <cellStyle name="메모 14 32 3" xfId="25493"/>
    <cellStyle name="메모 14 33" xfId="25494"/>
    <cellStyle name="메모 14 33 2" xfId="25495"/>
    <cellStyle name="메모 14 33 3" xfId="25496"/>
    <cellStyle name="메모 14 34" xfId="25497"/>
    <cellStyle name="메모 14 34 2" xfId="25498"/>
    <cellStyle name="메모 14 34 3" xfId="25499"/>
    <cellStyle name="메모 14 35" xfId="25500"/>
    <cellStyle name="메모 14 35 2" xfId="25501"/>
    <cellStyle name="메모 14 35 3" xfId="25502"/>
    <cellStyle name="메모 14 36" xfId="25503"/>
    <cellStyle name="메모 14 36 2" xfId="25504"/>
    <cellStyle name="메모 14 36 3" xfId="25505"/>
    <cellStyle name="메모 14 37" xfId="25506"/>
    <cellStyle name="메모 14 37 2" xfId="25507"/>
    <cellStyle name="메모 14 37 3" xfId="25508"/>
    <cellStyle name="메모 14 38" xfId="25509"/>
    <cellStyle name="메모 14 38 2" xfId="25510"/>
    <cellStyle name="메모 14 38 3" xfId="25511"/>
    <cellStyle name="메모 14 39" xfId="25512"/>
    <cellStyle name="메모 14 39 2" xfId="25513"/>
    <cellStyle name="메모 14 39 3" xfId="25514"/>
    <cellStyle name="메모 14 4" xfId="25515"/>
    <cellStyle name="메모 14 4 2" xfId="25516"/>
    <cellStyle name="메모 14 4 3" xfId="25517"/>
    <cellStyle name="메모 14 40" xfId="25518"/>
    <cellStyle name="메모 14 40 2" xfId="25519"/>
    <cellStyle name="메모 14 40 3" xfId="25520"/>
    <cellStyle name="메모 14 41" xfId="25521"/>
    <cellStyle name="메모 14 41 2" xfId="25522"/>
    <cellStyle name="메모 14 41 3" xfId="25523"/>
    <cellStyle name="메모 14 42" xfId="25524"/>
    <cellStyle name="메모 14 42 2" xfId="25525"/>
    <cellStyle name="메모 14 42 3" xfId="25526"/>
    <cellStyle name="메모 14 43" xfId="25527"/>
    <cellStyle name="메모 14 43 2" xfId="25528"/>
    <cellStyle name="메모 14 43 3" xfId="25529"/>
    <cellStyle name="메모 14 44" xfId="25530"/>
    <cellStyle name="메모 14 44 2" xfId="25531"/>
    <cellStyle name="메모 14 44 3" xfId="25532"/>
    <cellStyle name="메모 14 45" xfId="25533"/>
    <cellStyle name="메모 14 45 2" xfId="25534"/>
    <cellStyle name="메모 14 45 3" xfId="25535"/>
    <cellStyle name="메모 14 46" xfId="25536"/>
    <cellStyle name="메모 14 46 2" xfId="25537"/>
    <cellStyle name="메모 14 46 3" xfId="25538"/>
    <cellStyle name="메모 14 47" xfId="25539"/>
    <cellStyle name="메모 14 47 2" xfId="25540"/>
    <cellStyle name="메모 14 47 3" xfId="25541"/>
    <cellStyle name="메모 14 48" xfId="25542"/>
    <cellStyle name="메모 14 48 2" xfId="25543"/>
    <cellStyle name="메모 14 48 3" xfId="25544"/>
    <cellStyle name="메모 14 49" xfId="25545"/>
    <cellStyle name="메모 14 49 2" xfId="25546"/>
    <cellStyle name="메모 14 49 3" xfId="25547"/>
    <cellStyle name="메모 14 5" xfId="25548"/>
    <cellStyle name="메모 14 5 2" xfId="25549"/>
    <cellStyle name="메모 14 5 3" xfId="25550"/>
    <cellStyle name="메모 14 50" xfId="25551"/>
    <cellStyle name="메모 14 50 2" xfId="25552"/>
    <cellStyle name="메모 14 50 3" xfId="25553"/>
    <cellStyle name="메모 14 51" xfId="25554"/>
    <cellStyle name="메모 14 51 2" xfId="25555"/>
    <cellStyle name="메모 14 51 3" xfId="25556"/>
    <cellStyle name="메모 14 52" xfId="25557"/>
    <cellStyle name="메모 14 52 2" xfId="25558"/>
    <cellStyle name="메모 14 52 3" xfId="25559"/>
    <cellStyle name="메모 14 53" xfId="25560"/>
    <cellStyle name="메모 14 53 2" xfId="25561"/>
    <cellStyle name="메모 14 53 3" xfId="25562"/>
    <cellStyle name="메모 14 54" xfId="25563"/>
    <cellStyle name="메모 14 54 2" xfId="25564"/>
    <cellStyle name="메모 14 54 3" xfId="25565"/>
    <cellStyle name="메모 14 55" xfId="25566"/>
    <cellStyle name="메모 14 55 2" xfId="25567"/>
    <cellStyle name="메모 14 55 3" xfId="25568"/>
    <cellStyle name="메모 14 56" xfId="25569"/>
    <cellStyle name="메모 14 56 2" xfId="25570"/>
    <cellStyle name="메모 14 56 3" xfId="25571"/>
    <cellStyle name="메모 14 57" xfId="25572"/>
    <cellStyle name="메모 14 57 2" xfId="25573"/>
    <cellStyle name="메모 14 57 3" xfId="25574"/>
    <cellStyle name="메모 14 58" xfId="25575"/>
    <cellStyle name="메모 14 58 2" xfId="25576"/>
    <cellStyle name="메모 14 58 3" xfId="25577"/>
    <cellStyle name="메모 14 59" xfId="25578"/>
    <cellStyle name="메모 14 59 2" xfId="25579"/>
    <cellStyle name="메모 14 59 3" xfId="25580"/>
    <cellStyle name="메모 14 6" xfId="25581"/>
    <cellStyle name="메모 14 6 2" xfId="25582"/>
    <cellStyle name="메모 14 6 3" xfId="25583"/>
    <cellStyle name="메모 14 60" xfId="25584"/>
    <cellStyle name="메모 14 60 2" xfId="25585"/>
    <cellStyle name="메모 14 60 3" xfId="25586"/>
    <cellStyle name="메모 14 61" xfId="25587"/>
    <cellStyle name="메모 14 61 2" xfId="25588"/>
    <cellStyle name="메모 14 61 3" xfId="25589"/>
    <cellStyle name="메모 14 62" xfId="25590"/>
    <cellStyle name="메모 14 62 2" xfId="25591"/>
    <cellStyle name="메모 14 62 3" xfId="25592"/>
    <cellStyle name="메모 14 63" xfId="25593"/>
    <cellStyle name="메모 14 63 2" xfId="25594"/>
    <cellStyle name="메모 14 63 3" xfId="25595"/>
    <cellStyle name="메모 14 64" xfId="25596"/>
    <cellStyle name="메모 14 64 2" xfId="25597"/>
    <cellStyle name="메모 14 64 3" xfId="25598"/>
    <cellStyle name="메모 14 65" xfId="25599"/>
    <cellStyle name="메모 14 65 2" xfId="25600"/>
    <cellStyle name="메모 14 65 3" xfId="25601"/>
    <cellStyle name="메모 14 66" xfId="25602"/>
    <cellStyle name="메모 14 66 2" xfId="25603"/>
    <cellStyle name="메모 14 66 3" xfId="25604"/>
    <cellStyle name="메모 14 67" xfId="25605"/>
    <cellStyle name="메모 14 67 2" xfId="25606"/>
    <cellStyle name="메모 14 67 3" xfId="25607"/>
    <cellStyle name="메모 14 68" xfId="25608"/>
    <cellStyle name="메모 14 68 2" xfId="25609"/>
    <cellStyle name="메모 14 68 3" xfId="25610"/>
    <cellStyle name="메모 14 69" xfId="25611"/>
    <cellStyle name="메모 14 69 2" xfId="25612"/>
    <cellStyle name="메모 14 69 3" xfId="25613"/>
    <cellStyle name="메모 14 7" xfId="25614"/>
    <cellStyle name="메모 14 7 2" xfId="25615"/>
    <cellStyle name="메모 14 7 3" xfId="25616"/>
    <cellStyle name="메모 14 70" xfId="25617"/>
    <cellStyle name="메모 14 70 2" xfId="25618"/>
    <cellStyle name="메모 14 70 3" xfId="25619"/>
    <cellStyle name="메모 14 71" xfId="25620"/>
    <cellStyle name="메모 14 71 2" xfId="25621"/>
    <cellStyle name="메모 14 71 3" xfId="25622"/>
    <cellStyle name="메모 14 72" xfId="25623"/>
    <cellStyle name="메모 14 72 2" xfId="25624"/>
    <cellStyle name="메모 14 72 3" xfId="25625"/>
    <cellStyle name="메모 14 73" xfId="25626"/>
    <cellStyle name="메모 14 73 2" xfId="25627"/>
    <cellStyle name="메모 14 73 3" xfId="25628"/>
    <cellStyle name="메모 14 74" xfId="25629"/>
    <cellStyle name="메모 14 74 2" xfId="25630"/>
    <cellStyle name="메모 14 74 3" xfId="25631"/>
    <cellStyle name="메모 14 75" xfId="25632"/>
    <cellStyle name="메모 14 75 2" xfId="25633"/>
    <cellStyle name="메모 14 75 3" xfId="25634"/>
    <cellStyle name="메모 14 76" xfId="25635"/>
    <cellStyle name="메모 14 76 2" xfId="25636"/>
    <cellStyle name="메모 14 76 3" xfId="25637"/>
    <cellStyle name="메모 14 77" xfId="25638"/>
    <cellStyle name="메모 14 77 2" xfId="25639"/>
    <cellStyle name="메모 14 77 3" xfId="25640"/>
    <cellStyle name="메모 14 78" xfId="25641"/>
    <cellStyle name="메모 14 78 2" xfId="25642"/>
    <cellStyle name="메모 14 78 3" xfId="25643"/>
    <cellStyle name="메모 14 79" xfId="25644"/>
    <cellStyle name="메모 14 79 2" xfId="25645"/>
    <cellStyle name="메모 14 79 3" xfId="25646"/>
    <cellStyle name="메모 14 8" xfId="25647"/>
    <cellStyle name="메모 14 8 2" xfId="25648"/>
    <cellStyle name="메모 14 8 3" xfId="25649"/>
    <cellStyle name="메모 14 80" xfId="25650"/>
    <cellStyle name="메모 14 80 2" xfId="25651"/>
    <cellStyle name="메모 14 80 3" xfId="25652"/>
    <cellStyle name="메모 14 81" xfId="25653"/>
    <cellStyle name="메모 14 81 2" xfId="25654"/>
    <cellStyle name="메모 14 81 3" xfId="25655"/>
    <cellStyle name="메모 14 82" xfId="25656"/>
    <cellStyle name="메모 14 82 2" xfId="25657"/>
    <cellStyle name="메모 14 82 3" xfId="25658"/>
    <cellStyle name="메모 14 83" xfId="25659"/>
    <cellStyle name="메모 14 83 2" xfId="25660"/>
    <cellStyle name="메모 14 83 3" xfId="25661"/>
    <cellStyle name="메모 14 84" xfId="25662"/>
    <cellStyle name="메모 14 84 2" xfId="25663"/>
    <cellStyle name="메모 14 84 3" xfId="25664"/>
    <cellStyle name="메모 14 85" xfId="25665"/>
    <cellStyle name="메모 14 85 2" xfId="25666"/>
    <cellStyle name="메모 14 85 3" xfId="25667"/>
    <cellStyle name="메모 14 86" xfId="25668"/>
    <cellStyle name="메모 14 86 2" xfId="25669"/>
    <cellStyle name="메모 14 86 3" xfId="25670"/>
    <cellStyle name="메모 14 87" xfId="25671"/>
    <cellStyle name="메모 14 87 2" xfId="25672"/>
    <cellStyle name="메모 14 87 3" xfId="25673"/>
    <cellStyle name="메모 14 88" xfId="25674"/>
    <cellStyle name="메모 14 88 2" xfId="25675"/>
    <cellStyle name="메모 14 88 3" xfId="25676"/>
    <cellStyle name="메모 14 89" xfId="25677"/>
    <cellStyle name="메모 14 89 2" xfId="25678"/>
    <cellStyle name="메모 14 89 3" xfId="25679"/>
    <cellStyle name="메모 14 9" xfId="25680"/>
    <cellStyle name="메모 14 9 2" xfId="25681"/>
    <cellStyle name="메모 14 9 3" xfId="25682"/>
    <cellStyle name="메모 14 90" xfId="25683"/>
    <cellStyle name="메모 14 90 2" xfId="25684"/>
    <cellStyle name="메모 14 90 3" xfId="25685"/>
    <cellStyle name="메모 14 91" xfId="25686"/>
    <cellStyle name="메모 14 91 2" xfId="25687"/>
    <cellStyle name="메모 14 91 3" xfId="25688"/>
    <cellStyle name="메모 14 92" xfId="25689"/>
    <cellStyle name="메모 14 92 2" xfId="25690"/>
    <cellStyle name="메모 14 92 3" xfId="25691"/>
    <cellStyle name="메모 14 93" xfId="25692"/>
    <cellStyle name="메모 14 93 2" xfId="25693"/>
    <cellStyle name="메모 14 93 3" xfId="25694"/>
    <cellStyle name="메모 14 94" xfId="25695"/>
    <cellStyle name="메모 14 94 2" xfId="25696"/>
    <cellStyle name="메모 14 94 3" xfId="25697"/>
    <cellStyle name="메모 14 95" xfId="25698"/>
    <cellStyle name="메모 14 95 2" xfId="25699"/>
    <cellStyle name="메모 14 95 3" xfId="25700"/>
    <cellStyle name="메모 14 96" xfId="25701"/>
    <cellStyle name="메모 14 96 2" xfId="25702"/>
    <cellStyle name="메모 14 96 3" xfId="25703"/>
    <cellStyle name="메모 14 97" xfId="25704"/>
    <cellStyle name="메모 14 97 2" xfId="25705"/>
    <cellStyle name="메모 14 97 3" xfId="25706"/>
    <cellStyle name="메모 14 98" xfId="25707"/>
    <cellStyle name="메모 14 98 2" xfId="25708"/>
    <cellStyle name="메모 14 98 3" xfId="25709"/>
    <cellStyle name="메모 14 99" xfId="25710"/>
    <cellStyle name="메모 14 99 2" xfId="25711"/>
    <cellStyle name="메모 14 99 3" xfId="25712"/>
    <cellStyle name="메모 15" xfId="25713"/>
    <cellStyle name="메모 15 10" xfId="25714"/>
    <cellStyle name="메모 15 10 2" xfId="25715"/>
    <cellStyle name="메모 15 10 3" xfId="25716"/>
    <cellStyle name="메모 15 100" xfId="25717"/>
    <cellStyle name="메모 15 100 2" xfId="25718"/>
    <cellStyle name="메모 15 100 3" xfId="25719"/>
    <cellStyle name="메모 15 101" xfId="25720"/>
    <cellStyle name="메모 15 101 2" xfId="25721"/>
    <cellStyle name="메모 15 101 3" xfId="25722"/>
    <cellStyle name="메모 15 102" xfId="25723"/>
    <cellStyle name="메모 15 102 2" xfId="25724"/>
    <cellStyle name="메모 15 102 3" xfId="25725"/>
    <cellStyle name="메모 15 103" xfId="25726"/>
    <cellStyle name="메모 15 103 2" xfId="25727"/>
    <cellStyle name="메모 15 103 3" xfId="25728"/>
    <cellStyle name="메모 15 104" xfId="25729"/>
    <cellStyle name="메모 15 104 2" xfId="25730"/>
    <cellStyle name="메모 15 104 3" xfId="25731"/>
    <cellStyle name="메모 15 105" xfId="25732"/>
    <cellStyle name="메모 15 105 2" xfId="25733"/>
    <cellStyle name="메모 15 105 3" xfId="25734"/>
    <cellStyle name="메모 15 106" xfId="25735"/>
    <cellStyle name="메모 15 106 2" xfId="25736"/>
    <cellStyle name="메모 15 106 3" xfId="25737"/>
    <cellStyle name="메모 15 107" xfId="25738"/>
    <cellStyle name="메모 15 107 2" xfId="25739"/>
    <cellStyle name="메모 15 107 3" xfId="25740"/>
    <cellStyle name="메모 15 108" xfId="25741"/>
    <cellStyle name="메모 15 108 2" xfId="25742"/>
    <cellStyle name="메모 15 108 3" xfId="25743"/>
    <cellStyle name="메모 15 109" xfId="25744"/>
    <cellStyle name="메모 15 109 2" xfId="25745"/>
    <cellStyle name="메모 15 109 3" xfId="25746"/>
    <cellStyle name="메모 15 11" xfId="25747"/>
    <cellStyle name="메모 15 11 2" xfId="25748"/>
    <cellStyle name="메모 15 11 3" xfId="25749"/>
    <cellStyle name="메모 15 110" xfId="25750"/>
    <cellStyle name="메모 15 110 2" xfId="25751"/>
    <cellStyle name="메모 15 110 3" xfId="25752"/>
    <cellStyle name="메모 15 111" xfId="25753"/>
    <cellStyle name="메모 15 111 2" xfId="25754"/>
    <cellStyle name="메모 15 111 3" xfId="25755"/>
    <cellStyle name="메모 15 112" xfId="25756"/>
    <cellStyle name="메모 15 112 2" xfId="25757"/>
    <cellStyle name="메모 15 112 3" xfId="25758"/>
    <cellStyle name="메모 15 113" xfId="25759"/>
    <cellStyle name="메모 15 114" xfId="25760"/>
    <cellStyle name="메모 15 12" xfId="25761"/>
    <cellStyle name="메모 15 12 2" xfId="25762"/>
    <cellStyle name="메모 15 12 3" xfId="25763"/>
    <cellStyle name="메모 15 13" xfId="25764"/>
    <cellStyle name="메모 15 13 2" xfId="25765"/>
    <cellStyle name="메모 15 13 3" xfId="25766"/>
    <cellStyle name="메모 15 14" xfId="25767"/>
    <cellStyle name="메모 15 14 2" xfId="25768"/>
    <cellStyle name="메모 15 14 3" xfId="25769"/>
    <cellStyle name="메모 15 15" xfId="25770"/>
    <cellStyle name="메모 15 15 2" xfId="25771"/>
    <cellStyle name="메모 15 15 3" xfId="25772"/>
    <cellStyle name="메모 15 16" xfId="25773"/>
    <cellStyle name="메모 15 16 2" xfId="25774"/>
    <cellStyle name="메모 15 16 3" xfId="25775"/>
    <cellStyle name="메모 15 17" xfId="25776"/>
    <cellStyle name="메모 15 17 2" xfId="25777"/>
    <cellStyle name="메모 15 17 3" xfId="25778"/>
    <cellStyle name="메모 15 18" xfId="25779"/>
    <cellStyle name="메모 15 18 2" xfId="25780"/>
    <cellStyle name="메모 15 18 3" xfId="25781"/>
    <cellStyle name="메모 15 19" xfId="25782"/>
    <cellStyle name="메모 15 19 2" xfId="25783"/>
    <cellStyle name="메모 15 19 3" xfId="25784"/>
    <cellStyle name="메모 15 2" xfId="25785"/>
    <cellStyle name="메모 15 2 2" xfId="25786"/>
    <cellStyle name="메모 15 2 3" xfId="25787"/>
    <cellStyle name="메모 15 20" xfId="25788"/>
    <cellStyle name="메모 15 20 2" xfId="25789"/>
    <cellStyle name="메모 15 20 3" xfId="25790"/>
    <cellStyle name="메모 15 21" xfId="25791"/>
    <cellStyle name="메모 15 21 2" xfId="25792"/>
    <cellStyle name="메모 15 21 3" xfId="25793"/>
    <cellStyle name="메모 15 22" xfId="25794"/>
    <cellStyle name="메모 15 22 2" xfId="25795"/>
    <cellStyle name="메모 15 22 3" xfId="25796"/>
    <cellStyle name="메모 15 23" xfId="25797"/>
    <cellStyle name="메모 15 23 2" xfId="25798"/>
    <cellStyle name="메모 15 23 3" xfId="25799"/>
    <cellStyle name="메모 15 24" xfId="25800"/>
    <cellStyle name="메모 15 24 2" xfId="25801"/>
    <cellStyle name="메모 15 24 3" xfId="25802"/>
    <cellStyle name="메모 15 25" xfId="25803"/>
    <cellStyle name="메모 15 25 2" xfId="25804"/>
    <cellStyle name="메모 15 25 3" xfId="25805"/>
    <cellStyle name="메모 15 26" xfId="25806"/>
    <cellStyle name="메모 15 26 2" xfId="25807"/>
    <cellStyle name="메모 15 26 3" xfId="25808"/>
    <cellStyle name="메모 15 27" xfId="25809"/>
    <cellStyle name="메모 15 27 2" xfId="25810"/>
    <cellStyle name="메모 15 27 3" xfId="25811"/>
    <cellStyle name="메모 15 28" xfId="25812"/>
    <cellStyle name="메모 15 28 2" xfId="25813"/>
    <cellStyle name="메모 15 28 3" xfId="25814"/>
    <cellStyle name="메모 15 29" xfId="25815"/>
    <cellStyle name="메모 15 29 2" xfId="25816"/>
    <cellStyle name="메모 15 29 3" xfId="25817"/>
    <cellStyle name="메모 15 3" xfId="25818"/>
    <cellStyle name="메모 15 3 2" xfId="25819"/>
    <cellStyle name="메모 15 3 3" xfId="25820"/>
    <cellStyle name="메모 15 30" xfId="25821"/>
    <cellStyle name="메모 15 30 2" xfId="25822"/>
    <cellStyle name="메모 15 30 3" xfId="25823"/>
    <cellStyle name="메모 15 31" xfId="25824"/>
    <cellStyle name="메모 15 31 2" xfId="25825"/>
    <cellStyle name="메모 15 31 3" xfId="25826"/>
    <cellStyle name="메모 15 32" xfId="25827"/>
    <cellStyle name="메모 15 32 2" xfId="25828"/>
    <cellStyle name="메모 15 32 3" xfId="25829"/>
    <cellStyle name="메모 15 33" xfId="25830"/>
    <cellStyle name="메모 15 33 2" xfId="25831"/>
    <cellStyle name="메모 15 33 3" xfId="25832"/>
    <cellStyle name="메모 15 34" xfId="25833"/>
    <cellStyle name="메모 15 34 2" xfId="25834"/>
    <cellStyle name="메모 15 34 3" xfId="25835"/>
    <cellStyle name="메모 15 35" xfId="25836"/>
    <cellStyle name="메모 15 35 2" xfId="25837"/>
    <cellStyle name="메모 15 35 3" xfId="25838"/>
    <cellStyle name="메모 15 36" xfId="25839"/>
    <cellStyle name="메모 15 36 2" xfId="25840"/>
    <cellStyle name="메모 15 36 3" xfId="25841"/>
    <cellStyle name="메모 15 37" xfId="25842"/>
    <cellStyle name="메모 15 37 2" xfId="25843"/>
    <cellStyle name="메모 15 37 3" xfId="25844"/>
    <cellStyle name="메모 15 38" xfId="25845"/>
    <cellStyle name="메모 15 38 2" xfId="25846"/>
    <cellStyle name="메모 15 38 3" xfId="25847"/>
    <cellStyle name="메모 15 39" xfId="25848"/>
    <cellStyle name="메모 15 39 2" xfId="25849"/>
    <cellStyle name="메모 15 39 3" xfId="25850"/>
    <cellStyle name="메모 15 4" xfId="25851"/>
    <cellStyle name="메모 15 4 2" xfId="25852"/>
    <cellStyle name="메모 15 4 3" xfId="25853"/>
    <cellStyle name="메모 15 40" xfId="25854"/>
    <cellStyle name="메모 15 40 2" xfId="25855"/>
    <cellStyle name="메모 15 40 3" xfId="25856"/>
    <cellStyle name="메모 15 41" xfId="25857"/>
    <cellStyle name="메모 15 41 2" xfId="25858"/>
    <cellStyle name="메모 15 41 3" xfId="25859"/>
    <cellStyle name="메모 15 42" xfId="25860"/>
    <cellStyle name="메모 15 42 2" xfId="25861"/>
    <cellStyle name="메모 15 42 3" xfId="25862"/>
    <cellStyle name="메모 15 43" xfId="25863"/>
    <cellStyle name="메모 15 43 2" xfId="25864"/>
    <cellStyle name="메모 15 43 3" xfId="25865"/>
    <cellStyle name="메모 15 44" xfId="25866"/>
    <cellStyle name="메모 15 44 2" xfId="25867"/>
    <cellStyle name="메모 15 44 3" xfId="25868"/>
    <cellStyle name="메모 15 45" xfId="25869"/>
    <cellStyle name="메모 15 45 2" xfId="25870"/>
    <cellStyle name="메모 15 45 3" xfId="25871"/>
    <cellStyle name="메모 15 46" xfId="25872"/>
    <cellStyle name="메모 15 46 2" xfId="25873"/>
    <cellStyle name="메모 15 46 3" xfId="25874"/>
    <cellStyle name="메모 15 47" xfId="25875"/>
    <cellStyle name="메모 15 47 2" xfId="25876"/>
    <cellStyle name="메모 15 47 3" xfId="25877"/>
    <cellStyle name="메모 15 48" xfId="25878"/>
    <cellStyle name="메모 15 48 2" xfId="25879"/>
    <cellStyle name="메모 15 48 3" xfId="25880"/>
    <cellStyle name="메모 15 49" xfId="25881"/>
    <cellStyle name="메모 15 49 2" xfId="25882"/>
    <cellStyle name="메모 15 49 3" xfId="25883"/>
    <cellStyle name="메모 15 5" xfId="25884"/>
    <cellStyle name="메모 15 5 2" xfId="25885"/>
    <cellStyle name="메모 15 5 3" xfId="25886"/>
    <cellStyle name="메모 15 50" xfId="25887"/>
    <cellStyle name="메모 15 50 2" xfId="25888"/>
    <cellStyle name="메모 15 50 3" xfId="25889"/>
    <cellStyle name="메모 15 51" xfId="25890"/>
    <cellStyle name="메모 15 51 2" xfId="25891"/>
    <cellStyle name="메모 15 51 3" xfId="25892"/>
    <cellStyle name="메모 15 52" xfId="25893"/>
    <cellStyle name="메모 15 52 2" xfId="25894"/>
    <cellStyle name="메모 15 52 3" xfId="25895"/>
    <cellStyle name="메모 15 53" xfId="25896"/>
    <cellStyle name="메모 15 53 2" xfId="25897"/>
    <cellStyle name="메모 15 53 3" xfId="25898"/>
    <cellStyle name="메모 15 54" xfId="25899"/>
    <cellStyle name="메모 15 54 2" xfId="25900"/>
    <cellStyle name="메모 15 54 3" xfId="25901"/>
    <cellStyle name="메모 15 55" xfId="25902"/>
    <cellStyle name="메모 15 55 2" xfId="25903"/>
    <cellStyle name="메모 15 55 3" xfId="25904"/>
    <cellStyle name="메모 15 56" xfId="25905"/>
    <cellStyle name="메모 15 56 2" xfId="25906"/>
    <cellStyle name="메모 15 56 3" xfId="25907"/>
    <cellStyle name="메모 15 57" xfId="25908"/>
    <cellStyle name="메모 15 57 2" xfId="25909"/>
    <cellStyle name="메모 15 57 3" xfId="25910"/>
    <cellStyle name="메모 15 58" xfId="25911"/>
    <cellStyle name="메모 15 58 2" xfId="25912"/>
    <cellStyle name="메모 15 58 3" xfId="25913"/>
    <cellStyle name="메모 15 59" xfId="25914"/>
    <cellStyle name="메모 15 59 2" xfId="25915"/>
    <cellStyle name="메모 15 59 3" xfId="25916"/>
    <cellStyle name="메모 15 6" xfId="25917"/>
    <cellStyle name="메모 15 6 2" xfId="25918"/>
    <cellStyle name="메모 15 6 3" xfId="25919"/>
    <cellStyle name="메모 15 60" xfId="25920"/>
    <cellStyle name="메모 15 60 2" xfId="25921"/>
    <cellStyle name="메모 15 60 3" xfId="25922"/>
    <cellStyle name="메모 15 61" xfId="25923"/>
    <cellStyle name="메모 15 61 2" xfId="25924"/>
    <cellStyle name="메모 15 61 3" xfId="25925"/>
    <cellStyle name="메모 15 62" xfId="25926"/>
    <cellStyle name="메모 15 62 2" xfId="25927"/>
    <cellStyle name="메모 15 62 3" xfId="25928"/>
    <cellStyle name="메모 15 63" xfId="25929"/>
    <cellStyle name="메모 15 63 2" xfId="25930"/>
    <cellStyle name="메모 15 63 3" xfId="25931"/>
    <cellStyle name="메모 15 64" xfId="25932"/>
    <cellStyle name="메모 15 64 2" xfId="25933"/>
    <cellStyle name="메모 15 64 3" xfId="25934"/>
    <cellStyle name="메모 15 65" xfId="25935"/>
    <cellStyle name="메모 15 65 2" xfId="25936"/>
    <cellStyle name="메모 15 65 3" xfId="25937"/>
    <cellStyle name="메모 15 66" xfId="25938"/>
    <cellStyle name="메모 15 66 2" xfId="25939"/>
    <cellStyle name="메모 15 66 3" xfId="25940"/>
    <cellStyle name="메모 15 67" xfId="25941"/>
    <cellStyle name="메모 15 67 2" xfId="25942"/>
    <cellStyle name="메모 15 67 3" xfId="25943"/>
    <cellStyle name="메모 15 68" xfId="25944"/>
    <cellStyle name="메모 15 68 2" xfId="25945"/>
    <cellStyle name="메모 15 68 3" xfId="25946"/>
    <cellStyle name="메모 15 69" xfId="25947"/>
    <cellStyle name="메모 15 69 2" xfId="25948"/>
    <cellStyle name="메모 15 69 3" xfId="25949"/>
    <cellStyle name="메모 15 7" xfId="25950"/>
    <cellStyle name="메모 15 7 2" xfId="25951"/>
    <cellStyle name="메모 15 7 3" xfId="25952"/>
    <cellStyle name="메모 15 70" xfId="25953"/>
    <cellStyle name="메모 15 70 2" xfId="25954"/>
    <cellStyle name="메모 15 70 3" xfId="25955"/>
    <cellStyle name="메모 15 71" xfId="25956"/>
    <cellStyle name="메모 15 71 2" xfId="25957"/>
    <cellStyle name="메모 15 71 3" xfId="25958"/>
    <cellStyle name="메모 15 72" xfId="25959"/>
    <cellStyle name="메모 15 72 2" xfId="25960"/>
    <cellStyle name="메모 15 72 3" xfId="25961"/>
    <cellStyle name="메모 15 73" xfId="25962"/>
    <cellStyle name="메모 15 73 2" xfId="25963"/>
    <cellStyle name="메모 15 73 3" xfId="25964"/>
    <cellStyle name="메모 15 74" xfId="25965"/>
    <cellStyle name="메모 15 74 2" xfId="25966"/>
    <cellStyle name="메모 15 74 3" xfId="25967"/>
    <cellStyle name="메모 15 75" xfId="25968"/>
    <cellStyle name="메모 15 75 2" xfId="25969"/>
    <cellStyle name="메모 15 75 3" xfId="25970"/>
    <cellStyle name="메모 15 76" xfId="25971"/>
    <cellStyle name="메모 15 76 2" xfId="25972"/>
    <cellStyle name="메모 15 76 3" xfId="25973"/>
    <cellStyle name="메모 15 77" xfId="25974"/>
    <cellStyle name="메모 15 77 2" xfId="25975"/>
    <cellStyle name="메모 15 77 3" xfId="25976"/>
    <cellStyle name="메모 15 78" xfId="25977"/>
    <cellStyle name="메모 15 78 2" xfId="25978"/>
    <cellStyle name="메모 15 78 3" xfId="25979"/>
    <cellStyle name="메모 15 79" xfId="25980"/>
    <cellStyle name="메모 15 79 2" xfId="25981"/>
    <cellStyle name="메모 15 79 3" xfId="25982"/>
    <cellStyle name="메모 15 8" xfId="25983"/>
    <cellStyle name="메모 15 8 2" xfId="25984"/>
    <cellStyle name="메모 15 8 3" xfId="25985"/>
    <cellStyle name="메모 15 80" xfId="25986"/>
    <cellStyle name="메모 15 80 2" xfId="25987"/>
    <cellStyle name="메모 15 80 3" xfId="25988"/>
    <cellStyle name="메모 15 81" xfId="25989"/>
    <cellStyle name="메모 15 81 2" xfId="25990"/>
    <cellStyle name="메모 15 81 3" xfId="25991"/>
    <cellStyle name="메모 15 82" xfId="25992"/>
    <cellStyle name="메모 15 82 2" xfId="25993"/>
    <cellStyle name="메모 15 82 3" xfId="25994"/>
    <cellStyle name="메모 15 83" xfId="25995"/>
    <cellStyle name="메모 15 83 2" xfId="25996"/>
    <cellStyle name="메모 15 83 3" xfId="25997"/>
    <cellStyle name="메모 15 84" xfId="25998"/>
    <cellStyle name="메모 15 84 2" xfId="25999"/>
    <cellStyle name="메모 15 84 3" xfId="26000"/>
    <cellStyle name="메모 15 85" xfId="26001"/>
    <cellStyle name="메모 15 85 2" xfId="26002"/>
    <cellStyle name="메모 15 85 3" xfId="26003"/>
    <cellStyle name="메모 15 86" xfId="26004"/>
    <cellStyle name="메모 15 86 2" xfId="26005"/>
    <cellStyle name="메모 15 86 3" xfId="26006"/>
    <cellStyle name="메모 15 87" xfId="26007"/>
    <cellStyle name="메모 15 87 2" xfId="26008"/>
    <cellStyle name="메모 15 87 3" xfId="26009"/>
    <cellStyle name="메모 15 88" xfId="26010"/>
    <cellStyle name="메모 15 88 2" xfId="26011"/>
    <cellStyle name="메모 15 88 3" xfId="26012"/>
    <cellStyle name="메모 15 89" xfId="26013"/>
    <cellStyle name="메모 15 89 2" xfId="26014"/>
    <cellStyle name="메모 15 89 3" xfId="26015"/>
    <cellStyle name="메모 15 9" xfId="26016"/>
    <cellStyle name="메모 15 9 2" xfId="26017"/>
    <cellStyle name="메모 15 9 3" xfId="26018"/>
    <cellStyle name="메모 15 90" xfId="26019"/>
    <cellStyle name="메모 15 90 2" xfId="26020"/>
    <cellStyle name="메모 15 90 3" xfId="26021"/>
    <cellStyle name="메모 15 91" xfId="26022"/>
    <cellStyle name="메모 15 91 2" xfId="26023"/>
    <cellStyle name="메모 15 91 3" xfId="26024"/>
    <cellStyle name="메모 15 92" xfId="26025"/>
    <cellStyle name="메모 15 92 2" xfId="26026"/>
    <cellStyle name="메모 15 92 3" xfId="26027"/>
    <cellStyle name="메모 15 93" xfId="26028"/>
    <cellStyle name="메모 15 93 2" xfId="26029"/>
    <cellStyle name="메모 15 93 3" xfId="26030"/>
    <cellStyle name="메모 15 94" xfId="26031"/>
    <cellStyle name="메모 15 94 2" xfId="26032"/>
    <cellStyle name="메모 15 94 3" xfId="26033"/>
    <cellStyle name="메모 15 95" xfId="26034"/>
    <cellStyle name="메모 15 95 2" xfId="26035"/>
    <cellStyle name="메모 15 95 3" xfId="26036"/>
    <cellStyle name="메모 15 96" xfId="26037"/>
    <cellStyle name="메모 15 96 2" xfId="26038"/>
    <cellStyle name="메모 15 96 3" xfId="26039"/>
    <cellStyle name="메모 15 97" xfId="26040"/>
    <cellStyle name="메모 15 97 2" xfId="26041"/>
    <cellStyle name="메모 15 97 3" xfId="26042"/>
    <cellStyle name="메모 15 98" xfId="26043"/>
    <cellStyle name="메모 15 98 2" xfId="26044"/>
    <cellStyle name="메모 15 98 3" xfId="26045"/>
    <cellStyle name="메모 15 99" xfId="26046"/>
    <cellStyle name="메모 15 99 2" xfId="26047"/>
    <cellStyle name="메모 15 99 3" xfId="26048"/>
    <cellStyle name="메모 16" xfId="26049"/>
    <cellStyle name="메모 16 10" xfId="26050"/>
    <cellStyle name="메모 16 10 2" xfId="26051"/>
    <cellStyle name="메모 16 10 3" xfId="26052"/>
    <cellStyle name="메모 16 100" xfId="26053"/>
    <cellStyle name="메모 16 100 2" xfId="26054"/>
    <cellStyle name="메모 16 100 3" xfId="26055"/>
    <cellStyle name="메모 16 101" xfId="26056"/>
    <cellStyle name="메모 16 101 2" xfId="26057"/>
    <cellStyle name="메모 16 101 3" xfId="26058"/>
    <cellStyle name="메모 16 102" xfId="26059"/>
    <cellStyle name="메모 16 102 2" xfId="26060"/>
    <cellStyle name="메모 16 102 3" xfId="26061"/>
    <cellStyle name="메모 16 103" xfId="26062"/>
    <cellStyle name="메모 16 103 2" xfId="26063"/>
    <cellStyle name="메모 16 103 3" xfId="26064"/>
    <cellStyle name="메모 16 104" xfId="26065"/>
    <cellStyle name="메모 16 104 2" xfId="26066"/>
    <cellStyle name="메모 16 104 3" xfId="26067"/>
    <cellStyle name="메모 16 105" xfId="26068"/>
    <cellStyle name="메모 16 105 2" xfId="26069"/>
    <cellStyle name="메모 16 105 3" xfId="26070"/>
    <cellStyle name="메모 16 106" xfId="26071"/>
    <cellStyle name="메모 16 106 2" xfId="26072"/>
    <cellStyle name="메모 16 106 3" xfId="26073"/>
    <cellStyle name="메모 16 107" xfId="26074"/>
    <cellStyle name="메모 16 107 2" xfId="26075"/>
    <cellStyle name="메모 16 107 3" xfId="26076"/>
    <cellStyle name="메모 16 108" xfId="26077"/>
    <cellStyle name="메모 16 108 2" xfId="26078"/>
    <cellStyle name="메모 16 108 3" xfId="26079"/>
    <cellStyle name="메모 16 109" xfId="26080"/>
    <cellStyle name="메모 16 109 2" xfId="26081"/>
    <cellStyle name="메모 16 109 3" xfId="26082"/>
    <cellStyle name="메모 16 11" xfId="26083"/>
    <cellStyle name="메모 16 11 2" xfId="26084"/>
    <cellStyle name="메모 16 11 3" xfId="26085"/>
    <cellStyle name="메모 16 110" xfId="26086"/>
    <cellStyle name="메모 16 110 2" xfId="26087"/>
    <cellStyle name="메모 16 110 3" xfId="26088"/>
    <cellStyle name="메모 16 111" xfId="26089"/>
    <cellStyle name="메모 16 112" xfId="26090"/>
    <cellStyle name="메모 16 12" xfId="26091"/>
    <cellStyle name="메모 16 12 2" xfId="26092"/>
    <cellStyle name="메모 16 12 3" xfId="26093"/>
    <cellStyle name="메모 16 13" xfId="26094"/>
    <cellStyle name="메모 16 13 2" xfId="26095"/>
    <cellStyle name="메모 16 13 3" xfId="26096"/>
    <cellStyle name="메모 16 14" xfId="26097"/>
    <cellStyle name="메모 16 14 2" xfId="26098"/>
    <cellStyle name="메모 16 14 3" xfId="26099"/>
    <cellStyle name="메모 16 15" xfId="26100"/>
    <cellStyle name="메모 16 15 2" xfId="26101"/>
    <cellStyle name="메모 16 15 3" xfId="26102"/>
    <cellStyle name="메모 16 16" xfId="26103"/>
    <cellStyle name="메모 16 16 2" xfId="26104"/>
    <cellStyle name="메모 16 16 3" xfId="26105"/>
    <cellStyle name="메모 16 17" xfId="26106"/>
    <cellStyle name="메모 16 17 2" xfId="26107"/>
    <cellStyle name="메모 16 17 3" xfId="26108"/>
    <cellStyle name="메모 16 18" xfId="26109"/>
    <cellStyle name="메모 16 18 2" xfId="26110"/>
    <cellStyle name="메모 16 18 3" xfId="26111"/>
    <cellStyle name="메모 16 19" xfId="26112"/>
    <cellStyle name="메모 16 19 2" xfId="26113"/>
    <cellStyle name="메모 16 19 3" xfId="26114"/>
    <cellStyle name="메모 16 2" xfId="26115"/>
    <cellStyle name="메모 16 2 2" xfId="26116"/>
    <cellStyle name="메모 16 2 3" xfId="26117"/>
    <cellStyle name="메모 16 20" xfId="26118"/>
    <cellStyle name="메모 16 20 2" xfId="26119"/>
    <cellStyle name="메모 16 20 3" xfId="26120"/>
    <cellStyle name="메모 16 21" xfId="26121"/>
    <cellStyle name="메모 16 21 2" xfId="26122"/>
    <cellStyle name="메모 16 21 3" xfId="26123"/>
    <cellStyle name="메모 16 22" xfId="26124"/>
    <cellStyle name="메모 16 22 2" xfId="26125"/>
    <cellStyle name="메모 16 22 3" xfId="26126"/>
    <cellStyle name="메모 16 23" xfId="26127"/>
    <cellStyle name="메모 16 23 2" xfId="26128"/>
    <cellStyle name="메모 16 23 3" xfId="26129"/>
    <cellStyle name="메모 16 24" xfId="26130"/>
    <cellStyle name="메모 16 24 2" xfId="26131"/>
    <cellStyle name="메모 16 24 3" xfId="26132"/>
    <cellStyle name="메모 16 25" xfId="26133"/>
    <cellStyle name="메모 16 25 2" xfId="26134"/>
    <cellStyle name="메모 16 25 3" xfId="26135"/>
    <cellStyle name="메모 16 26" xfId="26136"/>
    <cellStyle name="메모 16 26 2" xfId="26137"/>
    <cellStyle name="메모 16 26 3" xfId="26138"/>
    <cellStyle name="메모 16 27" xfId="26139"/>
    <cellStyle name="메모 16 27 2" xfId="26140"/>
    <cellStyle name="메모 16 27 3" xfId="26141"/>
    <cellStyle name="메모 16 28" xfId="26142"/>
    <cellStyle name="메모 16 28 2" xfId="26143"/>
    <cellStyle name="메모 16 28 3" xfId="26144"/>
    <cellStyle name="메모 16 29" xfId="26145"/>
    <cellStyle name="메모 16 29 2" xfId="26146"/>
    <cellStyle name="메모 16 29 3" xfId="26147"/>
    <cellStyle name="메모 16 3" xfId="26148"/>
    <cellStyle name="메모 16 3 2" xfId="26149"/>
    <cellStyle name="메모 16 3 3" xfId="26150"/>
    <cellStyle name="메모 16 30" xfId="26151"/>
    <cellStyle name="메모 16 30 2" xfId="26152"/>
    <cellStyle name="메모 16 30 3" xfId="26153"/>
    <cellStyle name="메모 16 31" xfId="26154"/>
    <cellStyle name="메모 16 31 2" xfId="26155"/>
    <cellStyle name="메모 16 31 3" xfId="26156"/>
    <cellStyle name="메모 16 32" xfId="26157"/>
    <cellStyle name="메모 16 32 2" xfId="26158"/>
    <cellStyle name="메모 16 32 3" xfId="26159"/>
    <cellStyle name="메모 16 33" xfId="26160"/>
    <cellStyle name="메모 16 33 2" xfId="26161"/>
    <cellStyle name="메모 16 33 3" xfId="26162"/>
    <cellStyle name="메모 16 34" xfId="26163"/>
    <cellStyle name="메모 16 34 2" xfId="26164"/>
    <cellStyle name="메모 16 34 3" xfId="26165"/>
    <cellStyle name="메모 16 35" xfId="26166"/>
    <cellStyle name="메모 16 35 2" xfId="26167"/>
    <cellStyle name="메모 16 35 3" xfId="26168"/>
    <cellStyle name="메모 16 36" xfId="26169"/>
    <cellStyle name="메모 16 36 2" xfId="26170"/>
    <cellStyle name="메모 16 36 3" xfId="26171"/>
    <cellStyle name="메모 16 37" xfId="26172"/>
    <cellStyle name="메모 16 37 2" xfId="26173"/>
    <cellStyle name="메모 16 37 3" xfId="26174"/>
    <cellStyle name="메모 16 38" xfId="26175"/>
    <cellStyle name="메모 16 38 2" xfId="26176"/>
    <cellStyle name="메모 16 38 3" xfId="26177"/>
    <cellStyle name="메모 16 39" xfId="26178"/>
    <cellStyle name="메모 16 39 2" xfId="26179"/>
    <cellStyle name="메모 16 39 3" xfId="26180"/>
    <cellStyle name="메모 16 4" xfId="26181"/>
    <cellStyle name="메모 16 4 2" xfId="26182"/>
    <cellStyle name="메모 16 4 3" xfId="26183"/>
    <cellStyle name="메모 16 40" xfId="26184"/>
    <cellStyle name="메모 16 40 2" xfId="26185"/>
    <cellStyle name="메모 16 40 3" xfId="26186"/>
    <cellStyle name="메모 16 41" xfId="26187"/>
    <cellStyle name="메모 16 41 2" xfId="26188"/>
    <cellStyle name="메모 16 41 3" xfId="26189"/>
    <cellStyle name="메모 16 42" xfId="26190"/>
    <cellStyle name="메모 16 42 2" xfId="26191"/>
    <cellStyle name="메모 16 42 3" xfId="26192"/>
    <cellStyle name="메모 16 43" xfId="26193"/>
    <cellStyle name="메모 16 43 2" xfId="26194"/>
    <cellStyle name="메모 16 43 3" xfId="26195"/>
    <cellStyle name="메모 16 44" xfId="26196"/>
    <cellStyle name="메모 16 44 2" xfId="26197"/>
    <cellStyle name="메모 16 44 3" xfId="26198"/>
    <cellStyle name="메모 16 45" xfId="26199"/>
    <cellStyle name="메모 16 45 2" xfId="26200"/>
    <cellStyle name="메모 16 45 3" xfId="26201"/>
    <cellStyle name="메모 16 46" xfId="26202"/>
    <cellStyle name="메모 16 46 2" xfId="26203"/>
    <cellStyle name="메모 16 46 3" xfId="26204"/>
    <cellStyle name="메모 16 47" xfId="26205"/>
    <cellStyle name="메모 16 47 2" xfId="26206"/>
    <cellStyle name="메모 16 47 3" xfId="26207"/>
    <cellStyle name="메모 16 48" xfId="26208"/>
    <cellStyle name="메모 16 48 2" xfId="26209"/>
    <cellStyle name="메모 16 48 3" xfId="26210"/>
    <cellStyle name="메모 16 49" xfId="26211"/>
    <cellStyle name="메모 16 49 2" xfId="26212"/>
    <cellStyle name="메모 16 49 3" xfId="26213"/>
    <cellStyle name="메모 16 5" xfId="26214"/>
    <cellStyle name="메모 16 5 2" xfId="26215"/>
    <cellStyle name="메모 16 5 3" xfId="26216"/>
    <cellStyle name="메모 16 50" xfId="26217"/>
    <cellStyle name="메모 16 50 2" xfId="26218"/>
    <cellStyle name="메모 16 50 3" xfId="26219"/>
    <cellStyle name="메모 16 51" xfId="26220"/>
    <cellStyle name="메모 16 51 2" xfId="26221"/>
    <cellStyle name="메모 16 51 3" xfId="26222"/>
    <cellStyle name="메모 16 52" xfId="26223"/>
    <cellStyle name="메모 16 52 2" xfId="26224"/>
    <cellStyle name="메모 16 52 3" xfId="26225"/>
    <cellStyle name="메모 16 53" xfId="26226"/>
    <cellStyle name="메모 16 53 2" xfId="26227"/>
    <cellStyle name="메모 16 53 3" xfId="26228"/>
    <cellStyle name="메모 16 54" xfId="26229"/>
    <cellStyle name="메모 16 54 2" xfId="26230"/>
    <cellStyle name="메모 16 54 3" xfId="26231"/>
    <cellStyle name="메모 16 55" xfId="26232"/>
    <cellStyle name="메모 16 55 2" xfId="26233"/>
    <cellStyle name="메모 16 55 3" xfId="26234"/>
    <cellStyle name="메모 16 56" xfId="26235"/>
    <cellStyle name="메모 16 56 2" xfId="26236"/>
    <cellStyle name="메모 16 56 3" xfId="26237"/>
    <cellStyle name="메모 16 57" xfId="26238"/>
    <cellStyle name="메모 16 57 2" xfId="26239"/>
    <cellStyle name="메모 16 57 3" xfId="26240"/>
    <cellStyle name="메모 16 58" xfId="26241"/>
    <cellStyle name="메모 16 58 2" xfId="26242"/>
    <cellStyle name="메모 16 58 3" xfId="26243"/>
    <cellStyle name="메모 16 59" xfId="26244"/>
    <cellStyle name="메모 16 59 2" xfId="26245"/>
    <cellStyle name="메모 16 59 3" xfId="26246"/>
    <cellStyle name="메모 16 6" xfId="26247"/>
    <cellStyle name="메모 16 6 2" xfId="26248"/>
    <cellStyle name="메모 16 6 3" xfId="26249"/>
    <cellStyle name="메모 16 60" xfId="26250"/>
    <cellStyle name="메모 16 60 2" xfId="26251"/>
    <cellStyle name="메모 16 60 3" xfId="26252"/>
    <cellStyle name="메모 16 61" xfId="26253"/>
    <cellStyle name="메모 16 61 2" xfId="26254"/>
    <cellStyle name="메모 16 61 3" xfId="26255"/>
    <cellStyle name="메모 16 62" xfId="26256"/>
    <cellStyle name="메모 16 62 2" xfId="26257"/>
    <cellStyle name="메모 16 62 3" xfId="26258"/>
    <cellStyle name="메모 16 63" xfId="26259"/>
    <cellStyle name="메모 16 63 2" xfId="26260"/>
    <cellStyle name="메모 16 63 3" xfId="26261"/>
    <cellStyle name="메모 16 64" xfId="26262"/>
    <cellStyle name="메모 16 64 2" xfId="26263"/>
    <cellStyle name="메모 16 64 3" xfId="26264"/>
    <cellStyle name="메모 16 65" xfId="26265"/>
    <cellStyle name="메모 16 65 2" xfId="26266"/>
    <cellStyle name="메모 16 65 3" xfId="26267"/>
    <cellStyle name="메모 16 66" xfId="26268"/>
    <cellStyle name="메모 16 66 2" xfId="26269"/>
    <cellStyle name="메모 16 66 3" xfId="26270"/>
    <cellStyle name="메모 16 67" xfId="26271"/>
    <cellStyle name="메모 16 67 2" xfId="26272"/>
    <cellStyle name="메모 16 67 3" xfId="26273"/>
    <cellStyle name="메모 16 68" xfId="26274"/>
    <cellStyle name="메모 16 68 2" xfId="26275"/>
    <cellStyle name="메모 16 68 3" xfId="26276"/>
    <cellStyle name="메모 16 69" xfId="26277"/>
    <cellStyle name="메모 16 69 2" xfId="26278"/>
    <cellStyle name="메모 16 69 3" xfId="26279"/>
    <cellStyle name="메모 16 7" xfId="26280"/>
    <cellStyle name="메모 16 7 2" xfId="26281"/>
    <cellStyle name="메모 16 7 3" xfId="26282"/>
    <cellStyle name="메모 16 70" xfId="26283"/>
    <cellStyle name="메모 16 70 2" xfId="26284"/>
    <cellStyle name="메모 16 70 3" xfId="26285"/>
    <cellStyle name="메모 16 71" xfId="26286"/>
    <cellStyle name="메모 16 71 2" xfId="26287"/>
    <cellStyle name="메모 16 71 3" xfId="26288"/>
    <cellStyle name="메모 16 72" xfId="26289"/>
    <cellStyle name="메모 16 72 2" xfId="26290"/>
    <cellStyle name="메모 16 72 3" xfId="26291"/>
    <cellStyle name="메모 16 73" xfId="26292"/>
    <cellStyle name="메모 16 73 2" xfId="26293"/>
    <cellStyle name="메모 16 73 3" xfId="26294"/>
    <cellStyle name="메모 16 74" xfId="26295"/>
    <cellStyle name="메모 16 74 2" xfId="26296"/>
    <cellStyle name="메모 16 74 3" xfId="26297"/>
    <cellStyle name="메모 16 75" xfId="26298"/>
    <cellStyle name="메모 16 75 2" xfId="26299"/>
    <cellStyle name="메모 16 75 3" xfId="26300"/>
    <cellStyle name="메모 16 76" xfId="26301"/>
    <cellStyle name="메모 16 76 2" xfId="26302"/>
    <cellStyle name="메모 16 76 3" xfId="26303"/>
    <cellStyle name="메모 16 77" xfId="26304"/>
    <cellStyle name="메모 16 77 2" xfId="26305"/>
    <cellStyle name="메모 16 77 3" xfId="26306"/>
    <cellStyle name="메모 16 78" xfId="26307"/>
    <cellStyle name="메모 16 78 2" xfId="26308"/>
    <cellStyle name="메모 16 78 3" xfId="26309"/>
    <cellStyle name="메모 16 79" xfId="26310"/>
    <cellStyle name="메모 16 79 2" xfId="26311"/>
    <cellStyle name="메모 16 79 3" xfId="26312"/>
    <cellStyle name="메모 16 8" xfId="26313"/>
    <cellStyle name="메모 16 8 2" xfId="26314"/>
    <cellStyle name="메모 16 8 3" xfId="26315"/>
    <cellStyle name="메모 16 80" xfId="26316"/>
    <cellStyle name="메모 16 80 2" xfId="26317"/>
    <cellStyle name="메모 16 80 3" xfId="26318"/>
    <cellStyle name="메모 16 81" xfId="26319"/>
    <cellStyle name="메모 16 81 2" xfId="26320"/>
    <cellStyle name="메모 16 81 3" xfId="26321"/>
    <cellStyle name="메모 16 82" xfId="26322"/>
    <cellStyle name="메모 16 82 2" xfId="26323"/>
    <cellStyle name="메모 16 82 3" xfId="26324"/>
    <cellStyle name="메모 16 83" xfId="26325"/>
    <cellStyle name="메모 16 83 2" xfId="26326"/>
    <cellStyle name="메모 16 83 3" xfId="26327"/>
    <cellStyle name="메모 16 84" xfId="26328"/>
    <cellStyle name="메모 16 84 2" xfId="26329"/>
    <cellStyle name="메모 16 84 3" xfId="26330"/>
    <cellStyle name="메모 16 85" xfId="26331"/>
    <cellStyle name="메모 16 85 2" xfId="26332"/>
    <cellStyle name="메모 16 85 3" xfId="26333"/>
    <cellStyle name="메모 16 86" xfId="26334"/>
    <cellStyle name="메모 16 86 2" xfId="26335"/>
    <cellStyle name="메모 16 86 3" xfId="26336"/>
    <cellStyle name="메모 16 87" xfId="26337"/>
    <cellStyle name="메모 16 87 2" xfId="26338"/>
    <cellStyle name="메모 16 87 3" xfId="26339"/>
    <cellStyle name="메모 16 88" xfId="26340"/>
    <cellStyle name="메모 16 88 2" xfId="26341"/>
    <cellStyle name="메모 16 88 3" xfId="26342"/>
    <cellStyle name="메모 16 89" xfId="26343"/>
    <cellStyle name="메모 16 89 2" xfId="26344"/>
    <cellStyle name="메모 16 89 3" xfId="26345"/>
    <cellStyle name="메모 16 9" xfId="26346"/>
    <cellStyle name="메모 16 9 2" xfId="26347"/>
    <cellStyle name="메모 16 9 3" xfId="26348"/>
    <cellStyle name="메모 16 90" xfId="26349"/>
    <cellStyle name="메모 16 90 2" xfId="26350"/>
    <cellStyle name="메모 16 90 3" xfId="26351"/>
    <cellStyle name="메모 16 91" xfId="26352"/>
    <cellStyle name="메모 16 91 2" xfId="26353"/>
    <cellStyle name="메모 16 91 3" xfId="26354"/>
    <cellStyle name="메모 16 92" xfId="26355"/>
    <cellStyle name="메모 16 92 2" xfId="26356"/>
    <cellStyle name="메모 16 92 3" xfId="26357"/>
    <cellStyle name="메모 16 93" xfId="26358"/>
    <cellStyle name="메모 16 93 2" xfId="26359"/>
    <cellStyle name="메모 16 93 3" xfId="26360"/>
    <cellStyle name="메모 16 94" xfId="26361"/>
    <cellStyle name="메모 16 94 2" xfId="26362"/>
    <cellStyle name="메모 16 94 3" xfId="26363"/>
    <cellStyle name="메모 16 95" xfId="26364"/>
    <cellStyle name="메모 16 95 2" xfId="26365"/>
    <cellStyle name="메모 16 95 3" xfId="26366"/>
    <cellStyle name="메모 16 96" xfId="26367"/>
    <cellStyle name="메모 16 96 2" xfId="26368"/>
    <cellStyle name="메모 16 96 3" xfId="26369"/>
    <cellStyle name="메모 16 97" xfId="26370"/>
    <cellStyle name="메모 16 97 2" xfId="26371"/>
    <cellStyle name="메모 16 97 3" xfId="26372"/>
    <cellStyle name="메모 16 98" xfId="26373"/>
    <cellStyle name="메모 16 98 2" xfId="26374"/>
    <cellStyle name="메모 16 98 3" xfId="26375"/>
    <cellStyle name="메모 16 99" xfId="26376"/>
    <cellStyle name="메모 16 99 2" xfId="26377"/>
    <cellStyle name="메모 16 99 3" xfId="26378"/>
    <cellStyle name="메모 17" xfId="26379"/>
    <cellStyle name="메모 17 10" xfId="26380"/>
    <cellStyle name="메모 17 10 2" xfId="26381"/>
    <cellStyle name="메모 17 10 3" xfId="26382"/>
    <cellStyle name="메모 17 100" xfId="26383"/>
    <cellStyle name="메모 17 100 2" xfId="26384"/>
    <cellStyle name="메모 17 100 3" xfId="26385"/>
    <cellStyle name="메모 17 101" xfId="26386"/>
    <cellStyle name="메모 17 101 2" xfId="26387"/>
    <cellStyle name="메모 17 101 3" xfId="26388"/>
    <cellStyle name="메모 17 102" xfId="26389"/>
    <cellStyle name="메모 17 102 2" xfId="26390"/>
    <cellStyle name="메모 17 102 3" xfId="26391"/>
    <cellStyle name="메모 17 103" xfId="26392"/>
    <cellStyle name="메모 17 103 2" xfId="26393"/>
    <cellStyle name="메모 17 103 3" xfId="26394"/>
    <cellStyle name="메모 17 104" xfId="26395"/>
    <cellStyle name="메모 17 104 2" xfId="26396"/>
    <cellStyle name="메모 17 104 3" xfId="26397"/>
    <cellStyle name="메모 17 105" xfId="26398"/>
    <cellStyle name="메모 17 105 2" xfId="26399"/>
    <cellStyle name="메모 17 105 3" xfId="26400"/>
    <cellStyle name="메모 17 106" xfId="26401"/>
    <cellStyle name="메모 17 106 2" xfId="26402"/>
    <cellStyle name="메모 17 106 3" xfId="26403"/>
    <cellStyle name="메모 17 107" xfId="26404"/>
    <cellStyle name="메모 17 107 2" xfId="26405"/>
    <cellStyle name="메모 17 107 3" xfId="26406"/>
    <cellStyle name="메모 17 108" xfId="26407"/>
    <cellStyle name="메모 17 108 2" xfId="26408"/>
    <cellStyle name="메모 17 108 3" xfId="26409"/>
    <cellStyle name="메모 17 109" xfId="26410"/>
    <cellStyle name="메모 17 109 2" xfId="26411"/>
    <cellStyle name="메모 17 109 3" xfId="26412"/>
    <cellStyle name="메모 17 11" xfId="26413"/>
    <cellStyle name="메모 17 11 2" xfId="26414"/>
    <cellStyle name="메모 17 11 3" xfId="26415"/>
    <cellStyle name="메모 17 110" xfId="26416"/>
    <cellStyle name="메모 17 111" xfId="26417"/>
    <cellStyle name="메모 17 12" xfId="26418"/>
    <cellStyle name="메모 17 12 2" xfId="26419"/>
    <cellStyle name="메모 17 12 3" xfId="26420"/>
    <cellStyle name="메모 17 13" xfId="26421"/>
    <cellStyle name="메모 17 13 2" xfId="26422"/>
    <cellStyle name="메모 17 13 3" xfId="26423"/>
    <cellStyle name="메모 17 14" xfId="26424"/>
    <cellStyle name="메모 17 14 2" xfId="26425"/>
    <cellStyle name="메모 17 14 3" xfId="26426"/>
    <cellStyle name="메모 17 15" xfId="26427"/>
    <cellStyle name="메모 17 15 2" xfId="26428"/>
    <cellStyle name="메모 17 15 3" xfId="26429"/>
    <cellStyle name="메모 17 16" xfId="26430"/>
    <cellStyle name="메모 17 16 2" xfId="26431"/>
    <cellStyle name="메모 17 16 3" xfId="26432"/>
    <cellStyle name="메모 17 17" xfId="26433"/>
    <cellStyle name="메모 17 17 2" xfId="26434"/>
    <cellStyle name="메모 17 17 3" xfId="26435"/>
    <cellStyle name="메모 17 18" xfId="26436"/>
    <cellStyle name="메모 17 18 2" xfId="26437"/>
    <cellStyle name="메모 17 18 3" xfId="26438"/>
    <cellStyle name="메모 17 19" xfId="26439"/>
    <cellStyle name="메모 17 19 2" xfId="26440"/>
    <cellStyle name="메모 17 19 3" xfId="26441"/>
    <cellStyle name="메모 17 2" xfId="26442"/>
    <cellStyle name="메모 17 2 2" xfId="26443"/>
    <cellStyle name="메모 17 2 3" xfId="26444"/>
    <cellStyle name="메모 17 20" xfId="26445"/>
    <cellStyle name="메모 17 20 2" xfId="26446"/>
    <cellStyle name="메모 17 20 3" xfId="26447"/>
    <cellStyle name="메모 17 21" xfId="26448"/>
    <cellStyle name="메모 17 21 2" xfId="26449"/>
    <cellStyle name="메모 17 21 3" xfId="26450"/>
    <cellStyle name="메모 17 22" xfId="26451"/>
    <cellStyle name="메모 17 22 2" xfId="26452"/>
    <cellStyle name="메모 17 22 3" xfId="26453"/>
    <cellStyle name="메모 17 23" xfId="26454"/>
    <cellStyle name="메모 17 23 2" xfId="26455"/>
    <cellStyle name="메모 17 23 3" xfId="26456"/>
    <cellStyle name="메모 17 24" xfId="26457"/>
    <cellStyle name="메모 17 24 2" xfId="26458"/>
    <cellStyle name="메모 17 24 3" xfId="26459"/>
    <cellStyle name="메모 17 25" xfId="26460"/>
    <cellStyle name="메모 17 25 2" xfId="26461"/>
    <cellStyle name="메모 17 25 3" xfId="26462"/>
    <cellStyle name="메모 17 26" xfId="26463"/>
    <cellStyle name="메모 17 26 2" xfId="26464"/>
    <cellStyle name="메모 17 26 3" xfId="26465"/>
    <cellStyle name="메모 17 27" xfId="26466"/>
    <cellStyle name="메모 17 27 2" xfId="26467"/>
    <cellStyle name="메모 17 27 3" xfId="26468"/>
    <cellStyle name="메모 17 28" xfId="26469"/>
    <cellStyle name="메모 17 28 2" xfId="26470"/>
    <cellStyle name="메모 17 28 3" xfId="26471"/>
    <cellStyle name="메모 17 29" xfId="26472"/>
    <cellStyle name="메모 17 29 2" xfId="26473"/>
    <cellStyle name="메모 17 29 3" xfId="26474"/>
    <cellStyle name="메모 17 3" xfId="26475"/>
    <cellStyle name="메모 17 3 2" xfId="26476"/>
    <cellStyle name="메모 17 3 3" xfId="26477"/>
    <cellStyle name="메모 17 30" xfId="26478"/>
    <cellStyle name="메모 17 30 2" xfId="26479"/>
    <cellStyle name="메모 17 30 3" xfId="26480"/>
    <cellStyle name="메모 17 31" xfId="26481"/>
    <cellStyle name="메모 17 31 2" xfId="26482"/>
    <cellStyle name="메모 17 31 3" xfId="26483"/>
    <cellStyle name="메모 17 32" xfId="26484"/>
    <cellStyle name="메모 17 32 2" xfId="26485"/>
    <cellStyle name="메모 17 32 3" xfId="26486"/>
    <cellStyle name="메모 17 33" xfId="26487"/>
    <cellStyle name="메모 17 33 2" xfId="26488"/>
    <cellStyle name="메모 17 33 3" xfId="26489"/>
    <cellStyle name="메모 17 34" xfId="26490"/>
    <cellStyle name="메모 17 34 2" xfId="26491"/>
    <cellStyle name="메모 17 34 3" xfId="26492"/>
    <cellStyle name="메모 17 35" xfId="26493"/>
    <cellStyle name="메모 17 35 2" xfId="26494"/>
    <cellStyle name="메모 17 35 3" xfId="26495"/>
    <cellStyle name="메모 17 36" xfId="26496"/>
    <cellStyle name="메모 17 36 2" xfId="26497"/>
    <cellStyle name="메모 17 36 3" xfId="26498"/>
    <cellStyle name="메모 17 37" xfId="26499"/>
    <cellStyle name="메모 17 37 2" xfId="26500"/>
    <cellStyle name="메모 17 37 3" xfId="26501"/>
    <cellStyle name="메모 17 38" xfId="26502"/>
    <cellStyle name="메모 17 38 2" xfId="26503"/>
    <cellStyle name="메모 17 38 3" xfId="26504"/>
    <cellStyle name="메모 17 39" xfId="26505"/>
    <cellStyle name="메모 17 39 2" xfId="26506"/>
    <cellStyle name="메모 17 39 3" xfId="26507"/>
    <cellStyle name="메모 17 4" xfId="26508"/>
    <cellStyle name="메모 17 4 2" xfId="26509"/>
    <cellStyle name="메모 17 4 3" xfId="26510"/>
    <cellStyle name="메모 17 40" xfId="26511"/>
    <cellStyle name="메모 17 40 2" xfId="26512"/>
    <cellStyle name="메모 17 40 3" xfId="26513"/>
    <cellStyle name="메모 17 41" xfId="26514"/>
    <cellStyle name="메모 17 41 2" xfId="26515"/>
    <cellStyle name="메모 17 41 3" xfId="26516"/>
    <cellStyle name="메모 17 42" xfId="26517"/>
    <cellStyle name="메모 17 42 2" xfId="26518"/>
    <cellStyle name="메모 17 42 3" xfId="26519"/>
    <cellStyle name="메모 17 43" xfId="26520"/>
    <cellStyle name="메모 17 43 2" xfId="26521"/>
    <cellStyle name="메모 17 43 3" xfId="26522"/>
    <cellStyle name="메모 17 44" xfId="26523"/>
    <cellStyle name="메모 17 44 2" xfId="26524"/>
    <cellStyle name="메모 17 44 3" xfId="26525"/>
    <cellStyle name="메모 17 45" xfId="26526"/>
    <cellStyle name="메모 17 45 2" xfId="26527"/>
    <cellStyle name="메모 17 45 3" xfId="26528"/>
    <cellStyle name="메모 17 46" xfId="26529"/>
    <cellStyle name="메모 17 46 2" xfId="26530"/>
    <cellStyle name="메모 17 46 3" xfId="26531"/>
    <cellStyle name="메모 17 47" xfId="26532"/>
    <cellStyle name="메모 17 47 2" xfId="26533"/>
    <cellStyle name="메모 17 47 3" xfId="26534"/>
    <cellStyle name="메모 17 48" xfId="26535"/>
    <cellStyle name="메모 17 48 2" xfId="26536"/>
    <cellStyle name="메모 17 48 3" xfId="26537"/>
    <cellStyle name="메모 17 49" xfId="26538"/>
    <cellStyle name="메모 17 49 2" xfId="26539"/>
    <cellStyle name="메모 17 49 3" xfId="26540"/>
    <cellStyle name="메모 17 5" xfId="26541"/>
    <cellStyle name="메모 17 5 2" xfId="26542"/>
    <cellStyle name="메모 17 5 3" xfId="26543"/>
    <cellStyle name="메모 17 50" xfId="26544"/>
    <cellStyle name="메모 17 50 2" xfId="26545"/>
    <cellStyle name="메모 17 50 3" xfId="26546"/>
    <cellStyle name="메모 17 51" xfId="26547"/>
    <cellStyle name="메모 17 51 2" xfId="26548"/>
    <cellStyle name="메모 17 51 3" xfId="26549"/>
    <cellStyle name="메모 17 52" xfId="26550"/>
    <cellStyle name="메모 17 52 2" xfId="26551"/>
    <cellStyle name="메모 17 52 3" xfId="26552"/>
    <cellStyle name="메모 17 53" xfId="26553"/>
    <cellStyle name="메모 17 53 2" xfId="26554"/>
    <cellStyle name="메모 17 53 3" xfId="26555"/>
    <cellStyle name="메모 17 54" xfId="26556"/>
    <cellStyle name="메모 17 54 2" xfId="26557"/>
    <cellStyle name="메모 17 54 3" xfId="26558"/>
    <cellStyle name="메모 17 55" xfId="26559"/>
    <cellStyle name="메모 17 55 2" xfId="26560"/>
    <cellStyle name="메모 17 55 3" xfId="26561"/>
    <cellStyle name="메모 17 56" xfId="26562"/>
    <cellStyle name="메모 17 56 2" xfId="26563"/>
    <cellStyle name="메모 17 56 3" xfId="26564"/>
    <cellStyle name="메모 17 57" xfId="26565"/>
    <cellStyle name="메모 17 57 2" xfId="26566"/>
    <cellStyle name="메모 17 57 3" xfId="26567"/>
    <cellStyle name="메모 17 58" xfId="26568"/>
    <cellStyle name="메모 17 58 2" xfId="26569"/>
    <cellStyle name="메모 17 58 3" xfId="26570"/>
    <cellStyle name="메모 17 59" xfId="26571"/>
    <cellStyle name="메모 17 59 2" xfId="26572"/>
    <cellStyle name="메모 17 59 3" xfId="26573"/>
    <cellStyle name="메모 17 6" xfId="26574"/>
    <cellStyle name="메모 17 6 2" xfId="26575"/>
    <cellStyle name="메모 17 6 3" xfId="26576"/>
    <cellStyle name="메모 17 60" xfId="26577"/>
    <cellStyle name="메모 17 60 2" xfId="26578"/>
    <cellStyle name="메모 17 60 3" xfId="26579"/>
    <cellStyle name="메모 17 61" xfId="26580"/>
    <cellStyle name="메모 17 61 2" xfId="26581"/>
    <cellStyle name="메모 17 61 3" xfId="26582"/>
    <cellStyle name="메모 17 62" xfId="26583"/>
    <cellStyle name="메모 17 62 2" xfId="26584"/>
    <cellStyle name="메모 17 62 3" xfId="26585"/>
    <cellStyle name="메모 17 63" xfId="26586"/>
    <cellStyle name="메모 17 63 2" xfId="26587"/>
    <cellStyle name="메모 17 63 3" xfId="26588"/>
    <cellStyle name="메모 17 64" xfId="26589"/>
    <cellStyle name="메모 17 64 2" xfId="26590"/>
    <cellStyle name="메모 17 64 3" xfId="26591"/>
    <cellStyle name="메모 17 65" xfId="26592"/>
    <cellStyle name="메모 17 65 2" xfId="26593"/>
    <cellStyle name="메모 17 65 3" xfId="26594"/>
    <cellStyle name="메모 17 66" xfId="26595"/>
    <cellStyle name="메모 17 66 2" xfId="26596"/>
    <cellStyle name="메모 17 66 3" xfId="26597"/>
    <cellStyle name="메모 17 67" xfId="26598"/>
    <cellStyle name="메모 17 67 2" xfId="26599"/>
    <cellStyle name="메모 17 67 3" xfId="26600"/>
    <cellStyle name="메모 17 68" xfId="26601"/>
    <cellStyle name="메모 17 68 2" xfId="26602"/>
    <cellStyle name="메모 17 68 3" xfId="26603"/>
    <cellStyle name="메모 17 69" xfId="26604"/>
    <cellStyle name="메모 17 69 2" xfId="26605"/>
    <cellStyle name="메모 17 69 3" xfId="26606"/>
    <cellStyle name="메모 17 7" xfId="26607"/>
    <cellStyle name="메모 17 7 2" xfId="26608"/>
    <cellStyle name="메모 17 7 3" xfId="26609"/>
    <cellStyle name="메모 17 70" xfId="26610"/>
    <cellStyle name="메모 17 70 2" xfId="26611"/>
    <cellStyle name="메모 17 70 3" xfId="26612"/>
    <cellStyle name="메모 17 71" xfId="26613"/>
    <cellStyle name="메모 17 71 2" xfId="26614"/>
    <cellStyle name="메모 17 71 3" xfId="26615"/>
    <cellStyle name="메모 17 72" xfId="26616"/>
    <cellStyle name="메모 17 72 2" xfId="26617"/>
    <cellStyle name="메모 17 72 3" xfId="26618"/>
    <cellStyle name="메모 17 73" xfId="26619"/>
    <cellStyle name="메모 17 73 2" xfId="26620"/>
    <cellStyle name="메모 17 73 3" xfId="26621"/>
    <cellStyle name="메모 17 74" xfId="26622"/>
    <cellStyle name="메모 17 74 2" xfId="26623"/>
    <cellStyle name="메모 17 74 3" xfId="26624"/>
    <cellStyle name="메모 17 75" xfId="26625"/>
    <cellStyle name="메모 17 75 2" xfId="26626"/>
    <cellStyle name="메모 17 75 3" xfId="26627"/>
    <cellStyle name="메모 17 76" xfId="26628"/>
    <cellStyle name="메모 17 76 2" xfId="26629"/>
    <cellStyle name="메모 17 76 3" xfId="26630"/>
    <cellStyle name="메모 17 77" xfId="26631"/>
    <cellStyle name="메모 17 77 2" xfId="26632"/>
    <cellStyle name="메모 17 77 3" xfId="26633"/>
    <cellStyle name="메모 17 78" xfId="26634"/>
    <cellStyle name="메모 17 78 2" xfId="26635"/>
    <cellStyle name="메모 17 78 3" xfId="26636"/>
    <cellStyle name="메모 17 79" xfId="26637"/>
    <cellStyle name="메모 17 79 2" xfId="26638"/>
    <cellStyle name="메모 17 79 3" xfId="26639"/>
    <cellStyle name="메모 17 8" xfId="26640"/>
    <cellStyle name="메모 17 8 2" xfId="26641"/>
    <cellStyle name="메모 17 8 3" xfId="26642"/>
    <cellStyle name="메모 17 80" xfId="26643"/>
    <cellStyle name="메모 17 80 2" xfId="26644"/>
    <cellStyle name="메모 17 80 3" xfId="26645"/>
    <cellStyle name="메모 17 81" xfId="26646"/>
    <cellStyle name="메모 17 81 2" xfId="26647"/>
    <cellStyle name="메모 17 81 3" xfId="26648"/>
    <cellStyle name="메모 17 82" xfId="26649"/>
    <cellStyle name="메모 17 82 2" xfId="26650"/>
    <cellStyle name="메모 17 82 3" xfId="26651"/>
    <cellStyle name="메모 17 83" xfId="26652"/>
    <cellStyle name="메모 17 83 2" xfId="26653"/>
    <cellStyle name="메모 17 83 3" xfId="26654"/>
    <cellStyle name="메모 17 84" xfId="26655"/>
    <cellStyle name="메모 17 84 2" xfId="26656"/>
    <cellStyle name="메모 17 84 3" xfId="26657"/>
    <cellStyle name="메모 17 85" xfId="26658"/>
    <cellStyle name="메모 17 85 2" xfId="26659"/>
    <cellStyle name="메모 17 85 3" xfId="26660"/>
    <cellStyle name="메모 17 86" xfId="26661"/>
    <cellStyle name="메모 17 86 2" xfId="26662"/>
    <cellStyle name="메모 17 86 3" xfId="26663"/>
    <cellStyle name="메모 17 87" xfId="26664"/>
    <cellStyle name="메모 17 87 2" xfId="26665"/>
    <cellStyle name="메모 17 87 3" xfId="26666"/>
    <cellStyle name="메모 17 88" xfId="26667"/>
    <cellStyle name="메모 17 88 2" xfId="26668"/>
    <cellStyle name="메모 17 88 3" xfId="26669"/>
    <cellStyle name="메모 17 89" xfId="26670"/>
    <cellStyle name="메모 17 89 2" xfId="26671"/>
    <cellStyle name="메모 17 89 3" xfId="26672"/>
    <cellStyle name="메모 17 9" xfId="26673"/>
    <cellStyle name="메모 17 9 2" xfId="26674"/>
    <cellStyle name="메모 17 9 3" xfId="26675"/>
    <cellStyle name="메모 17 90" xfId="26676"/>
    <cellStyle name="메모 17 90 2" xfId="26677"/>
    <cellStyle name="메모 17 90 3" xfId="26678"/>
    <cellStyle name="메모 17 91" xfId="26679"/>
    <cellStyle name="메모 17 91 2" xfId="26680"/>
    <cellStyle name="메모 17 91 3" xfId="26681"/>
    <cellStyle name="메모 17 92" xfId="26682"/>
    <cellStyle name="메모 17 92 2" xfId="26683"/>
    <cellStyle name="메모 17 92 3" xfId="26684"/>
    <cellStyle name="메모 17 93" xfId="26685"/>
    <cellStyle name="메모 17 93 2" xfId="26686"/>
    <cellStyle name="메모 17 93 3" xfId="26687"/>
    <cellStyle name="메모 17 94" xfId="26688"/>
    <cellStyle name="메모 17 94 2" xfId="26689"/>
    <cellStyle name="메모 17 94 3" xfId="26690"/>
    <cellStyle name="메모 17 95" xfId="26691"/>
    <cellStyle name="메모 17 95 2" xfId="26692"/>
    <cellStyle name="메모 17 95 3" xfId="26693"/>
    <cellStyle name="메모 17 96" xfId="26694"/>
    <cellStyle name="메모 17 96 2" xfId="26695"/>
    <cellStyle name="메모 17 96 3" xfId="26696"/>
    <cellStyle name="메모 17 97" xfId="26697"/>
    <cellStyle name="메모 17 97 2" xfId="26698"/>
    <cellStyle name="메모 17 97 3" xfId="26699"/>
    <cellStyle name="메모 17 98" xfId="26700"/>
    <cellStyle name="메모 17 98 2" xfId="26701"/>
    <cellStyle name="메모 17 98 3" xfId="26702"/>
    <cellStyle name="메모 17 99" xfId="26703"/>
    <cellStyle name="메모 17 99 2" xfId="26704"/>
    <cellStyle name="메모 17 99 3" xfId="26705"/>
    <cellStyle name="메모 18" xfId="26706"/>
    <cellStyle name="메모 18 10" xfId="26707"/>
    <cellStyle name="메모 18 10 2" xfId="26708"/>
    <cellStyle name="메모 18 10 3" xfId="26709"/>
    <cellStyle name="메모 18 11" xfId="26710"/>
    <cellStyle name="메모 18 11 2" xfId="26711"/>
    <cellStyle name="메모 18 11 3" xfId="26712"/>
    <cellStyle name="메모 18 12" xfId="26713"/>
    <cellStyle name="메모 18 12 2" xfId="26714"/>
    <cellStyle name="메모 18 12 3" xfId="26715"/>
    <cellStyle name="메모 18 13" xfId="26716"/>
    <cellStyle name="메모 18 13 2" xfId="26717"/>
    <cellStyle name="메모 18 13 3" xfId="26718"/>
    <cellStyle name="메모 18 14" xfId="26719"/>
    <cellStyle name="메모 18 14 2" xfId="26720"/>
    <cellStyle name="메모 18 14 3" xfId="26721"/>
    <cellStyle name="메모 18 15" xfId="26722"/>
    <cellStyle name="메모 18 15 2" xfId="26723"/>
    <cellStyle name="메모 18 15 3" xfId="26724"/>
    <cellStyle name="메모 18 16" xfId="26725"/>
    <cellStyle name="메모 18 16 2" xfId="26726"/>
    <cellStyle name="메모 18 16 3" xfId="26727"/>
    <cellStyle name="메모 18 17" xfId="26728"/>
    <cellStyle name="메모 18 17 2" xfId="26729"/>
    <cellStyle name="메모 18 17 3" xfId="26730"/>
    <cellStyle name="메모 18 18" xfId="26731"/>
    <cellStyle name="메모 18 18 2" xfId="26732"/>
    <cellStyle name="메모 18 18 3" xfId="26733"/>
    <cellStyle name="메모 18 19" xfId="26734"/>
    <cellStyle name="메모 18 19 2" xfId="26735"/>
    <cellStyle name="메모 18 19 3" xfId="26736"/>
    <cellStyle name="메모 18 2" xfId="26737"/>
    <cellStyle name="메모 18 2 2" xfId="26738"/>
    <cellStyle name="메모 18 2 3" xfId="26739"/>
    <cellStyle name="메모 18 20" xfId="26740"/>
    <cellStyle name="메모 18 20 2" xfId="26741"/>
    <cellStyle name="메모 18 20 3" xfId="26742"/>
    <cellStyle name="메모 18 21" xfId="26743"/>
    <cellStyle name="메모 18 21 2" xfId="26744"/>
    <cellStyle name="메모 18 21 3" xfId="26745"/>
    <cellStyle name="메모 18 22" xfId="26746"/>
    <cellStyle name="메모 18 22 2" xfId="26747"/>
    <cellStyle name="메모 18 22 3" xfId="26748"/>
    <cellStyle name="메모 18 23" xfId="26749"/>
    <cellStyle name="메모 18 23 2" xfId="26750"/>
    <cellStyle name="메모 18 23 3" xfId="26751"/>
    <cellStyle name="메모 18 24" xfId="26752"/>
    <cellStyle name="메모 18 24 2" xfId="26753"/>
    <cellStyle name="메모 18 24 3" xfId="26754"/>
    <cellStyle name="메모 18 25" xfId="26755"/>
    <cellStyle name="메모 18 25 2" xfId="26756"/>
    <cellStyle name="메모 18 25 3" xfId="26757"/>
    <cellStyle name="메모 18 26" xfId="26758"/>
    <cellStyle name="메모 18 26 2" xfId="26759"/>
    <cellStyle name="메모 18 26 3" xfId="26760"/>
    <cellStyle name="메모 18 27" xfId="26761"/>
    <cellStyle name="메모 18 27 2" xfId="26762"/>
    <cellStyle name="메모 18 27 3" xfId="26763"/>
    <cellStyle name="메모 18 28" xfId="26764"/>
    <cellStyle name="메모 18 28 2" xfId="26765"/>
    <cellStyle name="메모 18 28 3" xfId="26766"/>
    <cellStyle name="메모 18 29" xfId="26767"/>
    <cellStyle name="메모 18 29 2" xfId="26768"/>
    <cellStyle name="메모 18 29 3" xfId="26769"/>
    <cellStyle name="메모 18 3" xfId="26770"/>
    <cellStyle name="메모 18 3 2" xfId="26771"/>
    <cellStyle name="메모 18 3 3" xfId="26772"/>
    <cellStyle name="메모 18 30" xfId="26773"/>
    <cellStyle name="메모 18 30 2" xfId="26774"/>
    <cellStyle name="메모 18 30 3" xfId="26775"/>
    <cellStyle name="메모 18 31" xfId="26776"/>
    <cellStyle name="메모 18 31 2" xfId="26777"/>
    <cellStyle name="메모 18 31 3" xfId="26778"/>
    <cellStyle name="메모 18 32" xfId="26779"/>
    <cellStyle name="메모 18 32 2" xfId="26780"/>
    <cellStyle name="메모 18 32 3" xfId="26781"/>
    <cellStyle name="메모 18 33" xfId="26782"/>
    <cellStyle name="메모 18 33 2" xfId="26783"/>
    <cellStyle name="메모 18 33 3" xfId="26784"/>
    <cellStyle name="메모 18 34" xfId="26785"/>
    <cellStyle name="메모 18 34 2" xfId="26786"/>
    <cellStyle name="메모 18 34 3" xfId="26787"/>
    <cellStyle name="메모 18 35" xfId="26788"/>
    <cellStyle name="메모 18 35 2" xfId="26789"/>
    <cellStyle name="메모 18 35 3" xfId="26790"/>
    <cellStyle name="메모 18 36" xfId="26791"/>
    <cellStyle name="메모 18 36 2" xfId="26792"/>
    <cellStyle name="메모 18 36 3" xfId="26793"/>
    <cellStyle name="메모 18 37" xfId="26794"/>
    <cellStyle name="메모 18 37 2" xfId="26795"/>
    <cellStyle name="메모 18 37 3" xfId="26796"/>
    <cellStyle name="메모 18 38" xfId="26797"/>
    <cellStyle name="메모 18 38 2" xfId="26798"/>
    <cellStyle name="메모 18 38 3" xfId="26799"/>
    <cellStyle name="메모 18 39" xfId="26800"/>
    <cellStyle name="메모 18 39 2" xfId="26801"/>
    <cellStyle name="메모 18 39 3" xfId="26802"/>
    <cellStyle name="메모 18 4" xfId="26803"/>
    <cellStyle name="메모 18 4 2" xfId="26804"/>
    <cellStyle name="메모 18 4 3" xfId="26805"/>
    <cellStyle name="메모 18 40" xfId="26806"/>
    <cellStyle name="메모 18 40 2" xfId="26807"/>
    <cellStyle name="메모 18 40 3" xfId="26808"/>
    <cellStyle name="메모 18 41" xfId="26809"/>
    <cellStyle name="메모 18 41 2" xfId="26810"/>
    <cellStyle name="메모 18 41 3" xfId="26811"/>
    <cellStyle name="메모 18 42" xfId="26812"/>
    <cellStyle name="메모 18 42 2" xfId="26813"/>
    <cellStyle name="메모 18 42 3" xfId="26814"/>
    <cellStyle name="메모 18 43" xfId="26815"/>
    <cellStyle name="메모 18 43 2" xfId="26816"/>
    <cellStyle name="메모 18 43 3" xfId="26817"/>
    <cellStyle name="메모 18 44" xfId="26818"/>
    <cellStyle name="메모 18 44 2" xfId="26819"/>
    <cellStyle name="메모 18 44 3" xfId="26820"/>
    <cellStyle name="메모 18 45" xfId="26821"/>
    <cellStyle name="메모 18 45 2" xfId="26822"/>
    <cellStyle name="메모 18 45 3" xfId="26823"/>
    <cellStyle name="메모 18 46" xfId="26824"/>
    <cellStyle name="메모 18 46 2" xfId="26825"/>
    <cellStyle name="메모 18 46 3" xfId="26826"/>
    <cellStyle name="메모 18 47" xfId="26827"/>
    <cellStyle name="메모 18 47 2" xfId="26828"/>
    <cellStyle name="메모 18 47 3" xfId="26829"/>
    <cellStyle name="메모 18 48" xfId="26830"/>
    <cellStyle name="메모 18 48 2" xfId="26831"/>
    <cellStyle name="메모 18 48 3" xfId="26832"/>
    <cellStyle name="메모 18 49" xfId="26833"/>
    <cellStyle name="메모 18 49 2" xfId="26834"/>
    <cellStyle name="메모 18 49 3" xfId="26835"/>
    <cellStyle name="메모 18 5" xfId="26836"/>
    <cellStyle name="메모 18 5 2" xfId="26837"/>
    <cellStyle name="메모 18 5 3" xfId="26838"/>
    <cellStyle name="메모 18 50" xfId="26839"/>
    <cellStyle name="메모 18 50 2" xfId="26840"/>
    <cellStyle name="메모 18 50 3" xfId="26841"/>
    <cellStyle name="메모 18 51" xfId="26842"/>
    <cellStyle name="메모 18 51 2" xfId="26843"/>
    <cellStyle name="메모 18 51 3" xfId="26844"/>
    <cellStyle name="메모 18 52" xfId="26845"/>
    <cellStyle name="메모 18 52 2" xfId="26846"/>
    <cellStyle name="메모 18 52 3" xfId="26847"/>
    <cellStyle name="메모 18 53" xfId="26848"/>
    <cellStyle name="메모 18 53 2" xfId="26849"/>
    <cellStyle name="메모 18 53 3" xfId="26850"/>
    <cellStyle name="메모 18 54" xfId="26851"/>
    <cellStyle name="메모 18 54 2" xfId="26852"/>
    <cellStyle name="메모 18 54 3" xfId="26853"/>
    <cellStyle name="메모 18 55" xfId="26854"/>
    <cellStyle name="메모 18 55 2" xfId="26855"/>
    <cellStyle name="메모 18 55 3" xfId="26856"/>
    <cellStyle name="메모 18 56" xfId="26857"/>
    <cellStyle name="메모 18 56 2" xfId="26858"/>
    <cellStyle name="메모 18 56 3" xfId="26859"/>
    <cellStyle name="메모 18 57" xfId="26860"/>
    <cellStyle name="메모 18 57 2" xfId="26861"/>
    <cellStyle name="메모 18 57 3" xfId="26862"/>
    <cellStyle name="메모 18 58" xfId="26863"/>
    <cellStyle name="메모 18 58 2" xfId="26864"/>
    <cellStyle name="메모 18 58 3" xfId="26865"/>
    <cellStyle name="메모 18 59" xfId="26866"/>
    <cellStyle name="메모 18 59 2" xfId="26867"/>
    <cellStyle name="메모 18 59 3" xfId="26868"/>
    <cellStyle name="메모 18 6" xfId="26869"/>
    <cellStyle name="메모 18 6 2" xfId="26870"/>
    <cellStyle name="메모 18 6 3" xfId="26871"/>
    <cellStyle name="메모 18 60" xfId="26872"/>
    <cellStyle name="메모 18 60 2" xfId="26873"/>
    <cellStyle name="메모 18 60 3" xfId="26874"/>
    <cellStyle name="메모 18 61" xfId="26875"/>
    <cellStyle name="메모 18 61 2" xfId="26876"/>
    <cellStyle name="메모 18 61 3" xfId="26877"/>
    <cellStyle name="메모 18 62" xfId="26878"/>
    <cellStyle name="메모 18 62 2" xfId="26879"/>
    <cellStyle name="메모 18 62 3" xfId="26880"/>
    <cellStyle name="메모 18 63" xfId="26881"/>
    <cellStyle name="메모 18 63 2" xfId="26882"/>
    <cellStyle name="메모 18 63 3" xfId="26883"/>
    <cellStyle name="메모 18 64" xfId="26884"/>
    <cellStyle name="메모 18 64 2" xfId="26885"/>
    <cellStyle name="메모 18 64 3" xfId="26886"/>
    <cellStyle name="메모 18 65" xfId="26887"/>
    <cellStyle name="메모 18 65 2" xfId="26888"/>
    <cellStyle name="메모 18 65 3" xfId="26889"/>
    <cellStyle name="메모 18 66" xfId="26890"/>
    <cellStyle name="메모 18 66 2" xfId="26891"/>
    <cellStyle name="메모 18 66 3" xfId="26892"/>
    <cellStyle name="메모 18 67" xfId="26893"/>
    <cellStyle name="메모 18 67 2" xfId="26894"/>
    <cellStyle name="메모 18 67 3" xfId="26895"/>
    <cellStyle name="메모 18 68" xfId="26896"/>
    <cellStyle name="메모 18 68 2" xfId="26897"/>
    <cellStyle name="메모 18 68 3" xfId="26898"/>
    <cellStyle name="메모 18 69" xfId="26899"/>
    <cellStyle name="메모 18 69 2" xfId="26900"/>
    <cellStyle name="메모 18 69 3" xfId="26901"/>
    <cellStyle name="메모 18 7" xfId="26902"/>
    <cellStyle name="메모 18 7 2" xfId="26903"/>
    <cellStyle name="메모 18 7 3" xfId="26904"/>
    <cellStyle name="메모 18 70" xfId="26905"/>
    <cellStyle name="메모 18 70 2" xfId="26906"/>
    <cellStyle name="메모 18 70 3" xfId="26907"/>
    <cellStyle name="메모 18 71" xfId="26908"/>
    <cellStyle name="메모 18 71 2" xfId="26909"/>
    <cellStyle name="메모 18 71 3" xfId="26910"/>
    <cellStyle name="메모 18 72" xfId="26911"/>
    <cellStyle name="메모 18 72 2" xfId="26912"/>
    <cellStyle name="메모 18 72 3" xfId="26913"/>
    <cellStyle name="메모 18 73" xfId="26914"/>
    <cellStyle name="메모 18 73 2" xfId="26915"/>
    <cellStyle name="메모 18 73 3" xfId="26916"/>
    <cellStyle name="메모 18 74" xfId="26917"/>
    <cellStyle name="메모 18 74 2" xfId="26918"/>
    <cellStyle name="메모 18 74 3" xfId="26919"/>
    <cellStyle name="메모 18 75" xfId="26920"/>
    <cellStyle name="메모 18 75 2" xfId="26921"/>
    <cellStyle name="메모 18 75 3" xfId="26922"/>
    <cellStyle name="메모 18 76" xfId="26923"/>
    <cellStyle name="메모 18 76 2" xfId="26924"/>
    <cellStyle name="메모 18 76 3" xfId="26925"/>
    <cellStyle name="메모 18 77" xfId="26926"/>
    <cellStyle name="메모 18 77 2" xfId="26927"/>
    <cellStyle name="메모 18 77 3" xfId="26928"/>
    <cellStyle name="메모 18 78" xfId="26929"/>
    <cellStyle name="메모 18 78 2" xfId="26930"/>
    <cellStyle name="메모 18 78 3" xfId="26931"/>
    <cellStyle name="메모 18 79" xfId="26932"/>
    <cellStyle name="메모 18 79 2" xfId="26933"/>
    <cellStyle name="메모 18 79 3" xfId="26934"/>
    <cellStyle name="메모 18 8" xfId="26935"/>
    <cellStyle name="메모 18 8 2" xfId="26936"/>
    <cellStyle name="메모 18 8 3" xfId="26937"/>
    <cellStyle name="메모 18 80" xfId="26938"/>
    <cellStyle name="메모 18 80 2" xfId="26939"/>
    <cellStyle name="메모 18 80 3" xfId="26940"/>
    <cellStyle name="메모 18 81" xfId="26941"/>
    <cellStyle name="메모 18 81 2" xfId="26942"/>
    <cellStyle name="메모 18 81 3" xfId="26943"/>
    <cellStyle name="메모 18 82" xfId="26944"/>
    <cellStyle name="메모 18 83" xfId="26945"/>
    <cellStyle name="메모 18 9" xfId="26946"/>
    <cellStyle name="메모 18 9 2" xfId="26947"/>
    <cellStyle name="메모 18 9 3" xfId="26948"/>
    <cellStyle name="메모 19" xfId="26949"/>
    <cellStyle name="메모 19 10" xfId="26950"/>
    <cellStyle name="메모 19 10 2" xfId="26951"/>
    <cellStyle name="메모 19 10 3" xfId="26952"/>
    <cellStyle name="메모 19 11" xfId="26953"/>
    <cellStyle name="메모 19 11 2" xfId="26954"/>
    <cellStyle name="메모 19 11 3" xfId="26955"/>
    <cellStyle name="메모 19 12" xfId="26956"/>
    <cellStyle name="메모 19 12 2" xfId="26957"/>
    <cellStyle name="메모 19 12 3" xfId="26958"/>
    <cellStyle name="메모 19 13" xfId="26959"/>
    <cellStyle name="메모 19 13 2" xfId="26960"/>
    <cellStyle name="메모 19 13 3" xfId="26961"/>
    <cellStyle name="메모 19 14" xfId="26962"/>
    <cellStyle name="메모 19 14 2" xfId="26963"/>
    <cellStyle name="메모 19 14 3" xfId="26964"/>
    <cellStyle name="메모 19 15" xfId="26965"/>
    <cellStyle name="메모 19 15 2" xfId="26966"/>
    <cellStyle name="메모 19 15 3" xfId="26967"/>
    <cellStyle name="메모 19 16" xfId="26968"/>
    <cellStyle name="메모 19 16 2" xfId="26969"/>
    <cellStyle name="메모 19 16 3" xfId="26970"/>
    <cellStyle name="메모 19 17" xfId="26971"/>
    <cellStyle name="메모 19 17 2" xfId="26972"/>
    <cellStyle name="메모 19 17 3" xfId="26973"/>
    <cellStyle name="메모 19 18" xfId="26974"/>
    <cellStyle name="메모 19 18 2" xfId="26975"/>
    <cellStyle name="메모 19 18 3" xfId="26976"/>
    <cellStyle name="메모 19 19" xfId="26977"/>
    <cellStyle name="메모 19 19 2" xfId="26978"/>
    <cellStyle name="메모 19 19 3" xfId="26979"/>
    <cellStyle name="메모 19 2" xfId="26980"/>
    <cellStyle name="메모 19 2 2" xfId="26981"/>
    <cellStyle name="메모 19 2 3" xfId="26982"/>
    <cellStyle name="메모 19 20" xfId="26983"/>
    <cellStyle name="메모 19 20 2" xfId="26984"/>
    <cellStyle name="메모 19 20 3" xfId="26985"/>
    <cellStyle name="메모 19 21" xfId="26986"/>
    <cellStyle name="메모 19 21 2" xfId="26987"/>
    <cellStyle name="메모 19 21 3" xfId="26988"/>
    <cellStyle name="메모 19 22" xfId="26989"/>
    <cellStyle name="메모 19 22 2" xfId="26990"/>
    <cellStyle name="메모 19 22 3" xfId="26991"/>
    <cellStyle name="메모 19 23" xfId="26992"/>
    <cellStyle name="메모 19 23 2" xfId="26993"/>
    <cellStyle name="메모 19 23 3" xfId="26994"/>
    <cellStyle name="메모 19 24" xfId="26995"/>
    <cellStyle name="메모 19 24 2" xfId="26996"/>
    <cellStyle name="메모 19 24 3" xfId="26997"/>
    <cellStyle name="메모 19 25" xfId="26998"/>
    <cellStyle name="메모 19 25 2" xfId="26999"/>
    <cellStyle name="메모 19 25 3" xfId="27000"/>
    <cellStyle name="메모 19 26" xfId="27001"/>
    <cellStyle name="메모 19 26 2" xfId="27002"/>
    <cellStyle name="메모 19 26 3" xfId="27003"/>
    <cellStyle name="메모 19 27" xfId="27004"/>
    <cellStyle name="메모 19 27 2" xfId="27005"/>
    <cellStyle name="메모 19 27 3" xfId="27006"/>
    <cellStyle name="메모 19 28" xfId="27007"/>
    <cellStyle name="메모 19 28 2" xfId="27008"/>
    <cellStyle name="메모 19 28 3" xfId="27009"/>
    <cellStyle name="메모 19 29" xfId="27010"/>
    <cellStyle name="메모 19 29 2" xfId="27011"/>
    <cellStyle name="메모 19 29 3" xfId="27012"/>
    <cellStyle name="메모 19 3" xfId="27013"/>
    <cellStyle name="메모 19 3 2" xfId="27014"/>
    <cellStyle name="메모 19 3 3" xfId="27015"/>
    <cellStyle name="메모 19 30" xfId="27016"/>
    <cellStyle name="메모 19 30 2" xfId="27017"/>
    <cellStyle name="메모 19 30 3" xfId="27018"/>
    <cellStyle name="메모 19 31" xfId="27019"/>
    <cellStyle name="메모 19 31 2" xfId="27020"/>
    <cellStyle name="메모 19 31 3" xfId="27021"/>
    <cellStyle name="메모 19 32" xfId="27022"/>
    <cellStyle name="메모 19 32 2" xfId="27023"/>
    <cellStyle name="메모 19 32 3" xfId="27024"/>
    <cellStyle name="메모 19 33" xfId="27025"/>
    <cellStyle name="메모 19 33 2" xfId="27026"/>
    <cellStyle name="메모 19 33 3" xfId="27027"/>
    <cellStyle name="메모 19 34" xfId="27028"/>
    <cellStyle name="메모 19 34 2" xfId="27029"/>
    <cellStyle name="메모 19 34 3" xfId="27030"/>
    <cellStyle name="메모 19 35" xfId="27031"/>
    <cellStyle name="메모 19 35 2" xfId="27032"/>
    <cellStyle name="메모 19 35 3" xfId="27033"/>
    <cellStyle name="메모 19 36" xfId="27034"/>
    <cellStyle name="메모 19 36 2" xfId="27035"/>
    <cellStyle name="메모 19 36 3" xfId="27036"/>
    <cellStyle name="메모 19 37" xfId="27037"/>
    <cellStyle name="메모 19 37 2" xfId="27038"/>
    <cellStyle name="메모 19 37 3" xfId="27039"/>
    <cellStyle name="메모 19 38" xfId="27040"/>
    <cellStyle name="메모 19 38 2" xfId="27041"/>
    <cellStyle name="메모 19 38 3" xfId="27042"/>
    <cellStyle name="메모 19 39" xfId="27043"/>
    <cellStyle name="메모 19 39 2" xfId="27044"/>
    <cellStyle name="메모 19 39 3" xfId="27045"/>
    <cellStyle name="메모 19 4" xfId="27046"/>
    <cellStyle name="메모 19 4 2" xfId="27047"/>
    <cellStyle name="메모 19 4 3" xfId="27048"/>
    <cellStyle name="메모 19 40" xfId="27049"/>
    <cellStyle name="메모 19 40 2" xfId="27050"/>
    <cellStyle name="메모 19 40 3" xfId="27051"/>
    <cellStyle name="메모 19 41" xfId="27052"/>
    <cellStyle name="메모 19 41 2" xfId="27053"/>
    <cellStyle name="메모 19 41 3" xfId="27054"/>
    <cellStyle name="메모 19 42" xfId="27055"/>
    <cellStyle name="메모 19 42 2" xfId="27056"/>
    <cellStyle name="메모 19 42 3" xfId="27057"/>
    <cellStyle name="메모 19 43" xfId="27058"/>
    <cellStyle name="메모 19 43 2" xfId="27059"/>
    <cellStyle name="메모 19 43 3" xfId="27060"/>
    <cellStyle name="메모 19 44" xfId="27061"/>
    <cellStyle name="메모 19 44 2" xfId="27062"/>
    <cellStyle name="메모 19 44 3" xfId="27063"/>
    <cellStyle name="메모 19 45" xfId="27064"/>
    <cellStyle name="메모 19 45 2" xfId="27065"/>
    <cellStyle name="메모 19 45 3" xfId="27066"/>
    <cellStyle name="메모 19 46" xfId="27067"/>
    <cellStyle name="메모 19 46 2" xfId="27068"/>
    <cellStyle name="메모 19 46 3" xfId="27069"/>
    <cellStyle name="메모 19 47" xfId="27070"/>
    <cellStyle name="메모 19 47 2" xfId="27071"/>
    <cellStyle name="메모 19 47 3" xfId="27072"/>
    <cellStyle name="메모 19 48" xfId="27073"/>
    <cellStyle name="메모 19 48 2" xfId="27074"/>
    <cellStyle name="메모 19 48 3" xfId="27075"/>
    <cellStyle name="메모 19 49" xfId="27076"/>
    <cellStyle name="메모 19 49 2" xfId="27077"/>
    <cellStyle name="메모 19 49 3" xfId="27078"/>
    <cellStyle name="메모 19 5" xfId="27079"/>
    <cellStyle name="메모 19 5 2" xfId="27080"/>
    <cellStyle name="메모 19 5 3" xfId="27081"/>
    <cellStyle name="메모 19 50" xfId="27082"/>
    <cellStyle name="메모 19 50 2" xfId="27083"/>
    <cellStyle name="메모 19 50 3" xfId="27084"/>
    <cellStyle name="메모 19 51" xfId="27085"/>
    <cellStyle name="메모 19 51 2" xfId="27086"/>
    <cellStyle name="메모 19 51 3" xfId="27087"/>
    <cellStyle name="메모 19 52" xfId="27088"/>
    <cellStyle name="메모 19 52 2" xfId="27089"/>
    <cellStyle name="메모 19 52 3" xfId="27090"/>
    <cellStyle name="메모 19 53" xfId="27091"/>
    <cellStyle name="메모 19 53 2" xfId="27092"/>
    <cellStyle name="메모 19 53 3" xfId="27093"/>
    <cellStyle name="메모 19 54" xfId="27094"/>
    <cellStyle name="메모 19 54 2" xfId="27095"/>
    <cellStyle name="메모 19 54 3" xfId="27096"/>
    <cellStyle name="메모 19 55" xfId="27097"/>
    <cellStyle name="메모 19 55 2" xfId="27098"/>
    <cellStyle name="메모 19 55 3" xfId="27099"/>
    <cellStyle name="메모 19 56" xfId="27100"/>
    <cellStyle name="메모 19 56 2" xfId="27101"/>
    <cellStyle name="메모 19 56 3" xfId="27102"/>
    <cellStyle name="메모 19 57" xfId="27103"/>
    <cellStyle name="메모 19 57 2" xfId="27104"/>
    <cellStyle name="메모 19 57 3" xfId="27105"/>
    <cellStyle name="메모 19 58" xfId="27106"/>
    <cellStyle name="메모 19 58 2" xfId="27107"/>
    <cellStyle name="메모 19 58 3" xfId="27108"/>
    <cellStyle name="메모 19 59" xfId="27109"/>
    <cellStyle name="메모 19 59 2" xfId="27110"/>
    <cellStyle name="메모 19 59 3" xfId="27111"/>
    <cellStyle name="메모 19 6" xfId="27112"/>
    <cellStyle name="메모 19 6 2" xfId="27113"/>
    <cellStyle name="메모 19 6 3" xfId="27114"/>
    <cellStyle name="메모 19 60" xfId="27115"/>
    <cellStyle name="메모 19 60 2" xfId="27116"/>
    <cellStyle name="메모 19 60 3" xfId="27117"/>
    <cellStyle name="메모 19 61" xfId="27118"/>
    <cellStyle name="메모 19 61 2" xfId="27119"/>
    <cellStyle name="메모 19 61 3" xfId="27120"/>
    <cellStyle name="메모 19 62" xfId="27121"/>
    <cellStyle name="메모 19 62 2" xfId="27122"/>
    <cellStyle name="메모 19 62 3" xfId="27123"/>
    <cellStyle name="메모 19 63" xfId="27124"/>
    <cellStyle name="메모 19 63 2" xfId="27125"/>
    <cellStyle name="메모 19 63 3" xfId="27126"/>
    <cellStyle name="메모 19 64" xfId="27127"/>
    <cellStyle name="메모 19 64 2" xfId="27128"/>
    <cellStyle name="메모 19 64 3" xfId="27129"/>
    <cellStyle name="메모 19 65" xfId="27130"/>
    <cellStyle name="메모 19 65 2" xfId="27131"/>
    <cellStyle name="메모 19 65 3" xfId="27132"/>
    <cellStyle name="메모 19 66" xfId="27133"/>
    <cellStyle name="메모 19 66 2" xfId="27134"/>
    <cellStyle name="메모 19 66 3" xfId="27135"/>
    <cellStyle name="메모 19 67" xfId="27136"/>
    <cellStyle name="메모 19 67 2" xfId="27137"/>
    <cellStyle name="메모 19 67 3" xfId="27138"/>
    <cellStyle name="메모 19 68" xfId="27139"/>
    <cellStyle name="메모 19 68 2" xfId="27140"/>
    <cellStyle name="메모 19 68 3" xfId="27141"/>
    <cellStyle name="메모 19 69" xfId="27142"/>
    <cellStyle name="메모 19 69 2" xfId="27143"/>
    <cellStyle name="메모 19 69 3" xfId="27144"/>
    <cellStyle name="메모 19 7" xfId="27145"/>
    <cellStyle name="메모 19 7 2" xfId="27146"/>
    <cellStyle name="메모 19 7 3" xfId="27147"/>
    <cellStyle name="메모 19 70" xfId="27148"/>
    <cellStyle name="메모 19 70 2" xfId="27149"/>
    <cellStyle name="메모 19 70 3" xfId="27150"/>
    <cellStyle name="메모 19 71" xfId="27151"/>
    <cellStyle name="메모 19 71 2" xfId="27152"/>
    <cellStyle name="메모 19 71 3" xfId="27153"/>
    <cellStyle name="메모 19 72" xfId="27154"/>
    <cellStyle name="메모 19 72 2" xfId="27155"/>
    <cellStyle name="메모 19 72 3" xfId="27156"/>
    <cellStyle name="메모 19 73" xfId="27157"/>
    <cellStyle name="메모 19 73 2" xfId="27158"/>
    <cellStyle name="메모 19 73 3" xfId="27159"/>
    <cellStyle name="메모 19 74" xfId="27160"/>
    <cellStyle name="메모 19 74 2" xfId="27161"/>
    <cellStyle name="메모 19 74 3" xfId="27162"/>
    <cellStyle name="메모 19 75" xfId="27163"/>
    <cellStyle name="메모 19 75 2" xfId="27164"/>
    <cellStyle name="메모 19 75 3" xfId="27165"/>
    <cellStyle name="메모 19 76" xfId="27166"/>
    <cellStyle name="메모 19 76 2" xfId="27167"/>
    <cellStyle name="메모 19 76 3" xfId="27168"/>
    <cellStyle name="메모 19 77" xfId="27169"/>
    <cellStyle name="메모 19 77 2" xfId="27170"/>
    <cellStyle name="메모 19 77 3" xfId="27171"/>
    <cellStyle name="메모 19 78" xfId="27172"/>
    <cellStyle name="메모 19 78 2" xfId="27173"/>
    <cellStyle name="메모 19 78 3" xfId="27174"/>
    <cellStyle name="메모 19 79" xfId="27175"/>
    <cellStyle name="메모 19 79 2" xfId="27176"/>
    <cellStyle name="메모 19 79 3" xfId="27177"/>
    <cellStyle name="메모 19 8" xfId="27178"/>
    <cellStyle name="메모 19 8 2" xfId="27179"/>
    <cellStyle name="메모 19 8 3" xfId="27180"/>
    <cellStyle name="메모 19 80" xfId="27181"/>
    <cellStyle name="메모 19 80 2" xfId="27182"/>
    <cellStyle name="메모 19 80 3" xfId="27183"/>
    <cellStyle name="메모 19 81" xfId="27184"/>
    <cellStyle name="메모 19 81 2" xfId="27185"/>
    <cellStyle name="메모 19 81 3" xfId="27186"/>
    <cellStyle name="메모 19 82" xfId="27187"/>
    <cellStyle name="메모 19 83" xfId="27188"/>
    <cellStyle name="메모 19 9" xfId="27189"/>
    <cellStyle name="메모 19 9 2" xfId="27190"/>
    <cellStyle name="메모 19 9 3" xfId="27191"/>
    <cellStyle name="메모 2" xfId="27192"/>
    <cellStyle name="메모 2 10" xfId="27193"/>
    <cellStyle name="메모 2 10 2" xfId="27194"/>
    <cellStyle name="메모 2 10 3" xfId="27195"/>
    <cellStyle name="메모 2 100" xfId="27196"/>
    <cellStyle name="메모 2 100 2" xfId="27197"/>
    <cellStyle name="메모 2 100 3" xfId="27198"/>
    <cellStyle name="메모 2 101" xfId="27199"/>
    <cellStyle name="메모 2 101 2" xfId="27200"/>
    <cellStyle name="메모 2 101 3" xfId="27201"/>
    <cellStyle name="메모 2 102" xfId="27202"/>
    <cellStyle name="메모 2 102 2" xfId="27203"/>
    <cellStyle name="메모 2 102 3" xfId="27204"/>
    <cellStyle name="메모 2 103" xfId="27205"/>
    <cellStyle name="메모 2 103 2" xfId="27206"/>
    <cellStyle name="메모 2 103 3" xfId="27207"/>
    <cellStyle name="메모 2 104" xfId="27208"/>
    <cellStyle name="메모 2 104 2" xfId="27209"/>
    <cellStyle name="메모 2 104 3" xfId="27210"/>
    <cellStyle name="메모 2 105" xfId="27211"/>
    <cellStyle name="메모 2 105 2" xfId="27212"/>
    <cellStyle name="메모 2 105 3" xfId="27213"/>
    <cellStyle name="메모 2 106" xfId="27214"/>
    <cellStyle name="메모 2 106 2" xfId="27215"/>
    <cellStyle name="메모 2 106 3" xfId="27216"/>
    <cellStyle name="메모 2 107" xfId="27217"/>
    <cellStyle name="메모 2 107 2" xfId="27218"/>
    <cellStyle name="메모 2 107 3" xfId="27219"/>
    <cellStyle name="메모 2 108" xfId="27220"/>
    <cellStyle name="메모 2 108 2" xfId="27221"/>
    <cellStyle name="메모 2 108 3" xfId="27222"/>
    <cellStyle name="메모 2 109" xfId="27223"/>
    <cellStyle name="메모 2 109 2" xfId="27224"/>
    <cellStyle name="메모 2 109 3" xfId="27225"/>
    <cellStyle name="메모 2 11" xfId="27226"/>
    <cellStyle name="메모 2 11 2" xfId="27227"/>
    <cellStyle name="메모 2 11 3" xfId="27228"/>
    <cellStyle name="메모 2 110" xfId="27229"/>
    <cellStyle name="메모 2 110 2" xfId="27230"/>
    <cellStyle name="메모 2 110 3" xfId="27231"/>
    <cellStyle name="메모 2 111" xfId="27232"/>
    <cellStyle name="메모 2 111 2" xfId="27233"/>
    <cellStyle name="메모 2 111 3" xfId="27234"/>
    <cellStyle name="메모 2 112" xfId="27235"/>
    <cellStyle name="메모 2 112 2" xfId="27236"/>
    <cellStyle name="메모 2 112 3" xfId="27237"/>
    <cellStyle name="메모 2 113" xfId="27238"/>
    <cellStyle name="메모 2 113 2" xfId="27239"/>
    <cellStyle name="메모 2 113 3" xfId="27240"/>
    <cellStyle name="메모 2 113 4" xfId="27241"/>
    <cellStyle name="메모 2 114" xfId="27242"/>
    <cellStyle name="메모 2 115" xfId="27243"/>
    <cellStyle name="메모 2 116" xfId="27244"/>
    <cellStyle name="메모 2 117" xfId="27245"/>
    <cellStyle name="메모 2 12" xfId="27246"/>
    <cellStyle name="메모 2 12 2" xfId="27247"/>
    <cellStyle name="메모 2 12 3" xfId="27248"/>
    <cellStyle name="메모 2 13" xfId="27249"/>
    <cellStyle name="메모 2 13 2" xfId="27250"/>
    <cellStyle name="메모 2 13 3" xfId="27251"/>
    <cellStyle name="메모 2 14" xfId="27252"/>
    <cellStyle name="메모 2 14 2" xfId="27253"/>
    <cellStyle name="메모 2 14 3" xfId="27254"/>
    <cellStyle name="메모 2 15" xfId="27255"/>
    <cellStyle name="메모 2 15 2" xfId="27256"/>
    <cellStyle name="메모 2 15 3" xfId="27257"/>
    <cellStyle name="메모 2 16" xfId="27258"/>
    <cellStyle name="메모 2 16 2" xfId="27259"/>
    <cellStyle name="메모 2 16 3" xfId="27260"/>
    <cellStyle name="메모 2 17" xfId="27261"/>
    <cellStyle name="메모 2 17 2" xfId="27262"/>
    <cellStyle name="메모 2 17 3" xfId="27263"/>
    <cellStyle name="메모 2 18" xfId="27264"/>
    <cellStyle name="메모 2 18 2" xfId="27265"/>
    <cellStyle name="메모 2 18 3" xfId="27266"/>
    <cellStyle name="메모 2 19" xfId="27267"/>
    <cellStyle name="메모 2 19 2" xfId="27268"/>
    <cellStyle name="메모 2 19 3" xfId="27269"/>
    <cellStyle name="메모 2 2" xfId="27270"/>
    <cellStyle name="메모 2 2 2" xfId="27271"/>
    <cellStyle name="메모 2 2 2 2" xfId="27272"/>
    <cellStyle name="메모 2 2 2 3" xfId="27273"/>
    <cellStyle name="메모 2 2 2 4" xfId="27274"/>
    <cellStyle name="메모 2 2 3" xfId="27275"/>
    <cellStyle name="메모 2 2 4" xfId="27276"/>
    <cellStyle name="메모 2 2 5" xfId="27277"/>
    <cellStyle name="메모 2 2 6" xfId="27278"/>
    <cellStyle name="메모 2 20" xfId="27279"/>
    <cellStyle name="메모 2 20 2" xfId="27280"/>
    <cellStyle name="메모 2 20 3" xfId="27281"/>
    <cellStyle name="메모 2 21" xfId="27282"/>
    <cellStyle name="메모 2 21 2" xfId="27283"/>
    <cellStyle name="메모 2 21 3" xfId="27284"/>
    <cellStyle name="메모 2 22" xfId="27285"/>
    <cellStyle name="메모 2 22 2" xfId="27286"/>
    <cellStyle name="메모 2 22 3" xfId="27287"/>
    <cellStyle name="메모 2 23" xfId="27288"/>
    <cellStyle name="메모 2 23 2" xfId="27289"/>
    <cellStyle name="메모 2 23 3" xfId="27290"/>
    <cellStyle name="메모 2 24" xfId="27291"/>
    <cellStyle name="메모 2 24 2" xfId="27292"/>
    <cellStyle name="메모 2 24 3" xfId="27293"/>
    <cellStyle name="메모 2 25" xfId="27294"/>
    <cellStyle name="메모 2 25 2" xfId="27295"/>
    <cellStyle name="메모 2 25 3" xfId="27296"/>
    <cellStyle name="메모 2 26" xfId="27297"/>
    <cellStyle name="메모 2 26 2" xfId="27298"/>
    <cellStyle name="메모 2 26 3" xfId="27299"/>
    <cellStyle name="메모 2 27" xfId="27300"/>
    <cellStyle name="메모 2 27 2" xfId="27301"/>
    <cellStyle name="메모 2 27 3" xfId="27302"/>
    <cellStyle name="메모 2 28" xfId="27303"/>
    <cellStyle name="메모 2 28 2" xfId="27304"/>
    <cellStyle name="메모 2 28 3" xfId="27305"/>
    <cellStyle name="메모 2 29" xfId="27306"/>
    <cellStyle name="메모 2 29 2" xfId="27307"/>
    <cellStyle name="메모 2 29 3" xfId="27308"/>
    <cellStyle name="메모 2 3" xfId="27309"/>
    <cellStyle name="메모 2 3 2" xfId="27310"/>
    <cellStyle name="메모 2 3 2 2" xfId="27311"/>
    <cellStyle name="메모 2 3 2 3" xfId="27312"/>
    <cellStyle name="메모 2 3 2 4" xfId="27313"/>
    <cellStyle name="메모 2 3 3" xfId="27314"/>
    <cellStyle name="메모 2 3 4" xfId="27315"/>
    <cellStyle name="메모 2 3 5" xfId="27316"/>
    <cellStyle name="메모 2 3 6" xfId="27317"/>
    <cellStyle name="메모 2 30" xfId="27318"/>
    <cellStyle name="메모 2 30 2" xfId="27319"/>
    <cellStyle name="메모 2 30 3" xfId="27320"/>
    <cellStyle name="메모 2 31" xfId="27321"/>
    <cellStyle name="메모 2 31 2" xfId="27322"/>
    <cellStyle name="메모 2 31 3" xfId="27323"/>
    <cellStyle name="메모 2 32" xfId="27324"/>
    <cellStyle name="메모 2 32 2" xfId="27325"/>
    <cellStyle name="메모 2 32 3" xfId="27326"/>
    <cellStyle name="메모 2 33" xfId="27327"/>
    <cellStyle name="메모 2 33 2" xfId="27328"/>
    <cellStyle name="메모 2 33 3" xfId="27329"/>
    <cellStyle name="메모 2 34" xfId="27330"/>
    <cellStyle name="메모 2 34 2" xfId="27331"/>
    <cellStyle name="메모 2 34 3" xfId="27332"/>
    <cellStyle name="메모 2 35" xfId="27333"/>
    <cellStyle name="메모 2 35 2" xfId="27334"/>
    <cellStyle name="메모 2 35 3" xfId="27335"/>
    <cellStyle name="메모 2 36" xfId="27336"/>
    <cellStyle name="메모 2 36 2" xfId="27337"/>
    <cellStyle name="메모 2 36 3" xfId="27338"/>
    <cellStyle name="메모 2 37" xfId="27339"/>
    <cellStyle name="메모 2 37 2" xfId="27340"/>
    <cellStyle name="메모 2 37 3" xfId="27341"/>
    <cellStyle name="메모 2 38" xfId="27342"/>
    <cellStyle name="메모 2 38 2" xfId="27343"/>
    <cellStyle name="메모 2 38 3" xfId="27344"/>
    <cellStyle name="메모 2 39" xfId="27345"/>
    <cellStyle name="메모 2 39 2" xfId="27346"/>
    <cellStyle name="메모 2 39 3" xfId="27347"/>
    <cellStyle name="메모 2 4" xfId="27348"/>
    <cellStyle name="메모 2 4 2" xfId="27349"/>
    <cellStyle name="메모 2 4 2 2" xfId="27350"/>
    <cellStyle name="메모 2 4 2 3" xfId="27351"/>
    <cellStyle name="메모 2 4 2 4" xfId="27352"/>
    <cellStyle name="메모 2 4 3" xfId="27353"/>
    <cellStyle name="메모 2 4 4" xfId="27354"/>
    <cellStyle name="메모 2 4 5" xfId="27355"/>
    <cellStyle name="메모 2 40" xfId="27356"/>
    <cellStyle name="메모 2 40 2" xfId="27357"/>
    <cellStyle name="메모 2 40 3" xfId="27358"/>
    <cellStyle name="메모 2 41" xfId="27359"/>
    <cellStyle name="메모 2 41 2" xfId="27360"/>
    <cellStyle name="메모 2 41 3" xfId="27361"/>
    <cellStyle name="메모 2 42" xfId="27362"/>
    <cellStyle name="메모 2 42 2" xfId="27363"/>
    <cellStyle name="메모 2 42 3" xfId="27364"/>
    <cellStyle name="메모 2 43" xfId="27365"/>
    <cellStyle name="메모 2 43 2" xfId="27366"/>
    <cellStyle name="메모 2 43 3" xfId="27367"/>
    <cellStyle name="메모 2 44" xfId="27368"/>
    <cellStyle name="메모 2 44 2" xfId="27369"/>
    <cellStyle name="메모 2 44 3" xfId="27370"/>
    <cellStyle name="메모 2 45" xfId="27371"/>
    <cellStyle name="메모 2 45 2" xfId="27372"/>
    <cellStyle name="메모 2 45 3" xfId="27373"/>
    <cellStyle name="메모 2 46" xfId="27374"/>
    <cellStyle name="메모 2 46 2" xfId="27375"/>
    <cellStyle name="메모 2 46 3" xfId="27376"/>
    <cellStyle name="메모 2 47" xfId="27377"/>
    <cellStyle name="메모 2 47 2" xfId="27378"/>
    <cellStyle name="메모 2 47 3" xfId="27379"/>
    <cellStyle name="메모 2 48" xfId="27380"/>
    <cellStyle name="메모 2 48 2" xfId="27381"/>
    <cellStyle name="메모 2 48 3" xfId="27382"/>
    <cellStyle name="메모 2 49" xfId="27383"/>
    <cellStyle name="메모 2 49 2" xfId="27384"/>
    <cellStyle name="메모 2 49 3" xfId="27385"/>
    <cellStyle name="메모 2 5" xfId="27386"/>
    <cellStyle name="메모 2 5 2" xfId="27387"/>
    <cellStyle name="메모 2 5 2 2" xfId="27388"/>
    <cellStyle name="메모 2 5 2 2 2" xfId="27389"/>
    <cellStyle name="메모 2 5 2 2 2 2" xfId="27390"/>
    <cellStyle name="메모 2 5 2 2 3" xfId="27391"/>
    <cellStyle name="메모 2 5 2 2 4" xfId="27392"/>
    <cellStyle name="메모 2 5 2 2 5" xfId="27393"/>
    <cellStyle name="메모 2 5 2 3" xfId="27394"/>
    <cellStyle name="메모 2 5 2 3 2" xfId="27395"/>
    <cellStyle name="메모 2 5 2 4" xfId="27396"/>
    <cellStyle name="메모 2 5 2 5" xfId="27397"/>
    <cellStyle name="메모 2 5 2 6" xfId="27398"/>
    <cellStyle name="메모 2 5 3" xfId="27399"/>
    <cellStyle name="메모 2 5 3 2" xfId="27400"/>
    <cellStyle name="메모 2 5 3 2 2" xfId="27401"/>
    <cellStyle name="메모 2 5 3 3" xfId="27402"/>
    <cellStyle name="메모 2 5 3 4" xfId="27403"/>
    <cellStyle name="메모 2 5 3 5" xfId="27404"/>
    <cellStyle name="메모 2 5 4" xfId="27405"/>
    <cellStyle name="메모 2 5 4 2" xfId="27406"/>
    <cellStyle name="메모 2 5 4 3" xfId="27407"/>
    <cellStyle name="메모 2 5 4 4" xfId="27408"/>
    <cellStyle name="메모 2 5 5" xfId="27409"/>
    <cellStyle name="메모 2 5 6" xfId="27410"/>
    <cellStyle name="메모 2 50" xfId="27411"/>
    <cellStyle name="메모 2 50 2" xfId="27412"/>
    <cellStyle name="메모 2 50 3" xfId="27413"/>
    <cellStyle name="메모 2 51" xfId="27414"/>
    <cellStyle name="메모 2 51 2" xfId="27415"/>
    <cellStyle name="메모 2 51 3" xfId="27416"/>
    <cellStyle name="메모 2 52" xfId="27417"/>
    <cellStyle name="메모 2 52 2" xfId="27418"/>
    <cellStyle name="메모 2 52 3" xfId="27419"/>
    <cellStyle name="메모 2 53" xfId="27420"/>
    <cellStyle name="메모 2 53 2" xfId="27421"/>
    <cellStyle name="메모 2 53 3" xfId="27422"/>
    <cellStyle name="메모 2 54" xfId="27423"/>
    <cellStyle name="메모 2 54 2" xfId="27424"/>
    <cellStyle name="메모 2 54 3" xfId="27425"/>
    <cellStyle name="메모 2 55" xfId="27426"/>
    <cellStyle name="메모 2 55 2" xfId="27427"/>
    <cellStyle name="메모 2 55 3" xfId="27428"/>
    <cellStyle name="메모 2 56" xfId="27429"/>
    <cellStyle name="메모 2 56 2" xfId="27430"/>
    <cellStyle name="메모 2 56 3" xfId="27431"/>
    <cellStyle name="메모 2 57" xfId="27432"/>
    <cellStyle name="메모 2 57 2" xfId="27433"/>
    <cellStyle name="메모 2 57 3" xfId="27434"/>
    <cellStyle name="메모 2 58" xfId="27435"/>
    <cellStyle name="메모 2 58 2" xfId="27436"/>
    <cellStyle name="메모 2 58 3" xfId="27437"/>
    <cellStyle name="메모 2 59" xfId="27438"/>
    <cellStyle name="메모 2 59 2" xfId="27439"/>
    <cellStyle name="메모 2 59 3" xfId="27440"/>
    <cellStyle name="메모 2 6" xfId="27441"/>
    <cellStyle name="메모 2 6 2" xfId="27442"/>
    <cellStyle name="메모 2 6 2 2" xfId="27443"/>
    <cellStyle name="메모 2 6 2 2 2" xfId="27444"/>
    <cellStyle name="메모 2 6 2 2 2 2" xfId="27445"/>
    <cellStyle name="메모 2 6 2 2 3" xfId="27446"/>
    <cellStyle name="메모 2 6 2 2 4" xfId="27447"/>
    <cellStyle name="메모 2 6 2 2 5" xfId="27448"/>
    <cellStyle name="메모 2 6 2 3" xfId="27449"/>
    <cellStyle name="메모 2 6 2 3 2" xfId="27450"/>
    <cellStyle name="메모 2 6 2 4" xfId="27451"/>
    <cellStyle name="메모 2 6 2 5" xfId="27452"/>
    <cellStyle name="메모 2 6 2 6" xfId="27453"/>
    <cellStyle name="메모 2 6 3" xfId="27454"/>
    <cellStyle name="메모 2 6 3 2" xfId="27455"/>
    <cellStyle name="메모 2 6 3 2 2" xfId="27456"/>
    <cellStyle name="메모 2 6 3 3" xfId="27457"/>
    <cellStyle name="메모 2 6 3 4" xfId="27458"/>
    <cellStyle name="메모 2 6 3 5" xfId="27459"/>
    <cellStyle name="메모 2 6 4" xfId="27460"/>
    <cellStyle name="메모 2 6 4 2" xfId="27461"/>
    <cellStyle name="메모 2 6 4 3" xfId="27462"/>
    <cellStyle name="메모 2 6 4 4" xfId="27463"/>
    <cellStyle name="메모 2 6 5" xfId="27464"/>
    <cellStyle name="메모 2 6 6" xfId="27465"/>
    <cellStyle name="메모 2 60" xfId="27466"/>
    <cellStyle name="메모 2 60 2" xfId="27467"/>
    <cellStyle name="메모 2 60 3" xfId="27468"/>
    <cellStyle name="메모 2 61" xfId="27469"/>
    <cellStyle name="메모 2 61 2" xfId="27470"/>
    <cellStyle name="메모 2 61 3" xfId="27471"/>
    <cellStyle name="메모 2 62" xfId="27472"/>
    <cellStyle name="메모 2 62 2" xfId="27473"/>
    <cellStyle name="메모 2 62 3" xfId="27474"/>
    <cellStyle name="메모 2 63" xfId="27475"/>
    <cellStyle name="메모 2 63 2" xfId="27476"/>
    <cellStyle name="메모 2 63 3" xfId="27477"/>
    <cellStyle name="메모 2 64" xfId="27478"/>
    <cellStyle name="메모 2 64 2" xfId="27479"/>
    <cellStyle name="메모 2 64 3" xfId="27480"/>
    <cellStyle name="메모 2 65" xfId="27481"/>
    <cellStyle name="메모 2 65 2" xfId="27482"/>
    <cellStyle name="메모 2 65 3" xfId="27483"/>
    <cellStyle name="메모 2 66" xfId="27484"/>
    <cellStyle name="메모 2 66 2" xfId="27485"/>
    <cellStyle name="메모 2 66 3" xfId="27486"/>
    <cellStyle name="메모 2 67" xfId="27487"/>
    <cellStyle name="메모 2 67 2" xfId="27488"/>
    <cellStyle name="메모 2 67 3" xfId="27489"/>
    <cellStyle name="메모 2 68" xfId="27490"/>
    <cellStyle name="메모 2 68 2" xfId="27491"/>
    <cellStyle name="메모 2 68 3" xfId="27492"/>
    <cellStyle name="메모 2 69" xfId="27493"/>
    <cellStyle name="메모 2 69 2" xfId="27494"/>
    <cellStyle name="메모 2 69 3" xfId="27495"/>
    <cellStyle name="메모 2 7" xfId="27496"/>
    <cellStyle name="메모 2 7 2" xfId="27497"/>
    <cellStyle name="메모 2 7 3" xfId="27498"/>
    <cellStyle name="메모 2 70" xfId="27499"/>
    <cellStyle name="메모 2 70 2" xfId="27500"/>
    <cellStyle name="메모 2 70 3" xfId="27501"/>
    <cellStyle name="메모 2 71" xfId="27502"/>
    <cellStyle name="메모 2 71 2" xfId="27503"/>
    <cellStyle name="메모 2 71 3" xfId="27504"/>
    <cellStyle name="메모 2 72" xfId="27505"/>
    <cellStyle name="메모 2 72 2" xfId="27506"/>
    <cellStyle name="메모 2 72 3" xfId="27507"/>
    <cellStyle name="메모 2 73" xfId="27508"/>
    <cellStyle name="메모 2 73 2" xfId="27509"/>
    <cellStyle name="메모 2 73 3" xfId="27510"/>
    <cellStyle name="메모 2 74" xfId="27511"/>
    <cellStyle name="메모 2 74 2" xfId="27512"/>
    <cellStyle name="메모 2 74 3" xfId="27513"/>
    <cellStyle name="메모 2 75" xfId="27514"/>
    <cellStyle name="메모 2 75 2" xfId="27515"/>
    <cellStyle name="메모 2 75 3" xfId="27516"/>
    <cellStyle name="메모 2 76" xfId="27517"/>
    <cellStyle name="메모 2 76 2" xfId="27518"/>
    <cellStyle name="메모 2 76 3" xfId="27519"/>
    <cellStyle name="메모 2 77" xfId="27520"/>
    <cellStyle name="메모 2 77 2" xfId="27521"/>
    <cellStyle name="메모 2 77 3" xfId="27522"/>
    <cellStyle name="메모 2 78" xfId="27523"/>
    <cellStyle name="메모 2 78 2" xfId="27524"/>
    <cellStyle name="메모 2 78 3" xfId="27525"/>
    <cellStyle name="메모 2 79" xfId="27526"/>
    <cellStyle name="메모 2 79 2" xfId="27527"/>
    <cellStyle name="메모 2 79 3" xfId="27528"/>
    <cellStyle name="메모 2 8" xfId="27529"/>
    <cellStyle name="메모 2 8 2" xfId="27530"/>
    <cellStyle name="메모 2 8 3" xfId="27531"/>
    <cellStyle name="메모 2 80" xfId="27532"/>
    <cellStyle name="메모 2 80 2" xfId="27533"/>
    <cellStyle name="메모 2 80 3" xfId="27534"/>
    <cellStyle name="메모 2 81" xfId="27535"/>
    <cellStyle name="메모 2 81 2" xfId="27536"/>
    <cellStyle name="메모 2 81 3" xfId="27537"/>
    <cellStyle name="메모 2 82" xfId="27538"/>
    <cellStyle name="메모 2 82 2" xfId="27539"/>
    <cellStyle name="메모 2 82 3" xfId="27540"/>
    <cellStyle name="메모 2 83" xfId="27541"/>
    <cellStyle name="메모 2 83 2" xfId="27542"/>
    <cellStyle name="메모 2 83 3" xfId="27543"/>
    <cellStyle name="메모 2 84" xfId="27544"/>
    <cellStyle name="메모 2 84 2" xfId="27545"/>
    <cellStyle name="메모 2 84 3" xfId="27546"/>
    <cellStyle name="메모 2 85" xfId="27547"/>
    <cellStyle name="메모 2 85 2" xfId="27548"/>
    <cellStyle name="메모 2 85 3" xfId="27549"/>
    <cellStyle name="메모 2 86" xfId="27550"/>
    <cellStyle name="메모 2 86 2" xfId="27551"/>
    <cellStyle name="메모 2 86 3" xfId="27552"/>
    <cellStyle name="메모 2 87" xfId="27553"/>
    <cellStyle name="메모 2 87 2" xfId="27554"/>
    <cellStyle name="메모 2 87 3" xfId="27555"/>
    <cellStyle name="메모 2 88" xfId="27556"/>
    <cellStyle name="메모 2 88 2" xfId="27557"/>
    <cellStyle name="메모 2 88 3" xfId="27558"/>
    <cellStyle name="메모 2 89" xfId="27559"/>
    <cellStyle name="메모 2 89 2" xfId="27560"/>
    <cellStyle name="메모 2 89 3" xfId="27561"/>
    <cellStyle name="메모 2 9" xfId="27562"/>
    <cellStyle name="메모 2 9 2" xfId="27563"/>
    <cellStyle name="메모 2 9 3" xfId="27564"/>
    <cellStyle name="메모 2 90" xfId="27565"/>
    <cellStyle name="메모 2 90 2" xfId="27566"/>
    <cellStyle name="메모 2 90 3" xfId="27567"/>
    <cellStyle name="메모 2 91" xfId="27568"/>
    <cellStyle name="메모 2 91 2" xfId="27569"/>
    <cellStyle name="메모 2 91 3" xfId="27570"/>
    <cellStyle name="메모 2 92" xfId="27571"/>
    <cellStyle name="메모 2 92 2" xfId="27572"/>
    <cellStyle name="메모 2 92 3" xfId="27573"/>
    <cellStyle name="메모 2 93" xfId="27574"/>
    <cellStyle name="메모 2 93 2" xfId="27575"/>
    <cellStyle name="메모 2 93 3" xfId="27576"/>
    <cellStyle name="메모 2 94" xfId="27577"/>
    <cellStyle name="메모 2 94 2" xfId="27578"/>
    <cellStyle name="메모 2 94 3" xfId="27579"/>
    <cellStyle name="메모 2 95" xfId="27580"/>
    <cellStyle name="메모 2 95 2" xfId="27581"/>
    <cellStyle name="메모 2 95 3" xfId="27582"/>
    <cellStyle name="메모 2 96" xfId="27583"/>
    <cellStyle name="메모 2 96 2" xfId="27584"/>
    <cellStyle name="메모 2 96 3" xfId="27585"/>
    <cellStyle name="메모 2 97" xfId="27586"/>
    <cellStyle name="메모 2 97 2" xfId="27587"/>
    <cellStyle name="메모 2 97 3" xfId="27588"/>
    <cellStyle name="메모 2 98" xfId="27589"/>
    <cellStyle name="메모 2 98 2" xfId="27590"/>
    <cellStyle name="메모 2 98 3" xfId="27591"/>
    <cellStyle name="메모 2 99" xfId="27592"/>
    <cellStyle name="메모 2 99 2" xfId="27593"/>
    <cellStyle name="메모 2 99 3" xfId="27594"/>
    <cellStyle name="메모 20" xfId="27595"/>
    <cellStyle name="메모 20 10" xfId="27596"/>
    <cellStyle name="메모 20 10 2" xfId="27597"/>
    <cellStyle name="메모 20 10 3" xfId="27598"/>
    <cellStyle name="메모 20 11" xfId="27599"/>
    <cellStyle name="메모 20 11 2" xfId="27600"/>
    <cellStyle name="메모 20 11 3" xfId="27601"/>
    <cellStyle name="메모 20 12" xfId="27602"/>
    <cellStyle name="메모 20 12 2" xfId="27603"/>
    <cellStyle name="메모 20 12 3" xfId="27604"/>
    <cellStyle name="메모 20 13" xfId="27605"/>
    <cellStyle name="메모 20 13 2" xfId="27606"/>
    <cellStyle name="메모 20 13 3" xfId="27607"/>
    <cellStyle name="메모 20 14" xfId="27608"/>
    <cellStyle name="메모 20 14 2" xfId="27609"/>
    <cellStyle name="메모 20 14 3" xfId="27610"/>
    <cellStyle name="메모 20 15" xfId="27611"/>
    <cellStyle name="메모 20 15 2" xfId="27612"/>
    <cellStyle name="메모 20 15 3" xfId="27613"/>
    <cellStyle name="메모 20 16" xfId="27614"/>
    <cellStyle name="메모 20 16 2" xfId="27615"/>
    <cellStyle name="메모 20 16 3" xfId="27616"/>
    <cellStyle name="메모 20 17" xfId="27617"/>
    <cellStyle name="메모 20 17 2" xfId="27618"/>
    <cellStyle name="메모 20 17 3" xfId="27619"/>
    <cellStyle name="메모 20 18" xfId="27620"/>
    <cellStyle name="메모 20 18 2" xfId="27621"/>
    <cellStyle name="메모 20 18 3" xfId="27622"/>
    <cellStyle name="메모 20 19" xfId="27623"/>
    <cellStyle name="메모 20 19 2" xfId="27624"/>
    <cellStyle name="메모 20 19 3" xfId="27625"/>
    <cellStyle name="메모 20 2" xfId="27626"/>
    <cellStyle name="메모 20 2 2" xfId="27627"/>
    <cellStyle name="메모 20 2 3" xfId="27628"/>
    <cellStyle name="메모 20 20" xfId="27629"/>
    <cellStyle name="메모 20 20 2" xfId="27630"/>
    <cellStyle name="메모 20 20 3" xfId="27631"/>
    <cellStyle name="메모 20 21" xfId="27632"/>
    <cellStyle name="메모 20 21 2" xfId="27633"/>
    <cellStyle name="메모 20 21 3" xfId="27634"/>
    <cellStyle name="메모 20 22" xfId="27635"/>
    <cellStyle name="메모 20 22 2" xfId="27636"/>
    <cellStyle name="메모 20 22 3" xfId="27637"/>
    <cellStyle name="메모 20 23" xfId="27638"/>
    <cellStyle name="메모 20 23 2" xfId="27639"/>
    <cellStyle name="메모 20 23 3" xfId="27640"/>
    <cellStyle name="메모 20 24" xfId="27641"/>
    <cellStyle name="메모 20 24 2" xfId="27642"/>
    <cellStyle name="메모 20 24 3" xfId="27643"/>
    <cellStyle name="메모 20 25" xfId="27644"/>
    <cellStyle name="메모 20 25 2" xfId="27645"/>
    <cellStyle name="메모 20 25 3" xfId="27646"/>
    <cellStyle name="메모 20 26" xfId="27647"/>
    <cellStyle name="메모 20 26 2" xfId="27648"/>
    <cellStyle name="메모 20 26 3" xfId="27649"/>
    <cellStyle name="메모 20 27" xfId="27650"/>
    <cellStyle name="메모 20 27 2" xfId="27651"/>
    <cellStyle name="메모 20 27 3" xfId="27652"/>
    <cellStyle name="메모 20 28" xfId="27653"/>
    <cellStyle name="메모 20 28 2" xfId="27654"/>
    <cellStyle name="메모 20 28 3" xfId="27655"/>
    <cellStyle name="메모 20 29" xfId="27656"/>
    <cellStyle name="메모 20 29 2" xfId="27657"/>
    <cellStyle name="메모 20 29 3" xfId="27658"/>
    <cellStyle name="메모 20 3" xfId="27659"/>
    <cellStyle name="메모 20 3 2" xfId="27660"/>
    <cellStyle name="메모 20 3 3" xfId="27661"/>
    <cellStyle name="메모 20 30" xfId="27662"/>
    <cellStyle name="메모 20 30 2" xfId="27663"/>
    <cellStyle name="메모 20 30 3" xfId="27664"/>
    <cellStyle name="메모 20 31" xfId="27665"/>
    <cellStyle name="메모 20 31 2" xfId="27666"/>
    <cellStyle name="메모 20 31 3" xfId="27667"/>
    <cellStyle name="메모 20 32" xfId="27668"/>
    <cellStyle name="메모 20 32 2" xfId="27669"/>
    <cellStyle name="메모 20 32 3" xfId="27670"/>
    <cellStyle name="메모 20 33" xfId="27671"/>
    <cellStyle name="메모 20 33 2" xfId="27672"/>
    <cellStyle name="메모 20 33 3" xfId="27673"/>
    <cellStyle name="메모 20 34" xfId="27674"/>
    <cellStyle name="메모 20 34 2" xfId="27675"/>
    <cellStyle name="메모 20 34 3" xfId="27676"/>
    <cellStyle name="메모 20 35" xfId="27677"/>
    <cellStyle name="메모 20 35 2" xfId="27678"/>
    <cellStyle name="메모 20 35 3" xfId="27679"/>
    <cellStyle name="메모 20 36" xfId="27680"/>
    <cellStyle name="메모 20 36 2" xfId="27681"/>
    <cellStyle name="메모 20 36 3" xfId="27682"/>
    <cellStyle name="메모 20 37" xfId="27683"/>
    <cellStyle name="메모 20 37 2" xfId="27684"/>
    <cellStyle name="메모 20 37 3" xfId="27685"/>
    <cellStyle name="메모 20 38" xfId="27686"/>
    <cellStyle name="메모 20 38 2" xfId="27687"/>
    <cellStyle name="메모 20 38 3" xfId="27688"/>
    <cellStyle name="메모 20 39" xfId="27689"/>
    <cellStyle name="메모 20 39 2" xfId="27690"/>
    <cellStyle name="메모 20 39 3" xfId="27691"/>
    <cellStyle name="메모 20 4" xfId="27692"/>
    <cellStyle name="메모 20 4 2" xfId="27693"/>
    <cellStyle name="메모 20 4 3" xfId="27694"/>
    <cellStyle name="메모 20 40" xfId="27695"/>
    <cellStyle name="메모 20 40 2" xfId="27696"/>
    <cellStyle name="메모 20 40 3" xfId="27697"/>
    <cellStyle name="메모 20 41" xfId="27698"/>
    <cellStyle name="메모 20 41 2" xfId="27699"/>
    <cellStyle name="메모 20 41 3" xfId="27700"/>
    <cellStyle name="메모 20 42" xfId="27701"/>
    <cellStyle name="메모 20 42 2" xfId="27702"/>
    <cellStyle name="메모 20 42 3" xfId="27703"/>
    <cellStyle name="메모 20 43" xfId="27704"/>
    <cellStyle name="메모 20 43 2" xfId="27705"/>
    <cellStyle name="메모 20 43 3" xfId="27706"/>
    <cellStyle name="메모 20 44" xfId="27707"/>
    <cellStyle name="메모 20 44 2" xfId="27708"/>
    <cellStyle name="메모 20 44 3" xfId="27709"/>
    <cellStyle name="메모 20 45" xfId="27710"/>
    <cellStyle name="메모 20 45 2" xfId="27711"/>
    <cellStyle name="메모 20 45 3" xfId="27712"/>
    <cellStyle name="메모 20 46" xfId="27713"/>
    <cellStyle name="메모 20 46 2" xfId="27714"/>
    <cellStyle name="메모 20 46 3" xfId="27715"/>
    <cellStyle name="메모 20 47" xfId="27716"/>
    <cellStyle name="메모 20 47 2" xfId="27717"/>
    <cellStyle name="메모 20 47 3" xfId="27718"/>
    <cellStyle name="메모 20 48" xfId="27719"/>
    <cellStyle name="메모 20 48 2" xfId="27720"/>
    <cellStyle name="메모 20 48 3" xfId="27721"/>
    <cellStyle name="메모 20 49" xfId="27722"/>
    <cellStyle name="메모 20 49 2" xfId="27723"/>
    <cellStyle name="메모 20 49 3" xfId="27724"/>
    <cellStyle name="메모 20 5" xfId="27725"/>
    <cellStyle name="메모 20 5 2" xfId="27726"/>
    <cellStyle name="메모 20 5 3" xfId="27727"/>
    <cellStyle name="메모 20 50" xfId="27728"/>
    <cellStyle name="메모 20 50 2" xfId="27729"/>
    <cellStyle name="메모 20 50 3" xfId="27730"/>
    <cellStyle name="메모 20 51" xfId="27731"/>
    <cellStyle name="메모 20 51 2" xfId="27732"/>
    <cellStyle name="메모 20 51 3" xfId="27733"/>
    <cellStyle name="메모 20 52" xfId="27734"/>
    <cellStyle name="메모 20 52 2" xfId="27735"/>
    <cellStyle name="메모 20 52 3" xfId="27736"/>
    <cellStyle name="메모 20 53" xfId="27737"/>
    <cellStyle name="메모 20 53 2" xfId="27738"/>
    <cellStyle name="메모 20 53 3" xfId="27739"/>
    <cellStyle name="메모 20 54" xfId="27740"/>
    <cellStyle name="메모 20 54 2" xfId="27741"/>
    <cellStyle name="메모 20 54 3" xfId="27742"/>
    <cellStyle name="메모 20 55" xfId="27743"/>
    <cellStyle name="메모 20 55 2" xfId="27744"/>
    <cellStyle name="메모 20 55 3" xfId="27745"/>
    <cellStyle name="메모 20 56" xfId="27746"/>
    <cellStyle name="메모 20 56 2" xfId="27747"/>
    <cellStyle name="메모 20 56 3" xfId="27748"/>
    <cellStyle name="메모 20 57" xfId="27749"/>
    <cellStyle name="메모 20 57 2" xfId="27750"/>
    <cellStyle name="메모 20 57 3" xfId="27751"/>
    <cellStyle name="메모 20 58" xfId="27752"/>
    <cellStyle name="메모 20 58 2" xfId="27753"/>
    <cellStyle name="메모 20 58 3" xfId="27754"/>
    <cellStyle name="메모 20 59" xfId="27755"/>
    <cellStyle name="메모 20 59 2" xfId="27756"/>
    <cellStyle name="메모 20 59 3" xfId="27757"/>
    <cellStyle name="메모 20 6" xfId="27758"/>
    <cellStyle name="메모 20 6 2" xfId="27759"/>
    <cellStyle name="메모 20 6 3" xfId="27760"/>
    <cellStyle name="메모 20 60" xfId="27761"/>
    <cellStyle name="메모 20 60 2" xfId="27762"/>
    <cellStyle name="메모 20 60 3" xfId="27763"/>
    <cellStyle name="메모 20 61" xfId="27764"/>
    <cellStyle name="메모 20 61 2" xfId="27765"/>
    <cellStyle name="메모 20 61 3" xfId="27766"/>
    <cellStyle name="메모 20 62" xfId="27767"/>
    <cellStyle name="메모 20 62 2" xfId="27768"/>
    <cellStyle name="메모 20 62 3" xfId="27769"/>
    <cellStyle name="메모 20 63" xfId="27770"/>
    <cellStyle name="메모 20 63 2" xfId="27771"/>
    <cellStyle name="메모 20 63 3" xfId="27772"/>
    <cellStyle name="메모 20 64" xfId="27773"/>
    <cellStyle name="메모 20 64 2" xfId="27774"/>
    <cellStyle name="메모 20 64 3" xfId="27775"/>
    <cellStyle name="메모 20 65" xfId="27776"/>
    <cellStyle name="메모 20 65 2" xfId="27777"/>
    <cellStyle name="메모 20 65 3" xfId="27778"/>
    <cellStyle name="메모 20 66" xfId="27779"/>
    <cellStyle name="메모 20 66 2" xfId="27780"/>
    <cellStyle name="메모 20 66 3" xfId="27781"/>
    <cellStyle name="메모 20 67" xfId="27782"/>
    <cellStyle name="메모 20 67 2" xfId="27783"/>
    <cellStyle name="메모 20 67 3" xfId="27784"/>
    <cellStyle name="메모 20 68" xfId="27785"/>
    <cellStyle name="메모 20 68 2" xfId="27786"/>
    <cellStyle name="메모 20 68 3" xfId="27787"/>
    <cellStyle name="메모 20 69" xfId="27788"/>
    <cellStyle name="메모 20 69 2" xfId="27789"/>
    <cellStyle name="메모 20 69 3" xfId="27790"/>
    <cellStyle name="메모 20 7" xfId="27791"/>
    <cellStyle name="메모 20 7 2" xfId="27792"/>
    <cellStyle name="메모 20 7 3" xfId="27793"/>
    <cellStyle name="메모 20 70" xfId="27794"/>
    <cellStyle name="메모 20 70 2" xfId="27795"/>
    <cellStyle name="메모 20 70 3" xfId="27796"/>
    <cellStyle name="메모 20 71" xfId="27797"/>
    <cellStyle name="메모 20 71 2" xfId="27798"/>
    <cellStyle name="메모 20 71 3" xfId="27799"/>
    <cellStyle name="메모 20 72" xfId="27800"/>
    <cellStyle name="메모 20 72 2" xfId="27801"/>
    <cellStyle name="메모 20 72 3" xfId="27802"/>
    <cellStyle name="메모 20 73" xfId="27803"/>
    <cellStyle name="메모 20 73 2" xfId="27804"/>
    <cellStyle name="메모 20 73 3" xfId="27805"/>
    <cellStyle name="메모 20 74" xfId="27806"/>
    <cellStyle name="메모 20 74 2" xfId="27807"/>
    <cellStyle name="메모 20 74 3" xfId="27808"/>
    <cellStyle name="메모 20 75" xfId="27809"/>
    <cellStyle name="메모 20 75 2" xfId="27810"/>
    <cellStyle name="메모 20 75 3" xfId="27811"/>
    <cellStyle name="메모 20 76" xfId="27812"/>
    <cellStyle name="메모 20 76 2" xfId="27813"/>
    <cellStyle name="메모 20 76 3" xfId="27814"/>
    <cellStyle name="메모 20 77" xfId="27815"/>
    <cellStyle name="메모 20 77 2" xfId="27816"/>
    <cellStyle name="메모 20 77 3" xfId="27817"/>
    <cellStyle name="메모 20 78" xfId="27818"/>
    <cellStyle name="메모 20 78 2" xfId="27819"/>
    <cellStyle name="메모 20 78 3" xfId="27820"/>
    <cellStyle name="메모 20 79" xfId="27821"/>
    <cellStyle name="메모 20 79 2" xfId="27822"/>
    <cellStyle name="메모 20 79 3" xfId="27823"/>
    <cellStyle name="메모 20 8" xfId="27824"/>
    <cellStyle name="메모 20 8 2" xfId="27825"/>
    <cellStyle name="메모 20 8 3" xfId="27826"/>
    <cellStyle name="메모 20 80" xfId="27827"/>
    <cellStyle name="메모 20 80 2" xfId="27828"/>
    <cellStyle name="메모 20 80 3" xfId="27829"/>
    <cellStyle name="메모 20 81" xfId="27830"/>
    <cellStyle name="메모 20 81 2" xfId="27831"/>
    <cellStyle name="메모 20 81 3" xfId="27832"/>
    <cellStyle name="메모 20 82" xfId="27833"/>
    <cellStyle name="메모 20 83" xfId="27834"/>
    <cellStyle name="메모 20 9" xfId="27835"/>
    <cellStyle name="메모 20 9 2" xfId="27836"/>
    <cellStyle name="메모 20 9 3" xfId="27837"/>
    <cellStyle name="메모 21" xfId="27838"/>
    <cellStyle name="메모 21 10" xfId="27839"/>
    <cellStyle name="메모 21 10 2" xfId="27840"/>
    <cellStyle name="메모 21 10 3" xfId="27841"/>
    <cellStyle name="메모 21 11" xfId="27842"/>
    <cellStyle name="메모 21 11 2" xfId="27843"/>
    <cellStyle name="메모 21 11 3" xfId="27844"/>
    <cellStyle name="메모 21 12" xfId="27845"/>
    <cellStyle name="메모 21 12 2" xfId="27846"/>
    <cellStyle name="메모 21 12 3" xfId="27847"/>
    <cellStyle name="메모 21 13" xfId="27848"/>
    <cellStyle name="메모 21 13 2" xfId="27849"/>
    <cellStyle name="메모 21 13 3" xfId="27850"/>
    <cellStyle name="메모 21 14" xfId="27851"/>
    <cellStyle name="메모 21 14 2" xfId="27852"/>
    <cellStyle name="메모 21 14 3" xfId="27853"/>
    <cellStyle name="메모 21 15" xfId="27854"/>
    <cellStyle name="메모 21 15 2" xfId="27855"/>
    <cellStyle name="메모 21 15 3" xfId="27856"/>
    <cellStyle name="메모 21 16" xfId="27857"/>
    <cellStyle name="메모 21 16 2" xfId="27858"/>
    <cellStyle name="메모 21 16 3" xfId="27859"/>
    <cellStyle name="메모 21 17" xfId="27860"/>
    <cellStyle name="메모 21 17 2" xfId="27861"/>
    <cellStyle name="메모 21 17 3" xfId="27862"/>
    <cellStyle name="메모 21 18" xfId="27863"/>
    <cellStyle name="메모 21 18 2" xfId="27864"/>
    <cellStyle name="메모 21 18 3" xfId="27865"/>
    <cellStyle name="메모 21 19" xfId="27866"/>
    <cellStyle name="메모 21 19 2" xfId="27867"/>
    <cellStyle name="메모 21 19 3" xfId="27868"/>
    <cellStyle name="메모 21 2" xfId="27869"/>
    <cellStyle name="메모 21 2 2" xfId="27870"/>
    <cellStyle name="메모 21 2 3" xfId="27871"/>
    <cellStyle name="메모 21 20" xfId="27872"/>
    <cellStyle name="메모 21 20 2" xfId="27873"/>
    <cellStyle name="메모 21 20 3" xfId="27874"/>
    <cellStyle name="메모 21 21" xfId="27875"/>
    <cellStyle name="메모 21 21 2" xfId="27876"/>
    <cellStyle name="메모 21 21 3" xfId="27877"/>
    <cellStyle name="메모 21 22" xfId="27878"/>
    <cellStyle name="메모 21 22 2" xfId="27879"/>
    <cellStyle name="메모 21 22 3" xfId="27880"/>
    <cellStyle name="메모 21 23" xfId="27881"/>
    <cellStyle name="메모 21 23 2" xfId="27882"/>
    <cellStyle name="메모 21 23 3" xfId="27883"/>
    <cellStyle name="메모 21 24" xfId="27884"/>
    <cellStyle name="메모 21 24 2" xfId="27885"/>
    <cellStyle name="메모 21 24 3" xfId="27886"/>
    <cellStyle name="메모 21 25" xfId="27887"/>
    <cellStyle name="메모 21 25 2" xfId="27888"/>
    <cellStyle name="메모 21 25 3" xfId="27889"/>
    <cellStyle name="메모 21 26" xfId="27890"/>
    <cellStyle name="메모 21 26 2" xfId="27891"/>
    <cellStyle name="메모 21 26 3" xfId="27892"/>
    <cellStyle name="메모 21 27" xfId="27893"/>
    <cellStyle name="메모 21 27 2" xfId="27894"/>
    <cellStyle name="메모 21 27 3" xfId="27895"/>
    <cellStyle name="메모 21 28" xfId="27896"/>
    <cellStyle name="메모 21 28 2" xfId="27897"/>
    <cellStyle name="메모 21 28 3" xfId="27898"/>
    <cellStyle name="메모 21 29" xfId="27899"/>
    <cellStyle name="메모 21 29 2" xfId="27900"/>
    <cellStyle name="메모 21 29 3" xfId="27901"/>
    <cellStyle name="메모 21 3" xfId="27902"/>
    <cellStyle name="메모 21 3 2" xfId="27903"/>
    <cellStyle name="메모 21 3 3" xfId="27904"/>
    <cellStyle name="메모 21 30" xfId="27905"/>
    <cellStyle name="메모 21 30 2" xfId="27906"/>
    <cellStyle name="메모 21 30 3" xfId="27907"/>
    <cellStyle name="메모 21 31" xfId="27908"/>
    <cellStyle name="메모 21 31 2" xfId="27909"/>
    <cellStyle name="메모 21 31 3" xfId="27910"/>
    <cellStyle name="메모 21 32" xfId="27911"/>
    <cellStyle name="메모 21 32 2" xfId="27912"/>
    <cellStyle name="메모 21 32 3" xfId="27913"/>
    <cellStyle name="메모 21 33" xfId="27914"/>
    <cellStyle name="메모 21 33 2" xfId="27915"/>
    <cellStyle name="메모 21 33 3" xfId="27916"/>
    <cellStyle name="메모 21 34" xfId="27917"/>
    <cellStyle name="메모 21 34 2" xfId="27918"/>
    <cellStyle name="메모 21 34 3" xfId="27919"/>
    <cellStyle name="메모 21 35" xfId="27920"/>
    <cellStyle name="메모 21 35 2" xfId="27921"/>
    <cellStyle name="메모 21 35 3" xfId="27922"/>
    <cellStyle name="메모 21 36" xfId="27923"/>
    <cellStyle name="메모 21 36 2" xfId="27924"/>
    <cellStyle name="메모 21 36 3" xfId="27925"/>
    <cellStyle name="메모 21 37" xfId="27926"/>
    <cellStyle name="메모 21 37 2" xfId="27927"/>
    <cellStyle name="메모 21 37 3" xfId="27928"/>
    <cellStyle name="메모 21 38" xfId="27929"/>
    <cellStyle name="메모 21 38 2" xfId="27930"/>
    <cellStyle name="메모 21 38 3" xfId="27931"/>
    <cellStyle name="메모 21 39" xfId="27932"/>
    <cellStyle name="메모 21 39 2" xfId="27933"/>
    <cellStyle name="메모 21 39 3" xfId="27934"/>
    <cellStyle name="메모 21 4" xfId="27935"/>
    <cellStyle name="메모 21 4 2" xfId="27936"/>
    <cellStyle name="메모 21 4 3" xfId="27937"/>
    <cellStyle name="메모 21 40" xfId="27938"/>
    <cellStyle name="메모 21 40 2" xfId="27939"/>
    <cellStyle name="메모 21 40 3" xfId="27940"/>
    <cellStyle name="메모 21 41" xfId="27941"/>
    <cellStyle name="메모 21 41 2" xfId="27942"/>
    <cellStyle name="메모 21 41 3" xfId="27943"/>
    <cellStyle name="메모 21 42" xfId="27944"/>
    <cellStyle name="메모 21 42 2" xfId="27945"/>
    <cellStyle name="메모 21 42 3" xfId="27946"/>
    <cellStyle name="메모 21 43" xfId="27947"/>
    <cellStyle name="메모 21 43 2" xfId="27948"/>
    <cellStyle name="메모 21 43 3" xfId="27949"/>
    <cellStyle name="메모 21 44" xfId="27950"/>
    <cellStyle name="메모 21 44 2" xfId="27951"/>
    <cellStyle name="메모 21 44 3" xfId="27952"/>
    <cellStyle name="메모 21 45" xfId="27953"/>
    <cellStyle name="메모 21 45 2" xfId="27954"/>
    <cellStyle name="메모 21 45 3" xfId="27955"/>
    <cellStyle name="메모 21 46" xfId="27956"/>
    <cellStyle name="메모 21 46 2" xfId="27957"/>
    <cellStyle name="메모 21 46 3" xfId="27958"/>
    <cellStyle name="메모 21 47" xfId="27959"/>
    <cellStyle name="메모 21 47 2" xfId="27960"/>
    <cellStyle name="메모 21 47 3" xfId="27961"/>
    <cellStyle name="메모 21 48" xfId="27962"/>
    <cellStyle name="메모 21 48 2" xfId="27963"/>
    <cellStyle name="메모 21 48 3" xfId="27964"/>
    <cellStyle name="메모 21 49" xfId="27965"/>
    <cellStyle name="메모 21 49 2" xfId="27966"/>
    <cellStyle name="메모 21 49 3" xfId="27967"/>
    <cellStyle name="메모 21 5" xfId="27968"/>
    <cellStyle name="메모 21 5 2" xfId="27969"/>
    <cellStyle name="메모 21 5 3" xfId="27970"/>
    <cellStyle name="메모 21 50" xfId="27971"/>
    <cellStyle name="메모 21 50 2" xfId="27972"/>
    <cellStyle name="메모 21 50 3" xfId="27973"/>
    <cellStyle name="메모 21 51" xfId="27974"/>
    <cellStyle name="메모 21 51 2" xfId="27975"/>
    <cellStyle name="메모 21 51 3" xfId="27976"/>
    <cellStyle name="메모 21 52" xfId="27977"/>
    <cellStyle name="메모 21 52 2" xfId="27978"/>
    <cellStyle name="메모 21 52 3" xfId="27979"/>
    <cellStyle name="메모 21 53" xfId="27980"/>
    <cellStyle name="메모 21 53 2" xfId="27981"/>
    <cellStyle name="메모 21 53 3" xfId="27982"/>
    <cellStyle name="메모 21 54" xfId="27983"/>
    <cellStyle name="메모 21 54 2" xfId="27984"/>
    <cellStyle name="메모 21 54 3" xfId="27985"/>
    <cellStyle name="메모 21 55" xfId="27986"/>
    <cellStyle name="메모 21 55 2" xfId="27987"/>
    <cellStyle name="메모 21 55 3" xfId="27988"/>
    <cellStyle name="메모 21 56" xfId="27989"/>
    <cellStyle name="메모 21 56 2" xfId="27990"/>
    <cellStyle name="메모 21 56 3" xfId="27991"/>
    <cellStyle name="메모 21 57" xfId="27992"/>
    <cellStyle name="메모 21 57 2" xfId="27993"/>
    <cellStyle name="메모 21 57 3" xfId="27994"/>
    <cellStyle name="메모 21 58" xfId="27995"/>
    <cellStyle name="메모 21 58 2" xfId="27996"/>
    <cellStyle name="메모 21 58 3" xfId="27997"/>
    <cellStyle name="메모 21 59" xfId="27998"/>
    <cellStyle name="메모 21 59 2" xfId="27999"/>
    <cellStyle name="메모 21 59 3" xfId="28000"/>
    <cellStyle name="메모 21 6" xfId="28001"/>
    <cellStyle name="메모 21 6 2" xfId="28002"/>
    <cellStyle name="메모 21 6 3" xfId="28003"/>
    <cellStyle name="메모 21 60" xfId="28004"/>
    <cellStyle name="메모 21 60 2" xfId="28005"/>
    <cellStyle name="메모 21 60 3" xfId="28006"/>
    <cellStyle name="메모 21 61" xfId="28007"/>
    <cellStyle name="메모 21 61 2" xfId="28008"/>
    <cellStyle name="메모 21 61 3" xfId="28009"/>
    <cellStyle name="메모 21 62" xfId="28010"/>
    <cellStyle name="메모 21 62 2" xfId="28011"/>
    <cellStyle name="메모 21 62 3" xfId="28012"/>
    <cellStyle name="메모 21 63" xfId="28013"/>
    <cellStyle name="메모 21 63 2" xfId="28014"/>
    <cellStyle name="메모 21 63 3" xfId="28015"/>
    <cellStyle name="메모 21 64" xfId="28016"/>
    <cellStyle name="메모 21 64 2" xfId="28017"/>
    <cellStyle name="메모 21 64 3" xfId="28018"/>
    <cellStyle name="메모 21 65" xfId="28019"/>
    <cellStyle name="메모 21 65 2" xfId="28020"/>
    <cellStyle name="메모 21 65 3" xfId="28021"/>
    <cellStyle name="메모 21 66" xfId="28022"/>
    <cellStyle name="메모 21 66 2" xfId="28023"/>
    <cellStyle name="메모 21 66 3" xfId="28024"/>
    <cellStyle name="메모 21 67" xfId="28025"/>
    <cellStyle name="메모 21 67 2" xfId="28026"/>
    <cellStyle name="메모 21 67 3" xfId="28027"/>
    <cellStyle name="메모 21 68" xfId="28028"/>
    <cellStyle name="메모 21 68 2" xfId="28029"/>
    <cellStyle name="메모 21 68 3" xfId="28030"/>
    <cellStyle name="메모 21 69" xfId="28031"/>
    <cellStyle name="메모 21 69 2" xfId="28032"/>
    <cellStyle name="메모 21 69 3" xfId="28033"/>
    <cellStyle name="메모 21 7" xfId="28034"/>
    <cellStyle name="메모 21 7 2" xfId="28035"/>
    <cellStyle name="메모 21 7 3" xfId="28036"/>
    <cellStyle name="메모 21 70" xfId="28037"/>
    <cellStyle name="메모 21 70 2" xfId="28038"/>
    <cellStyle name="메모 21 70 3" xfId="28039"/>
    <cellStyle name="메모 21 71" xfId="28040"/>
    <cellStyle name="메모 21 71 2" xfId="28041"/>
    <cellStyle name="메모 21 71 3" xfId="28042"/>
    <cellStyle name="메모 21 72" xfId="28043"/>
    <cellStyle name="메모 21 72 2" xfId="28044"/>
    <cellStyle name="메모 21 72 3" xfId="28045"/>
    <cellStyle name="메모 21 73" xfId="28046"/>
    <cellStyle name="메모 21 73 2" xfId="28047"/>
    <cellStyle name="메모 21 73 3" xfId="28048"/>
    <cellStyle name="메모 21 74" xfId="28049"/>
    <cellStyle name="메모 21 74 2" xfId="28050"/>
    <cellStyle name="메모 21 74 3" xfId="28051"/>
    <cellStyle name="메모 21 75" xfId="28052"/>
    <cellStyle name="메모 21 75 2" xfId="28053"/>
    <cellStyle name="메모 21 75 3" xfId="28054"/>
    <cellStyle name="메모 21 76" xfId="28055"/>
    <cellStyle name="메모 21 76 2" xfId="28056"/>
    <cellStyle name="메모 21 76 3" xfId="28057"/>
    <cellStyle name="메모 21 77" xfId="28058"/>
    <cellStyle name="메모 21 77 2" xfId="28059"/>
    <cellStyle name="메모 21 77 3" xfId="28060"/>
    <cellStyle name="메모 21 78" xfId="28061"/>
    <cellStyle name="메모 21 78 2" xfId="28062"/>
    <cellStyle name="메모 21 78 3" xfId="28063"/>
    <cellStyle name="메모 21 79" xfId="28064"/>
    <cellStyle name="메모 21 79 2" xfId="28065"/>
    <cellStyle name="메모 21 79 3" xfId="28066"/>
    <cellStyle name="메모 21 8" xfId="28067"/>
    <cellStyle name="메모 21 8 2" xfId="28068"/>
    <cellStyle name="메모 21 8 3" xfId="28069"/>
    <cellStyle name="메모 21 80" xfId="28070"/>
    <cellStyle name="메모 21 80 2" xfId="28071"/>
    <cellStyle name="메모 21 80 3" xfId="28072"/>
    <cellStyle name="메모 21 81" xfId="28073"/>
    <cellStyle name="메모 21 81 2" xfId="28074"/>
    <cellStyle name="메모 21 81 3" xfId="28075"/>
    <cellStyle name="메모 21 82" xfId="28076"/>
    <cellStyle name="메모 21 83" xfId="28077"/>
    <cellStyle name="메모 21 9" xfId="28078"/>
    <cellStyle name="메모 21 9 2" xfId="28079"/>
    <cellStyle name="메모 21 9 3" xfId="28080"/>
    <cellStyle name="메모 22" xfId="28081"/>
    <cellStyle name="메모 22 10" xfId="28082"/>
    <cellStyle name="메모 22 10 2" xfId="28083"/>
    <cellStyle name="메모 22 10 3" xfId="28084"/>
    <cellStyle name="메모 22 11" xfId="28085"/>
    <cellStyle name="메모 22 11 2" xfId="28086"/>
    <cellStyle name="메모 22 11 3" xfId="28087"/>
    <cellStyle name="메모 22 12" xfId="28088"/>
    <cellStyle name="메모 22 12 2" xfId="28089"/>
    <cellStyle name="메모 22 12 3" xfId="28090"/>
    <cellStyle name="메모 22 13" xfId="28091"/>
    <cellStyle name="메모 22 13 2" xfId="28092"/>
    <cellStyle name="메모 22 13 3" xfId="28093"/>
    <cellStyle name="메모 22 14" xfId="28094"/>
    <cellStyle name="메모 22 14 2" xfId="28095"/>
    <cellStyle name="메모 22 14 3" xfId="28096"/>
    <cellStyle name="메모 22 15" xfId="28097"/>
    <cellStyle name="메모 22 15 2" xfId="28098"/>
    <cellStyle name="메모 22 15 3" xfId="28099"/>
    <cellStyle name="메모 22 16" xfId="28100"/>
    <cellStyle name="메모 22 16 2" xfId="28101"/>
    <cellStyle name="메모 22 16 3" xfId="28102"/>
    <cellStyle name="메모 22 17" xfId="28103"/>
    <cellStyle name="메모 22 17 2" xfId="28104"/>
    <cellStyle name="메모 22 17 3" xfId="28105"/>
    <cellStyle name="메모 22 18" xfId="28106"/>
    <cellStyle name="메모 22 18 2" xfId="28107"/>
    <cellStyle name="메모 22 18 3" xfId="28108"/>
    <cellStyle name="메모 22 19" xfId="28109"/>
    <cellStyle name="메모 22 19 2" xfId="28110"/>
    <cellStyle name="메모 22 19 3" xfId="28111"/>
    <cellStyle name="메모 22 2" xfId="28112"/>
    <cellStyle name="메모 22 2 2" xfId="28113"/>
    <cellStyle name="메모 22 2 3" xfId="28114"/>
    <cellStyle name="메모 22 20" xfId="28115"/>
    <cellStyle name="메모 22 20 2" xfId="28116"/>
    <cellStyle name="메모 22 20 3" xfId="28117"/>
    <cellStyle name="메모 22 21" xfId="28118"/>
    <cellStyle name="메모 22 21 2" xfId="28119"/>
    <cellStyle name="메모 22 21 3" xfId="28120"/>
    <cellStyle name="메모 22 22" xfId="28121"/>
    <cellStyle name="메모 22 22 2" xfId="28122"/>
    <cellStyle name="메모 22 22 3" xfId="28123"/>
    <cellStyle name="메모 22 23" xfId="28124"/>
    <cellStyle name="메모 22 23 2" xfId="28125"/>
    <cellStyle name="메모 22 23 3" xfId="28126"/>
    <cellStyle name="메모 22 24" xfId="28127"/>
    <cellStyle name="메모 22 24 2" xfId="28128"/>
    <cellStyle name="메모 22 24 3" xfId="28129"/>
    <cellStyle name="메모 22 25" xfId="28130"/>
    <cellStyle name="메모 22 25 2" xfId="28131"/>
    <cellStyle name="메모 22 25 3" xfId="28132"/>
    <cellStyle name="메모 22 26" xfId="28133"/>
    <cellStyle name="메모 22 26 2" xfId="28134"/>
    <cellStyle name="메모 22 26 3" xfId="28135"/>
    <cellStyle name="메모 22 27" xfId="28136"/>
    <cellStyle name="메모 22 27 2" xfId="28137"/>
    <cellStyle name="메모 22 27 3" xfId="28138"/>
    <cellStyle name="메모 22 28" xfId="28139"/>
    <cellStyle name="메모 22 28 2" xfId="28140"/>
    <cellStyle name="메모 22 28 3" xfId="28141"/>
    <cellStyle name="메모 22 29" xfId="28142"/>
    <cellStyle name="메모 22 29 2" xfId="28143"/>
    <cellStyle name="메모 22 29 3" xfId="28144"/>
    <cellStyle name="메모 22 3" xfId="28145"/>
    <cellStyle name="메모 22 3 2" xfId="28146"/>
    <cellStyle name="메모 22 3 3" xfId="28147"/>
    <cellStyle name="메모 22 30" xfId="28148"/>
    <cellStyle name="메모 22 30 2" xfId="28149"/>
    <cellStyle name="메모 22 30 3" xfId="28150"/>
    <cellStyle name="메모 22 31" xfId="28151"/>
    <cellStyle name="메모 22 31 2" xfId="28152"/>
    <cellStyle name="메모 22 31 3" xfId="28153"/>
    <cellStyle name="메모 22 32" xfId="28154"/>
    <cellStyle name="메모 22 32 2" xfId="28155"/>
    <cellStyle name="메모 22 32 3" xfId="28156"/>
    <cellStyle name="메모 22 33" xfId="28157"/>
    <cellStyle name="메모 22 33 2" xfId="28158"/>
    <cellStyle name="메모 22 33 3" xfId="28159"/>
    <cellStyle name="메모 22 34" xfId="28160"/>
    <cellStyle name="메모 22 34 2" xfId="28161"/>
    <cellStyle name="메모 22 34 3" xfId="28162"/>
    <cellStyle name="메모 22 35" xfId="28163"/>
    <cellStyle name="메모 22 35 2" xfId="28164"/>
    <cellStyle name="메모 22 35 3" xfId="28165"/>
    <cellStyle name="메모 22 36" xfId="28166"/>
    <cellStyle name="메모 22 36 2" xfId="28167"/>
    <cellStyle name="메모 22 36 3" xfId="28168"/>
    <cellStyle name="메모 22 37" xfId="28169"/>
    <cellStyle name="메모 22 37 2" xfId="28170"/>
    <cellStyle name="메모 22 37 3" xfId="28171"/>
    <cellStyle name="메모 22 38" xfId="28172"/>
    <cellStyle name="메모 22 38 2" xfId="28173"/>
    <cellStyle name="메모 22 38 3" xfId="28174"/>
    <cellStyle name="메모 22 39" xfId="28175"/>
    <cellStyle name="메모 22 39 2" xfId="28176"/>
    <cellStyle name="메모 22 39 3" xfId="28177"/>
    <cellStyle name="메모 22 4" xfId="28178"/>
    <cellStyle name="메모 22 4 2" xfId="28179"/>
    <cellStyle name="메모 22 4 3" xfId="28180"/>
    <cellStyle name="메모 22 40" xfId="28181"/>
    <cellStyle name="메모 22 40 2" xfId="28182"/>
    <cellStyle name="메모 22 40 3" xfId="28183"/>
    <cellStyle name="메모 22 41" xfId="28184"/>
    <cellStyle name="메모 22 41 2" xfId="28185"/>
    <cellStyle name="메모 22 41 3" xfId="28186"/>
    <cellStyle name="메모 22 42" xfId="28187"/>
    <cellStyle name="메모 22 42 2" xfId="28188"/>
    <cellStyle name="메모 22 42 3" xfId="28189"/>
    <cellStyle name="메모 22 43" xfId="28190"/>
    <cellStyle name="메모 22 43 2" xfId="28191"/>
    <cellStyle name="메모 22 43 3" xfId="28192"/>
    <cellStyle name="메모 22 44" xfId="28193"/>
    <cellStyle name="메모 22 44 2" xfId="28194"/>
    <cellStyle name="메모 22 44 3" xfId="28195"/>
    <cellStyle name="메모 22 45" xfId="28196"/>
    <cellStyle name="메모 22 45 2" xfId="28197"/>
    <cellStyle name="메모 22 45 3" xfId="28198"/>
    <cellStyle name="메모 22 46" xfId="28199"/>
    <cellStyle name="메모 22 46 2" xfId="28200"/>
    <cellStyle name="메모 22 46 3" xfId="28201"/>
    <cellStyle name="메모 22 47" xfId="28202"/>
    <cellStyle name="메모 22 47 2" xfId="28203"/>
    <cellStyle name="메모 22 47 3" xfId="28204"/>
    <cellStyle name="메모 22 48" xfId="28205"/>
    <cellStyle name="메모 22 48 2" xfId="28206"/>
    <cellStyle name="메모 22 48 3" xfId="28207"/>
    <cellStyle name="메모 22 49" xfId="28208"/>
    <cellStyle name="메모 22 49 2" xfId="28209"/>
    <cellStyle name="메모 22 49 3" xfId="28210"/>
    <cellStyle name="메모 22 5" xfId="28211"/>
    <cellStyle name="메모 22 5 2" xfId="28212"/>
    <cellStyle name="메모 22 5 3" xfId="28213"/>
    <cellStyle name="메모 22 50" xfId="28214"/>
    <cellStyle name="메모 22 50 2" xfId="28215"/>
    <cellStyle name="메모 22 50 3" xfId="28216"/>
    <cellStyle name="메모 22 51" xfId="28217"/>
    <cellStyle name="메모 22 51 2" xfId="28218"/>
    <cellStyle name="메모 22 51 3" xfId="28219"/>
    <cellStyle name="메모 22 52" xfId="28220"/>
    <cellStyle name="메모 22 52 2" xfId="28221"/>
    <cellStyle name="메모 22 52 3" xfId="28222"/>
    <cellStyle name="메모 22 53" xfId="28223"/>
    <cellStyle name="메모 22 53 2" xfId="28224"/>
    <cellStyle name="메모 22 53 3" xfId="28225"/>
    <cellStyle name="메모 22 54" xfId="28226"/>
    <cellStyle name="메모 22 54 2" xfId="28227"/>
    <cellStyle name="메모 22 54 3" xfId="28228"/>
    <cellStyle name="메모 22 55" xfId="28229"/>
    <cellStyle name="메모 22 55 2" xfId="28230"/>
    <cellStyle name="메모 22 55 3" xfId="28231"/>
    <cellStyle name="메모 22 56" xfId="28232"/>
    <cellStyle name="메모 22 56 2" xfId="28233"/>
    <cellStyle name="메모 22 56 3" xfId="28234"/>
    <cellStyle name="메모 22 57" xfId="28235"/>
    <cellStyle name="메모 22 57 2" xfId="28236"/>
    <cellStyle name="메모 22 57 3" xfId="28237"/>
    <cellStyle name="메모 22 58" xfId="28238"/>
    <cellStyle name="메모 22 58 2" xfId="28239"/>
    <cellStyle name="메모 22 58 3" xfId="28240"/>
    <cellStyle name="메모 22 59" xfId="28241"/>
    <cellStyle name="메모 22 59 2" xfId="28242"/>
    <cellStyle name="메모 22 59 3" xfId="28243"/>
    <cellStyle name="메모 22 6" xfId="28244"/>
    <cellStyle name="메모 22 6 2" xfId="28245"/>
    <cellStyle name="메모 22 6 3" xfId="28246"/>
    <cellStyle name="메모 22 60" xfId="28247"/>
    <cellStyle name="메모 22 60 2" xfId="28248"/>
    <cellStyle name="메모 22 60 3" xfId="28249"/>
    <cellStyle name="메모 22 61" xfId="28250"/>
    <cellStyle name="메모 22 61 2" xfId="28251"/>
    <cellStyle name="메모 22 61 3" xfId="28252"/>
    <cellStyle name="메모 22 62" xfId="28253"/>
    <cellStyle name="메모 22 62 2" xfId="28254"/>
    <cellStyle name="메모 22 62 3" xfId="28255"/>
    <cellStyle name="메모 22 63" xfId="28256"/>
    <cellStyle name="메모 22 63 2" xfId="28257"/>
    <cellStyle name="메모 22 63 3" xfId="28258"/>
    <cellStyle name="메모 22 64" xfId="28259"/>
    <cellStyle name="메모 22 64 2" xfId="28260"/>
    <cellStyle name="메모 22 64 3" xfId="28261"/>
    <cellStyle name="메모 22 65" xfId="28262"/>
    <cellStyle name="메모 22 65 2" xfId="28263"/>
    <cellStyle name="메모 22 65 3" xfId="28264"/>
    <cellStyle name="메모 22 66" xfId="28265"/>
    <cellStyle name="메모 22 66 2" xfId="28266"/>
    <cellStyle name="메모 22 66 3" xfId="28267"/>
    <cellStyle name="메모 22 67" xfId="28268"/>
    <cellStyle name="메모 22 67 2" xfId="28269"/>
    <cellStyle name="메모 22 67 3" xfId="28270"/>
    <cellStyle name="메모 22 68" xfId="28271"/>
    <cellStyle name="메모 22 68 2" xfId="28272"/>
    <cellStyle name="메모 22 68 3" xfId="28273"/>
    <cellStyle name="메모 22 69" xfId="28274"/>
    <cellStyle name="메모 22 69 2" xfId="28275"/>
    <cellStyle name="메모 22 69 3" xfId="28276"/>
    <cellStyle name="메모 22 7" xfId="28277"/>
    <cellStyle name="메모 22 7 2" xfId="28278"/>
    <cellStyle name="메모 22 7 3" xfId="28279"/>
    <cellStyle name="메모 22 70" xfId="28280"/>
    <cellStyle name="메모 22 70 2" xfId="28281"/>
    <cellStyle name="메모 22 70 3" xfId="28282"/>
    <cellStyle name="메모 22 71" xfId="28283"/>
    <cellStyle name="메모 22 71 2" xfId="28284"/>
    <cellStyle name="메모 22 71 3" xfId="28285"/>
    <cellStyle name="메모 22 72" xfId="28286"/>
    <cellStyle name="메모 22 72 2" xfId="28287"/>
    <cellStyle name="메모 22 72 3" xfId="28288"/>
    <cellStyle name="메모 22 73" xfId="28289"/>
    <cellStyle name="메모 22 73 2" xfId="28290"/>
    <cellStyle name="메모 22 73 3" xfId="28291"/>
    <cellStyle name="메모 22 74" xfId="28292"/>
    <cellStyle name="메모 22 74 2" xfId="28293"/>
    <cellStyle name="메모 22 74 3" xfId="28294"/>
    <cellStyle name="메모 22 75" xfId="28295"/>
    <cellStyle name="메모 22 75 2" xfId="28296"/>
    <cellStyle name="메모 22 75 3" xfId="28297"/>
    <cellStyle name="메모 22 76" xfId="28298"/>
    <cellStyle name="메모 22 76 2" xfId="28299"/>
    <cellStyle name="메모 22 76 3" xfId="28300"/>
    <cellStyle name="메모 22 77" xfId="28301"/>
    <cellStyle name="메모 22 77 2" xfId="28302"/>
    <cellStyle name="메모 22 77 3" xfId="28303"/>
    <cellStyle name="메모 22 78" xfId="28304"/>
    <cellStyle name="메모 22 78 2" xfId="28305"/>
    <cellStyle name="메모 22 78 3" xfId="28306"/>
    <cellStyle name="메모 22 79" xfId="28307"/>
    <cellStyle name="메모 22 79 2" xfId="28308"/>
    <cellStyle name="메모 22 79 3" xfId="28309"/>
    <cellStyle name="메모 22 8" xfId="28310"/>
    <cellStyle name="메모 22 8 2" xfId="28311"/>
    <cellStyle name="메모 22 8 3" xfId="28312"/>
    <cellStyle name="메모 22 80" xfId="28313"/>
    <cellStyle name="메모 22 80 2" xfId="28314"/>
    <cellStyle name="메모 22 80 3" xfId="28315"/>
    <cellStyle name="메모 22 81" xfId="28316"/>
    <cellStyle name="메모 22 81 2" xfId="28317"/>
    <cellStyle name="메모 22 81 3" xfId="28318"/>
    <cellStyle name="메모 22 82" xfId="28319"/>
    <cellStyle name="메모 22 83" xfId="28320"/>
    <cellStyle name="메모 22 9" xfId="28321"/>
    <cellStyle name="메모 22 9 2" xfId="28322"/>
    <cellStyle name="메모 22 9 3" xfId="28323"/>
    <cellStyle name="메모 23" xfId="28324"/>
    <cellStyle name="메모 23 10" xfId="28325"/>
    <cellStyle name="메모 23 10 2" xfId="28326"/>
    <cellStyle name="메모 23 10 3" xfId="28327"/>
    <cellStyle name="메모 23 11" xfId="28328"/>
    <cellStyle name="메모 23 11 2" xfId="28329"/>
    <cellStyle name="메모 23 11 3" xfId="28330"/>
    <cellStyle name="메모 23 12" xfId="28331"/>
    <cellStyle name="메모 23 12 2" xfId="28332"/>
    <cellStyle name="메모 23 12 3" xfId="28333"/>
    <cellStyle name="메모 23 13" xfId="28334"/>
    <cellStyle name="메모 23 13 2" xfId="28335"/>
    <cellStyle name="메모 23 13 3" xfId="28336"/>
    <cellStyle name="메모 23 14" xfId="28337"/>
    <cellStyle name="메모 23 14 2" xfId="28338"/>
    <cellStyle name="메모 23 14 3" xfId="28339"/>
    <cellStyle name="메모 23 15" xfId="28340"/>
    <cellStyle name="메모 23 15 2" xfId="28341"/>
    <cellStyle name="메모 23 15 3" xfId="28342"/>
    <cellStyle name="메모 23 16" xfId="28343"/>
    <cellStyle name="메모 23 16 2" xfId="28344"/>
    <cellStyle name="메모 23 16 3" xfId="28345"/>
    <cellStyle name="메모 23 17" xfId="28346"/>
    <cellStyle name="메모 23 17 2" xfId="28347"/>
    <cellStyle name="메모 23 17 3" xfId="28348"/>
    <cellStyle name="메모 23 18" xfId="28349"/>
    <cellStyle name="메모 23 18 2" xfId="28350"/>
    <cellStyle name="메모 23 18 3" xfId="28351"/>
    <cellStyle name="메모 23 19" xfId="28352"/>
    <cellStyle name="메모 23 19 2" xfId="28353"/>
    <cellStyle name="메모 23 19 3" xfId="28354"/>
    <cellStyle name="메모 23 2" xfId="28355"/>
    <cellStyle name="메모 23 2 2" xfId="28356"/>
    <cellStyle name="메모 23 2 3" xfId="28357"/>
    <cellStyle name="메모 23 20" xfId="28358"/>
    <cellStyle name="메모 23 20 2" xfId="28359"/>
    <cellStyle name="메모 23 20 3" xfId="28360"/>
    <cellStyle name="메모 23 21" xfId="28361"/>
    <cellStyle name="메모 23 21 2" xfId="28362"/>
    <cellStyle name="메모 23 21 3" xfId="28363"/>
    <cellStyle name="메모 23 22" xfId="28364"/>
    <cellStyle name="메모 23 22 2" xfId="28365"/>
    <cellStyle name="메모 23 22 3" xfId="28366"/>
    <cellStyle name="메모 23 23" xfId="28367"/>
    <cellStyle name="메모 23 23 2" xfId="28368"/>
    <cellStyle name="메모 23 23 3" xfId="28369"/>
    <cellStyle name="메모 23 24" xfId="28370"/>
    <cellStyle name="메모 23 24 2" xfId="28371"/>
    <cellStyle name="메모 23 24 3" xfId="28372"/>
    <cellStyle name="메모 23 25" xfId="28373"/>
    <cellStyle name="메모 23 25 2" xfId="28374"/>
    <cellStyle name="메모 23 25 3" xfId="28375"/>
    <cellStyle name="메모 23 26" xfId="28376"/>
    <cellStyle name="메모 23 26 2" xfId="28377"/>
    <cellStyle name="메모 23 26 3" xfId="28378"/>
    <cellStyle name="메모 23 27" xfId="28379"/>
    <cellStyle name="메모 23 27 2" xfId="28380"/>
    <cellStyle name="메모 23 27 3" xfId="28381"/>
    <cellStyle name="메모 23 28" xfId="28382"/>
    <cellStyle name="메모 23 28 2" xfId="28383"/>
    <cellStyle name="메모 23 28 3" xfId="28384"/>
    <cellStyle name="메모 23 29" xfId="28385"/>
    <cellStyle name="메모 23 29 2" xfId="28386"/>
    <cellStyle name="메모 23 29 3" xfId="28387"/>
    <cellStyle name="메모 23 3" xfId="28388"/>
    <cellStyle name="메모 23 3 2" xfId="28389"/>
    <cellStyle name="메모 23 3 3" xfId="28390"/>
    <cellStyle name="메모 23 30" xfId="28391"/>
    <cellStyle name="메모 23 30 2" xfId="28392"/>
    <cellStyle name="메모 23 30 3" xfId="28393"/>
    <cellStyle name="메모 23 31" xfId="28394"/>
    <cellStyle name="메모 23 31 2" xfId="28395"/>
    <cellStyle name="메모 23 31 3" xfId="28396"/>
    <cellStyle name="메모 23 32" xfId="28397"/>
    <cellStyle name="메모 23 32 2" xfId="28398"/>
    <cellStyle name="메모 23 32 3" xfId="28399"/>
    <cellStyle name="메모 23 33" xfId="28400"/>
    <cellStyle name="메모 23 33 2" xfId="28401"/>
    <cellStyle name="메모 23 33 3" xfId="28402"/>
    <cellStyle name="메모 23 34" xfId="28403"/>
    <cellStyle name="메모 23 34 2" xfId="28404"/>
    <cellStyle name="메모 23 34 3" xfId="28405"/>
    <cellStyle name="메모 23 35" xfId="28406"/>
    <cellStyle name="메모 23 35 2" xfId="28407"/>
    <cellStyle name="메모 23 35 3" xfId="28408"/>
    <cellStyle name="메모 23 36" xfId="28409"/>
    <cellStyle name="메모 23 36 2" xfId="28410"/>
    <cellStyle name="메모 23 36 3" xfId="28411"/>
    <cellStyle name="메모 23 37" xfId="28412"/>
    <cellStyle name="메모 23 37 2" xfId="28413"/>
    <cellStyle name="메모 23 37 3" xfId="28414"/>
    <cellStyle name="메모 23 38" xfId="28415"/>
    <cellStyle name="메모 23 38 2" xfId="28416"/>
    <cellStyle name="메모 23 38 3" xfId="28417"/>
    <cellStyle name="메모 23 39" xfId="28418"/>
    <cellStyle name="메모 23 39 2" xfId="28419"/>
    <cellStyle name="메모 23 39 3" xfId="28420"/>
    <cellStyle name="메모 23 4" xfId="28421"/>
    <cellStyle name="메모 23 4 2" xfId="28422"/>
    <cellStyle name="메모 23 4 3" xfId="28423"/>
    <cellStyle name="메모 23 40" xfId="28424"/>
    <cellStyle name="메모 23 40 2" xfId="28425"/>
    <cellStyle name="메모 23 40 3" xfId="28426"/>
    <cellStyle name="메모 23 41" xfId="28427"/>
    <cellStyle name="메모 23 41 2" xfId="28428"/>
    <cellStyle name="메모 23 41 3" xfId="28429"/>
    <cellStyle name="메모 23 42" xfId="28430"/>
    <cellStyle name="메모 23 42 2" xfId="28431"/>
    <cellStyle name="메모 23 42 3" xfId="28432"/>
    <cellStyle name="메모 23 43" xfId="28433"/>
    <cellStyle name="메모 23 43 2" xfId="28434"/>
    <cellStyle name="메모 23 43 3" xfId="28435"/>
    <cellStyle name="메모 23 44" xfId="28436"/>
    <cellStyle name="메모 23 44 2" xfId="28437"/>
    <cellStyle name="메모 23 44 3" xfId="28438"/>
    <cellStyle name="메모 23 45" xfId="28439"/>
    <cellStyle name="메모 23 45 2" xfId="28440"/>
    <cellStyle name="메모 23 45 3" xfId="28441"/>
    <cellStyle name="메모 23 46" xfId="28442"/>
    <cellStyle name="메모 23 46 2" xfId="28443"/>
    <cellStyle name="메모 23 46 3" xfId="28444"/>
    <cellStyle name="메모 23 47" xfId="28445"/>
    <cellStyle name="메모 23 47 2" xfId="28446"/>
    <cellStyle name="메모 23 47 3" xfId="28447"/>
    <cellStyle name="메모 23 48" xfId="28448"/>
    <cellStyle name="메모 23 48 2" xfId="28449"/>
    <cellStyle name="메모 23 48 3" xfId="28450"/>
    <cellStyle name="메모 23 49" xfId="28451"/>
    <cellStyle name="메모 23 49 2" xfId="28452"/>
    <cellStyle name="메모 23 49 3" xfId="28453"/>
    <cellStyle name="메모 23 5" xfId="28454"/>
    <cellStyle name="메모 23 5 2" xfId="28455"/>
    <cellStyle name="메모 23 5 3" xfId="28456"/>
    <cellStyle name="메모 23 50" xfId="28457"/>
    <cellStyle name="메모 23 50 2" xfId="28458"/>
    <cellStyle name="메모 23 50 3" xfId="28459"/>
    <cellStyle name="메모 23 51" xfId="28460"/>
    <cellStyle name="메모 23 51 2" xfId="28461"/>
    <cellStyle name="메모 23 51 3" xfId="28462"/>
    <cellStyle name="메모 23 52" xfId="28463"/>
    <cellStyle name="메모 23 52 2" xfId="28464"/>
    <cellStyle name="메모 23 52 3" xfId="28465"/>
    <cellStyle name="메모 23 53" xfId="28466"/>
    <cellStyle name="메모 23 53 2" xfId="28467"/>
    <cellStyle name="메모 23 53 3" xfId="28468"/>
    <cellStyle name="메모 23 54" xfId="28469"/>
    <cellStyle name="메모 23 54 2" xfId="28470"/>
    <cellStyle name="메모 23 54 3" xfId="28471"/>
    <cellStyle name="메모 23 55" xfId="28472"/>
    <cellStyle name="메모 23 55 2" xfId="28473"/>
    <cellStyle name="메모 23 55 3" xfId="28474"/>
    <cellStyle name="메모 23 56" xfId="28475"/>
    <cellStyle name="메모 23 56 2" xfId="28476"/>
    <cellStyle name="메모 23 56 3" xfId="28477"/>
    <cellStyle name="메모 23 57" xfId="28478"/>
    <cellStyle name="메모 23 57 2" xfId="28479"/>
    <cellStyle name="메모 23 57 3" xfId="28480"/>
    <cellStyle name="메모 23 58" xfId="28481"/>
    <cellStyle name="메모 23 58 2" xfId="28482"/>
    <cellStyle name="메모 23 58 3" xfId="28483"/>
    <cellStyle name="메모 23 59" xfId="28484"/>
    <cellStyle name="메모 23 59 2" xfId="28485"/>
    <cellStyle name="메모 23 59 3" xfId="28486"/>
    <cellStyle name="메모 23 6" xfId="28487"/>
    <cellStyle name="메모 23 6 2" xfId="28488"/>
    <cellStyle name="메모 23 6 3" xfId="28489"/>
    <cellStyle name="메모 23 60" xfId="28490"/>
    <cellStyle name="메모 23 60 2" xfId="28491"/>
    <cellStyle name="메모 23 60 3" xfId="28492"/>
    <cellStyle name="메모 23 61" xfId="28493"/>
    <cellStyle name="메모 23 61 2" xfId="28494"/>
    <cellStyle name="메모 23 61 3" xfId="28495"/>
    <cellStyle name="메모 23 62" xfId="28496"/>
    <cellStyle name="메모 23 62 2" xfId="28497"/>
    <cellStyle name="메모 23 62 3" xfId="28498"/>
    <cellStyle name="메모 23 63" xfId="28499"/>
    <cellStyle name="메모 23 63 2" xfId="28500"/>
    <cellStyle name="메모 23 63 3" xfId="28501"/>
    <cellStyle name="메모 23 64" xfId="28502"/>
    <cellStyle name="메모 23 64 2" xfId="28503"/>
    <cellStyle name="메모 23 64 3" xfId="28504"/>
    <cellStyle name="메모 23 65" xfId="28505"/>
    <cellStyle name="메모 23 65 2" xfId="28506"/>
    <cellStyle name="메모 23 65 3" xfId="28507"/>
    <cellStyle name="메모 23 66" xfId="28508"/>
    <cellStyle name="메모 23 66 2" xfId="28509"/>
    <cellStyle name="메모 23 66 3" xfId="28510"/>
    <cellStyle name="메모 23 67" xfId="28511"/>
    <cellStyle name="메모 23 67 2" xfId="28512"/>
    <cellStyle name="메모 23 67 3" xfId="28513"/>
    <cellStyle name="메모 23 68" xfId="28514"/>
    <cellStyle name="메모 23 68 2" xfId="28515"/>
    <cellStyle name="메모 23 68 3" xfId="28516"/>
    <cellStyle name="메모 23 69" xfId="28517"/>
    <cellStyle name="메모 23 69 2" xfId="28518"/>
    <cellStyle name="메모 23 69 3" xfId="28519"/>
    <cellStyle name="메모 23 7" xfId="28520"/>
    <cellStyle name="메모 23 7 2" xfId="28521"/>
    <cellStyle name="메모 23 7 3" xfId="28522"/>
    <cellStyle name="메모 23 70" xfId="28523"/>
    <cellStyle name="메모 23 70 2" xfId="28524"/>
    <cellStyle name="메모 23 70 3" xfId="28525"/>
    <cellStyle name="메모 23 71" xfId="28526"/>
    <cellStyle name="메모 23 71 2" xfId="28527"/>
    <cellStyle name="메모 23 71 3" xfId="28528"/>
    <cellStyle name="메모 23 72" xfId="28529"/>
    <cellStyle name="메모 23 72 2" xfId="28530"/>
    <cellStyle name="메모 23 72 3" xfId="28531"/>
    <cellStyle name="메모 23 73" xfId="28532"/>
    <cellStyle name="메모 23 73 2" xfId="28533"/>
    <cellStyle name="메모 23 73 3" xfId="28534"/>
    <cellStyle name="메모 23 74" xfId="28535"/>
    <cellStyle name="메모 23 74 2" xfId="28536"/>
    <cellStyle name="메모 23 74 3" xfId="28537"/>
    <cellStyle name="메모 23 75" xfId="28538"/>
    <cellStyle name="메모 23 75 2" xfId="28539"/>
    <cellStyle name="메모 23 75 3" xfId="28540"/>
    <cellStyle name="메모 23 76" xfId="28541"/>
    <cellStyle name="메모 23 76 2" xfId="28542"/>
    <cellStyle name="메모 23 76 3" xfId="28543"/>
    <cellStyle name="메모 23 77" xfId="28544"/>
    <cellStyle name="메모 23 77 2" xfId="28545"/>
    <cellStyle name="메모 23 77 3" xfId="28546"/>
    <cellStyle name="메모 23 78" xfId="28547"/>
    <cellStyle name="메모 23 78 2" xfId="28548"/>
    <cellStyle name="메모 23 78 3" xfId="28549"/>
    <cellStyle name="메모 23 79" xfId="28550"/>
    <cellStyle name="메모 23 79 2" xfId="28551"/>
    <cellStyle name="메모 23 79 3" xfId="28552"/>
    <cellStyle name="메모 23 8" xfId="28553"/>
    <cellStyle name="메모 23 8 2" xfId="28554"/>
    <cellStyle name="메모 23 8 3" xfId="28555"/>
    <cellStyle name="메모 23 80" xfId="28556"/>
    <cellStyle name="메모 23 80 2" xfId="28557"/>
    <cellStyle name="메모 23 80 3" xfId="28558"/>
    <cellStyle name="메모 23 81" xfId="28559"/>
    <cellStyle name="메모 23 81 2" xfId="28560"/>
    <cellStyle name="메모 23 81 3" xfId="28561"/>
    <cellStyle name="메모 23 82" xfId="28562"/>
    <cellStyle name="메모 23 83" xfId="28563"/>
    <cellStyle name="메모 23 9" xfId="28564"/>
    <cellStyle name="메모 23 9 2" xfId="28565"/>
    <cellStyle name="메모 23 9 3" xfId="28566"/>
    <cellStyle name="메모 24" xfId="28567"/>
    <cellStyle name="메모 24 10" xfId="28568"/>
    <cellStyle name="메모 24 10 2" xfId="28569"/>
    <cellStyle name="메모 24 10 3" xfId="28570"/>
    <cellStyle name="메모 24 11" xfId="28571"/>
    <cellStyle name="메모 24 11 2" xfId="28572"/>
    <cellStyle name="메모 24 11 3" xfId="28573"/>
    <cellStyle name="메모 24 12" xfId="28574"/>
    <cellStyle name="메모 24 12 2" xfId="28575"/>
    <cellStyle name="메모 24 12 3" xfId="28576"/>
    <cellStyle name="메모 24 13" xfId="28577"/>
    <cellStyle name="메모 24 13 2" xfId="28578"/>
    <cellStyle name="메모 24 13 3" xfId="28579"/>
    <cellStyle name="메모 24 14" xfId="28580"/>
    <cellStyle name="메모 24 14 2" xfId="28581"/>
    <cellStyle name="메모 24 14 3" xfId="28582"/>
    <cellStyle name="메모 24 15" xfId="28583"/>
    <cellStyle name="메모 24 15 2" xfId="28584"/>
    <cellStyle name="메모 24 15 3" xfId="28585"/>
    <cellStyle name="메모 24 16" xfId="28586"/>
    <cellStyle name="메모 24 16 2" xfId="28587"/>
    <cellStyle name="메모 24 16 3" xfId="28588"/>
    <cellStyle name="메모 24 17" xfId="28589"/>
    <cellStyle name="메모 24 17 2" xfId="28590"/>
    <cellStyle name="메모 24 17 3" xfId="28591"/>
    <cellStyle name="메모 24 18" xfId="28592"/>
    <cellStyle name="메모 24 18 2" xfId="28593"/>
    <cellStyle name="메모 24 18 3" xfId="28594"/>
    <cellStyle name="메모 24 19" xfId="28595"/>
    <cellStyle name="메모 24 19 2" xfId="28596"/>
    <cellStyle name="메모 24 19 3" xfId="28597"/>
    <cellStyle name="메모 24 2" xfId="28598"/>
    <cellStyle name="메모 24 2 2" xfId="28599"/>
    <cellStyle name="메모 24 2 3" xfId="28600"/>
    <cellStyle name="메모 24 20" xfId="28601"/>
    <cellStyle name="메모 24 20 2" xfId="28602"/>
    <cellStyle name="메모 24 20 3" xfId="28603"/>
    <cellStyle name="메모 24 21" xfId="28604"/>
    <cellStyle name="메모 24 21 2" xfId="28605"/>
    <cellStyle name="메모 24 21 3" xfId="28606"/>
    <cellStyle name="메모 24 22" xfId="28607"/>
    <cellStyle name="메모 24 22 2" xfId="28608"/>
    <cellStyle name="메모 24 22 3" xfId="28609"/>
    <cellStyle name="메모 24 23" xfId="28610"/>
    <cellStyle name="메모 24 23 2" xfId="28611"/>
    <cellStyle name="메모 24 23 3" xfId="28612"/>
    <cellStyle name="메모 24 24" xfId="28613"/>
    <cellStyle name="메모 24 24 2" xfId="28614"/>
    <cellStyle name="메모 24 24 3" xfId="28615"/>
    <cellStyle name="메모 24 25" xfId="28616"/>
    <cellStyle name="메모 24 25 2" xfId="28617"/>
    <cellStyle name="메모 24 25 3" xfId="28618"/>
    <cellStyle name="메모 24 26" xfId="28619"/>
    <cellStyle name="메모 24 26 2" xfId="28620"/>
    <cellStyle name="메모 24 26 3" xfId="28621"/>
    <cellStyle name="메모 24 27" xfId="28622"/>
    <cellStyle name="메모 24 27 2" xfId="28623"/>
    <cellStyle name="메모 24 27 3" xfId="28624"/>
    <cellStyle name="메모 24 28" xfId="28625"/>
    <cellStyle name="메모 24 28 2" xfId="28626"/>
    <cellStyle name="메모 24 28 3" xfId="28627"/>
    <cellStyle name="메모 24 29" xfId="28628"/>
    <cellStyle name="메모 24 29 2" xfId="28629"/>
    <cellStyle name="메모 24 29 3" xfId="28630"/>
    <cellStyle name="메모 24 3" xfId="28631"/>
    <cellStyle name="메모 24 3 2" xfId="28632"/>
    <cellStyle name="메모 24 3 3" xfId="28633"/>
    <cellStyle name="메모 24 30" xfId="28634"/>
    <cellStyle name="메모 24 30 2" xfId="28635"/>
    <cellStyle name="메모 24 30 3" xfId="28636"/>
    <cellStyle name="메모 24 31" xfId="28637"/>
    <cellStyle name="메모 24 31 2" xfId="28638"/>
    <cellStyle name="메모 24 31 3" xfId="28639"/>
    <cellStyle name="메모 24 32" xfId="28640"/>
    <cellStyle name="메모 24 32 2" xfId="28641"/>
    <cellStyle name="메모 24 32 3" xfId="28642"/>
    <cellStyle name="메모 24 33" xfId="28643"/>
    <cellStyle name="메모 24 33 2" xfId="28644"/>
    <cellStyle name="메모 24 33 3" xfId="28645"/>
    <cellStyle name="메모 24 34" xfId="28646"/>
    <cellStyle name="메모 24 34 2" xfId="28647"/>
    <cellStyle name="메모 24 34 3" xfId="28648"/>
    <cellStyle name="메모 24 35" xfId="28649"/>
    <cellStyle name="메모 24 35 2" xfId="28650"/>
    <cellStyle name="메모 24 35 3" xfId="28651"/>
    <cellStyle name="메모 24 36" xfId="28652"/>
    <cellStyle name="메모 24 36 2" xfId="28653"/>
    <cellStyle name="메모 24 36 3" xfId="28654"/>
    <cellStyle name="메모 24 37" xfId="28655"/>
    <cellStyle name="메모 24 37 2" xfId="28656"/>
    <cellStyle name="메모 24 37 3" xfId="28657"/>
    <cellStyle name="메모 24 38" xfId="28658"/>
    <cellStyle name="메모 24 38 2" xfId="28659"/>
    <cellStyle name="메모 24 38 3" xfId="28660"/>
    <cellStyle name="메모 24 39" xfId="28661"/>
    <cellStyle name="메모 24 39 2" xfId="28662"/>
    <cellStyle name="메모 24 39 3" xfId="28663"/>
    <cellStyle name="메모 24 4" xfId="28664"/>
    <cellStyle name="메모 24 4 2" xfId="28665"/>
    <cellStyle name="메모 24 4 3" xfId="28666"/>
    <cellStyle name="메모 24 40" xfId="28667"/>
    <cellStyle name="메모 24 40 2" xfId="28668"/>
    <cellStyle name="메모 24 40 3" xfId="28669"/>
    <cellStyle name="메모 24 41" xfId="28670"/>
    <cellStyle name="메모 24 41 2" xfId="28671"/>
    <cellStyle name="메모 24 41 3" xfId="28672"/>
    <cellStyle name="메모 24 42" xfId="28673"/>
    <cellStyle name="메모 24 42 2" xfId="28674"/>
    <cellStyle name="메모 24 42 3" xfId="28675"/>
    <cellStyle name="메모 24 43" xfId="28676"/>
    <cellStyle name="메모 24 43 2" xfId="28677"/>
    <cellStyle name="메모 24 43 3" xfId="28678"/>
    <cellStyle name="메모 24 44" xfId="28679"/>
    <cellStyle name="메모 24 44 2" xfId="28680"/>
    <cellStyle name="메모 24 44 3" xfId="28681"/>
    <cellStyle name="메모 24 45" xfId="28682"/>
    <cellStyle name="메모 24 45 2" xfId="28683"/>
    <cellStyle name="메모 24 45 3" xfId="28684"/>
    <cellStyle name="메모 24 46" xfId="28685"/>
    <cellStyle name="메모 24 46 2" xfId="28686"/>
    <cellStyle name="메모 24 46 3" xfId="28687"/>
    <cellStyle name="메모 24 47" xfId="28688"/>
    <cellStyle name="메모 24 47 2" xfId="28689"/>
    <cellStyle name="메모 24 47 3" xfId="28690"/>
    <cellStyle name="메모 24 48" xfId="28691"/>
    <cellStyle name="메모 24 48 2" xfId="28692"/>
    <cellStyle name="메모 24 48 3" xfId="28693"/>
    <cellStyle name="메모 24 49" xfId="28694"/>
    <cellStyle name="메모 24 49 2" xfId="28695"/>
    <cellStyle name="메모 24 49 3" xfId="28696"/>
    <cellStyle name="메모 24 5" xfId="28697"/>
    <cellStyle name="메모 24 5 2" xfId="28698"/>
    <cellStyle name="메모 24 5 3" xfId="28699"/>
    <cellStyle name="메모 24 50" xfId="28700"/>
    <cellStyle name="메모 24 50 2" xfId="28701"/>
    <cellStyle name="메모 24 50 3" xfId="28702"/>
    <cellStyle name="메모 24 51" xfId="28703"/>
    <cellStyle name="메모 24 51 2" xfId="28704"/>
    <cellStyle name="메모 24 51 3" xfId="28705"/>
    <cellStyle name="메모 24 52" xfId="28706"/>
    <cellStyle name="메모 24 52 2" xfId="28707"/>
    <cellStyle name="메모 24 52 3" xfId="28708"/>
    <cellStyle name="메모 24 53" xfId="28709"/>
    <cellStyle name="메모 24 53 2" xfId="28710"/>
    <cellStyle name="메모 24 53 3" xfId="28711"/>
    <cellStyle name="메모 24 54" xfId="28712"/>
    <cellStyle name="메모 24 54 2" xfId="28713"/>
    <cellStyle name="메모 24 54 3" xfId="28714"/>
    <cellStyle name="메모 24 55" xfId="28715"/>
    <cellStyle name="메모 24 55 2" xfId="28716"/>
    <cellStyle name="메모 24 55 3" xfId="28717"/>
    <cellStyle name="메모 24 56" xfId="28718"/>
    <cellStyle name="메모 24 56 2" xfId="28719"/>
    <cellStyle name="메모 24 56 3" xfId="28720"/>
    <cellStyle name="메모 24 57" xfId="28721"/>
    <cellStyle name="메모 24 57 2" xfId="28722"/>
    <cellStyle name="메모 24 57 3" xfId="28723"/>
    <cellStyle name="메모 24 58" xfId="28724"/>
    <cellStyle name="메모 24 58 2" xfId="28725"/>
    <cellStyle name="메모 24 58 3" xfId="28726"/>
    <cellStyle name="메모 24 59" xfId="28727"/>
    <cellStyle name="메모 24 59 2" xfId="28728"/>
    <cellStyle name="메모 24 59 3" xfId="28729"/>
    <cellStyle name="메모 24 6" xfId="28730"/>
    <cellStyle name="메모 24 6 2" xfId="28731"/>
    <cellStyle name="메모 24 6 3" xfId="28732"/>
    <cellStyle name="메모 24 60" xfId="28733"/>
    <cellStyle name="메모 24 60 2" xfId="28734"/>
    <cellStyle name="메모 24 60 3" xfId="28735"/>
    <cellStyle name="메모 24 61" xfId="28736"/>
    <cellStyle name="메모 24 61 2" xfId="28737"/>
    <cellStyle name="메모 24 61 3" xfId="28738"/>
    <cellStyle name="메모 24 62" xfId="28739"/>
    <cellStyle name="메모 24 62 2" xfId="28740"/>
    <cellStyle name="메모 24 62 3" xfId="28741"/>
    <cellStyle name="메모 24 63" xfId="28742"/>
    <cellStyle name="메모 24 63 2" xfId="28743"/>
    <cellStyle name="메모 24 63 3" xfId="28744"/>
    <cellStyle name="메모 24 64" xfId="28745"/>
    <cellStyle name="메모 24 64 2" xfId="28746"/>
    <cellStyle name="메모 24 64 3" xfId="28747"/>
    <cellStyle name="메모 24 65" xfId="28748"/>
    <cellStyle name="메모 24 65 2" xfId="28749"/>
    <cellStyle name="메모 24 65 3" xfId="28750"/>
    <cellStyle name="메모 24 66" xfId="28751"/>
    <cellStyle name="메모 24 66 2" xfId="28752"/>
    <cellStyle name="메모 24 66 3" xfId="28753"/>
    <cellStyle name="메모 24 67" xfId="28754"/>
    <cellStyle name="메모 24 67 2" xfId="28755"/>
    <cellStyle name="메모 24 67 3" xfId="28756"/>
    <cellStyle name="메모 24 68" xfId="28757"/>
    <cellStyle name="메모 24 68 2" xfId="28758"/>
    <cellStyle name="메모 24 68 3" xfId="28759"/>
    <cellStyle name="메모 24 69" xfId="28760"/>
    <cellStyle name="메모 24 69 2" xfId="28761"/>
    <cellStyle name="메모 24 69 3" xfId="28762"/>
    <cellStyle name="메모 24 7" xfId="28763"/>
    <cellStyle name="메모 24 7 2" xfId="28764"/>
    <cellStyle name="메모 24 7 3" xfId="28765"/>
    <cellStyle name="메모 24 70" xfId="28766"/>
    <cellStyle name="메모 24 70 2" xfId="28767"/>
    <cellStyle name="메모 24 70 3" xfId="28768"/>
    <cellStyle name="메모 24 71" xfId="28769"/>
    <cellStyle name="메모 24 71 2" xfId="28770"/>
    <cellStyle name="메모 24 71 3" xfId="28771"/>
    <cellStyle name="메모 24 72" xfId="28772"/>
    <cellStyle name="메모 24 72 2" xfId="28773"/>
    <cellStyle name="메모 24 72 3" xfId="28774"/>
    <cellStyle name="메모 24 73" xfId="28775"/>
    <cellStyle name="메모 24 73 2" xfId="28776"/>
    <cellStyle name="메모 24 73 3" xfId="28777"/>
    <cellStyle name="메모 24 74" xfId="28778"/>
    <cellStyle name="메모 24 74 2" xfId="28779"/>
    <cellStyle name="메모 24 74 3" xfId="28780"/>
    <cellStyle name="메모 24 75" xfId="28781"/>
    <cellStyle name="메모 24 75 2" xfId="28782"/>
    <cellStyle name="메모 24 75 3" xfId="28783"/>
    <cellStyle name="메모 24 76" xfId="28784"/>
    <cellStyle name="메모 24 76 2" xfId="28785"/>
    <cellStyle name="메모 24 76 3" xfId="28786"/>
    <cellStyle name="메모 24 77" xfId="28787"/>
    <cellStyle name="메모 24 77 2" xfId="28788"/>
    <cellStyle name="메모 24 77 3" xfId="28789"/>
    <cellStyle name="메모 24 78" xfId="28790"/>
    <cellStyle name="메모 24 78 2" xfId="28791"/>
    <cellStyle name="메모 24 78 3" xfId="28792"/>
    <cellStyle name="메모 24 79" xfId="28793"/>
    <cellStyle name="메모 24 79 2" xfId="28794"/>
    <cellStyle name="메모 24 79 3" xfId="28795"/>
    <cellStyle name="메모 24 8" xfId="28796"/>
    <cellStyle name="메모 24 8 2" xfId="28797"/>
    <cellStyle name="메모 24 8 3" xfId="28798"/>
    <cellStyle name="메모 24 80" xfId="28799"/>
    <cellStyle name="메모 24 80 2" xfId="28800"/>
    <cellStyle name="메모 24 80 3" xfId="28801"/>
    <cellStyle name="메모 24 81" xfId="28802"/>
    <cellStyle name="메모 24 81 2" xfId="28803"/>
    <cellStyle name="메모 24 81 3" xfId="28804"/>
    <cellStyle name="메모 24 82" xfId="28805"/>
    <cellStyle name="메모 24 83" xfId="28806"/>
    <cellStyle name="메모 24 9" xfId="28807"/>
    <cellStyle name="메모 24 9 2" xfId="28808"/>
    <cellStyle name="메모 24 9 3" xfId="28809"/>
    <cellStyle name="메모 25" xfId="28810"/>
    <cellStyle name="메모 25 10" xfId="28811"/>
    <cellStyle name="메모 25 10 2" xfId="28812"/>
    <cellStyle name="메모 25 10 3" xfId="28813"/>
    <cellStyle name="메모 25 11" xfId="28814"/>
    <cellStyle name="메모 25 11 2" xfId="28815"/>
    <cellStyle name="메모 25 11 3" xfId="28816"/>
    <cellStyle name="메모 25 12" xfId="28817"/>
    <cellStyle name="메모 25 12 2" xfId="28818"/>
    <cellStyle name="메모 25 12 3" xfId="28819"/>
    <cellStyle name="메모 25 13" xfId="28820"/>
    <cellStyle name="메모 25 13 2" xfId="28821"/>
    <cellStyle name="메모 25 13 3" xfId="28822"/>
    <cellStyle name="메모 25 14" xfId="28823"/>
    <cellStyle name="메모 25 14 2" xfId="28824"/>
    <cellStyle name="메모 25 14 3" xfId="28825"/>
    <cellStyle name="메모 25 15" xfId="28826"/>
    <cellStyle name="메모 25 15 2" xfId="28827"/>
    <cellStyle name="메모 25 15 3" xfId="28828"/>
    <cellStyle name="메모 25 16" xfId="28829"/>
    <cellStyle name="메모 25 16 2" xfId="28830"/>
    <cellStyle name="메모 25 16 3" xfId="28831"/>
    <cellStyle name="메모 25 17" xfId="28832"/>
    <cellStyle name="메모 25 17 2" xfId="28833"/>
    <cellStyle name="메모 25 17 3" xfId="28834"/>
    <cellStyle name="메모 25 18" xfId="28835"/>
    <cellStyle name="메모 25 18 2" xfId="28836"/>
    <cellStyle name="메모 25 18 3" xfId="28837"/>
    <cellStyle name="메모 25 19" xfId="28838"/>
    <cellStyle name="메모 25 19 2" xfId="28839"/>
    <cellStyle name="메모 25 19 3" xfId="28840"/>
    <cellStyle name="메모 25 2" xfId="28841"/>
    <cellStyle name="메모 25 2 2" xfId="28842"/>
    <cellStyle name="메모 25 2 3" xfId="28843"/>
    <cellStyle name="메모 25 20" xfId="28844"/>
    <cellStyle name="메모 25 20 2" xfId="28845"/>
    <cellStyle name="메모 25 20 3" xfId="28846"/>
    <cellStyle name="메모 25 21" xfId="28847"/>
    <cellStyle name="메모 25 21 2" xfId="28848"/>
    <cellStyle name="메모 25 21 3" xfId="28849"/>
    <cellStyle name="메모 25 22" xfId="28850"/>
    <cellStyle name="메모 25 22 2" xfId="28851"/>
    <cellStyle name="메모 25 22 3" xfId="28852"/>
    <cellStyle name="메모 25 23" xfId="28853"/>
    <cellStyle name="메모 25 23 2" xfId="28854"/>
    <cellStyle name="메모 25 23 3" xfId="28855"/>
    <cellStyle name="메모 25 24" xfId="28856"/>
    <cellStyle name="메모 25 24 2" xfId="28857"/>
    <cellStyle name="메모 25 24 3" xfId="28858"/>
    <cellStyle name="메모 25 25" xfId="28859"/>
    <cellStyle name="메모 25 25 2" xfId="28860"/>
    <cellStyle name="메모 25 25 3" xfId="28861"/>
    <cellStyle name="메모 25 26" xfId="28862"/>
    <cellStyle name="메모 25 26 2" xfId="28863"/>
    <cellStyle name="메모 25 26 3" xfId="28864"/>
    <cellStyle name="메모 25 27" xfId="28865"/>
    <cellStyle name="메모 25 27 2" xfId="28866"/>
    <cellStyle name="메모 25 27 3" xfId="28867"/>
    <cellStyle name="메모 25 28" xfId="28868"/>
    <cellStyle name="메모 25 28 2" xfId="28869"/>
    <cellStyle name="메모 25 28 3" xfId="28870"/>
    <cellStyle name="메모 25 29" xfId="28871"/>
    <cellStyle name="메모 25 29 2" xfId="28872"/>
    <cellStyle name="메모 25 29 3" xfId="28873"/>
    <cellStyle name="메모 25 3" xfId="28874"/>
    <cellStyle name="메모 25 3 2" xfId="28875"/>
    <cellStyle name="메모 25 3 3" xfId="28876"/>
    <cellStyle name="메모 25 30" xfId="28877"/>
    <cellStyle name="메모 25 30 2" xfId="28878"/>
    <cellStyle name="메모 25 30 3" xfId="28879"/>
    <cellStyle name="메모 25 31" xfId="28880"/>
    <cellStyle name="메모 25 31 2" xfId="28881"/>
    <cellStyle name="메모 25 31 3" xfId="28882"/>
    <cellStyle name="메모 25 32" xfId="28883"/>
    <cellStyle name="메모 25 32 2" xfId="28884"/>
    <cellStyle name="메모 25 32 3" xfId="28885"/>
    <cellStyle name="메모 25 33" xfId="28886"/>
    <cellStyle name="메모 25 33 2" xfId="28887"/>
    <cellStyle name="메모 25 33 3" xfId="28888"/>
    <cellStyle name="메모 25 34" xfId="28889"/>
    <cellStyle name="메모 25 34 2" xfId="28890"/>
    <cellStyle name="메모 25 34 3" xfId="28891"/>
    <cellStyle name="메모 25 35" xfId="28892"/>
    <cellStyle name="메모 25 35 2" xfId="28893"/>
    <cellStyle name="메모 25 35 3" xfId="28894"/>
    <cellStyle name="메모 25 36" xfId="28895"/>
    <cellStyle name="메모 25 36 2" xfId="28896"/>
    <cellStyle name="메모 25 36 3" xfId="28897"/>
    <cellStyle name="메모 25 37" xfId="28898"/>
    <cellStyle name="메모 25 37 2" xfId="28899"/>
    <cellStyle name="메모 25 37 3" xfId="28900"/>
    <cellStyle name="메모 25 38" xfId="28901"/>
    <cellStyle name="메모 25 38 2" xfId="28902"/>
    <cellStyle name="메모 25 38 3" xfId="28903"/>
    <cellStyle name="메모 25 39" xfId="28904"/>
    <cellStyle name="메모 25 39 2" xfId="28905"/>
    <cellStyle name="메모 25 39 3" xfId="28906"/>
    <cellStyle name="메모 25 4" xfId="28907"/>
    <cellStyle name="메모 25 4 2" xfId="28908"/>
    <cellStyle name="메모 25 4 3" xfId="28909"/>
    <cellStyle name="메모 25 40" xfId="28910"/>
    <cellStyle name="메모 25 40 2" xfId="28911"/>
    <cellStyle name="메모 25 40 3" xfId="28912"/>
    <cellStyle name="메모 25 41" xfId="28913"/>
    <cellStyle name="메모 25 41 2" xfId="28914"/>
    <cellStyle name="메모 25 41 3" xfId="28915"/>
    <cellStyle name="메모 25 42" xfId="28916"/>
    <cellStyle name="메모 25 42 2" xfId="28917"/>
    <cellStyle name="메모 25 42 3" xfId="28918"/>
    <cellStyle name="메모 25 43" xfId="28919"/>
    <cellStyle name="메모 25 43 2" xfId="28920"/>
    <cellStyle name="메모 25 43 3" xfId="28921"/>
    <cellStyle name="메모 25 44" xfId="28922"/>
    <cellStyle name="메모 25 44 2" xfId="28923"/>
    <cellStyle name="메모 25 44 3" xfId="28924"/>
    <cellStyle name="메모 25 45" xfId="28925"/>
    <cellStyle name="메모 25 45 2" xfId="28926"/>
    <cellStyle name="메모 25 45 3" xfId="28927"/>
    <cellStyle name="메모 25 46" xfId="28928"/>
    <cellStyle name="메모 25 46 2" xfId="28929"/>
    <cellStyle name="메모 25 46 3" xfId="28930"/>
    <cellStyle name="메모 25 47" xfId="28931"/>
    <cellStyle name="메모 25 47 2" xfId="28932"/>
    <cellStyle name="메모 25 47 3" xfId="28933"/>
    <cellStyle name="메모 25 48" xfId="28934"/>
    <cellStyle name="메모 25 48 2" xfId="28935"/>
    <cellStyle name="메모 25 48 3" xfId="28936"/>
    <cellStyle name="메모 25 49" xfId="28937"/>
    <cellStyle name="메모 25 49 2" xfId="28938"/>
    <cellStyle name="메모 25 49 3" xfId="28939"/>
    <cellStyle name="메모 25 5" xfId="28940"/>
    <cellStyle name="메모 25 5 2" xfId="28941"/>
    <cellStyle name="메모 25 5 3" xfId="28942"/>
    <cellStyle name="메모 25 50" xfId="28943"/>
    <cellStyle name="메모 25 50 2" xfId="28944"/>
    <cellStyle name="메모 25 50 3" xfId="28945"/>
    <cellStyle name="메모 25 51" xfId="28946"/>
    <cellStyle name="메모 25 51 2" xfId="28947"/>
    <cellStyle name="메모 25 51 3" xfId="28948"/>
    <cellStyle name="메모 25 52" xfId="28949"/>
    <cellStyle name="메모 25 52 2" xfId="28950"/>
    <cellStyle name="메모 25 52 3" xfId="28951"/>
    <cellStyle name="메모 25 53" xfId="28952"/>
    <cellStyle name="메모 25 53 2" xfId="28953"/>
    <cellStyle name="메모 25 53 3" xfId="28954"/>
    <cellStyle name="메모 25 54" xfId="28955"/>
    <cellStyle name="메모 25 54 2" xfId="28956"/>
    <cellStyle name="메모 25 54 3" xfId="28957"/>
    <cellStyle name="메모 25 55" xfId="28958"/>
    <cellStyle name="메모 25 55 2" xfId="28959"/>
    <cellStyle name="메모 25 55 3" xfId="28960"/>
    <cellStyle name="메모 25 56" xfId="28961"/>
    <cellStyle name="메모 25 56 2" xfId="28962"/>
    <cellStyle name="메모 25 56 3" xfId="28963"/>
    <cellStyle name="메모 25 57" xfId="28964"/>
    <cellStyle name="메모 25 57 2" xfId="28965"/>
    <cellStyle name="메모 25 57 3" xfId="28966"/>
    <cellStyle name="메모 25 58" xfId="28967"/>
    <cellStyle name="메모 25 58 2" xfId="28968"/>
    <cellStyle name="메모 25 58 3" xfId="28969"/>
    <cellStyle name="메모 25 59" xfId="28970"/>
    <cellStyle name="메모 25 59 2" xfId="28971"/>
    <cellStyle name="메모 25 59 3" xfId="28972"/>
    <cellStyle name="메모 25 6" xfId="28973"/>
    <cellStyle name="메모 25 6 2" xfId="28974"/>
    <cellStyle name="메모 25 6 3" xfId="28975"/>
    <cellStyle name="메모 25 60" xfId="28976"/>
    <cellStyle name="메모 25 60 2" xfId="28977"/>
    <cellStyle name="메모 25 60 3" xfId="28978"/>
    <cellStyle name="메모 25 61" xfId="28979"/>
    <cellStyle name="메모 25 61 2" xfId="28980"/>
    <cellStyle name="메모 25 61 3" xfId="28981"/>
    <cellStyle name="메모 25 62" xfId="28982"/>
    <cellStyle name="메모 25 62 2" xfId="28983"/>
    <cellStyle name="메모 25 62 3" xfId="28984"/>
    <cellStyle name="메모 25 63" xfId="28985"/>
    <cellStyle name="메모 25 63 2" xfId="28986"/>
    <cellStyle name="메모 25 63 3" xfId="28987"/>
    <cellStyle name="메모 25 64" xfId="28988"/>
    <cellStyle name="메모 25 64 2" xfId="28989"/>
    <cellStyle name="메모 25 64 3" xfId="28990"/>
    <cellStyle name="메모 25 65" xfId="28991"/>
    <cellStyle name="메모 25 65 2" xfId="28992"/>
    <cellStyle name="메모 25 65 3" xfId="28993"/>
    <cellStyle name="메모 25 66" xfId="28994"/>
    <cellStyle name="메모 25 66 2" xfId="28995"/>
    <cellStyle name="메모 25 66 3" xfId="28996"/>
    <cellStyle name="메모 25 67" xfId="28997"/>
    <cellStyle name="메모 25 67 2" xfId="28998"/>
    <cellStyle name="메모 25 67 3" xfId="28999"/>
    <cellStyle name="메모 25 68" xfId="29000"/>
    <cellStyle name="메모 25 68 2" xfId="29001"/>
    <cellStyle name="메모 25 68 3" xfId="29002"/>
    <cellStyle name="메모 25 69" xfId="29003"/>
    <cellStyle name="메모 25 69 2" xfId="29004"/>
    <cellStyle name="메모 25 69 3" xfId="29005"/>
    <cellStyle name="메모 25 7" xfId="29006"/>
    <cellStyle name="메모 25 7 2" xfId="29007"/>
    <cellStyle name="메모 25 7 3" xfId="29008"/>
    <cellStyle name="메모 25 70" xfId="29009"/>
    <cellStyle name="메모 25 70 2" xfId="29010"/>
    <cellStyle name="메모 25 70 3" xfId="29011"/>
    <cellStyle name="메모 25 71" xfId="29012"/>
    <cellStyle name="메모 25 71 2" xfId="29013"/>
    <cellStyle name="메모 25 71 3" xfId="29014"/>
    <cellStyle name="메모 25 72" xfId="29015"/>
    <cellStyle name="메모 25 72 2" xfId="29016"/>
    <cellStyle name="메모 25 72 3" xfId="29017"/>
    <cellStyle name="메모 25 73" xfId="29018"/>
    <cellStyle name="메모 25 73 2" xfId="29019"/>
    <cellStyle name="메모 25 73 3" xfId="29020"/>
    <cellStyle name="메모 25 74" xfId="29021"/>
    <cellStyle name="메모 25 74 2" xfId="29022"/>
    <cellStyle name="메모 25 74 3" xfId="29023"/>
    <cellStyle name="메모 25 75" xfId="29024"/>
    <cellStyle name="메모 25 75 2" xfId="29025"/>
    <cellStyle name="메모 25 75 3" xfId="29026"/>
    <cellStyle name="메모 25 76" xfId="29027"/>
    <cellStyle name="메모 25 76 2" xfId="29028"/>
    <cellStyle name="메모 25 76 3" xfId="29029"/>
    <cellStyle name="메모 25 77" xfId="29030"/>
    <cellStyle name="메모 25 77 2" xfId="29031"/>
    <cellStyle name="메모 25 77 3" xfId="29032"/>
    <cellStyle name="메모 25 78" xfId="29033"/>
    <cellStyle name="메모 25 78 2" xfId="29034"/>
    <cellStyle name="메모 25 78 3" xfId="29035"/>
    <cellStyle name="메모 25 79" xfId="29036"/>
    <cellStyle name="메모 25 79 2" xfId="29037"/>
    <cellStyle name="메모 25 79 3" xfId="29038"/>
    <cellStyle name="메모 25 8" xfId="29039"/>
    <cellStyle name="메모 25 8 2" xfId="29040"/>
    <cellStyle name="메모 25 8 3" xfId="29041"/>
    <cellStyle name="메모 25 80" xfId="29042"/>
    <cellStyle name="메모 25 80 2" xfId="29043"/>
    <cellStyle name="메모 25 80 3" xfId="29044"/>
    <cellStyle name="메모 25 81" xfId="29045"/>
    <cellStyle name="메모 25 81 2" xfId="29046"/>
    <cellStyle name="메모 25 81 3" xfId="29047"/>
    <cellStyle name="메모 25 82" xfId="29048"/>
    <cellStyle name="메모 25 83" xfId="29049"/>
    <cellStyle name="메모 25 9" xfId="29050"/>
    <cellStyle name="메모 25 9 2" xfId="29051"/>
    <cellStyle name="메모 25 9 3" xfId="29052"/>
    <cellStyle name="메모 26" xfId="29053"/>
    <cellStyle name="메모 26 10" xfId="29054"/>
    <cellStyle name="메모 26 10 2" xfId="29055"/>
    <cellStyle name="메모 26 10 3" xfId="29056"/>
    <cellStyle name="메모 26 11" xfId="29057"/>
    <cellStyle name="메모 26 11 2" xfId="29058"/>
    <cellStyle name="메모 26 11 3" xfId="29059"/>
    <cellStyle name="메모 26 12" xfId="29060"/>
    <cellStyle name="메모 26 12 2" xfId="29061"/>
    <cellStyle name="메모 26 12 3" xfId="29062"/>
    <cellStyle name="메모 26 13" xfId="29063"/>
    <cellStyle name="메모 26 13 2" xfId="29064"/>
    <cellStyle name="메모 26 13 3" xfId="29065"/>
    <cellStyle name="메모 26 14" xfId="29066"/>
    <cellStyle name="메모 26 14 2" xfId="29067"/>
    <cellStyle name="메모 26 14 3" xfId="29068"/>
    <cellStyle name="메모 26 15" xfId="29069"/>
    <cellStyle name="메모 26 15 2" xfId="29070"/>
    <cellStyle name="메모 26 15 3" xfId="29071"/>
    <cellStyle name="메모 26 16" xfId="29072"/>
    <cellStyle name="메모 26 16 2" xfId="29073"/>
    <cellStyle name="메모 26 16 3" xfId="29074"/>
    <cellStyle name="메모 26 17" xfId="29075"/>
    <cellStyle name="메모 26 17 2" xfId="29076"/>
    <cellStyle name="메모 26 17 3" xfId="29077"/>
    <cellStyle name="메모 26 18" xfId="29078"/>
    <cellStyle name="메모 26 18 2" xfId="29079"/>
    <cellStyle name="메모 26 18 3" xfId="29080"/>
    <cellStyle name="메모 26 19" xfId="29081"/>
    <cellStyle name="메모 26 19 2" xfId="29082"/>
    <cellStyle name="메모 26 19 3" xfId="29083"/>
    <cellStyle name="메모 26 2" xfId="29084"/>
    <cellStyle name="메모 26 2 2" xfId="29085"/>
    <cellStyle name="메모 26 2 3" xfId="29086"/>
    <cellStyle name="메모 26 20" xfId="29087"/>
    <cellStyle name="메모 26 20 2" xfId="29088"/>
    <cellStyle name="메모 26 20 3" xfId="29089"/>
    <cellStyle name="메모 26 21" xfId="29090"/>
    <cellStyle name="메모 26 21 2" xfId="29091"/>
    <cellStyle name="메모 26 21 3" xfId="29092"/>
    <cellStyle name="메모 26 22" xfId="29093"/>
    <cellStyle name="메모 26 22 2" xfId="29094"/>
    <cellStyle name="메모 26 22 3" xfId="29095"/>
    <cellStyle name="메모 26 23" xfId="29096"/>
    <cellStyle name="메모 26 23 2" xfId="29097"/>
    <cellStyle name="메모 26 23 3" xfId="29098"/>
    <cellStyle name="메모 26 24" xfId="29099"/>
    <cellStyle name="메모 26 24 2" xfId="29100"/>
    <cellStyle name="메모 26 24 3" xfId="29101"/>
    <cellStyle name="메모 26 25" xfId="29102"/>
    <cellStyle name="메모 26 25 2" xfId="29103"/>
    <cellStyle name="메모 26 25 3" xfId="29104"/>
    <cellStyle name="메모 26 26" xfId="29105"/>
    <cellStyle name="메모 26 26 2" xfId="29106"/>
    <cellStyle name="메모 26 26 3" xfId="29107"/>
    <cellStyle name="메모 26 27" xfId="29108"/>
    <cellStyle name="메모 26 27 2" xfId="29109"/>
    <cellStyle name="메모 26 27 3" xfId="29110"/>
    <cellStyle name="메모 26 28" xfId="29111"/>
    <cellStyle name="메모 26 28 2" xfId="29112"/>
    <cellStyle name="메모 26 28 3" xfId="29113"/>
    <cellStyle name="메모 26 29" xfId="29114"/>
    <cellStyle name="메모 26 29 2" xfId="29115"/>
    <cellStyle name="메모 26 29 3" xfId="29116"/>
    <cellStyle name="메모 26 3" xfId="29117"/>
    <cellStyle name="메모 26 3 2" xfId="29118"/>
    <cellStyle name="메모 26 3 3" xfId="29119"/>
    <cellStyle name="메모 26 30" xfId="29120"/>
    <cellStyle name="메모 26 30 2" xfId="29121"/>
    <cellStyle name="메모 26 30 3" xfId="29122"/>
    <cellStyle name="메모 26 31" xfId="29123"/>
    <cellStyle name="메모 26 31 2" xfId="29124"/>
    <cellStyle name="메모 26 31 3" xfId="29125"/>
    <cellStyle name="메모 26 32" xfId="29126"/>
    <cellStyle name="메모 26 32 2" xfId="29127"/>
    <cellStyle name="메모 26 32 3" xfId="29128"/>
    <cellStyle name="메모 26 33" xfId="29129"/>
    <cellStyle name="메모 26 33 2" xfId="29130"/>
    <cellStyle name="메모 26 33 3" xfId="29131"/>
    <cellStyle name="메모 26 34" xfId="29132"/>
    <cellStyle name="메모 26 34 2" xfId="29133"/>
    <cellStyle name="메모 26 34 3" xfId="29134"/>
    <cellStyle name="메모 26 35" xfId="29135"/>
    <cellStyle name="메모 26 35 2" xfId="29136"/>
    <cellStyle name="메모 26 35 3" xfId="29137"/>
    <cellStyle name="메모 26 36" xfId="29138"/>
    <cellStyle name="메모 26 36 2" xfId="29139"/>
    <cellStyle name="메모 26 36 3" xfId="29140"/>
    <cellStyle name="메모 26 37" xfId="29141"/>
    <cellStyle name="메모 26 37 2" xfId="29142"/>
    <cellStyle name="메모 26 37 3" xfId="29143"/>
    <cellStyle name="메모 26 38" xfId="29144"/>
    <cellStyle name="메모 26 38 2" xfId="29145"/>
    <cellStyle name="메모 26 38 3" xfId="29146"/>
    <cellStyle name="메모 26 39" xfId="29147"/>
    <cellStyle name="메모 26 39 2" xfId="29148"/>
    <cellStyle name="메모 26 39 3" xfId="29149"/>
    <cellStyle name="메모 26 4" xfId="29150"/>
    <cellStyle name="메모 26 4 2" xfId="29151"/>
    <cellStyle name="메모 26 4 3" xfId="29152"/>
    <cellStyle name="메모 26 40" xfId="29153"/>
    <cellStyle name="메모 26 40 2" xfId="29154"/>
    <cellStyle name="메모 26 40 3" xfId="29155"/>
    <cellStyle name="메모 26 41" xfId="29156"/>
    <cellStyle name="메모 26 41 2" xfId="29157"/>
    <cellStyle name="메모 26 41 3" xfId="29158"/>
    <cellStyle name="메모 26 42" xfId="29159"/>
    <cellStyle name="메모 26 42 2" xfId="29160"/>
    <cellStyle name="메모 26 42 3" xfId="29161"/>
    <cellStyle name="메모 26 43" xfId="29162"/>
    <cellStyle name="메모 26 43 2" xfId="29163"/>
    <cellStyle name="메모 26 43 3" xfId="29164"/>
    <cellStyle name="메모 26 44" xfId="29165"/>
    <cellStyle name="메모 26 44 2" xfId="29166"/>
    <cellStyle name="메모 26 44 3" xfId="29167"/>
    <cellStyle name="메모 26 45" xfId="29168"/>
    <cellStyle name="메모 26 45 2" xfId="29169"/>
    <cellStyle name="메모 26 45 3" xfId="29170"/>
    <cellStyle name="메모 26 46" xfId="29171"/>
    <cellStyle name="메모 26 46 2" xfId="29172"/>
    <cellStyle name="메모 26 46 3" xfId="29173"/>
    <cellStyle name="메모 26 47" xfId="29174"/>
    <cellStyle name="메모 26 47 2" xfId="29175"/>
    <cellStyle name="메모 26 47 3" xfId="29176"/>
    <cellStyle name="메모 26 48" xfId="29177"/>
    <cellStyle name="메모 26 48 2" xfId="29178"/>
    <cellStyle name="메모 26 48 3" xfId="29179"/>
    <cellStyle name="메모 26 49" xfId="29180"/>
    <cellStyle name="메모 26 49 2" xfId="29181"/>
    <cellStyle name="메모 26 49 3" xfId="29182"/>
    <cellStyle name="메모 26 5" xfId="29183"/>
    <cellStyle name="메모 26 5 2" xfId="29184"/>
    <cellStyle name="메모 26 5 3" xfId="29185"/>
    <cellStyle name="메모 26 50" xfId="29186"/>
    <cellStyle name="메모 26 50 2" xfId="29187"/>
    <cellStyle name="메모 26 50 3" xfId="29188"/>
    <cellStyle name="메모 26 51" xfId="29189"/>
    <cellStyle name="메모 26 51 2" xfId="29190"/>
    <cellStyle name="메모 26 51 3" xfId="29191"/>
    <cellStyle name="메모 26 52" xfId="29192"/>
    <cellStyle name="메모 26 52 2" xfId="29193"/>
    <cellStyle name="메모 26 52 3" xfId="29194"/>
    <cellStyle name="메모 26 53" xfId="29195"/>
    <cellStyle name="메모 26 53 2" xfId="29196"/>
    <cellStyle name="메모 26 53 3" xfId="29197"/>
    <cellStyle name="메모 26 54" xfId="29198"/>
    <cellStyle name="메모 26 54 2" xfId="29199"/>
    <cellStyle name="메모 26 54 3" xfId="29200"/>
    <cellStyle name="메모 26 55" xfId="29201"/>
    <cellStyle name="메모 26 55 2" xfId="29202"/>
    <cellStyle name="메모 26 55 3" xfId="29203"/>
    <cellStyle name="메모 26 56" xfId="29204"/>
    <cellStyle name="메모 26 56 2" xfId="29205"/>
    <cellStyle name="메모 26 56 3" xfId="29206"/>
    <cellStyle name="메모 26 57" xfId="29207"/>
    <cellStyle name="메모 26 57 2" xfId="29208"/>
    <cellStyle name="메모 26 57 3" xfId="29209"/>
    <cellStyle name="메모 26 58" xfId="29210"/>
    <cellStyle name="메모 26 58 2" xfId="29211"/>
    <cellStyle name="메모 26 58 3" xfId="29212"/>
    <cellStyle name="메모 26 59" xfId="29213"/>
    <cellStyle name="메모 26 59 2" xfId="29214"/>
    <cellStyle name="메모 26 59 3" xfId="29215"/>
    <cellStyle name="메모 26 6" xfId="29216"/>
    <cellStyle name="메모 26 6 2" xfId="29217"/>
    <cellStyle name="메모 26 6 3" xfId="29218"/>
    <cellStyle name="메모 26 60" xfId="29219"/>
    <cellStyle name="메모 26 60 2" xfId="29220"/>
    <cellStyle name="메모 26 60 3" xfId="29221"/>
    <cellStyle name="메모 26 61" xfId="29222"/>
    <cellStyle name="메모 26 61 2" xfId="29223"/>
    <cellStyle name="메모 26 61 3" xfId="29224"/>
    <cellStyle name="메모 26 62" xfId="29225"/>
    <cellStyle name="메모 26 62 2" xfId="29226"/>
    <cellStyle name="메모 26 62 3" xfId="29227"/>
    <cellStyle name="메모 26 63" xfId="29228"/>
    <cellStyle name="메모 26 63 2" xfId="29229"/>
    <cellStyle name="메모 26 63 3" xfId="29230"/>
    <cellStyle name="메모 26 64" xfId="29231"/>
    <cellStyle name="메모 26 64 2" xfId="29232"/>
    <cellStyle name="메모 26 64 3" xfId="29233"/>
    <cellStyle name="메모 26 65" xfId="29234"/>
    <cellStyle name="메모 26 65 2" xfId="29235"/>
    <cellStyle name="메모 26 65 3" xfId="29236"/>
    <cellStyle name="메모 26 66" xfId="29237"/>
    <cellStyle name="메모 26 66 2" xfId="29238"/>
    <cellStyle name="메모 26 66 3" xfId="29239"/>
    <cellStyle name="메모 26 67" xfId="29240"/>
    <cellStyle name="메모 26 67 2" xfId="29241"/>
    <cellStyle name="메모 26 67 3" xfId="29242"/>
    <cellStyle name="메모 26 68" xfId="29243"/>
    <cellStyle name="메모 26 68 2" xfId="29244"/>
    <cellStyle name="메모 26 68 3" xfId="29245"/>
    <cellStyle name="메모 26 69" xfId="29246"/>
    <cellStyle name="메모 26 69 2" xfId="29247"/>
    <cellStyle name="메모 26 69 3" xfId="29248"/>
    <cellStyle name="메모 26 7" xfId="29249"/>
    <cellStyle name="메모 26 7 2" xfId="29250"/>
    <cellStyle name="메모 26 7 3" xfId="29251"/>
    <cellStyle name="메모 26 70" xfId="29252"/>
    <cellStyle name="메모 26 70 2" xfId="29253"/>
    <cellStyle name="메모 26 70 3" xfId="29254"/>
    <cellStyle name="메모 26 71" xfId="29255"/>
    <cellStyle name="메모 26 71 2" xfId="29256"/>
    <cellStyle name="메모 26 71 3" xfId="29257"/>
    <cellStyle name="메모 26 72" xfId="29258"/>
    <cellStyle name="메모 26 72 2" xfId="29259"/>
    <cellStyle name="메모 26 72 3" xfId="29260"/>
    <cellStyle name="메모 26 73" xfId="29261"/>
    <cellStyle name="메모 26 73 2" xfId="29262"/>
    <cellStyle name="메모 26 73 3" xfId="29263"/>
    <cellStyle name="메모 26 74" xfId="29264"/>
    <cellStyle name="메모 26 74 2" xfId="29265"/>
    <cellStyle name="메모 26 74 3" xfId="29266"/>
    <cellStyle name="메모 26 75" xfId="29267"/>
    <cellStyle name="메모 26 75 2" xfId="29268"/>
    <cellStyle name="메모 26 75 3" xfId="29269"/>
    <cellStyle name="메모 26 76" xfId="29270"/>
    <cellStyle name="메모 26 76 2" xfId="29271"/>
    <cellStyle name="메모 26 76 3" xfId="29272"/>
    <cellStyle name="메모 26 77" xfId="29273"/>
    <cellStyle name="메모 26 77 2" xfId="29274"/>
    <cellStyle name="메모 26 77 3" xfId="29275"/>
    <cellStyle name="메모 26 78" xfId="29276"/>
    <cellStyle name="메모 26 78 2" xfId="29277"/>
    <cellStyle name="메모 26 78 3" xfId="29278"/>
    <cellStyle name="메모 26 79" xfId="29279"/>
    <cellStyle name="메모 26 79 2" xfId="29280"/>
    <cellStyle name="메모 26 79 3" xfId="29281"/>
    <cellStyle name="메모 26 8" xfId="29282"/>
    <cellStyle name="메모 26 8 2" xfId="29283"/>
    <cellStyle name="메모 26 8 3" xfId="29284"/>
    <cellStyle name="메모 26 80" xfId="29285"/>
    <cellStyle name="메모 26 80 2" xfId="29286"/>
    <cellStyle name="메모 26 80 3" xfId="29287"/>
    <cellStyle name="메모 26 81" xfId="29288"/>
    <cellStyle name="메모 26 81 2" xfId="29289"/>
    <cellStyle name="메모 26 81 3" xfId="29290"/>
    <cellStyle name="메모 26 82" xfId="29291"/>
    <cellStyle name="메모 26 83" xfId="29292"/>
    <cellStyle name="메모 26 9" xfId="29293"/>
    <cellStyle name="메모 26 9 2" xfId="29294"/>
    <cellStyle name="메모 26 9 3" xfId="29295"/>
    <cellStyle name="메모 27" xfId="29296"/>
    <cellStyle name="메모 27 10" xfId="29297"/>
    <cellStyle name="메모 27 10 2" xfId="29298"/>
    <cellStyle name="메모 27 10 3" xfId="29299"/>
    <cellStyle name="메모 27 11" xfId="29300"/>
    <cellStyle name="메모 27 11 2" xfId="29301"/>
    <cellStyle name="메모 27 11 3" xfId="29302"/>
    <cellStyle name="메모 27 12" xfId="29303"/>
    <cellStyle name="메모 27 12 2" xfId="29304"/>
    <cellStyle name="메모 27 12 3" xfId="29305"/>
    <cellStyle name="메모 27 13" xfId="29306"/>
    <cellStyle name="메모 27 13 2" xfId="29307"/>
    <cellStyle name="메모 27 13 3" xfId="29308"/>
    <cellStyle name="메모 27 14" xfId="29309"/>
    <cellStyle name="메모 27 14 2" xfId="29310"/>
    <cellStyle name="메모 27 14 3" xfId="29311"/>
    <cellStyle name="메모 27 15" xfId="29312"/>
    <cellStyle name="메모 27 15 2" xfId="29313"/>
    <cellStyle name="메모 27 15 3" xfId="29314"/>
    <cellStyle name="메모 27 16" xfId="29315"/>
    <cellStyle name="메모 27 16 2" xfId="29316"/>
    <cellStyle name="메모 27 16 3" xfId="29317"/>
    <cellStyle name="메모 27 17" xfId="29318"/>
    <cellStyle name="메모 27 17 2" xfId="29319"/>
    <cellStyle name="메모 27 17 3" xfId="29320"/>
    <cellStyle name="메모 27 18" xfId="29321"/>
    <cellStyle name="메모 27 18 2" xfId="29322"/>
    <cellStyle name="메모 27 18 3" xfId="29323"/>
    <cellStyle name="메모 27 19" xfId="29324"/>
    <cellStyle name="메모 27 19 2" xfId="29325"/>
    <cellStyle name="메모 27 19 3" xfId="29326"/>
    <cellStyle name="메모 27 2" xfId="29327"/>
    <cellStyle name="메모 27 2 2" xfId="29328"/>
    <cellStyle name="메모 27 2 3" xfId="29329"/>
    <cellStyle name="메모 27 20" xfId="29330"/>
    <cellStyle name="메모 27 20 2" xfId="29331"/>
    <cellStyle name="메모 27 20 3" xfId="29332"/>
    <cellStyle name="메모 27 21" xfId="29333"/>
    <cellStyle name="메모 27 21 2" xfId="29334"/>
    <cellStyle name="메모 27 21 3" xfId="29335"/>
    <cellStyle name="메모 27 22" xfId="29336"/>
    <cellStyle name="메모 27 22 2" xfId="29337"/>
    <cellStyle name="메모 27 22 3" xfId="29338"/>
    <cellStyle name="메모 27 23" xfId="29339"/>
    <cellStyle name="메모 27 23 2" xfId="29340"/>
    <cellStyle name="메모 27 23 3" xfId="29341"/>
    <cellStyle name="메모 27 24" xfId="29342"/>
    <cellStyle name="메모 27 24 2" xfId="29343"/>
    <cellStyle name="메모 27 24 3" xfId="29344"/>
    <cellStyle name="메모 27 25" xfId="29345"/>
    <cellStyle name="메모 27 25 2" xfId="29346"/>
    <cellStyle name="메모 27 25 3" xfId="29347"/>
    <cellStyle name="메모 27 26" xfId="29348"/>
    <cellStyle name="메모 27 26 2" xfId="29349"/>
    <cellStyle name="메모 27 26 3" xfId="29350"/>
    <cellStyle name="메모 27 27" xfId="29351"/>
    <cellStyle name="메모 27 27 2" xfId="29352"/>
    <cellStyle name="메모 27 27 3" xfId="29353"/>
    <cellStyle name="메모 27 28" xfId="29354"/>
    <cellStyle name="메모 27 28 2" xfId="29355"/>
    <cellStyle name="메모 27 28 3" xfId="29356"/>
    <cellStyle name="메모 27 29" xfId="29357"/>
    <cellStyle name="메모 27 29 2" xfId="29358"/>
    <cellStyle name="메모 27 29 3" xfId="29359"/>
    <cellStyle name="메모 27 3" xfId="29360"/>
    <cellStyle name="메모 27 3 2" xfId="29361"/>
    <cellStyle name="메모 27 3 3" xfId="29362"/>
    <cellStyle name="메모 27 30" xfId="29363"/>
    <cellStyle name="메모 27 30 2" xfId="29364"/>
    <cellStyle name="메모 27 30 3" xfId="29365"/>
    <cellStyle name="메모 27 31" xfId="29366"/>
    <cellStyle name="메모 27 31 2" xfId="29367"/>
    <cellStyle name="메모 27 31 3" xfId="29368"/>
    <cellStyle name="메모 27 32" xfId="29369"/>
    <cellStyle name="메모 27 32 2" xfId="29370"/>
    <cellStyle name="메모 27 32 3" xfId="29371"/>
    <cellStyle name="메모 27 33" xfId="29372"/>
    <cellStyle name="메모 27 33 2" xfId="29373"/>
    <cellStyle name="메모 27 33 3" xfId="29374"/>
    <cellStyle name="메모 27 34" xfId="29375"/>
    <cellStyle name="메모 27 34 2" xfId="29376"/>
    <cellStyle name="메모 27 34 3" xfId="29377"/>
    <cellStyle name="메모 27 35" xfId="29378"/>
    <cellStyle name="메모 27 35 2" xfId="29379"/>
    <cellStyle name="메모 27 35 3" xfId="29380"/>
    <cellStyle name="메모 27 36" xfId="29381"/>
    <cellStyle name="메모 27 36 2" xfId="29382"/>
    <cellStyle name="메모 27 36 3" xfId="29383"/>
    <cellStyle name="메모 27 37" xfId="29384"/>
    <cellStyle name="메모 27 37 2" xfId="29385"/>
    <cellStyle name="메모 27 37 3" xfId="29386"/>
    <cellStyle name="메모 27 38" xfId="29387"/>
    <cellStyle name="메모 27 38 2" xfId="29388"/>
    <cellStyle name="메모 27 38 3" xfId="29389"/>
    <cellStyle name="메모 27 39" xfId="29390"/>
    <cellStyle name="메모 27 39 2" xfId="29391"/>
    <cellStyle name="메모 27 39 3" xfId="29392"/>
    <cellStyle name="메모 27 4" xfId="29393"/>
    <cellStyle name="메모 27 4 2" xfId="29394"/>
    <cellStyle name="메모 27 4 3" xfId="29395"/>
    <cellStyle name="메모 27 40" xfId="29396"/>
    <cellStyle name="메모 27 40 2" xfId="29397"/>
    <cellStyle name="메모 27 40 3" xfId="29398"/>
    <cellStyle name="메모 27 41" xfId="29399"/>
    <cellStyle name="메모 27 41 2" xfId="29400"/>
    <cellStyle name="메모 27 41 3" xfId="29401"/>
    <cellStyle name="메모 27 42" xfId="29402"/>
    <cellStyle name="메모 27 42 2" xfId="29403"/>
    <cellStyle name="메모 27 42 3" xfId="29404"/>
    <cellStyle name="메모 27 43" xfId="29405"/>
    <cellStyle name="메모 27 43 2" xfId="29406"/>
    <cellStyle name="메모 27 43 3" xfId="29407"/>
    <cellStyle name="메모 27 44" xfId="29408"/>
    <cellStyle name="메모 27 44 2" xfId="29409"/>
    <cellStyle name="메모 27 44 3" xfId="29410"/>
    <cellStyle name="메모 27 45" xfId="29411"/>
    <cellStyle name="메모 27 45 2" xfId="29412"/>
    <cellStyle name="메모 27 45 3" xfId="29413"/>
    <cellStyle name="메모 27 46" xfId="29414"/>
    <cellStyle name="메모 27 46 2" xfId="29415"/>
    <cellStyle name="메모 27 46 3" xfId="29416"/>
    <cellStyle name="메모 27 47" xfId="29417"/>
    <cellStyle name="메모 27 47 2" xfId="29418"/>
    <cellStyle name="메모 27 47 3" xfId="29419"/>
    <cellStyle name="메모 27 48" xfId="29420"/>
    <cellStyle name="메모 27 48 2" xfId="29421"/>
    <cellStyle name="메모 27 48 3" xfId="29422"/>
    <cellStyle name="메모 27 49" xfId="29423"/>
    <cellStyle name="메모 27 49 2" xfId="29424"/>
    <cellStyle name="메모 27 49 3" xfId="29425"/>
    <cellStyle name="메모 27 5" xfId="29426"/>
    <cellStyle name="메모 27 5 2" xfId="29427"/>
    <cellStyle name="메모 27 5 3" xfId="29428"/>
    <cellStyle name="메모 27 50" xfId="29429"/>
    <cellStyle name="메모 27 50 2" xfId="29430"/>
    <cellStyle name="메모 27 50 3" xfId="29431"/>
    <cellStyle name="메모 27 51" xfId="29432"/>
    <cellStyle name="메모 27 51 2" xfId="29433"/>
    <cellStyle name="메모 27 51 3" xfId="29434"/>
    <cellStyle name="메모 27 52" xfId="29435"/>
    <cellStyle name="메모 27 52 2" xfId="29436"/>
    <cellStyle name="메모 27 52 3" xfId="29437"/>
    <cellStyle name="메모 27 53" xfId="29438"/>
    <cellStyle name="메모 27 53 2" xfId="29439"/>
    <cellStyle name="메모 27 53 3" xfId="29440"/>
    <cellStyle name="메모 27 54" xfId="29441"/>
    <cellStyle name="메모 27 54 2" xfId="29442"/>
    <cellStyle name="메모 27 54 3" xfId="29443"/>
    <cellStyle name="메모 27 55" xfId="29444"/>
    <cellStyle name="메모 27 55 2" xfId="29445"/>
    <cellStyle name="메모 27 55 3" xfId="29446"/>
    <cellStyle name="메모 27 56" xfId="29447"/>
    <cellStyle name="메모 27 56 2" xfId="29448"/>
    <cellStyle name="메모 27 56 3" xfId="29449"/>
    <cellStyle name="메모 27 57" xfId="29450"/>
    <cellStyle name="메모 27 57 2" xfId="29451"/>
    <cellStyle name="메모 27 57 3" xfId="29452"/>
    <cellStyle name="메모 27 58" xfId="29453"/>
    <cellStyle name="메모 27 58 2" xfId="29454"/>
    <cellStyle name="메모 27 58 3" xfId="29455"/>
    <cellStyle name="메모 27 59" xfId="29456"/>
    <cellStyle name="메모 27 59 2" xfId="29457"/>
    <cellStyle name="메모 27 59 3" xfId="29458"/>
    <cellStyle name="메모 27 6" xfId="29459"/>
    <cellStyle name="메모 27 6 2" xfId="29460"/>
    <cellStyle name="메모 27 6 3" xfId="29461"/>
    <cellStyle name="메모 27 60" xfId="29462"/>
    <cellStyle name="메모 27 60 2" xfId="29463"/>
    <cellStyle name="메모 27 60 3" xfId="29464"/>
    <cellStyle name="메모 27 61" xfId="29465"/>
    <cellStyle name="메모 27 61 2" xfId="29466"/>
    <cellStyle name="메모 27 61 3" xfId="29467"/>
    <cellStyle name="메모 27 62" xfId="29468"/>
    <cellStyle name="메모 27 62 2" xfId="29469"/>
    <cellStyle name="메모 27 62 3" xfId="29470"/>
    <cellStyle name="메모 27 63" xfId="29471"/>
    <cellStyle name="메모 27 63 2" xfId="29472"/>
    <cellStyle name="메모 27 63 3" xfId="29473"/>
    <cellStyle name="메모 27 64" xfId="29474"/>
    <cellStyle name="메모 27 64 2" xfId="29475"/>
    <cellStyle name="메모 27 64 3" xfId="29476"/>
    <cellStyle name="메모 27 65" xfId="29477"/>
    <cellStyle name="메모 27 65 2" xfId="29478"/>
    <cellStyle name="메모 27 65 3" xfId="29479"/>
    <cellStyle name="메모 27 66" xfId="29480"/>
    <cellStyle name="메모 27 66 2" xfId="29481"/>
    <cellStyle name="메모 27 66 3" xfId="29482"/>
    <cellStyle name="메모 27 67" xfId="29483"/>
    <cellStyle name="메모 27 67 2" xfId="29484"/>
    <cellStyle name="메모 27 67 3" xfId="29485"/>
    <cellStyle name="메모 27 68" xfId="29486"/>
    <cellStyle name="메모 27 68 2" xfId="29487"/>
    <cellStyle name="메모 27 68 3" xfId="29488"/>
    <cellStyle name="메모 27 69" xfId="29489"/>
    <cellStyle name="메모 27 69 2" xfId="29490"/>
    <cellStyle name="메모 27 69 3" xfId="29491"/>
    <cellStyle name="메모 27 7" xfId="29492"/>
    <cellStyle name="메모 27 7 2" xfId="29493"/>
    <cellStyle name="메모 27 7 3" xfId="29494"/>
    <cellStyle name="메모 27 70" xfId="29495"/>
    <cellStyle name="메모 27 70 2" xfId="29496"/>
    <cellStyle name="메모 27 70 3" xfId="29497"/>
    <cellStyle name="메모 27 71" xfId="29498"/>
    <cellStyle name="메모 27 71 2" xfId="29499"/>
    <cellStyle name="메모 27 71 3" xfId="29500"/>
    <cellStyle name="메모 27 72" xfId="29501"/>
    <cellStyle name="메모 27 72 2" xfId="29502"/>
    <cellStyle name="메모 27 72 3" xfId="29503"/>
    <cellStyle name="메모 27 73" xfId="29504"/>
    <cellStyle name="메모 27 73 2" xfId="29505"/>
    <cellStyle name="메모 27 73 3" xfId="29506"/>
    <cellStyle name="메모 27 74" xfId="29507"/>
    <cellStyle name="메모 27 74 2" xfId="29508"/>
    <cellStyle name="메모 27 74 3" xfId="29509"/>
    <cellStyle name="메모 27 75" xfId="29510"/>
    <cellStyle name="메모 27 75 2" xfId="29511"/>
    <cellStyle name="메모 27 75 3" xfId="29512"/>
    <cellStyle name="메모 27 76" xfId="29513"/>
    <cellStyle name="메모 27 76 2" xfId="29514"/>
    <cellStyle name="메모 27 76 3" xfId="29515"/>
    <cellStyle name="메모 27 77" xfId="29516"/>
    <cellStyle name="메모 27 77 2" xfId="29517"/>
    <cellStyle name="메모 27 77 3" xfId="29518"/>
    <cellStyle name="메모 27 78" xfId="29519"/>
    <cellStyle name="메모 27 78 2" xfId="29520"/>
    <cellStyle name="메모 27 78 3" xfId="29521"/>
    <cellStyle name="메모 27 79" xfId="29522"/>
    <cellStyle name="메모 27 79 2" xfId="29523"/>
    <cellStyle name="메모 27 79 3" xfId="29524"/>
    <cellStyle name="메모 27 8" xfId="29525"/>
    <cellStyle name="메모 27 8 2" xfId="29526"/>
    <cellStyle name="메모 27 8 3" xfId="29527"/>
    <cellStyle name="메모 27 80" xfId="29528"/>
    <cellStyle name="메모 27 80 2" xfId="29529"/>
    <cellStyle name="메모 27 80 3" xfId="29530"/>
    <cellStyle name="메모 27 81" xfId="29531"/>
    <cellStyle name="메모 27 81 2" xfId="29532"/>
    <cellStyle name="메모 27 81 3" xfId="29533"/>
    <cellStyle name="메모 27 82" xfId="29534"/>
    <cellStyle name="메모 27 83" xfId="29535"/>
    <cellStyle name="메모 27 9" xfId="29536"/>
    <cellStyle name="메모 27 9 2" xfId="29537"/>
    <cellStyle name="메모 27 9 3" xfId="29538"/>
    <cellStyle name="메모 28" xfId="29539"/>
    <cellStyle name="메모 28 10" xfId="29540"/>
    <cellStyle name="메모 28 10 2" xfId="29541"/>
    <cellStyle name="메모 28 10 3" xfId="29542"/>
    <cellStyle name="메모 28 11" xfId="29543"/>
    <cellStyle name="메모 28 11 2" xfId="29544"/>
    <cellStyle name="메모 28 11 3" xfId="29545"/>
    <cellStyle name="메모 28 12" xfId="29546"/>
    <cellStyle name="메모 28 12 2" xfId="29547"/>
    <cellStyle name="메모 28 12 3" xfId="29548"/>
    <cellStyle name="메모 28 13" xfId="29549"/>
    <cellStyle name="메모 28 13 2" xfId="29550"/>
    <cellStyle name="메모 28 13 3" xfId="29551"/>
    <cellStyle name="메모 28 14" xfId="29552"/>
    <cellStyle name="메모 28 14 2" xfId="29553"/>
    <cellStyle name="메모 28 14 3" xfId="29554"/>
    <cellStyle name="메모 28 15" xfId="29555"/>
    <cellStyle name="메모 28 15 2" xfId="29556"/>
    <cellStyle name="메모 28 15 3" xfId="29557"/>
    <cellStyle name="메모 28 16" xfId="29558"/>
    <cellStyle name="메모 28 16 2" xfId="29559"/>
    <cellStyle name="메모 28 16 3" xfId="29560"/>
    <cellStyle name="메모 28 17" xfId="29561"/>
    <cellStyle name="메모 28 17 2" xfId="29562"/>
    <cellStyle name="메모 28 17 3" xfId="29563"/>
    <cellStyle name="메모 28 18" xfId="29564"/>
    <cellStyle name="메모 28 18 2" xfId="29565"/>
    <cellStyle name="메모 28 18 3" xfId="29566"/>
    <cellStyle name="메모 28 19" xfId="29567"/>
    <cellStyle name="메모 28 19 2" xfId="29568"/>
    <cellStyle name="메모 28 19 3" xfId="29569"/>
    <cellStyle name="메모 28 2" xfId="29570"/>
    <cellStyle name="메모 28 2 2" xfId="29571"/>
    <cellStyle name="메모 28 2 3" xfId="29572"/>
    <cellStyle name="메모 28 20" xfId="29573"/>
    <cellStyle name="메모 28 20 2" xfId="29574"/>
    <cellStyle name="메모 28 20 3" xfId="29575"/>
    <cellStyle name="메모 28 21" xfId="29576"/>
    <cellStyle name="메모 28 21 2" xfId="29577"/>
    <cellStyle name="메모 28 21 3" xfId="29578"/>
    <cellStyle name="메모 28 22" xfId="29579"/>
    <cellStyle name="메모 28 22 2" xfId="29580"/>
    <cellStyle name="메모 28 22 3" xfId="29581"/>
    <cellStyle name="메모 28 23" xfId="29582"/>
    <cellStyle name="메모 28 23 2" xfId="29583"/>
    <cellStyle name="메모 28 23 3" xfId="29584"/>
    <cellStyle name="메모 28 24" xfId="29585"/>
    <cellStyle name="메모 28 24 2" xfId="29586"/>
    <cellStyle name="메모 28 24 3" xfId="29587"/>
    <cellStyle name="메모 28 25" xfId="29588"/>
    <cellStyle name="메모 28 25 2" xfId="29589"/>
    <cellStyle name="메모 28 25 3" xfId="29590"/>
    <cellStyle name="메모 28 26" xfId="29591"/>
    <cellStyle name="메모 28 26 2" xfId="29592"/>
    <cellStyle name="메모 28 26 3" xfId="29593"/>
    <cellStyle name="메모 28 27" xfId="29594"/>
    <cellStyle name="메모 28 27 2" xfId="29595"/>
    <cellStyle name="메모 28 27 3" xfId="29596"/>
    <cellStyle name="메모 28 28" xfId="29597"/>
    <cellStyle name="메모 28 28 2" xfId="29598"/>
    <cellStyle name="메모 28 28 3" xfId="29599"/>
    <cellStyle name="메모 28 29" xfId="29600"/>
    <cellStyle name="메모 28 29 2" xfId="29601"/>
    <cellStyle name="메모 28 29 3" xfId="29602"/>
    <cellStyle name="메모 28 3" xfId="29603"/>
    <cellStyle name="메모 28 3 2" xfId="29604"/>
    <cellStyle name="메모 28 3 3" xfId="29605"/>
    <cellStyle name="메모 28 30" xfId="29606"/>
    <cellStyle name="메모 28 30 2" xfId="29607"/>
    <cellStyle name="메모 28 30 3" xfId="29608"/>
    <cellStyle name="메모 28 31" xfId="29609"/>
    <cellStyle name="메모 28 31 2" xfId="29610"/>
    <cellStyle name="메모 28 31 3" xfId="29611"/>
    <cellStyle name="메모 28 32" xfId="29612"/>
    <cellStyle name="메모 28 32 2" xfId="29613"/>
    <cellStyle name="메모 28 32 3" xfId="29614"/>
    <cellStyle name="메모 28 33" xfId="29615"/>
    <cellStyle name="메모 28 33 2" xfId="29616"/>
    <cellStyle name="메모 28 33 3" xfId="29617"/>
    <cellStyle name="메모 28 34" xfId="29618"/>
    <cellStyle name="메모 28 34 2" xfId="29619"/>
    <cellStyle name="메모 28 34 3" xfId="29620"/>
    <cellStyle name="메모 28 35" xfId="29621"/>
    <cellStyle name="메모 28 35 2" xfId="29622"/>
    <cellStyle name="메모 28 35 3" xfId="29623"/>
    <cellStyle name="메모 28 36" xfId="29624"/>
    <cellStyle name="메모 28 36 2" xfId="29625"/>
    <cellStyle name="메모 28 36 3" xfId="29626"/>
    <cellStyle name="메모 28 37" xfId="29627"/>
    <cellStyle name="메모 28 37 2" xfId="29628"/>
    <cellStyle name="메모 28 37 3" xfId="29629"/>
    <cellStyle name="메모 28 38" xfId="29630"/>
    <cellStyle name="메모 28 38 2" xfId="29631"/>
    <cellStyle name="메모 28 38 3" xfId="29632"/>
    <cellStyle name="메모 28 39" xfId="29633"/>
    <cellStyle name="메모 28 39 2" xfId="29634"/>
    <cellStyle name="메모 28 39 3" xfId="29635"/>
    <cellStyle name="메모 28 4" xfId="29636"/>
    <cellStyle name="메모 28 4 2" xfId="29637"/>
    <cellStyle name="메모 28 4 3" xfId="29638"/>
    <cellStyle name="메모 28 40" xfId="29639"/>
    <cellStyle name="메모 28 40 2" xfId="29640"/>
    <cellStyle name="메모 28 40 3" xfId="29641"/>
    <cellStyle name="메모 28 41" xfId="29642"/>
    <cellStyle name="메모 28 41 2" xfId="29643"/>
    <cellStyle name="메모 28 41 3" xfId="29644"/>
    <cellStyle name="메모 28 42" xfId="29645"/>
    <cellStyle name="메모 28 42 2" xfId="29646"/>
    <cellStyle name="메모 28 42 3" xfId="29647"/>
    <cellStyle name="메모 28 43" xfId="29648"/>
    <cellStyle name="메모 28 43 2" xfId="29649"/>
    <cellStyle name="메모 28 43 3" xfId="29650"/>
    <cellStyle name="메모 28 44" xfId="29651"/>
    <cellStyle name="메모 28 44 2" xfId="29652"/>
    <cellStyle name="메모 28 44 3" xfId="29653"/>
    <cellStyle name="메모 28 45" xfId="29654"/>
    <cellStyle name="메모 28 45 2" xfId="29655"/>
    <cellStyle name="메모 28 45 3" xfId="29656"/>
    <cellStyle name="메모 28 46" xfId="29657"/>
    <cellStyle name="메모 28 46 2" xfId="29658"/>
    <cellStyle name="메모 28 46 3" xfId="29659"/>
    <cellStyle name="메모 28 47" xfId="29660"/>
    <cellStyle name="메모 28 47 2" xfId="29661"/>
    <cellStyle name="메모 28 47 3" xfId="29662"/>
    <cellStyle name="메모 28 48" xfId="29663"/>
    <cellStyle name="메모 28 48 2" xfId="29664"/>
    <cellStyle name="메모 28 48 3" xfId="29665"/>
    <cellStyle name="메모 28 49" xfId="29666"/>
    <cellStyle name="메모 28 49 2" xfId="29667"/>
    <cellStyle name="메모 28 49 3" xfId="29668"/>
    <cellStyle name="메모 28 5" xfId="29669"/>
    <cellStyle name="메모 28 5 2" xfId="29670"/>
    <cellStyle name="메모 28 5 3" xfId="29671"/>
    <cellStyle name="메모 28 50" xfId="29672"/>
    <cellStyle name="메모 28 50 2" xfId="29673"/>
    <cellStyle name="메모 28 50 3" xfId="29674"/>
    <cellStyle name="메모 28 51" xfId="29675"/>
    <cellStyle name="메모 28 51 2" xfId="29676"/>
    <cellStyle name="메모 28 51 3" xfId="29677"/>
    <cellStyle name="메모 28 52" xfId="29678"/>
    <cellStyle name="메모 28 52 2" xfId="29679"/>
    <cellStyle name="메모 28 52 3" xfId="29680"/>
    <cellStyle name="메모 28 53" xfId="29681"/>
    <cellStyle name="메모 28 53 2" xfId="29682"/>
    <cellStyle name="메모 28 53 3" xfId="29683"/>
    <cellStyle name="메모 28 54" xfId="29684"/>
    <cellStyle name="메모 28 54 2" xfId="29685"/>
    <cellStyle name="메모 28 54 3" xfId="29686"/>
    <cellStyle name="메모 28 55" xfId="29687"/>
    <cellStyle name="메모 28 55 2" xfId="29688"/>
    <cellStyle name="메모 28 55 3" xfId="29689"/>
    <cellStyle name="메모 28 56" xfId="29690"/>
    <cellStyle name="메모 28 56 2" xfId="29691"/>
    <cellStyle name="메모 28 56 3" xfId="29692"/>
    <cellStyle name="메모 28 57" xfId="29693"/>
    <cellStyle name="메모 28 57 2" xfId="29694"/>
    <cellStyle name="메모 28 57 3" xfId="29695"/>
    <cellStyle name="메모 28 58" xfId="29696"/>
    <cellStyle name="메모 28 58 2" xfId="29697"/>
    <cellStyle name="메모 28 58 3" xfId="29698"/>
    <cellStyle name="메모 28 59" xfId="29699"/>
    <cellStyle name="메모 28 59 2" xfId="29700"/>
    <cellStyle name="메모 28 59 3" xfId="29701"/>
    <cellStyle name="메모 28 6" xfId="29702"/>
    <cellStyle name="메모 28 6 2" xfId="29703"/>
    <cellStyle name="메모 28 6 3" xfId="29704"/>
    <cellStyle name="메모 28 60" xfId="29705"/>
    <cellStyle name="메모 28 60 2" xfId="29706"/>
    <cellStyle name="메모 28 60 3" xfId="29707"/>
    <cellStyle name="메모 28 61" xfId="29708"/>
    <cellStyle name="메모 28 61 2" xfId="29709"/>
    <cellStyle name="메모 28 61 3" xfId="29710"/>
    <cellStyle name="메모 28 62" xfId="29711"/>
    <cellStyle name="메모 28 62 2" xfId="29712"/>
    <cellStyle name="메모 28 62 3" xfId="29713"/>
    <cellStyle name="메모 28 63" xfId="29714"/>
    <cellStyle name="메모 28 63 2" xfId="29715"/>
    <cellStyle name="메모 28 63 3" xfId="29716"/>
    <cellStyle name="메모 28 64" xfId="29717"/>
    <cellStyle name="메모 28 64 2" xfId="29718"/>
    <cellStyle name="메모 28 64 3" xfId="29719"/>
    <cellStyle name="메모 28 65" xfId="29720"/>
    <cellStyle name="메모 28 65 2" xfId="29721"/>
    <cellStyle name="메모 28 65 3" xfId="29722"/>
    <cellStyle name="메모 28 66" xfId="29723"/>
    <cellStyle name="메모 28 66 2" xfId="29724"/>
    <cellStyle name="메모 28 66 3" xfId="29725"/>
    <cellStyle name="메모 28 67" xfId="29726"/>
    <cellStyle name="메모 28 67 2" xfId="29727"/>
    <cellStyle name="메모 28 67 3" xfId="29728"/>
    <cellStyle name="메모 28 68" xfId="29729"/>
    <cellStyle name="메모 28 68 2" xfId="29730"/>
    <cellStyle name="메모 28 68 3" xfId="29731"/>
    <cellStyle name="메모 28 69" xfId="29732"/>
    <cellStyle name="메모 28 69 2" xfId="29733"/>
    <cellStyle name="메모 28 69 3" xfId="29734"/>
    <cellStyle name="메모 28 7" xfId="29735"/>
    <cellStyle name="메모 28 7 2" xfId="29736"/>
    <cellStyle name="메모 28 7 3" xfId="29737"/>
    <cellStyle name="메모 28 70" xfId="29738"/>
    <cellStyle name="메모 28 70 2" xfId="29739"/>
    <cellStyle name="메모 28 70 3" xfId="29740"/>
    <cellStyle name="메모 28 71" xfId="29741"/>
    <cellStyle name="메모 28 71 2" xfId="29742"/>
    <cellStyle name="메모 28 71 3" xfId="29743"/>
    <cellStyle name="메모 28 72" xfId="29744"/>
    <cellStyle name="메모 28 72 2" xfId="29745"/>
    <cellStyle name="메모 28 72 3" xfId="29746"/>
    <cellStyle name="메모 28 73" xfId="29747"/>
    <cellStyle name="메모 28 73 2" xfId="29748"/>
    <cellStyle name="메모 28 73 3" xfId="29749"/>
    <cellStyle name="메모 28 74" xfId="29750"/>
    <cellStyle name="메모 28 74 2" xfId="29751"/>
    <cellStyle name="메모 28 74 3" xfId="29752"/>
    <cellStyle name="메모 28 75" xfId="29753"/>
    <cellStyle name="메모 28 75 2" xfId="29754"/>
    <cellStyle name="메모 28 75 3" xfId="29755"/>
    <cellStyle name="메모 28 76" xfId="29756"/>
    <cellStyle name="메모 28 76 2" xfId="29757"/>
    <cellStyle name="메모 28 76 3" xfId="29758"/>
    <cellStyle name="메모 28 77" xfId="29759"/>
    <cellStyle name="메모 28 77 2" xfId="29760"/>
    <cellStyle name="메모 28 77 3" xfId="29761"/>
    <cellStyle name="메모 28 78" xfId="29762"/>
    <cellStyle name="메모 28 78 2" xfId="29763"/>
    <cellStyle name="메모 28 78 3" xfId="29764"/>
    <cellStyle name="메모 28 79" xfId="29765"/>
    <cellStyle name="메모 28 79 2" xfId="29766"/>
    <cellStyle name="메모 28 79 3" xfId="29767"/>
    <cellStyle name="메모 28 8" xfId="29768"/>
    <cellStyle name="메모 28 8 2" xfId="29769"/>
    <cellStyle name="메모 28 8 3" xfId="29770"/>
    <cellStyle name="메모 28 80" xfId="29771"/>
    <cellStyle name="메모 28 80 2" xfId="29772"/>
    <cellStyle name="메모 28 80 3" xfId="29773"/>
    <cellStyle name="메모 28 81" xfId="29774"/>
    <cellStyle name="메모 28 81 2" xfId="29775"/>
    <cellStyle name="메모 28 81 3" xfId="29776"/>
    <cellStyle name="메모 28 82" xfId="29777"/>
    <cellStyle name="메모 28 83" xfId="29778"/>
    <cellStyle name="메모 28 9" xfId="29779"/>
    <cellStyle name="메모 28 9 2" xfId="29780"/>
    <cellStyle name="메모 28 9 3" xfId="29781"/>
    <cellStyle name="메모 29" xfId="29782"/>
    <cellStyle name="메모 3" xfId="29783"/>
    <cellStyle name="메모 3 10" xfId="29784"/>
    <cellStyle name="메모 3 10 2" xfId="29785"/>
    <cellStyle name="메모 3 10 3" xfId="29786"/>
    <cellStyle name="메모 3 100" xfId="29787"/>
    <cellStyle name="메모 3 100 2" xfId="29788"/>
    <cellStyle name="메모 3 100 3" xfId="29789"/>
    <cellStyle name="메모 3 101" xfId="29790"/>
    <cellStyle name="메모 3 101 2" xfId="29791"/>
    <cellStyle name="메모 3 101 3" xfId="29792"/>
    <cellStyle name="메모 3 102" xfId="29793"/>
    <cellStyle name="메모 3 102 2" xfId="29794"/>
    <cellStyle name="메모 3 102 3" xfId="29795"/>
    <cellStyle name="메모 3 103" xfId="29796"/>
    <cellStyle name="메모 3 103 2" xfId="29797"/>
    <cellStyle name="메모 3 103 3" xfId="29798"/>
    <cellStyle name="메모 3 104" xfId="29799"/>
    <cellStyle name="메모 3 104 2" xfId="29800"/>
    <cellStyle name="메모 3 104 3" xfId="29801"/>
    <cellStyle name="메모 3 105" xfId="29802"/>
    <cellStyle name="메모 3 105 2" xfId="29803"/>
    <cellStyle name="메모 3 105 3" xfId="29804"/>
    <cellStyle name="메모 3 106" xfId="29805"/>
    <cellStyle name="메모 3 106 2" xfId="29806"/>
    <cellStyle name="메모 3 106 3" xfId="29807"/>
    <cellStyle name="메모 3 107" xfId="29808"/>
    <cellStyle name="메모 3 107 2" xfId="29809"/>
    <cellStyle name="메모 3 107 3" xfId="29810"/>
    <cellStyle name="메모 3 108" xfId="29811"/>
    <cellStyle name="메모 3 108 2" xfId="29812"/>
    <cellStyle name="메모 3 108 3" xfId="29813"/>
    <cellStyle name="메모 3 109" xfId="29814"/>
    <cellStyle name="메모 3 109 2" xfId="29815"/>
    <cellStyle name="메모 3 109 3" xfId="29816"/>
    <cellStyle name="메모 3 11" xfId="29817"/>
    <cellStyle name="메모 3 11 2" xfId="29818"/>
    <cellStyle name="메모 3 11 3" xfId="29819"/>
    <cellStyle name="메모 3 110" xfId="29820"/>
    <cellStyle name="메모 3 110 2" xfId="29821"/>
    <cellStyle name="메모 3 110 3" xfId="29822"/>
    <cellStyle name="메모 3 111" xfId="29823"/>
    <cellStyle name="메모 3 111 2" xfId="29824"/>
    <cellStyle name="메모 3 111 3" xfId="29825"/>
    <cellStyle name="메모 3 112" xfId="29826"/>
    <cellStyle name="메모 3 112 2" xfId="29827"/>
    <cellStyle name="메모 3 112 3" xfId="29828"/>
    <cellStyle name="메모 3 113" xfId="29829"/>
    <cellStyle name="메모 3 113 2" xfId="29830"/>
    <cellStyle name="메모 3 113 3" xfId="29831"/>
    <cellStyle name="메모 3 114" xfId="29832"/>
    <cellStyle name="메모 3 115" xfId="29833"/>
    <cellStyle name="메모 3 116" xfId="29834"/>
    <cellStyle name="메모 3 117" xfId="29835"/>
    <cellStyle name="메모 3 118" xfId="29836"/>
    <cellStyle name="메모 3 12" xfId="29837"/>
    <cellStyle name="메모 3 12 2" xfId="29838"/>
    <cellStyle name="메모 3 12 3" xfId="29839"/>
    <cellStyle name="메모 3 13" xfId="29840"/>
    <cellStyle name="메모 3 13 2" xfId="29841"/>
    <cellStyle name="메모 3 13 3" xfId="29842"/>
    <cellStyle name="메모 3 14" xfId="29843"/>
    <cellStyle name="메모 3 14 2" xfId="29844"/>
    <cellStyle name="메모 3 14 3" xfId="29845"/>
    <cellStyle name="메모 3 15" xfId="29846"/>
    <cellStyle name="메모 3 15 2" xfId="29847"/>
    <cellStyle name="메모 3 15 3" xfId="29848"/>
    <cellStyle name="메모 3 16" xfId="29849"/>
    <cellStyle name="메모 3 16 2" xfId="29850"/>
    <cellStyle name="메모 3 16 3" xfId="29851"/>
    <cellStyle name="메모 3 17" xfId="29852"/>
    <cellStyle name="메모 3 17 2" xfId="29853"/>
    <cellStyle name="메모 3 17 3" xfId="29854"/>
    <cellStyle name="메모 3 18" xfId="29855"/>
    <cellStyle name="메모 3 18 2" xfId="29856"/>
    <cellStyle name="메모 3 18 3" xfId="29857"/>
    <cellStyle name="메모 3 19" xfId="29858"/>
    <cellStyle name="메모 3 19 2" xfId="29859"/>
    <cellStyle name="메모 3 19 3" xfId="29860"/>
    <cellStyle name="메모 3 2" xfId="29861"/>
    <cellStyle name="메모 3 2 2" xfId="29862"/>
    <cellStyle name="메모 3 2 2 2" xfId="29863"/>
    <cellStyle name="메모 3 2 2 3" xfId="29864"/>
    <cellStyle name="메모 3 2 3" xfId="29865"/>
    <cellStyle name="메모 3 2 4" xfId="29866"/>
    <cellStyle name="메모 3 2 5" xfId="29867"/>
    <cellStyle name="메모 3 2 6" xfId="29868"/>
    <cellStyle name="메모 3 2 7" xfId="29869"/>
    <cellStyle name="메모 3 20" xfId="29870"/>
    <cellStyle name="메모 3 20 2" xfId="29871"/>
    <cellStyle name="메모 3 20 3" xfId="29872"/>
    <cellStyle name="메모 3 21" xfId="29873"/>
    <cellStyle name="메모 3 21 2" xfId="29874"/>
    <cellStyle name="메모 3 21 3" xfId="29875"/>
    <cellStyle name="메모 3 22" xfId="29876"/>
    <cellStyle name="메모 3 22 2" xfId="29877"/>
    <cellStyle name="메모 3 22 3" xfId="29878"/>
    <cellStyle name="메모 3 23" xfId="29879"/>
    <cellStyle name="메모 3 23 2" xfId="29880"/>
    <cellStyle name="메모 3 23 3" xfId="29881"/>
    <cellStyle name="메모 3 24" xfId="29882"/>
    <cellStyle name="메모 3 24 2" xfId="29883"/>
    <cellStyle name="메모 3 24 3" xfId="29884"/>
    <cellStyle name="메모 3 25" xfId="29885"/>
    <cellStyle name="메모 3 25 2" xfId="29886"/>
    <cellStyle name="메모 3 25 3" xfId="29887"/>
    <cellStyle name="메모 3 26" xfId="29888"/>
    <cellStyle name="메모 3 26 2" xfId="29889"/>
    <cellStyle name="메모 3 26 3" xfId="29890"/>
    <cellStyle name="메모 3 27" xfId="29891"/>
    <cellStyle name="메모 3 27 2" xfId="29892"/>
    <cellStyle name="메모 3 27 3" xfId="29893"/>
    <cellStyle name="메모 3 28" xfId="29894"/>
    <cellStyle name="메모 3 28 2" xfId="29895"/>
    <cellStyle name="메모 3 28 3" xfId="29896"/>
    <cellStyle name="메모 3 29" xfId="29897"/>
    <cellStyle name="메모 3 29 2" xfId="29898"/>
    <cellStyle name="메모 3 29 3" xfId="29899"/>
    <cellStyle name="메모 3 3" xfId="29900"/>
    <cellStyle name="메모 3 3 2" xfId="29901"/>
    <cellStyle name="메모 3 3 2 2" xfId="29902"/>
    <cellStyle name="메모 3 3 2 3" xfId="29903"/>
    <cellStyle name="메모 3 3 3" xfId="29904"/>
    <cellStyle name="메모 3 3 4" xfId="29905"/>
    <cellStyle name="메모 3 3 5" xfId="29906"/>
    <cellStyle name="메모 3 3 6" xfId="29907"/>
    <cellStyle name="메모 3 30" xfId="29908"/>
    <cellStyle name="메모 3 30 2" xfId="29909"/>
    <cellStyle name="메모 3 30 3" xfId="29910"/>
    <cellStyle name="메모 3 31" xfId="29911"/>
    <cellStyle name="메모 3 31 2" xfId="29912"/>
    <cellStyle name="메모 3 31 3" xfId="29913"/>
    <cellStyle name="메모 3 32" xfId="29914"/>
    <cellStyle name="메모 3 32 2" xfId="29915"/>
    <cellStyle name="메모 3 32 3" xfId="29916"/>
    <cellStyle name="메모 3 33" xfId="29917"/>
    <cellStyle name="메모 3 33 2" xfId="29918"/>
    <cellStyle name="메모 3 33 3" xfId="29919"/>
    <cellStyle name="메모 3 34" xfId="29920"/>
    <cellStyle name="메모 3 34 2" xfId="29921"/>
    <cellStyle name="메모 3 34 3" xfId="29922"/>
    <cellStyle name="메모 3 35" xfId="29923"/>
    <cellStyle name="메모 3 35 2" xfId="29924"/>
    <cellStyle name="메모 3 35 3" xfId="29925"/>
    <cellStyle name="메모 3 36" xfId="29926"/>
    <cellStyle name="메모 3 36 2" xfId="29927"/>
    <cellStyle name="메모 3 36 3" xfId="29928"/>
    <cellStyle name="메모 3 37" xfId="29929"/>
    <cellStyle name="메모 3 37 2" xfId="29930"/>
    <cellStyle name="메모 3 37 3" xfId="29931"/>
    <cellStyle name="메모 3 38" xfId="29932"/>
    <cellStyle name="메모 3 38 2" xfId="29933"/>
    <cellStyle name="메모 3 38 3" xfId="29934"/>
    <cellStyle name="메모 3 39" xfId="29935"/>
    <cellStyle name="메모 3 39 2" xfId="29936"/>
    <cellStyle name="메모 3 39 3" xfId="29937"/>
    <cellStyle name="메모 3 4" xfId="29938"/>
    <cellStyle name="메모 3 4 2" xfId="29939"/>
    <cellStyle name="메모 3 4 2 2" xfId="29940"/>
    <cellStyle name="메모 3 4 2 3" xfId="29941"/>
    <cellStyle name="메모 3 4 3" xfId="29942"/>
    <cellStyle name="메모 3 4 4" xfId="29943"/>
    <cellStyle name="메모 3 4 5" xfId="29944"/>
    <cellStyle name="메모 3 4 6" xfId="29945"/>
    <cellStyle name="메모 3 40" xfId="29946"/>
    <cellStyle name="메모 3 40 2" xfId="29947"/>
    <cellStyle name="메모 3 40 3" xfId="29948"/>
    <cellStyle name="메모 3 41" xfId="29949"/>
    <cellStyle name="메모 3 41 2" xfId="29950"/>
    <cellStyle name="메모 3 41 3" xfId="29951"/>
    <cellStyle name="메모 3 42" xfId="29952"/>
    <cellStyle name="메모 3 42 2" xfId="29953"/>
    <cellStyle name="메모 3 42 3" xfId="29954"/>
    <cellStyle name="메모 3 43" xfId="29955"/>
    <cellStyle name="메모 3 43 2" xfId="29956"/>
    <cellStyle name="메모 3 43 3" xfId="29957"/>
    <cellStyle name="메모 3 44" xfId="29958"/>
    <cellStyle name="메모 3 44 2" xfId="29959"/>
    <cellStyle name="메모 3 44 3" xfId="29960"/>
    <cellStyle name="메모 3 45" xfId="29961"/>
    <cellStyle name="메모 3 45 2" xfId="29962"/>
    <cellStyle name="메모 3 45 3" xfId="29963"/>
    <cellStyle name="메모 3 46" xfId="29964"/>
    <cellStyle name="메모 3 46 2" xfId="29965"/>
    <cellStyle name="메모 3 46 3" xfId="29966"/>
    <cellStyle name="메모 3 47" xfId="29967"/>
    <cellStyle name="메모 3 47 2" xfId="29968"/>
    <cellStyle name="메모 3 47 3" xfId="29969"/>
    <cellStyle name="메모 3 48" xfId="29970"/>
    <cellStyle name="메모 3 48 2" xfId="29971"/>
    <cellStyle name="메모 3 48 3" xfId="29972"/>
    <cellStyle name="메모 3 49" xfId="29973"/>
    <cellStyle name="메모 3 49 2" xfId="29974"/>
    <cellStyle name="메모 3 49 3" xfId="29975"/>
    <cellStyle name="메모 3 5" xfId="29976"/>
    <cellStyle name="메모 3 5 2" xfId="29977"/>
    <cellStyle name="메모 3 5 2 2" xfId="29978"/>
    <cellStyle name="메모 3 5 2 2 2" xfId="29979"/>
    <cellStyle name="메모 3 5 2 2 3" xfId="29980"/>
    <cellStyle name="메모 3 5 2 2 4" xfId="29981"/>
    <cellStyle name="메모 3 5 2 3" xfId="29982"/>
    <cellStyle name="메모 3 5 2 4" xfId="29983"/>
    <cellStyle name="메모 3 5 2 5" xfId="29984"/>
    <cellStyle name="메모 3 5 3" xfId="29985"/>
    <cellStyle name="메모 3 5 3 2" xfId="29986"/>
    <cellStyle name="메모 3 5 3 3" xfId="29987"/>
    <cellStyle name="메모 3 5 3 4" xfId="29988"/>
    <cellStyle name="메모 3 5 4" xfId="29989"/>
    <cellStyle name="메모 3 5 4 2" xfId="29990"/>
    <cellStyle name="메모 3 5 4 3" xfId="29991"/>
    <cellStyle name="메모 3 5 5" xfId="29992"/>
    <cellStyle name="메모 3 5 6" xfId="29993"/>
    <cellStyle name="메모 3 5 7" xfId="29994"/>
    <cellStyle name="메모 3 50" xfId="29995"/>
    <cellStyle name="메모 3 50 2" xfId="29996"/>
    <cellStyle name="메모 3 50 3" xfId="29997"/>
    <cellStyle name="메모 3 51" xfId="29998"/>
    <cellStyle name="메모 3 51 2" xfId="29999"/>
    <cellStyle name="메모 3 51 3" xfId="30000"/>
    <cellStyle name="메모 3 52" xfId="30001"/>
    <cellStyle name="메모 3 52 2" xfId="30002"/>
    <cellStyle name="메모 3 52 3" xfId="30003"/>
    <cellStyle name="메모 3 53" xfId="30004"/>
    <cellStyle name="메모 3 53 2" xfId="30005"/>
    <cellStyle name="메모 3 53 3" xfId="30006"/>
    <cellStyle name="메모 3 54" xfId="30007"/>
    <cellStyle name="메모 3 54 2" xfId="30008"/>
    <cellStyle name="메모 3 54 3" xfId="30009"/>
    <cellStyle name="메모 3 55" xfId="30010"/>
    <cellStyle name="메모 3 55 2" xfId="30011"/>
    <cellStyle name="메모 3 55 3" xfId="30012"/>
    <cellStyle name="메모 3 56" xfId="30013"/>
    <cellStyle name="메모 3 56 2" xfId="30014"/>
    <cellStyle name="메모 3 56 3" xfId="30015"/>
    <cellStyle name="메모 3 57" xfId="30016"/>
    <cellStyle name="메모 3 57 2" xfId="30017"/>
    <cellStyle name="메모 3 57 3" xfId="30018"/>
    <cellStyle name="메모 3 58" xfId="30019"/>
    <cellStyle name="메모 3 58 2" xfId="30020"/>
    <cellStyle name="메모 3 58 3" xfId="30021"/>
    <cellStyle name="메모 3 59" xfId="30022"/>
    <cellStyle name="메모 3 59 2" xfId="30023"/>
    <cellStyle name="메모 3 59 3" xfId="30024"/>
    <cellStyle name="메모 3 6" xfId="30025"/>
    <cellStyle name="메모 3 6 2" xfId="30026"/>
    <cellStyle name="메모 3 6 2 2" xfId="30027"/>
    <cellStyle name="메모 3 6 2 2 2" xfId="30028"/>
    <cellStyle name="메모 3 6 2 2 3" xfId="30029"/>
    <cellStyle name="메모 3 6 2 2 4" xfId="30030"/>
    <cellStyle name="메모 3 6 2 3" xfId="30031"/>
    <cellStyle name="메모 3 6 2 4" xfId="30032"/>
    <cellStyle name="메모 3 6 2 5" xfId="30033"/>
    <cellStyle name="메모 3 6 3" xfId="30034"/>
    <cellStyle name="메모 3 6 3 2" xfId="30035"/>
    <cellStyle name="메모 3 6 3 3" xfId="30036"/>
    <cellStyle name="메모 3 6 3 4" xfId="30037"/>
    <cellStyle name="메모 3 6 4" xfId="30038"/>
    <cellStyle name="메모 3 6 4 2" xfId="30039"/>
    <cellStyle name="메모 3 6 4 3" xfId="30040"/>
    <cellStyle name="메모 3 6 5" xfId="30041"/>
    <cellStyle name="메모 3 6 6" xfId="30042"/>
    <cellStyle name="메모 3 6 7" xfId="30043"/>
    <cellStyle name="메모 3 60" xfId="30044"/>
    <cellStyle name="메모 3 60 2" xfId="30045"/>
    <cellStyle name="메모 3 60 3" xfId="30046"/>
    <cellStyle name="메모 3 61" xfId="30047"/>
    <cellStyle name="메모 3 61 2" xfId="30048"/>
    <cellStyle name="메모 3 61 3" xfId="30049"/>
    <cellStyle name="메모 3 62" xfId="30050"/>
    <cellStyle name="메모 3 62 2" xfId="30051"/>
    <cellStyle name="메모 3 62 3" xfId="30052"/>
    <cellStyle name="메모 3 63" xfId="30053"/>
    <cellStyle name="메모 3 63 2" xfId="30054"/>
    <cellStyle name="메모 3 63 3" xfId="30055"/>
    <cellStyle name="메모 3 64" xfId="30056"/>
    <cellStyle name="메모 3 64 2" xfId="30057"/>
    <cellStyle name="메모 3 64 3" xfId="30058"/>
    <cellStyle name="메모 3 65" xfId="30059"/>
    <cellStyle name="메모 3 65 2" xfId="30060"/>
    <cellStyle name="메모 3 65 3" xfId="30061"/>
    <cellStyle name="메모 3 66" xfId="30062"/>
    <cellStyle name="메모 3 66 2" xfId="30063"/>
    <cellStyle name="메모 3 66 3" xfId="30064"/>
    <cellStyle name="메모 3 67" xfId="30065"/>
    <cellStyle name="메모 3 67 2" xfId="30066"/>
    <cellStyle name="메모 3 67 3" xfId="30067"/>
    <cellStyle name="메모 3 68" xfId="30068"/>
    <cellStyle name="메모 3 68 2" xfId="30069"/>
    <cellStyle name="메모 3 68 3" xfId="30070"/>
    <cellStyle name="메모 3 69" xfId="30071"/>
    <cellStyle name="메모 3 69 2" xfId="30072"/>
    <cellStyle name="메모 3 69 3" xfId="30073"/>
    <cellStyle name="메모 3 7" xfId="30074"/>
    <cellStyle name="메모 3 7 2" xfId="30075"/>
    <cellStyle name="메모 3 7 3" xfId="30076"/>
    <cellStyle name="메모 3 70" xfId="30077"/>
    <cellStyle name="메모 3 70 2" xfId="30078"/>
    <cellStyle name="메모 3 70 3" xfId="30079"/>
    <cellStyle name="메모 3 71" xfId="30080"/>
    <cellStyle name="메모 3 71 2" xfId="30081"/>
    <cellStyle name="메모 3 71 3" xfId="30082"/>
    <cellStyle name="메모 3 72" xfId="30083"/>
    <cellStyle name="메모 3 72 2" xfId="30084"/>
    <cellStyle name="메모 3 72 3" xfId="30085"/>
    <cellStyle name="메모 3 73" xfId="30086"/>
    <cellStyle name="메모 3 73 2" xfId="30087"/>
    <cellStyle name="메모 3 73 3" xfId="30088"/>
    <cellStyle name="메모 3 74" xfId="30089"/>
    <cellStyle name="메모 3 74 2" xfId="30090"/>
    <cellStyle name="메모 3 74 3" xfId="30091"/>
    <cellStyle name="메모 3 75" xfId="30092"/>
    <cellStyle name="메모 3 75 2" xfId="30093"/>
    <cellStyle name="메모 3 75 3" xfId="30094"/>
    <cellStyle name="메모 3 76" xfId="30095"/>
    <cellStyle name="메모 3 76 2" xfId="30096"/>
    <cellStyle name="메모 3 76 3" xfId="30097"/>
    <cellStyle name="메모 3 77" xfId="30098"/>
    <cellStyle name="메모 3 77 2" xfId="30099"/>
    <cellStyle name="메모 3 77 3" xfId="30100"/>
    <cellStyle name="메모 3 78" xfId="30101"/>
    <cellStyle name="메모 3 78 2" xfId="30102"/>
    <cellStyle name="메모 3 78 3" xfId="30103"/>
    <cellStyle name="메모 3 79" xfId="30104"/>
    <cellStyle name="메모 3 79 2" xfId="30105"/>
    <cellStyle name="메모 3 79 3" xfId="30106"/>
    <cellStyle name="메모 3 8" xfId="30107"/>
    <cellStyle name="메모 3 8 2" xfId="30108"/>
    <cellStyle name="메모 3 8 3" xfId="30109"/>
    <cellStyle name="메모 3 80" xfId="30110"/>
    <cellStyle name="메모 3 80 2" xfId="30111"/>
    <cellStyle name="메모 3 80 3" xfId="30112"/>
    <cellStyle name="메모 3 81" xfId="30113"/>
    <cellStyle name="메모 3 81 2" xfId="30114"/>
    <cellStyle name="메모 3 81 3" xfId="30115"/>
    <cellStyle name="메모 3 82" xfId="30116"/>
    <cellStyle name="메모 3 82 2" xfId="30117"/>
    <cellStyle name="메모 3 82 3" xfId="30118"/>
    <cellStyle name="메모 3 83" xfId="30119"/>
    <cellStyle name="메모 3 83 2" xfId="30120"/>
    <cellStyle name="메모 3 83 3" xfId="30121"/>
    <cellStyle name="메모 3 84" xfId="30122"/>
    <cellStyle name="메모 3 84 2" xfId="30123"/>
    <cellStyle name="메모 3 84 3" xfId="30124"/>
    <cellStyle name="메모 3 85" xfId="30125"/>
    <cellStyle name="메모 3 85 2" xfId="30126"/>
    <cellStyle name="메모 3 85 3" xfId="30127"/>
    <cellStyle name="메모 3 86" xfId="30128"/>
    <cellStyle name="메모 3 86 2" xfId="30129"/>
    <cellStyle name="메모 3 86 3" xfId="30130"/>
    <cellStyle name="메모 3 87" xfId="30131"/>
    <cellStyle name="메모 3 87 2" xfId="30132"/>
    <cellStyle name="메모 3 87 3" xfId="30133"/>
    <cellStyle name="메모 3 88" xfId="30134"/>
    <cellStyle name="메모 3 88 2" xfId="30135"/>
    <cellStyle name="메모 3 88 3" xfId="30136"/>
    <cellStyle name="메모 3 89" xfId="30137"/>
    <cellStyle name="메모 3 89 2" xfId="30138"/>
    <cellStyle name="메모 3 89 3" xfId="30139"/>
    <cellStyle name="메모 3 9" xfId="30140"/>
    <cellStyle name="메모 3 9 2" xfId="30141"/>
    <cellStyle name="메모 3 9 3" xfId="30142"/>
    <cellStyle name="메모 3 90" xfId="30143"/>
    <cellStyle name="메모 3 90 2" xfId="30144"/>
    <cellStyle name="메모 3 90 3" xfId="30145"/>
    <cellStyle name="메모 3 91" xfId="30146"/>
    <cellStyle name="메모 3 91 2" xfId="30147"/>
    <cellStyle name="메모 3 91 3" xfId="30148"/>
    <cellStyle name="메모 3 92" xfId="30149"/>
    <cellStyle name="메모 3 92 2" xfId="30150"/>
    <cellStyle name="메모 3 92 3" xfId="30151"/>
    <cellStyle name="메모 3 93" xfId="30152"/>
    <cellStyle name="메모 3 93 2" xfId="30153"/>
    <cellStyle name="메모 3 93 3" xfId="30154"/>
    <cellStyle name="메모 3 94" xfId="30155"/>
    <cellStyle name="메모 3 94 2" xfId="30156"/>
    <cellStyle name="메모 3 94 3" xfId="30157"/>
    <cellStyle name="메모 3 95" xfId="30158"/>
    <cellStyle name="메모 3 95 2" xfId="30159"/>
    <cellStyle name="메모 3 95 3" xfId="30160"/>
    <cellStyle name="메모 3 96" xfId="30161"/>
    <cellStyle name="메모 3 96 2" xfId="30162"/>
    <cellStyle name="메모 3 96 3" xfId="30163"/>
    <cellStyle name="메모 3 97" xfId="30164"/>
    <cellStyle name="메모 3 97 2" xfId="30165"/>
    <cellStyle name="메모 3 97 3" xfId="30166"/>
    <cellStyle name="메모 3 98" xfId="30167"/>
    <cellStyle name="메모 3 98 2" xfId="30168"/>
    <cellStyle name="메모 3 98 3" xfId="30169"/>
    <cellStyle name="메모 3 99" xfId="30170"/>
    <cellStyle name="메모 3 99 2" xfId="30171"/>
    <cellStyle name="메모 3 99 3" xfId="30172"/>
    <cellStyle name="메모 4" xfId="30173"/>
    <cellStyle name="메모 4 10" xfId="30174"/>
    <cellStyle name="메모 4 10 2" xfId="30175"/>
    <cellStyle name="메모 4 10 3" xfId="30176"/>
    <cellStyle name="메모 4 100" xfId="30177"/>
    <cellStyle name="메모 4 100 2" xfId="30178"/>
    <cellStyle name="메모 4 100 3" xfId="30179"/>
    <cellStyle name="메모 4 101" xfId="30180"/>
    <cellStyle name="메모 4 101 2" xfId="30181"/>
    <cellStyle name="메모 4 101 3" xfId="30182"/>
    <cellStyle name="메모 4 102" xfId="30183"/>
    <cellStyle name="메모 4 102 2" xfId="30184"/>
    <cellStyle name="메모 4 102 3" xfId="30185"/>
    <cellStyle name="메모 4 103" xfId="30186"/>
    <cellStyle name="메모 4 103 2" xfId="30187"/>
    <cellStyle name="메모 4 103 3" xfId="30188"/>
    <cellStyle name="메모 4 104" xfId="30189"/>
    <cellStyle name="메모 4 104 2" xfId="30190"/>
    <cellStyle name="메모 4 104 3" xfId="30191"/>
    <cellStyle name="메모 4 105" xfId="30192"/>
    <cellStyle name="메모 4 105 2" xfId="30193"/>
    <cellStyle name="메모 4 105 3" xfId="30194"/>
    <cellStyle name="메모 4 106" xfId="30195"/>
    <cellStyle name="메모 4 106 2" xfId="30196"/>
    <cellStyle name="메모 4 106 3" xfId="30197"/>
    <cellStyle name="메모 4 107" xfId="30198"/>
    <cellStyle name="메모 4 107 2" xfId="30199"/>
    <cellStyle name="메모 4 107 3" xfId="30200"/>
    <cellStyle name="메모 4 108" xfId="30201"/>
    <cellStyle name="메모 4 108 2" xfId="30202"/>
    <cellStyle name="메모 4 108 3" xfId="30203"/>
    <cellStyle name="메모 4 109" xfId="30204"/>
    <cellStyle name="메모 4 109 2" xfId="30205"/>
    <cellStyle name="메모 4 109 3" xfId="30206"/>
    <cellStyle name="메모 4 11" xfId="30207"/>
    <cellStyle name="메모 4 11 2" xfId="30208"/>
    <cellStyle name="메모 4 11 3" xfId="30209"/>
    <cellStyle name="메모 4 110" xfId="30210"/>
    <cellStyle name="메모 4 110 2" xfId="30211"/>
    <cellStyle name="메모 4 110 3" xfId="30212"/>
    <cellStyle name="메모 4 111" xfId="30213"/>
    <cellStyle name="메모 4 111 2" xfId="30214"/>
    <cellStyle name="메모 4 111 3" xfId="30215"/>
    <cellStyle name="메모 4 112" xfId="30216"/>
    <cellStyle name="메모 4 112 2" xfId="30217"/>
    <cellStyle name="메모 4 112 3" xfId="30218"/>
    <cellStyle name="메모 4 113" xfId="30219"/>
    <cellStyle name="메모 4 113 2" xfId="30220"/>
    <cellStyle name="메모 4 113 3" xfId="30221"/>
    <cellStyle name="메모 4 114" xfId="30222"/>
    <cellStyle name="메모 4 115" xfId="30223"/>
    <cellStyle name="메모 4 116" xfId="30224"/>
    <cellStyle name="메모 4 117" xfId="30225"/>
    <cellStyle name="메모 4 12" xfId="30226"/>
    <cellStyle name="메모 4 12 2" xfId="30227"/>
    <cellStyle name="메모 4 12 3" xfId="30228"/>
    <cellStyle name="메모 4 13" xfId="30229"/>
    <cellStyle name="메모 4 13 2" xfId="30230"/>
    <cellStyle name="메모 4 13 3" xfId="30231"/>
    <cellStyle name="메모 4 14" xfId="30232"/>
    <cellStyle name="메모 4 14 2" xfId="30233"/>
    <cellStyle name="메모 4 14 3" xfId="30234"/>
    <cellStyle name="메모 4 15" xfId="30235"/>
    <cellStyle name="메모 4 15 2" xfId="30236"/>
    <cellStyle name="메모 4 15 3" xfId="30237"/>
    <cellStyle name="메모 4 16" xfId="30238"/>
    <cellStyle name="메모 4 16 2" xfId="30239"/>
    <cellStyle name="메모 4 16 3" xfId="30240"/>
    <cellStyle name="메모 4 17" xfId="30241"/>
    <cellStyle name="메모 4 17 2" xfId="30242"/>
    <cellStyle name="메모 4 17 3" xfId="30243"/>
    <cellStyle name="메모 4 18" xfId="30244"/>
    <cellStyle name="메모 4 18 2" xfId="30245"/>
    <cellStyle name="메모 4 18 3" xfId="30246"/>
    <cellStyle name="메모 4 19" xfId="30247"/>
    <cellStyle name="메모 4 19 2" xfId="30248"/>
    <cellStyle name="메모 4 19 3" xfId="30249"/>
    <cellStyle name="메모 4 2" xfId="30250"/>
    <cellStyle name="메모 4 2 2" xfId="30251"/>
    <cellStyle name="메모 4 2 2 2" xfId="30252"/>
    <cellStyle name="메모 4 2 2 3" xfId="30253"/>
    <cellStyle name="메모 4 2 2 4" xfId="30254"/>
    <cellStyle name="메모 4 2 3" xfId="30255"/>
    <cellStyle name="메모 4 2 3 2" xfId="30256"/>
    <cellStyle name="메모 4 2 3 3" xfId="30257"/>
    <cellStyle name="메모 4 2 4" xfId="30258"/>
    <cellStyle name="메모 4 2 5" xfId="30259"/>
    <cellStyle name="메모 4 2 6" xfId="30260"/>
    <cellStyle name="메모 4 2 7" xfId="30261"/>
    <cellStyle name="메모 4 20" xfId="30262"/>
    <cellStyle name="메모 4 20 2" xfId="30263"/>
    <cellStyle name="메모 4 20 3" xfId="30264"/>
    <cellStyle name="메모 4 21" xfId="30265"/>
    <cellStyle name="메모 4 21 2" xfId="30266"/>
    <cellStyle name="메모 4 21 3" xfId="30267"/>
    <cellStyle name="메모 4 22" xfId="30268"/>
    <cellStyle name="메모 4 22 2" xfId="30269"/>
    <cellStyle name="메모 4 22 3" xfId="30270"/>
    <cellStyle name="메모 4 23" xfId="30271"/>
    <cellStyle name="메모 4 23 2" xfId="30272"/>
    <cellStyle name="메모 4 23 3" xfId="30273"/>
    <cellStyle name="메모 4 24" xfId="30274"/>
    <cellStyle name="메모 4 24 2" xfId="30275"/>
    <cellStyle name="메모 4 24 3" xfId="30276"/>
    <cellStyle name="메모 4 25" xfId="30277"/>
    <cellStyle name="메모 4 25 2" xfId="30278"/>
    <cellStyle name="메모 4 25 3" xfId="30279"/>
    <cellStyle name="메모 4 26" xfId="30280"/>
    <cellStyle name="메모 4 26 2" xfId="30281"/>
    <cellStyle name="메모 4 26 3" xfId="30282"/>
    <cellStyle name="메모 4 27" xfId="30283"/>
    <cellStyle name="메모 4 27 2" xfId="30284"/>
    <cellStyle name="메모 4 27 3" xfId="30285"/>
    <cellStyle name="메모 4 28" xfId="30286"/>
    <cellStyle name="메모 4 28 2" xfId="30287"/>
    <cellStyle name="메모 4 28 3" xfId="30288"/>
    <cellStyle name="메모 4 29" xfId="30289"/>
    <cellStyle name="메모 4 29 2" xfId="30290"/>
    <cellStyle name="메모 4 29 3" xfId="30291"/>
    <cellStyle name="메모 4 3" xfId="30292"/>
    <cellStyle name="메모 4 3 2" xfId="30293"/>
    <cellStyle name="메모 4 3 2 2" xfId="30294"/>
    <cellStyle name="메모 4 3 2 3" xfId="30295"/>
    <cellStyle name="메모 4 3 3" xfId="30296"/>
    <cellStyle name="메모 4 3 4" xfId="30297"/>
    <cellStyle name="메모 4 3 5" xfId="30298"/>
    <cellStyle name="메모 4 3 6" xfId="30299"/>
    <cellStyle name="메모 4 30" xfId="30300"/>
    <cellStyle name="메모 4 30 2" xfId="30301"/>
    <cellStyle name="메모 4 30 3" xfId="30302"/>
    <cellStyle name="메모 4 31" xfId="30303"/>
    <cellStyle name="메모 4 31 2" xfId="30304"/>
    <cellStyle name="메모 4 31 3" xfId="30305"/>
    <cellStyle name="메모 4 32" xfId="30306"/>
    <cellStyle name="메모 4 32 2" xfId="30307"/>
    <cellStyle name="메모 4 32 3" xfId="30308"/>
    <cellStyle name="메모 4 33" xfId="30309"/>
    <cellStyle name="메모 4 33 2" xfId="30310"/>
    <cellStyle name="메모 4 33 3" xfId="30311"/>
    <cellStyle name="메모 4 34" xfId="30312"/>
    <cellStyle name="메모 4 34 2" xfId="30313"/>
    <cellStyle name="메모 4 34 3" xfId="30314"/>
    <cellStyle name="메모 4 35" xfId="30315"/>
    <cellStyle name="메모 4 35 2" xfId="30316"/>
    <cellStyle name="메모 4 35 3" xfId="30317"/>
    <cellStyle name="메모 4 36" xfId="30318"/>
    <cellStyle name="메모 4 36 2" xfId="30319"/>
    <cellStyle name="메모 4 36 3" xfId="30320"/>
    <cellStyle name="메모 4 37" xfId="30321"/>
    <cellStyle name="메모 4 37 2" xfId="30322"/>
    <cellStyle name="메모 4 37 3" xfId="30323"/>
    <cellStyle name="메모 4 38" xfId="30324"/>
    <cellStyle name="메모 4 38 2" xfId="30325"/>
    <cellStyle name="메모 4 38 3" xfId="30326"/>
    <cellStyle name="메모 4 39" xfId="30327"/>
    <cellStyle name="메모 4 39 2" xfId="30328"/>
    <cellStyle name="메모 4 39 3" xfId="30329"/>
    <cellStyle name="메모 4 4" xfId="30330"/>
    <cellStyle name="메모 4 4 2" xfId="30331"/>
    <cellStyle name="메모 4 4 3" xfId="30332"/>
    <cellStyle name="메모 4 40" xfId="30333"/>
    <cellStyle name="메모 4 40 2" xfId="30334"/>
    <cellStyle name="메모 4 40 3" xfId="30335"/>
    <cellStyle name="메모 4 41" xfId="30336"/>
    <cellStyle name="메모 4 41 2" xfId="30337"/>
    <cellStyle name="메모 4 41 3" xfId="30338"/>
    <cellStyle name="메모 4 42" xfId="30339"/>
    <cellStyle name="메모 4 42 2" xfId="30340"/>
    <cellStyle name="메모 4 42 3" xfId="30341"/>
    <cellStyle name="메모 4 43" xfId="30342"/>
    <cellStyle name="메모 4 43 2" xfId="30343"/>
    <cellStyle name="메모 4 43 3" xfId="30344"/>
    <cellStyle name="메모 4 44" xfId="30345"/>
    <cellStyle name="메모 4 44 2" xfId="30346"/>
    <cellStyle name="메모 4 44 3" xfId="30347"/>
    <cellStyle name="메모 4 45" xfId="30348"/>
    <cellStyle name="메모 4 45 2" xfId="30349"/>
    <cellStyle name="메모 4 45 3" xfId="30350"/>
    <cellStyle name="메모 4 46" xfId="30351"/>
    <cellStyle name="메모 4 46 2" xfId="30352"/>
    <cellStyle name="메모 4 46 3" xfId="30353"/>
    <cellStyle name="메모 4 47" xfId="30354"/>
    <cellStyle name="메모 4 47 2" xfId="30355"/>
    <cellStyle name="메모 4 47 3" xfId="30356"/>
    <cellStyle name="메모 4 48" xfId="30357"/>
    <cellStyle name="메모 4 48 2" xfId="30358"/>
    <cellStyle name="메모 4 48 3" xfId="30359"/>
    <cellStyle name="메모 4 49" xfId="30360"/>
    <cellStyle name="메모 4 49 2" xfId="30361"/>
    <cellStyle name="메모 4 49 3" xfId="30362"/>
    <cellStyle name="메모 4 5" xfId="30363"/>
    <cellStyle name="메모 4 5 2" xfId="30364"/>
    <cellStyle name="메모 4 5 3" xfId="30365"/>
    <cellStyle name="메모 4 50" xfId="30366"/>
    <cellStyle name="메모 4 50 2" xfId="30367"/>
    <cellStyle name="메모 4 50 3" xfId="30368"/>
    <cellStyle name="메모 4 51" xfId="30369"/>
    <cellStyle name="메모 4 51 2" xfId="30370"/>
    <cellStyle name="메모 4 51 3" xfId="30371"/>
    <cellStyle name="메모 4 52" xfId="30372"/>
    <cellStyle name="메모 4 52 2" xfId="30373"/>
    <cellStyle name="메모 4 52 3" xfId="30374"/>
    <cellStyle name="메모 4 53" xfId="30375"/>
    <cellStyle name="메모 4 53 2" xfId="30376"/>
    <cellStyle name="메모 4 53 3" xfId="30377"/>
    <cellStyle name="메모 4 54" xfId="30378"/>
    <cellStyle name="메모 4 54 2" xfId="30379"/>
    <cellStyle name="메모 4 54 3" xfId="30380"/>
    <cellStyle name="메모 4 55" xfId="30381"/>
    <cellStyle name="메모 4 55 2" xfId="30382"/>
    <cellStyle name="메모 4 55 3" xfId="30383"/>
    <cellStyle name="메모 4 56" xfId="30384"/>
    <cellStyle name="메모 4 56 2" xfId="30385"/>
    <cellStyle name="메모 4 56 3" xfId="30386"/>
    <cellStyle name="메모 4 57" xfId="30387"/>
    <cellStyle name="메모 4 57 2" xfId="30388"/>
    <cellStyle name="메모 4 57 3" xfId="30389"/>
    <cellStyle name="메모 4 58" xfId="30390"/>
    <cellStyle name="메모 4 58 2" xfId="30391"/>
    <cellStyle name="메모 4 58 3" xfId="30392"/>
    <cellStyle name="메모 4 59" xfId="30393"/>
    <cellStyle name="메모 4 59 2" xfId="30394"/>
    <cellStyle name="메모 4 59 3" xfId="30395"/>
    <cellStyle name="메모 4 6" xfId="30396"/>
    <cellStyle name="메모 4 6 2" xfId="30397"/>
    <cellStyle name="메모 4 6 3" xfId="30398"/>
    <cellStyle name="메모 4 60" xfId="30399"/>
    <cellStyle name="메모 4 60 2" xfId="30400"/>
    <cellStyle name="메모 4 60 3" xfId="30401"/>
    <cellStyle name="메모 4 61" xfId="30402"/>
    <cellStyle name="메모 4 61 2" xfId="30403"/>
    <cellStyle name="메모 4 61 3" xfId="30404"/>
    <cellStyle name="메모 4 62" xfId="30405"/>
    <cellStyle name="메모 4 62 2" xfId="30406"/>
    <cellStyle name="메모 4 62 3" xfId="30407"/>
    <cellStyle name="메모 4 63" xfId="30408"/>
    <cellStyle name="메모 4 63 2" xfId="30409"/>
    <cellStyle name="메모 4 63 3" xfId="30410"/>
    <cellStyle name="메모 4 64" xfId="30411"/>
    <cellStyle name="메모 4 64 2" xfId="30412"/>
    <cellStyle name="메모 4 64 3" xfId="30413"/>
    <cellStyle name="메모 4 65" xfId="30414"/>
    <cellStyle name="메모 4 65 2" xfId="30415"/>
    <cellStyle name="메모 4 65 3" xfId="30416"/>
    <cellStyle name="메모 4 66" xfId="30417"/>
    <cellStyle name="메모 4 66 2" xfId="30418"/>
    <cellStyle name="메모 4 66 3" xfId="30419"/>
    <cellStyle name="메모 4 67" xfId="30420"/>
    <cellStyle name="메모 4 67 2" xfId="30421"/>
    <cellStyle name="메모 4 67 3" xfId="30422"/>
    <cellStyle name="메모 4 68" xfId="30423"/>
    <cellStyle name="메모 4 68 2" xfId="30424"/>
    <cellStyle name="메모 4 68 3" xfId="30425"/>
    <cellStyle name="메모 4 69" xfId="30426"/>
    <cellStyle name="메모 4 69 2" xfId="30427"/>
    <cellStyle name="메모 4 69 3" xfId="30428"/>
    <cellStyle name="메모 4 7" xfId="30429"/>
    <cellStyle name="메모 4 7 2" xfId="30430"/>
    <cellStyle name="메모 4 7 3" xfId="30431"/>
    <cellStyle name="메모 4 70" xfId="30432"/>
    <cellStyle name="메모 4 70 2" xfId="30433"/>
    <cellStyle name="메모 4 70 3" xfId="30434"/>
    <cellStyle name="메모 4 71" xfId="30435"/>
    <cellStyle name="메모 4 71 2" xfId="30436"/>
    <cellStyle name="메모 4 71 3" xfId="30437"/>
    <cellStyle name="메모 4 72" xfId="30438"/>
    <cellStyle name="메모 4 72 2" xfId="30439"/>
    <cellStyle name="메모 4 72 3" xfId="30440"/>
    <cellStyle name="메모 4 73" xfId="30441"/>
    <cellStyle name="메모 4 73 2" xfId="30442"/>
    <cellStyle name="메모 4 73 3" xfId="30443"/>
    <cellStyle name="메모 4 74" xfId="30444"/>
    <cellStyle name="메모 4 74 2" xfId="30445"/>
    <cellStyle name="메모 4 74 3" xfId="30446"/>
    <cellStyle name="메모 4 75" xfId="30447"/>
    <cellStyle name="메모 4 75 2" xfId="30448"/>
    <cellStyle name="메모 4 75 3" xfId="30449"/>
    <cellStyle name="메모 4 76" xfId="30450"/>
    <cellStyle name="메모 4 76 2" xfId="30451"/>
    <cellStyle name="메모 4 76 3" xfId="30452"/>
    <cellStyle name="메모 4 77" xfId="30453"/>
    <cellStyle name="메모 4 77 2" xfId="30454"/>
    <cellStyle name="메모 4 77 3" xfId="30455"/>
    <cellStyle name="메모 4 78" xfId="30456"/>
    <cellStyle name="메모 4 78 2" xfId="30457"/>
    <cellStyle name="메모 4 78 3" xfId="30458"/>
    <cellStyle name="메모 4 79" xfId="30459"/>
    <cellStyle name="메모 4 79 2" xfId="30460"/>
    <cellStyle name="메모 4 79 3" xfId="30461"/>
    <cellStyle name="메모 4 8" xfId="30462"/>
    <cellStyle name="메모 4 8 2" xfId="30463"/>
    <cellStyle name="메모 4 8 3" xfId="30464"/>
    <cellStyle name="메모 4 80" xfId="30465"/>
    <cellStyle name="메모 4 80 2" xfId="30466"/>
    <cellStyle name="메모 4 80 3" xfId="30467"/>
    <cellStyle name="메모 4 81" xfId="30468"/>
    <cellStyle name="메모 4 81 2" xfId="30469"/>
    <cellStyle name="메모 4 81 3" xfId="30470"/>
    <cellStyle name="메모 4 82" xfId="30471"/>
    <cellStyle name="메모 4 82 2" xfId="30472"/>
    <cellStyle name="메모 4 82 3" xfId="30473"/>
    <cellStyle name="메모 4 83" xfId="30474"/>
    <cellStyle name="메모 4 83 2" xfId="30475"/>
    <cellStyle name="메모 4 83 3" xfId="30476"/>
    <cellStyle name="메모 4 84" xfId="30477"/>
    <cellStyle name="메모 4 84 2" xfId="30478"/>
    <cellStyle name="메모 4 84 3" xfId="30479"/>
    <cellStyle name="메모 4 85" xfId="30480"/>
    <cellStyle name="메모 4 85 2" xfId="30481"/>
    <cellStyle name="메모 4 85 3" xfId="30482"/>
    <cellStyle name="메모 4 86" xfId="30483"/>
    <cellStyle name="메모 4 86 2" xfId="30484"/>
    <cellStyle name="메모 4 86 3" xfId="30485"/>
    <cellStyle name="메모 4 87" xfId="30486"/>
    <cellStyle name="메모 4 87 2" xfId="30487"/>
    <cellStyle name="메모 4 87 3" xfId="30488"/>
    <cellStyle name="메모 4 88" xfId="30489"/>
    <cellStyle name="메모 4 88 2" xfId="30490"/>
    <cellStyle name="메모 4 88 3" xfId="30491"/>
    <cellStyle name="메모 4 89" xfId="30492"/>
    <cellStyle name="메모 4 89 2" xfId="30493"/>
    <cellStyle name="메모 4 89 3" xfId="30494"/>
    <cellStyle name="메모 4 9" xfId="30495"/>
    <cellStyle name="메모 4 9 2" xfId="30496"/>
    <cellStyle name="메모 4 9 3" xfId="30497"/>
    <cellStyle name="메모 4 90" xfId="30498"/>
    <cellStyle name="메모 4 90 2" xfId="30499"/>
    <cellStyle name="메모 4 90 3" xfId="30500"/>
    <cellStyle name="메모 4 91" xfId="30501"/>
    <cellStyle name="메모 4 91 2" xfId="30502"/>
    <cellStyle name="메모 4 91 3" xfId="30503"/>
    <cellStyle name="메모 4 92" xfId="30504"/>
    <cellStyle name="메모 4 92 2" xfId="30505"/>
    <cellStyle name="메모 4 92 3" xfId="30506"/>
    <cellStyle name="메모 4 93" xfId="30507"/>
    <cellStyle name="메모 4 93 2" xfId="30508"/>
    <cellStyle name="메모 4 93 3" xfId="30509"/>
    <cellStyle name="메모 4 94" xfId="30510"/>
    <cellStyle name="메모 4 94 2" xfId="30511"/>
    <cellStyle name="메모 4 94 3" xfId="30512"/>
    <cellStyle name="메모 4 95" xfId="30513"/>
    <cellStyle name="메모 4 95 2" xfId="30514"/>
    <cellStyle name="메모 4 95 3" xfId="30515"/>
    <cellStyle name="메모 4 96" xfId="30516"/>
    <cellStyle name="메모 4 96 2" xfId="30517"/>
    <cellStyle name="메모 4 96 3" xfId="30518"/>
    <cellStyle name="메모 4 97" xfId="30519"/>
    <cellStyle name="메모 4 97 2" xfId="30520"/>
    <cellStyle name="메모 4 97 3" xfId="30521"/>
    <cellStyle name="메모 4 98" xfId="30522"/>
    <cellStyle name="메모 4 98 2" xfId="30523"/>
    <cellStyle name="메모 4 98 3" xfId="30524"/>
    <cellStyle name="메모 4 99" xfId="30525"/>
    <cellStyle name="메모 4 99 2" xfId="30526"/>
    <cellStyle name="메모 4 99 3" xfId="30527"/>
    <cellStyle name="메모 5" xfId="30528"/>
    <cellStyle name="메모 5 10" xfId="30529"/>
    <cellStyle name="메모 5 10 2" xfId="30530"/>
    <cellStyle name="메모 5 10 3" xfId="30531"/>
    <cellStyle name="메모 5 100" xfId="30532"/>
    <cellStyle name="메모 5 100 2" xfId="30533"/>
    <cellStyle name="메모 5 100 3" xfId="30534"/>
    <cellStyle name="메모 5 101" xfId="30535"/>
    <cellStyle name="메모 5 101 2" xfId="30536"/>
    <cellStyle name="메모 5 101 3" xfId="30537"/>
    <cellStyle name="메모 5 102" xfId="30538"/>
    <cellStyle name="메모 5 102 2" xfId="30539"/>
    <cellStyle name="메모 5 102 3" xfId="30540"/>
    <cellStyle name="메모 5 103" xfId="30541"/>
    <cellStyle name="메모 5 103 2" xfId="30542"/>
    <cellStyle name="메모 5 103 3" xfId="30543"/>
    <cellStyle name="메모 5 104" xfId="30544"/>
    <cellStyle name="메모 5 104 2" xfId="30545"/>
    <cellStyle name="메모 5 104 3" xfId="30546"/>
    <cellStyle name="메모 5 105" xfId="30547"/>
    <cellStyle name="메모 5 105 2" xfId="30548"/>
    <cellStyle name="메모 5 105 3" xfId="30549"/>
    <cellStyle name="메모 5 106" xfId="30550"/>
    <cellStyle name="메모 5 106 2" xfId="30551"/>
    <cellStyle name="메모 5 106 3" xfId="30552"/>
    <cellStyle name="메모 5 107" xfId="30553"/>
    <cellStyle name="메모 5 107 2" xfId="30554"/>
    <cellStyle name="메모 5 107 3" xfId="30555"/>
    <cellStyle name="메모 5 108" xfId="30556"/>
    <cellStyle name="메모 5 108 2" xfId="30557"/>
    <cellStyle name="메모 5 108 3" xfId="30558"/>
    <cellStyle name="메모 5 109" xfId="30559"/>
    <cellStyle name="메모 5 109 2" xfId="30560"/>
    <cellStyle name="메모 5 109 3" xfId="30561"/>
    <cellStyle name="메모 5 11" xfId="30562"/>
    <cellStyle name="메모 5 11 2" xfId="30563"/>
    <cellStyle name="메모 5 11 3" xfId="30564"/>
    <cellStyle name="메모 5 110" xfId="30565"/>
    <cellStyle name="메모 5 110 2" xfId="30566"/>
    <cellStyle name="메모 5 110 3" xfId="30567"/>
    <cellStyle name="메모 5 111" xfId="30568"/>
    <cellStyle name="메모 5 111 2" xfId="30569"/>
    <cellStyle name="메모 5 111 3" xfId="30570"/>
    <cellStyle name="메모 5 112" xfId="30571"/>
    <cellStyle name="메모 5 112 2" xfId="30572"/>
    <cellStyle name="메모 5 112 3" xfId="30573"/>
    <cellStyle name="메모 5 113" xfId="30574"/>
    <cellStyle name="메모 5 113 2" xfId="30575"/>
    <cellStyle name="메모 5 113 3" xfId="30576"/>
    <cellStyle name="메모 5 114" xfId="30577"/>
    <cellStyle name="메모 5 115" xfId="30578"/>
    <cellStyle name="메모 5 116" xfId="30579"/>
    <cellStyle name="메모 5 117" xfId="30580"/>
    <cellStyle name="메모 5 12" xfId="30581"/>
    <cellStyle name="메모 5 12 2" xfId="30582"/>
    <cellStyle name="메모 5 12 3" xfId="30583"/>
    <cellStyle name="메모 5 13" xfId="30584"/>
    <cellStyle name="메모 5 13 2" xfId="30585"/>
    <cellStyle name="메모 5 13 3" xfId="30586"/>
    <cellStyle name="메모 5 14" xfId="30587"/>
    <cellStyle name="메모 5 14 2" xfId="30588"/>
    <cellStyle name="메모 5 14 3" xfId="30589"/>
    <cellStyle name="메모 5 15" xfId="30590"/>
    <cellStyle name="메모 5 15 2" xfId="30591"/>
    <cellStyle name="메모 5 15 3" xfId="30592"/>
    <cellStyle name="메모 5 16" xfId="30593"/>
    <cellStyle name="메모 5 16 2" xfId="30594"/>
    <cellStyle name="메모 5 16 3" xfId="30595"/>
    <cellStyle name="메모 5 17" xfId="30596"/>
    <cellStyle name="메모 5 17 2" xfId="30597"/>
    <cellStyle name="메모 5 17 3" xfId="30598"/>
    <cellStyle name="메모 5 18" xfId="30599"/>
    <cellStyle name="메모 5 18 2" xfId="30600"/>
    <cellStyle name="메모 5 18 3" xfId="30601"/>
    <cellStyle name="메모 5 19" xfId="30602"/>
    <cellStyle name="메모 5 19 2" xfId="30603"/>
    <cellStyle name="메모 5 19 3" xfId="30604"/>
    <cellStyle name="메모 5 2" xfId="30605"/>
    <cellStyle name="메모 5 2 2" xfId="30606"/>
    <cellStyle name="메모 5 2 2 2" xfId="30607"/>
    <cellStyle name="메모 5 2 2 3" xfId="30608"/>
    <cellStyle name="메모 5 2 2 4" xfId="30609"/>
    <cellStyle name="메모 5 2 3" xfId="30610"/>
    <cellStyle name="메모 5 2 3 2" xfId="30611"/>
    <cellStyle name="메모 5 2 3 3" xfId="30612"/>
    <cellStyle name="메모 5 2 4" xfId="30613"/>
    <cellStyle name="메모 5 2 5" xfId="30614"/>
    <cellStyle name="메모 5 2 6" xfId="30615"/>
    <cellStyle name="메모 5 2 7" xfId="30616"/>
    <cellStyle name="메모 5 20" xfId="30617"/>
    <cellStyle name="메모 5 20 2" xfId="30618"/>
    <cellStyle name="메모 5 20 3" xfId="30619"/>
    <cellStyle name="메모 5 21" xfId="30620"/>
    <cellStyle name="메모 5 21 2" xfId="30621"/>
    <cellStyle name="메모 5 21 3" xfId="30622"/>
    <cellStyle name="메모 5 22" xfId="30623"/>
    <cellStyle name="메모 5 22 2" xfId="30624"/>
    <cellStyle name="메모 5 22 3" xfId="30625"/>
    <cellStyle name="메모 5 23" xfId="30626"/>
    <cellStyle name="메모 5 23 2" xfId="30627"/>
    <cellStyle name="메모 5 23 3" xfId="30628"/>
    <cellStyle name="메모 5 24" xfId="30629"/>
    <cellStyle name="메모 5 24 2" xfId="30630"/>
    <cellStyle name="메모 5 24 3" xfId="30631"/>
    <cellStyle name="메모 5 25" xfId="30632"/>
    <cellStyle name="메모 5 25 2" xfId="30633"/>
    <cellStyle name="메모 5 25 3" xfId="30634"/>
    <cellStyle name="메모 5 26" xfId="30635"/>
    <cellStyle name="메모 5 26 2" xfId="30636"/>
    <cellStyle name="메모 5 26 3" xfId="30637"/>
    <cellStyle name="메모 5 27" xfId="30638"/>
    <cellStyle name="메모 5 27 2" xfId="30639"/>
    <cellStyle name="메모 5 27 3" xfId="30640"/>
    <cellStyle name="메모 5 28" xfId="30641"/>
    <cellStyle name="메모 5 28 2" xfId="30642"/>
    <cellStyle name="메모 5 28 3" xfId="30643"/>
    <cellStyle name="메모 5 29" xfId="30644"/>
    <cellStyle name="메모 5 29 2" xfId="30645"/>
    <cellStyle name="메모 5 29 3" xfId="30646"/>
    <cellStyle name="메모 5 3" xfId="30647"/>
    <cellStyle name="메모 5 3 2" xfId="30648"/>
    <cellStyle name="메모 5 3 2 2" xfId="30649"/>
    <cellStyle name="메모 5 3 2 3" xfId="30650"/>
    <cellStyle name="메모 5 3 3" xfId="30651"/>
    <cellStyle name="메모 5 3 4" xfId="30652"/>
    <cellStyle name="메모 5 3 5" xfId="30653"/>
    <cellStyle name="메모 5 3 6" xfId="30654"/>
    <cellStyle name="메모 5 30" xfId="30655"/>
    <cellStyle name="메모 5 30 2" xfId="30656"/>
    <cellStyle name="메모 5 30 3" xfId="30657"/>
    <cellStyle name="메모 5 31" xfId="30658"/>
    <cellStyle name="메모 5 31 2" xfId="30659"/>
    <cellStyle name="메모 5 31 3" xfId="30660"/>
    <cellStyle name="메모 5 32" xfId="30661"/>
    <cellStyle name="메모 5 32 2" xfId="30662"/>
    <cellStyle name="메모 5 32 3" xfId="30663"/>
    <cellStyle name="메모 5 33" xfId="30664"/>
    <cellStyle name="메모 5 33 2" xfId="30665"/>
    <cellStyle name="메모 5 33 3" xfId="30666"/>
    <cellStyle name="메모 5 34" xfId="30667"/>
    <cellStyle name="메모 5 34 2" xfId="30668"/>
    <cellStyle name="메모 5 34 3" xfId="30669"/>
    <cellStyle name="메모 5 35" xfId="30670"/>
    <cellStyle name="메모 5 35 2" xfId="30671"/>
    <cellStyle name="메모 5 35 3" xfId="30672"/>
    <cellStyle name="메모 5 36" xfId="30673"/>
    <cellStyle name="메모 5 36 2" xfId="30674"/>
    <cellStyle name="메모 5 36 3" xfId="30675"/>
    <cellStyle name="메모 5 37" xfId="30676"/>
    <cellStyle name="메모 5 37 2" xfId="30677"/>
    <cellStyle name="메모 5 37 3" xfId="30678"/>
    <cellStyle name="메모 5 38" xfId="30679"/>
    <cellStyle name="메모 5 38 2" xfId="30680"/>
    <cellStyle name="메모 5 38 3" xfId="30681"/>
    <cellStyle name="메모 5 39" xfId="30682"/>
    <cellStyle name="메모 5 39 2" xfId="30683"/>
    <cellStyle name="메모 5 39 3" xfId="30684"/>
    <cellStyle name="메모 5 4" xfId="30685"/>
    <cellStyle name="메모 5 4 2" xfId="30686"/>
    <cellStyle name="메모 5 4 3" xfId="30687"/>
    <cellStyle name="메모 5 40" xfId="30688"/>
    <cellStyle name="메모 5 40 2" xfId="30689"/>
    <cellStyle name="메모 5 40 3" xfId="30690"/>
    <cellStyle name="메모 5 41" xfId="30691"/>
    <cellStyle name="메모 5 41 2" xfId="30692"/>
    <cellStyle name="메모 5 41 3" xfId="30693"/>
    <cellStyle name="메모 5 42" xfId="30694"/>
    <cellStyle name="메모 5 42 2" xfId="30695"/>
    <cellStyle name="메모 5 42 3" xfId="30696"/>
    <cellStyle name="메모 5 43" xfId="30697"/>
    <cellStyle name="메모 5 43 2" xfId="30698"/>
    <cellStyle name="메모 5 43 3" xfId="30699"/>
    <cellStyle name="메모 5 44" xfId="30700"/>
    <cellStyle name="메모 5 44 2" xfId="30701"/>
    <cellStyle name="메모 5 44 3" xfId="30702"/>
    <cellStyle name="메모 5 45" xfId="30703"/>
    <cellStyle name="메모 5 45 2" xfId="30704"/>
    <cellStyle name="메모 5 45 3" xfId="30705"/>
    <cellStyle name="메모 5 46" xfId="30706"/>
    <cellStyle name="메모 5 46 2" xfId="30707"/>
    <cellStyle name="메모 5 46 3" xfId="30708"/>
    <cellStyle name="메모 5 47" xfId="30709"/>
    <cellStyle name="메모 5 47 2" xfId="30710"/>
    <cellStyle name="메모 5 47 3" xfId="30711"/>
    <cellStyle name="메모 5 48" xfId="30712"/>
    <cellStyle name="메모 5 48 2" xfId="30713"/>
    <cellStyle name="메모 5 48 3" xfId="30714"/>
    <cellStyle name="메모 5 49" xfId="30715"/>
    <cellStyle name="메모 5 49 2" xfId="30716"/>
    <cellStyle name="메모 5 49 3" xfId="30717"/>
    <cellStyle name="메모 5 5" xfId="30718"/>
    <cellStyle name="메모 5 5 2" xfId="30719"/>
    <cellStyle name="메모 5 5 3" xfId="30720"/>
    <cellStyle name="메모 5 50" xfId="30721"/>
    <cellStyle name="메모 5 50 2" xfId="30722"/>
    <cellStyle name="메모 5 50 3" xfId="30723"/>
    <cellStyle name="메모 5 51" xfId="30724"/>
    <cellStyle name="메모 5 51 2" xfId="30725"/>
    <cellStyle name="메모 5 51 3" xfId="30726"/>
    <cellStyle name="메모 5 52" xfId="30727"/>
    <cellStyle name="메모 5 52 2" xfId="30728"/>
    <cellStyle name="메모 5 52 3" xfId="30729"/>
    <cellStyle name="메모 5 53" xfId="30730"/>
    <cellStyle name="메모 5 53 2" xfId="30731"/>
    <cellStyle name="메모 5 53 3" xfId="30732"/>
    <cellStyle name="메모 5 54" xfId="30733"/>
    <cellStyle name="메모 5 54 2" xfId="30734"/>
    <cellStyle name="메모 5 54 3" xfId="30735"/>
    <cellStyle name="메모 5 55" xfId="30736"/>
    <cellStyle name="메모 5 55 2" xfId="30737"/>
    <cellStyle name="메모 5 55 3" xfId="30738"/>
    <cellStyle name="메모 5 56" xfId="30739"/>
    <cellStyle name="메모 5 56 2" xfId="30740"/>
    <cellStyle name="메모 5 56 3" xfId="30741"/>
    <cellStyle name="메모 5 57" xfId="30742"/>
    <cellStyle name="메모 5 57 2" xfId="30743"/>
    <cellStyle name="메모 5 57 3" xfId="30744"/>
    <cellStyle name="메모 5 58" xfId="30745"/>
    <cellStyle name="메모 5 58 2" xfId="30746"/>
    <cellStyle name="메모 5 58 3" xfId="30747"/>
    <cellStyle name="메모 5 59" xfId="30748"/>
    <cellStyle name="메모 5 59 2" xfId="30749"/>
    <cellStyle name="메모 5 59 3" xfId="30750"/>
    <cellStyle name="메모 5 6" xfId="30751"/>
    <cellStyle name="메모 5 6 2" xfId="30752"/>
    <cellStyle name="메모 5 6 3" xfId="30753"/>
    <cellStyle name="메모 5 60" xfId="30754"/>
    <cellStyle name="메모 5 60 2" xfId="30755"/>
    <cellStyle name="메모 5 60 3" xfId="30756"/>
    <cellStyle name="메모 5 61" xfId="30757"/>
    <cellStyle name="메모 5 61 2" xfId="30758"/>
    <cellStyle name="메모 5 61 3" xfId="30759"/>
    <cellStyle name="메모 5 62" xfId="30760"/>
    <cellStyle name="메모 5 62 2" xfId="30761"/>
    <cellStyle name="메모 5 62 3" xfId="30762"/>
    <cellStyle name="메모 5 63" xfId="30763"/>
    <cellStyle name="메모 5 63 2" xfId="30764"/>
    <cellStyle name="메모 5 63 3" xfId="30765"/>
    <cellStyle name="메모 5 64" xfId="30766"/>
    <cellStyle name="메모 5 64 2" xfId="30767"/>
    <cellStyle name="메모 5 64 3" xfId="30768"/>
    <cellStyle name="메모 5 65" xfId="30769"/>
    <cellStyle name="메모 5 65 2" xfId="30770"/>
    <cellStyle name="메모 5 65 3" xfId="30771"/>
    <cellStyle name="메모 5 66" xfId="30772"/>
    <cellStyle name="메모 5 66 2" xfId="30773"/>
    <cellStyle name="메모 5 66 3" xfId="30774"/>
    <cellStyle name="메모 5 67" xfId="30775"/>
    <cellStyle name="메모 5 67 2" xfId="30776"/>
    <cellStyle name="메모 5 67 3" xfId="30777"/>
    <cellStyle name="메모 5 68" xfId="30778"/>
    <cellStyle name="메모 5 68 2" xfId="30779"/>
    <cellStyle name="메모 5 68 3" xfId="30780"/>
    <cellStyle name="메모 5 69" xfId="30781"/>
    <cellStyle name="메모 5 69 2" xfId="30782"/>
    <cellStyle name="메모 5 69 3" xfId="30783"/>
    <cellStyle name="메모 5 7" xfId="30784"/>
    <cellStyle name="메모 5 7 2" xfId="30785"/>
    <cellStyle name="메모 5 7 3" xfId="30786"/>
    <cellStyle name="메모 5 70" xfId="30787"/>
    <cellStyle name="메모 5 70 2" xfId="30788"/>
    <cellStyle name="메모 5 70 3" xfId="30789"/>
    <cellStyle name="메모 5 71" xfId="30790"/>
    <cellStyle name="메모 5 71 2" xfId="30791"/>
    <cellStyle name="메모 5 71 3" xfId="30792"/>
    <cellStyle name="메모 5 72" xfId="30793"/>
    <cellStyle name="메모 5 72 2" xfId="30794"/>
    <cellStyle name="메모 5 72 3" xfId="30795"/>
    <cellStyle name="메모 5 73" xfId="30796"/>
    <cellStyle name="메모 5 73 2" xfId="30797"/>
    <cellStyle name="메모 5 73 3" xfId="30798"/>
    <cellStyle name="메모 5 74" xfId="30799"/>
    <cellStyle name="메모 5 74 2" xfId="30800"/>
    <cellStyle name="메모 5 74 3" xfId="30801"/>
    <cellStyle name="메모 5 75" xfId="30802"/>
    <cellStyle name="메모 5 75 2" xfId="30803"/>
    <cellStyle name="메모 5 75 3" xfId="30804"/>
    <cellStyle name="메모 5 76" xfId="30805"/>
    <cellStyle name="메모 5 76 2" xfId="30806"/>
    <cellStyle name="메모 5 76 3" xfId="30807"/>
    <cellStyle name="메모 5 77" xfId="30808"/>
    <cellStyle name="메모 5 77 2" xfId="30809"/>
    <cellStyle name="메모 5 77 3" xfId="30810"/>
    <cellStyle name="메모 5 78" xfId="30811"/>
    <cellStyle name="메모 5 78 2" xfId="30812"/>
    <cellStyle name="메모 5 78 3" xfId="30813"/>
    <cellStyle name="메모 5 79" xfId="30814"/>
    <cellStyle name="메모 5 79 2" xfId="30815"/>
    <cellStyle name="메모 5 79 3" xfId="30816"/>
    <cellStyle name="메모 5 8" xfId="30817"/>
    <cellStyle name="메모 5 8 2" xfId="30818"/>
    <cellStyle name="메모 5 8 3" xfId="30819"/>
    <cellStyle name="메모 5 80" xfId="30820"/>
    <cellStyle name="메모 5 80 2" xfId="30821"/>
    <cellStyle name="메모 5 80 3" xfId="30822"/>
    <cellStyle name="메모 5 81" xfId="30823"/>
    <cellStyle name="메모 5 81 2" xfId="30824"/>
    <cellStyle name="메모 5 81 3" xfId="30825"/>
    <cellStyle name="메모 5 82" xfId="30826"/>
    <cellStyle name="메모 5 82 2" xfId="30827"/>
    <cellStyle name="메모 5 82 3" xfId="30828"/>
    <cellStyle name="메모 5 83" xfId="30829"/>
    <cellStyle name="메모 5 83 2" xfId="30830"/>
    <cellStyle name="메모 5 83 3" xfId="30831"/>
    <cellStyle name="메모 5 84" xfId="30832"/>
    <cellStyle name="메모 5 84 2" xfId="30833"/>
    <cellStyle name="메모 5 84 3" xfId="30834"/>
    <cellStyle name="메모 5 85" xfId="30835"/>
    <cellStyle name="메모 5 85 2" xfId="30836"/>
    <cellStyle name="메모 5 85 3" xfId="30837"/>
    <cellStyle name="메모 5 86" xfId="30838"/>
    <cellStyle name="메모 5 86 2" xfId="30839"/>
    <cellStyle name="메모 5 86 3" xfId="30840"/>
    <cellStyle name="메모 5 87" xfId="30841"/>
    <cellStyle name="메모 5 87 2" xfId="30842"/>
    <cellStyle name="메모 5 87 3" xfId="30843"/>
    <cellStyle name="메모 5 88" xfId="30844"/>
    <cellStyle name="메모 5 88 2" xfId="30845"/>
    <cellStyle name="메모 5 88 3" xfId="30846"/>
    <cellStyle name="메모 5 89" xfId="30847"/>
    <cellStyle name="메모 5 89 2" xfId="30848"/>
    <cellStyle name="메모 5 89 3" xfId="30849"/>
    <cellStyle name="메모 5 9" xfId="30850"/>
    <cellStyle name="메모 5 9 2" xfId="30851"/>
    <cellStyle name="메모 5 9 3" xfId="30852"/>
    <cellStyle name="메모 5 90" xfId="30853"/>
    <cellStyle name="메모 5 90 2" xfId="30854"/>
    <cellStyle name="메모 5 90 3" xfId="30855"/>
    <cellStyle name="메모 5 91" xfId="30856"/>
    <cellStyle name="메모 5 91 2" xfId="30857"/>
    <cellStyle name="메모 5 91 3" xfId="30858"/>
    <cellStyle name="메모 5 92" xfId="30859"/>
    <cellStyle name="메모 5 92 2" xfId="30860"/>
    <cellStyle name="메모 5 92 3" xfId="30861"/>
    <cellStyle name="메모 5 93" xfId="30862"/>
    <cellStyle name="메모 5 93 2" xfId="30863"/>
    <cellStyle name="메모 5 93 3" xfId="30864"/>
    <cellStyle name="메모 5 94" xfId="30865"/>
    <cellStyle name="메모 5 94 2" xfId="30866"/>
    <cellStyle name="메모 5 94 3" xfId="30867"/>
    <cellStyle name="메모 5 95" xfId="30868"/>
    <cellStyle name="메모 5 95 2" xfId="30869"/>
    <cellStyle name="메모 5 95 3" xfId="30870"/>
    <cellStyle name="메모 5 96" xfId="30871"/>
    <cellStyle name="메모 5 96 2" xfId="30872"/>
    <cellStyle name="메모 5 96 3" xfId="30873"/>
    <cellStyle name="메모 5 97" xfId="30874"/>
    <cellStyle name="메모 5 97 2" xfId="30875"/>
    <cellStyle name="메모 5 97 3" xfId="30876"/>
    <cellStyle name="메모 5 98" xfId="30877"/>
    <cellStyle name="메모 5 98 2" xfId="30878"/>
    <cellStyle name="메모 5 98 3" xfId="30879"/>
    <cellStyle name="메모 5 99" xfId="30880"/>
    <cellStyle name="메모 5 99 2" xfId="30881"/>
    <cellStyle name="메모 5 99 3" xfId="30882"/>
    <cellStyle name="메모 6" xfId="30883"/>
    <cellStyle name="메모 6 10" xfId="30884"/>
    <cellStyle name="메모 6 10 2" xfId="30885"/>
    <cellStyle name="메모 6 10 3" xfId="30886"/>
    <cellStyle name="메모 6 100" xfId="30887"/>
    <cellStyle name="메모 6 100 2" xfId="30888"/>
    <cellStyle name="메모 6 100 3" xfId="30889"/>
    <cellStyle name="메모 6 101" xfId="30890"/>
    <cellStyle name="메모 6 101 2" xfId="30891"/>
    <cellStyle name="메모 6 101 3" xfId="30892"/>
    <cellStyle name="메모 6 102" xfId="30893"/>
    <cellStyle name="메모 6 102 2" xfId="30894"/>
    <cellStyle name="메모 6 102 3" xfId="30895"/>
    <cellStyle name="메모 6 103" xfId="30896"/>
    <cellStyle name="메모 6 103 2" xfId="30897"/>
    <cellStyle name="메모 6 103 3" xfId="30898"/>
    <cellStyle name="메모 6 104" xfId="30899"/>
    <cellStyle name="메모 6 104 2" xfId="30900"/>
    <cellStyle name="메모 6 104 3" xfId="30901"/>
    <cellStyle name="메모 6 105" xfId="30902"/>
    <cellStyle name="메모 6 105 2" xfId="30903"/>
    <cellStyle name="메모 6 105 3" xfId="30904"/>
    <cellStyle name="메모 6 106" xfId="30905"/>
    <cellStyle name="메모 6 106 2" xfId="30906"/>
    <cellStyle name="메모 6 106 3" xfId="30907"/>
    <cellStyle name="메모 6 107" xfId="30908"/>
    <cellStyle name="메모 6 107 2" xfId="30909"/>
    <cellStyle name="메모 6 107 3" xfId="30910"/>
    <cellStyle name="메모 6 108" xfId="30911"/>
    <cellStyle name="메모 6 108 2" xfId="30912"/>
    <cellStyle name="메모 6 108 3" xfId="30913"/>
    <cellStyle name="메모 6 109" xfId="30914"/>
    <cellStyle name="메모 6 109 2" xfId="30915"/>
    <cellStyle name="메모 6 109 3" xfId="30916"/>
    <cellStyle name="메모 6 11" xfId="30917"/>
    <cellStyle name="메모 6 11 2" xfId="30918"/>
    <cellStyle name="메모 6 11 3" xfId="30919"/>
    <cellStyle name="메모 6 110" xfId="30920"/>
    <cellStyle name="메모 6 110 2" xfId="30921"/>
    <cellStyle name="메모 6 110 3" xfId="30922"/>
    <cellStyle name="메모 6 111" xfId="30923"/>
    <cellStyle name="메모 6 111 2" xfId="30924"/>
    <cellStyle name="메모 6 111 3" xfId="30925"/>
    <cellStyle name="메모 6 112" xfId="30926"/>
    <cellStyle name="메모 6 112 2" xfId="30927"/>
    <cellStyle name="메모 6 112 3" xfId="30928"/>
    <cellStyle name="메모 6 113" xfId="30929"/>
    <cellStyle name="메모 6 113 2" xfId="30930"/>
    <cellStyle name="메모 6 113 3" xfId="30931"/>
    <cellStyle name="메모 6 114" xfId="30932"/>
    <cellStyle name="메모 6 115" xfId="30933"/>
    <cellStyle name="메모 6 116" xfId="30934"/>
    <cellStyle name="메모 6 12" xfId="30935"/>
    <cellStyle name="메모 6 12 2" xfId="30936"/>
    <cellStyle name="메모 6 12 3" xfId="30937"/>
    <cellStyle name="메모 6 13" xfId="30938"/>
    <cellStyle name="메모 6 13 2" xfId="30939"/>
    <cellStyle name="메모 6 13 3" xfId="30940"/>
    <cellStyle name="메모 6 14" xfId="30941"/>
    <cellStyle name="메모 6 14 2" xfId="30942"/>
    <cellStyle name="메모 6 14 3" xfId="30943"/>
    <cellStyle name="메모 6 15" xfId="30944"/>
    <cellStyle name="메모 6 15 2" xfId="30945"/>
    <cellStyle name="메모 6 15 3" xfId="30946"/>
    <cellStyle name="메모 6 16" xfId="30947"/>
    <cellStyle name="메모 6 16 2" xfId="30948"/>
    <cellStyle name="메모 6 16 3" xfId="30949"/>
    <cellStyle name="메모 6 17" xfId="30950"/>
    <cellStyle name="메모 6 17 2" xfId="30951"/>
    <cellStyle name="메모 6 17 3" xfId="30952"/>
    <cellStyle name="메모 6 18" xfId="30953"/>
    <cellStyle name="메모 6 18 2" xfId="30954"/>
    <cellStyle name="메모 6 18 3" xfId="30955"/>
    <cellStyle name="메모 6 19" xfId="30956"/>
    <cellStyle name="메모 6 19 2" xfId="30957"/>
    <cellStyle name="메모 6 19 3" xfId="30958"/>
    <cellStyle name="메모 6 2" xfId="30959"/>
    <cellStyle name="메모 6 2 2" xfId="30960"/>
    <cellStyle name="메모 6 2 2 2" xfId="30961"/>
    <cellStyle name="메모 6 2 2 3" xfId="30962"/>
    <cellStyle name="메모 6 2 2 4" xfId="30963"/>
    <cellStyle name="메모 6 2 3" xfId="30964"/>
    <cellStyle name="메모 6 2 3 2" xfId="30965"/>
    <cellStyle name="메모 6 2 3 3" xfId="30966"/>
    <cellStyle name="메모 6 2 4" xfId="30967"/>
    <cellStyle name="메모 6 2 5" xfId="30968"/>
    <cellStyle name="메모 6 2 6" xfId="30969"/>
    <cellStyle name="메모 6 2 7" xfId="30970"/>
    <cellStyle name="메모 6 20" xfId="30971"/>
    <cellStyle name="메모 6 20 2" xfId="30972"/>
    <cellStyle name="메모 6 20 3" xfId="30973"/>
    <cellStyle name="메모 6 21" xfId="30974"/>
    <cellStyle name="메모 6 21 2" xfId="30975"/>
    <cellStyle name="메모 6 21 3" xfId="30976"/>
    <cellStyle name="메모 6 22" xfId="30977"/>
    <cellStyle name="메모 6 22 2" xfId="30978"/>
    <cellStyle name="메모 6 22 3" xfId="30979"/>
    <cellStyle name="메모 6 23" xfId="30980"/>
    <cellStyle name="메모 6 23 2" xfId="30981"/>
    <cellStyle name="메모 6 23 3" xfId="30982"/>
    <cellStyle name="메모 6 24" xfId="30983"/>
    <cellStyle name="메모 6 24 2" xfId="30984"/>
    <cellStyle name="메모 6 24 3" xfId="30985"/>
    <cellStyle name="메모 6 25" xfId="30986"/>
    <cellStyle name="메모 6 25 2" xfId="30987"/>
    <cellStyle name="메모 6 25 3" xfId="30988"/>
    <cellStyle name="메모 6 26" xfId="30989"/>
    <cellStyle name="메모 6 26 2" xfId="30990"/>
    <cellStyle name="메모 6 26 3" xfId="30991"/>
    <cellStyle name="메모 6 27" xfId="30992"/>
    <cellStyle name="메모 6 27 2" xfId="30993"/>
    <cellStyle name="메모 6 27 3" xfId="30994"/>
    <cellStyle name="메모 6 28" xfId="30995"/>
    <cellStyle name="메모 6 28 2" xfId="30996"/>
    <cellStyle name="메모 6 28 3" xfId="30997"/>
    <cellStyle name="메모 6 29" xfId="30998"/>
    <cellStyle name="메모 6 29 2" xfId="30999"/>
    <cellStyle name="메모 6 29 3" xfId="31000"/>
    <cellStyle name="메모 6 3" xfId="31001"/>
    <cellStyle name="메모 6 3 2" xfId="31002"/>
    <cellStyle name="메모 6 3 2 2" xfId="31003"/>
    <cellStyle name="메모 6 3 2 3" xfId="31004"/>
    <cellStyle name="메모 6 3 3" xfId="31005"/>
    <cellStyle name="메모 6 3 4" xfId="31006"/>
    <cellStyle name="메모 6 3 5" xfId="31007"/>
    <cellStyle name="메모 6 3 6" xfId="31008"/>
    <cellStyle name="메모 6 30" xfId="31009"/>
    <cellStyle name="메모 6 30 2" xfId="31010"/>
    <cellStyle name="메모 6 30 3" xfId="31011"/>
    <cellStyle name="메모 6 31" xfId="31012"/>
    <cellStyle name="메모 6 31 2" xfId="31013"/>
    <cellStyle name="메모 6 31 3" xfId="31014"/>
    <cellStyle name="메모 6 32" xfId="31015"/>
    <cellStyle name="메모 6 32 2" xfId="31016"/>
    <cellStyle name="메모 6 32 3" xfId="31017"/>
    <cellStyle name="메모 6 33" xfId="31018"/>
    <cellStyle name="메모 6 33 2" xfId="31019"/>
    <cellStyle name="메모 6 33 3" xfId="31020"/>
    <cellStyle name="메모 6 34" xfId="31021"/>
    <cellStyle name="메모 6 34 2" xfId="31022"/>
    <cellStyle name="메모 6 34 3" xfId="31023"/>
    <cellStyle name="메모 6 35" xfId="31024"/>
    <cellStyle name="메모 6 35 2" xfId="31025"/>
    <cellStyle name="메모 6 35 3" xfId="31026"/>
    <cellStyle name="메모 6 36" xfId="31027"/>
    <cellStyle name="메모 6 36 2" xfId="31028"/>
    <cellStyle name="메모 6 36 3" xfId="31029"/>
    <cellStyle name="메모 6 37" xfId="31030"/>
    <cellStyle name="메모 6 37 2" xfId="31031"/>
    <cellStyle name="메모 6 37 3" xfId="31032"/>
    <cellStyle name="메모 6 38" xfId="31033"/>
    <cellStyle name="메모 6 38 2" xfId="31034"/>
    <cellStyle name="메모 6 38 3" xfId="31035"/>
    <cellStyle name="메모 6 39" xfId="31036"/>
    <cellStyle name="메모 6 39 2" xfId="31037"/>
    <cellStyle name="메모 6 39 3" xfId="31038"/>
    <cellStyle name="메모 6 4" xfId="31039"/>
    <cellStyle name="메모 6 4 2" xfId="31040"/>
    <cellStyle name="메모 6 4 3" xfId="31041"/>
    <cellStyle name="메모 6 40" xfId="31042"/>
    <cellStyle name="메모 6 40 2" xfId="31043"/>
    <cellStyle name="메모 6 40 3" xfId="31044"/>
    <cellStyle name="메모 6 41" xfId="31045"/>
    <cellStyle name="메모 6 41 2" xfId="31046"/>
    <cellStyle name="메모 6 41 3" xfId="31047"/>
    <cellStyle name="메모 6 42" xfId="31048"/>
    <cellStyle name="메모 6 42 2" xfId="31049"/>
    <cellStyle name="메모 6 42 3" xfId="31050"/>
    <cellStyle name="메모 6 43" xfId="31051"/>
    <cellStyle name="메모 6 43 2" xfId="31052"/>
    <cellStyle name="메모 6 43 3" xfId="31053"/>
    <cellStyle name="메모 6 44" xfId="31054"/>
    <cellStyle name="메모 6 44 2" xfId="31055"/>
    <cellStyle name="메모 6 44 3" xfId="31056"/>
    <cellStyle name="메모 6 45" xfId="31057"/>
    <cellStyle name="메모 6 45 2" xfId="31058"/>
    <cellStyle name="메모 6 45 3" xfId="31059"/>
    <cellStyle name="메모 6 46" xfId="31060"/>
    <cellStyle name="메모 6 46 2" xfId="31061"/>
    <cellStyle name="메모 6 46 3" xfId="31062"/>
    <cellStyle name="메모 6 47" xfId="31063"/>
    <cellStyle name="메모 6 47 2" xfId="31064"/>
    <cellStyle name="메모 6 47 3" xfId="31065"/>
    <cellStyle name="메모 6 48" xfId="31066"/>
    <cellStyle name="메모 6 48 2" xfId="31067"/>
    <cellStyle name="메모 6 48 3" xfId="31068"/>
    <cellStyle name="메모 6 49" xfId="31069"/>
    <cellStyle name="메모 6 49 2" xfId="31070"/>
    <cellStyle name="메모 6 49 3" xfId="31071"/>
    <cellStyle name="메모 6 5" xfId="31072"/>
    <cellStyle name="메모 6 5 2" xfId="31073"/>
    <cellStyle name="메모 6 5 3" xfId="31074"/>
    <cellStyle name="메모 6 50" xfId="31075"/>
    <cellStyle name="메모 6 50 2" xfId="31076"/>
    <cellStyle name="메모 6 50 3" xfId="31077"/>
    <cellStyle name="메모 6 51" xfId="31078"/>
    <cellStyle name="메모 6 51 2" xfId="31079"/>
    <cellStyle name="메모 6 51 3" xfId="31080"/>
    <cellStyle name="메모 6 52" xfId="31081"/>
    <cellStyle name="메모 6 52 2" xfId="31082"/>
    <cellStyle name="메모 6 52 3" xfId="31083"/>
    <cellStyle name="메모 6 53" xfId="31084"/>
    <cellStyle name="메모 6 53 2" xfId="31085"/>
    <cellStyle name="메모 6 53 3" xfId="31086"/>
    <cellStyle name="메모 6 54" xfId="31087"/>
    <cellStyle name="메모 6 54 2" xfId="31088"/>
    <cellStyle name="메모 6 54 3" xfId="31089"/>
    <cellStyle name="메모 6 55" xfId="31090"/>
    <cellStyle name="메모 6 55 2" xfId="31091"/>
    <cellStyle name="메모 6 55 3" xfId="31092"/>
    <cellStyle name="메모 6 56" xfId="31093"/>
    <cellStyle name="메모 6 56 2" xfId="31094"/>
    <cellStyle name="메모 6 56 3" xfId="31095"/>
    <cellStyle name="메모 6 57" xfId="31096"/>
    <cellStyle name="메모 6 57 2" xfId="31097"/>
    <cellStyle name="메모 6 57 3" xfId="31098"/>
    <cellStyle name="메모 6 58" xfId="31099"/>
    <cellStyle name="메모 6 58 2" xfId="31100"/>
    <cellStyle name="메모 6 58 3" xfId="31101"/>
    <cellStyle name="메모 6 59" xfId="31102"/>
    <cellStyle name="메모 6 59 2" xfId="31103"/>
    <cellStyle name="메모 6 59 3" xfId="31104"/>
    <cellStyle name="메모 6 6" xfId="31105"/>
    <cellStyle name="메모 6 6 2" xfId="31106"/>
    <cellStyle name="메모 6 6 3" xfId="31107"/>
    <cellStyle name="메모 6 60" xfId="31108"/>
    <cellStyle name="메모 6 60 2" xfId="31109"/>
    <cellStyle name="메모 6 60 3" xfId="31110"/>
    <cellStyle name="메모 6 61" xfId="31111"/>
    <cellStyle name="메모 6 61 2" xfId="31112"/>
    <cellStyle name="메모 6 61 3" xfId="31113"/>
    <cellStyle name="메모 6 62" xfId="31114"/>
    <cellStyle name="메모 6 62 2" xfId="31115"/>
    <cellStyle name="메모 6 62 3" xfId="31116"/>
    <cellStyle name="메모 6 63" xfId="31117"/>
    <cellStyle name="메모 6 63 2" xfId="31118"/>
    <cellStyle name="메모 6 63 3" xfId="31119"/>
    <cellStyle name="메모 6 64" xfId="31120"/>
    <cellStyle name="메모 6 64 2" xfId="31121"/>
    <cellStyle name="메모 6 64 3" xfId="31122"/>
    <cellStyle name="메모 6 65" xfId="31123"/>
    <cellStyle name="메모 6 65 2" xfId="31124"/>
    <cellStyle name="메모 6 65 3" xfId="31125"/>
    <cellStyle name="메모 6 66" xfId="31126"/>
    <cellStyle name="메모 6 66 2" xfId="31127"/>
    <cellStyle name="메모 6 66 3" xfId="31128"/>
    <cellStyle name="메모 6 67" xfId="31129"/>
    <cellStyle name="메모 6 67 2" xfId="31130"/>
    <cellStyle name="메모 6 67 3" xfId="31131"/>
    <cellStyle name="메모 6 68" xfId="31132"/>
    <cellStyle name="메모 6 68 2" xfId="31133"/>
    <cellStyle name="메모 6 68 3" xfId="31134"/>
    <cellStyle name="메모 6 69" xfId="31135"/>
    <cellStyle name="메모 6 69 2" xfId="31136"/>
    <cellStyle name="메모 6 69 3" xfId="31137"/>
    <cellStyle name="메모 6 7" xfId="31138"/>
    <cellStyle name="메모 6 7 2" xfId="31139"/>
    <cellStyle name="메모 6 7 3" xfId="31140"/>
    <cellStyle name="메모 6 70" xfId="31141"/>
    <cellStyle name="메모 6 70 2" xfId="31142"/>
    <cellStyle name="메모 6 70 3" xfId="31143"/>
    <cellStyle name="메모 6 71" xfId="31144"/>
    <cellStyle name="메모 6 71 2" xfId="31145"/>
    <cellStyle name="메모 6 71 3" xfId="31146"/>
    <cellStyle name="메모 6 72" xfId="31147"/>
    <cellStyle name="메모 6 72 2" xfId="31148"/>
    <cellStyle name="메모 6 72 3" xfId="31149"/>
    <cellStyle name="메모 6 73" xfId="31150"/>
    <cellStyle name="메모 6 73 2" xfId="31151"/>
    <cellStyle name="메모 6 73 3" xfId="31152"/>
    <cellStyle name="메모 6 74" xfId="31153"/>
    <cellStyle name="메모 6 74 2" xfId="31154"/>
    <cellStyle name="메모 6 74 3" xfId="31155"/>
    <cellStyle name="메모 6 75" xfId="31156"/>
    <cellStyle name="메모 6 75 2" xfId="31157"/>
    <cellStyle name="메모 6 75 3" xfId="31158"/>
    <cellStyle name="메모 6 76" xfId="31159"/>
    <cellStyle name="메모 6 76 2" xfId="31160"/>
    <cellStyle name="메모 6 76 3" xfId="31161"/>
    <cellStyle name="메모 6 77" xfId="31162"/>
    <cellStyle name="메모 6 77 2" xfId="31163"/>
    <cellStyle name="메모 6 77 3" xfId="31164"/>
    <cellStyle name="메모 6 78" xfId="31165"/>
    <cellStyle name="메모 6 78 2" xfId="31166"/>
    <cellStyle name="메모 6 78 3" xfId="31167"/>
    <cellStyle name="메모 6 79" xfId="31168"/>
    <cellStyle name="메모 6 79 2" xfId="31169"/>
    <cellStyle name="메모 6 79 3" xfId="31170"/>
    <cellStyle name="메모 6 8" xfId="31171"/>
    <cellStyle name="메모 6 8 2" xfId="31172"/>
    <cellStyle name="메모 6 8 3" xfId="31173"/>
    <cellStyle name="메모 6 80" xfId="31174"/>
    <cellStyle name="메모 6 80 2" xfId="31175"/>
    <cellStyle name="메모 6 80 3" xfId="31176"/>
    <cellStyle name="메모 6 81" xfId="31177"/>
    <cellStyle name="메모 6 81 2" xfId="31178"/>
    <cellStyle name="메모 6 81 3" xfId="31179"/>
    <cellStyle name="메모 6 82" xfId="31180"/>
    <cellStyle name="메모 6 82 2" xfId="31181"/>
    <cellStyle name="메모 6 82 3" xfId="31182"/>
    <cellStyle name="메모 6 83" xfId="31183"/>
    <cellStyle name="메모 6 83 2" xfId="31184"/>
    <cellStyle name="메모 6 83 3" xfId="31185"/>
    <cellStyle name="메모 6 84" xfId="31186"/>
    <cellStyle name="메모 6 84 2" xfId="31187"/>
    <cellStyle name="메모 6 84 3" xfId="31188"/>
    <cellStyle name="메모 6 85" xfId="31189"/>
    <cellStyle name="메모 6 85 2" xfId="31190"/>
    <cellStyle name="메모 6 85 3" xfId="31191"/>
    <cellStyle name="메모 6 86" xfId="31192"/>
    <cellStyle name="메모 6 86 2" xfId="31193"/>
    <cellStyle name="메모 6 86 3" xfId="31194"/>
    <cellStyle name="메모 6 87" xfId="31195"/>
    <cellStyle name="메모 6 87 2" xfId="31196"/>
    <cellStyle name="메모 6 87 3" xfId="31197"/>
    <cellStyle name="메모 6 88" xfId="31198"/>
    <cellStyle name="메모 6 88 2" xfId="31199"/>
    <cellStyle name="메모 6 88 3" xfId="31200"/>
    <cellStyle name="메모 6 89" xfId="31201"/>
    <cellStyle name="메모 6 89 2" xfId="31202"/>
    <cellStyle name="메모 6 89 3" xfId="31203"/>
    <cellStyle name="메모 6 9" xfId="31204"/>
    <cellStyle name="메모 6 9 2" xfId="31205"/>
    <cellStyle name="메모 6 9 3" xfId="31206"/>
    <cellStyle name="메모 6 90" xfId="31207"/>
    <cellStyle name="메모 6 90 2" xfId="31208"/>
    <cellStyle name="메모 6 90 3" xfId="31209"/>
    <cellStyle name="메모 6 91" xfId="31210"/>
    <cellStyle name="메모 6 91 2" xfId="31211"/>
    <cellStyle name="메모 6 91 3" xfId="31212"/>
    <cellStyle name="메모 6 92" xfId="31213"/>
    <cellStyle name="메모 6 92 2" xfId="31214"/>
    <cellStyle name="메모 6 92 3" xfId="31215"/>
    <cellStyle name="메모 6 93" xfId="31216"/>
    <cellStyle name="메모 6 93 2" xfId="31217"/>
    <cellStyle name="메모 6 93 3" xfId="31218"/>
    <cellStyle name="메모 6 94" xfId="31219"/>
    <cellStyle name="메모 6 94 2" xfId="31220"/>
    <cellStyle name="메모 6 94 3" xfId="31221"/>
    <cellStyle name="메모 6 95" xfId="31222"/>
    <cellStyle name="메모 6 95 2" xfId="31223"/>
    <cellStyle name="메모 6 95 3" xfId="31224"/>
    <cellStyle name="메모 6 96" xfId="31225"/>
    <cellStyle name="메모 6 96 2" xfId="31226"/>
    <cellStyle name="메모 6 96 3" xfId="31227"/>
    <cellStyle name="메모 6 97" xfId="31228"/>
    <cellStyle name="메모 6 97 2" xfId="31229"/>
    <cellStyle name="메모 6 97 3" xfId="31230"/>
    <cellStyle name="메모 6 98" xfId="31231"/>
    <cellStyle name="메모 6 98 2" xfId="31232"/>
    <cellStyle name="메모 6 98 3" xfId="31233"/>
    <cellStyle name="메모 6 99" xfId="31234"/>
    <cellStyle name="메모 6 99 2" xfId="31235"/>
    <cellStyle name="메모 6 99 3" xfId="31236"/>
    <cellStyle name="메모 7" xfId="31237"/>
    <cellStyle name="메모 7 10" xfId="31238"/>
    <cellStyle name="메모 7 10 2" xfId="31239"/>
    <cellStyle name="메모 7 10 3" xfId="31240"/>
    <cellStyle name="메모 7 100" xfId="31241"/>
    <cellStyle name="메모 7 100 2" xfId="31242"/>
    <cellStyle name="메모 7 100 3" xfId="31243"/>
    <cellStyle name="메모 7 101" xfId="31244"/>
    <cellStyle name="메모 7 101 2" xfId="31245"/>
    <cellStyle name="메모 7 101 3" xfId="31246"/>
    <cellStyle name="메모 7 102" xfId="31247"/>
    <cellStyle name="메모 7 102 2" xfId="31248"/>
    <cellStyle name="메모 7 102 3" xfId="31249"/>
    <cellStyle name="메모 7 103" xfId="31250"/>
    <cellStyle name="메모 7 103 2" xfId="31251"/>
    <cellStyle name="메모 7 103 3" xfId="31252"/>
    <cellStyle name="메모 7 104" xfId="31253"/>
    <cellStyle name="메모 7 104 2" xfId="31254"/>
    <cellStyle name="메모 7 104 3" xfId="31255"/>
    <cellStyle name="메모 7 105" xfId="31256"/>
    <cellStyle name="메모 7 105 2" xfId="31257"/>
    <cellStyle name="메모 7 105 3" xfId="31258"/>
    <cellStyle name="메모 7 106" xfId="31259"/>
    <cellStyle name="메모 7 106 2" xfId="31260"/>
    <cellStyle name="메모 7 106 3" xfId="31261"/>
    <cellStyle name="메모 7 107" xfId="31262"/>
    <cellStyle name="메모 7 107 2" xfId="31263"/>
    <cellStyle name="메모 7 107 3" xfId="31264"/>
    <cellStyle name="메모 7 108" xfId="31265"/>
    <cellStyle name="메모 7 108 2" xfId="31266"/>
    <cellStyle name="메모 7 108 3" xfId="31267"/>
    <cellStyle name="메모 7 109" xfId="31268"/>
    <cellStyle name="메모 7 109 2" xfId="31269"/>
    <cellStyle name="메모 7 109 3" xfId="31270"/>
    <cellStyle name="메모 7 11" xfId="31271"/>
    <cellStyle name="메모 7 11 2" xfId="31272"/>
    <cellStyle name="메모 7 11 3" xfId="31273"/>
    <cellStyle name="메모 7 110" xfId="31274"/>
    <cellStyle name="메모 7 110 2" xfId="31275"/>
    <cellStyle name="메모 7 110 3" xfId="31276"/>
    <cellStyle name="메모 7 111" xfId="31277"/>
    <cellStyle name="메모 7 111 2" xfId="31278"/>
    <cellStyle name="메모 7 111 3" xfId="31279"/>
    <cellStyle name="메모 7 112" xfId="31280"/>
    <cellStyle name="메모 7 112 2" xfId="31281"/>
    <cellStyle name="메모 7 112 3" xfId="31282"/>
    <cellStyle name="메모 7 113" xfId="31283"/>
    <cellStyle name="메모 7 113 2" xfId="31284"/>
    <cellStyle name="메모 7 113 3" xfId="31285"/>
    <cellStyle name="메모 7 114" xfId="31286"/>
    <cellStyle name="메모 7 115" xfId="31287"/>
    <cellStyle name="메모 7 116" xfId="31288"/>
    <cellStyle name="메모 7 12" xfId="31289"/>
    <cellStyle name="메모 7 12 2" xfId="31290"/>
    <cellStyle name="메모 7 12 3" xfId="31291"/>
    <cellStyle name="메모 7 13" xfId="31292"/>
    <cellStyle name="메모 7 13 2" xfId="31293"/>
    <cellStyle name="메모 7 13 3" xfId="31294"/>
    <cellStyle name="메모 7 14" xfId="31295"/>
    <cellStyle name="메모 7 14 2" xfId="31296"/>
    <cellStyle name="메모 7 14 3" xfId="31297"/>
    <cellStyle name="메모 7 15" xfId="31298"/>
    <cellStyle name="메모 7 15 2" xfId="31299"/>
    <cellStyle name="메모 7 15 3" xfId="31300"/>
    <cellStyle name="메모 7 16" xfId="31301"/>
    <cellStyle name="메모 7 16 2" xfId="31302"/>
    <cellStyle name="메모 7 16 3" xfId="31303"/>
    <cellStyle name="메모 7 17" xfId="31304"/>
    <cellStyle name="메모 7 17 2" xfId="31305"/>
    <cellStyle name="메모 7 17 3" xfId="31306"/>
    <cellStyle name="메모 7 18" xfId="31307"/>
    <cellStyle name="메모 7 18 2" xfId="31308"/>
    <cellStyle name="메모 7 18 3" xfId="31309"/>
    <cellStyle name="메모 7 19" xfId="31310"/>
    <cellStyle name="메모 7 19 2" xfId="31311"/>
    <cellStyle name="메모 7 19 3" xfId="31312"/>
    <cellStyle name="메모 7 2" xfId="31313"/>
    <cellStyle name="메모 7 2 2" xfId="31314"/>
    <cellStyle name="메모 7 2 2 2" xfId="31315"/>
    <cellStyle name="메모 7 2 2 3" xfId="31316"/>
    <cellStyle name="메모 7 2 2 4" xfId="31317"/>
    <cellStyle name="메모 7 2 3" xfId="31318"/>
    <cellStyle name="메모 7 2 3 2" xfId="31319"/>
    <cellStyle name="메모 7 2 3 3" xfId="31320"/>
    <cellStyle name="메모 7 2 4" xfId="31321"/>
    <cellStyle name="메모 7 2 5" xfId="31322"/>
    <cellStyle name="메모 7 2 6" xfId="31323"/>
    <cellStyle name="메모 7 2 7" xfId="31324"/>
    <cellStyle name="메모 7 20" xfId="31325"/>
    <cellStyle name="메모 7 20 2" xfId="31326"/>
    <cellStyle name="메모 7 20 3" xfId="31327"/>
    <cellStyle name="메모 7 21" xfId="31328"/>
    <cellStyle name="메모 7 21 2" xfId="31329"/>
    <cellStyle name="메모 7 21 3" xfId="31330"/>
    <cellStyle name="메모 7 22" xfId="31331"/>
    <cellStyle name="메모 7 22 2" xfId="31332"/>
    <cellStyle name="메모 7 22 3" xfId="31333"/>
    <cellStyle name="메모 7 23" xfId="31334"/>
    <cellStyle name="메모 7 23 2" xfId="31335"/>
    <cellStyle name="메모 7 23 3" xfId="31336"/>
    <cellStyle name="메모 7 24" xfId="31337"/>
    <cellStyle name="메모 7 24 2" xfId="31338"/>
    <cellStyle name="메모 7 24 3" xfId="31339"/>
    <cellStyle name="메모 7 25" xfId="31340"/>
    <cellStyle name="메모 7 25 2" xfId="31341"/>
    <cellStyle name="메모 7 25 3" xfId="31342"/>
    <cellStyle name="메모 7 26" xfId="31343"/>
    <cellStyle name="메모 7 26 2" xfId="31344"/>
    <cellStyle name="메모 7 26 3" xfId="31345"/>
    <cellStyle name="메모 7 27" xfId="31346"/>
    <cellStyle name="메모 7 27 2" xfId="31347"/>
    <cellStyle name="메모 7 27 3" xfId="31348"/>
    <cellStyle name="메모 7 28" xfId="31349"/>
    <cellStyle name="메모 7 28 2" xfId="31350"/>
    <cellStyle name="메모 7 28 3" xfId="31351"/>
    <cellStyle name="메모 7 29" xfId="31352"/>
    <cellStyle name="메모 7 29 2" xfId="31353"/>
    <cellStyle name="메모 7 29 3" xfId="31354"/>
    <cellStyle name="메모 7 3" xfId="31355"/>
    <cellStyle name="메모 7 3 2" xfId="31356"/>
    <cellStyle name="메모 7 3 2 2" xfId="31357"/>
    <cellStyle name="메모 7 3 2 3" xfId="31358"/>
    <cellStyle name="메모 7 3 3" xfId="31359"/>
    <cellStyle name="메모 7 3 4" xfId="31360"/>
    <cellStyle name="메모 7 3 5" xfId="31361"/>
    <cellStyle name="메모 7 3 6" xfId="31362"/>
    <cellStyle name="메모 7 30" xfId="31363"/>
    <cellStyle name="메모 7 30 2" xfId="31364"/>
    <cellStyle name="메모 7 30 3" xfId="31365"/>
    <cellStyle name="메모 7 31" xfId="31366"/>
    <cellStyle name="메모 7 31 2" xfId="31367"/>
    <cellStyle name="메모 7 31 3" xfId="31368"/>
    <cellStyle name="메모 7 32" xfId="31369"/>
    <cellStyle name="메모 7 32 2" xfId="31370"/>
    <cellStyle name="메모 7 32 3" xfId="31371"/>
    <cellStyle name="메모 7 33" xfId="31372"/>
    <cellStyle name="메모 7 33 2" xfId="31373"/>
    <cellStyle name="메모 7 33 3" xfId="31374"/>
    <cellStyle name="메모 7 34" xfId="31375"/>
    <cellStyle name="메모 7 34 2" xfId="31376"/>
    <cellStyle name="메모 7 34 3" xfId="31377"/>
    <cellStyle name="메모 7 35" xfId="31378"/>
    <cellStyle name="메모 7 35 2" xfId="31379"/>
    <cellStyle name="메모 7 35 3" xfId="31380"/>
    <cellStyle name="메모 7 36" xfId="31381"/>
    <cellStyle name="메모 7 36 2" xfId="31382"/>
    <cellStyle name="메모 7 36 3" xfId="31383"/>
    <cellStyle name="메모 7 37" xfId="31384"/>
    <cellStyle name="메모 7 37 2" xfId="31385"/>
    <cellStyle name="메모 7 37 3" xfId="31386"/>
    <cellStyle name="메모 7 38" xfId="31387"/>
    <cellStyle name="메모 7 38 2" xfId="31388"/>
    <cellStyle name="메모 7 38 3" xfId="31389"/>
    <cellStyle name="메모 7 39" xfId="31390"/>
    <cellStyle name="메모 7 39 2" xfId="31391"/>
    <cellStyle name="메모 7 39 3" xfId="31392"/>
    <cellStyle name="메모 7 4" xfId="31393"/>
    <cellStyle name="메모 7 4 2" xfId="31394"/>
    <cellStyle name="메모 7 4 3" xfId="31395"/>
    <cellStyle name="메모 7 40" xfId="31396"/>
    <cellStyle name="메모 7 40 2" xfId="31397"/>
    <cellStyle name="메모 7 40 3" xfId="31398"/>
    <cellStyle name="메모 7 41" xfId="31399"/>
    <cellStyle name="메모 7 41 2" xfId="31400"/>
    <cellStyle name="메모 7 41 3" xfId="31401"/>
    <cellStyle name="메모 7 42" xfId="31402"/>
    <cellStyle name="메모 7 42 2" xfId="31403"/>
    <cellStyle name="메모 7 42 3" xfId="31404"/>
    <cellStyle name="메모 7 43" xfId="31405"/>
    <cellStyle name="메모 7 43 2" xfId="31406"/>
    <cellStyle name="메모 7 43 3" xfId="31407"/>
    <cellStyle name="메모 7 44" xfId="31408"/>
    <cellStyle name="메모 7 44 2" xfId="31409"/>
    <cellStyle name="메모 7 44 3" xfId="31410"/>
    <cellStyle name="메모 7 45" xfId="31411"/>
    <cellStyle name="메모 7 45 2" xfId="31412"/>
    <cellStyle name="메모 7 45 3" xfId="31413"/>
    <cellStyle name="메모 7 46" xfId="31414"/>
    <cellStyle name="메모 7 46 2" xfId="31415"/>
    <cellStyle name="메모 7 46 3" xfId="31416"/>
    <cellStyle name="메모 7 47" xfId="31417"/>
    <cellStyle name="메모 7 47 2" xfId="31418"/>
    <cellStyle name="메모 7 47 3" xfId="31419"/>
    <cellStyle name="메모 7 48" xfId="31420"/>
    <cellStyle name="메모 7 48 2" xfId="31421"/>
    <cellStyle name="메모 7 48 3" xfId="31422"/>
    <cellStyle name="메모 7 49" xfId="31423"/>
    <cellStyle name="메모 7 49 2" xfId="31424"/>
    <cellStyle name="메모 7 49 3" xfId="31425"/>
    <cellStyle name="메모 7 5" xfId="31426"/>
    <cellStyle name="메모 7 5 2" xfId="31427"/>
    <cellStyle name="메모 7 5 3" xfId="31428"/>
    <cellStyle name="메모 7 50" xfId="31429"/>
    <cellStyle name="메모 7 50 2" xfId="31430"/>
    <cellStyle name="메모 7 50 3" xfId="31431"/>
    <cellStyle name="메모 7 51" xfId="31432"/>
    <cellStyle name="메모 7 51 2" xfId="31433"/>
    <cellStyle name="메모 7 51 3" xfId="31434"/>
    <cellStyle name="메모 7 52" xfId="31435"/>
    <cellStyle name="메모 7 52 2" xfId="31436"/>
    <cellStyle name="메모 7 52 3" xfId="31437"/>
    <cellStyle name="메모 7 53" xfId="31438"/>
    <cellStyle name="메모 7 53 2" xfId="31439"/>
    <cellStyle name="메모 7 53 3" xfId="31440"/>
    <cellStyle name="메모 7 54" xfId="31441"/>
    <cellStyle name="메모 7 54 2" xfId="31442"/>
    <cellStyle name="메모 7 54 3" xfId="31443"/>
    <cellStyle name="메모 7 55" xfId="31444"/>
    <cellStyle name="메모 7 55 2" xfId="31445"/>
    <cellStyle name="메모 7 55 3" xfId="31446"/>
    <cellStyle name="메모 7 56" xfId="31447"/>
    <cellStyle name="메모 7 56 2" xfId="31448"/>
    <cellStyle name="메모 7 56 3" xfId="31449"/>
    <cellStyle name="메모 7 57" xfId="31450"/>
    <cellStyle name="메모 7 57 2" xfId="31451"/>
    <cellStyle name="메모 7 57 3" xfId="31452"/>
    <cellStyle name="메모 7 58" xfId="31453"/>
    <cellStyle name="메모 7 58 2" xfId="31454"/>
    <cellStyle name="메모 7 58 3" xfId="31455"/>
    <cellStyle name="메모 7 59" xfId="31456"/>
    <cellStyle name="메모 7 59 2" xfId="31457"/>
    <cellStyle name="메모 7 59 3" xfId="31458"/>
    <cellStyle name="메모 7 6" xfId="31459"/>
    <cellStyle name="메모 7 6 2" xfId="31460"/>
    <cellStyle name="메모 7 6 3" xfId="31461"/>
    <cellStyle name="메모 7 60" xfId="31462"/>
    <cellStyle name="메모 7 60 2" xfId="31463"/>
    <cellStyle name="메모 7 60 3" xfId="31464"/>
    <cellStyle name="메모 7 61" xfId="31465"/>
    <cellStyle name="메모 7 61 2" xfId="31466"/>
    <cellStyle name="메모 7 61 3" xfId="31467"/>
    <cellStyle name="메모 7 62" xfId="31468"/>
    <cellStyle name="메모 7 62 2" xfId="31469"/>
    <cellStyle name="메모 7 62 3" xfId="31470"/>
    <cellStyle name="메모 7 63" xfId="31471"/>
    <cellStyle name="메모 7 63 2" xfId="31472"/>
    <cellStyle name="메모 7 63 3" xfId="31473"/>
    <cellStyle name="메모 7 64" xfId="31474"/>
    <cellStyle name="메모 7 64 2" xfId="31475"/>
    <cellStyle name="메모 7 64 3" xfId="31476"/>
    <cellStyle name="메모 7 65" xfId="31477"/>
    <cellStyle name="메모 7 65 2" xfId="31478"/>
    <cellStyle name="메모 7 65 3" xfId="31479"/>
    <cellStyle name="메모 7 66" xfId="31480"/>
    <cellStyle name="메모 7 66 2" xfId="31481"/>
    <cellStyle name="메모 7 66 3" xfId="31482"/>
    <cellStyle name="메모 7 67" xfId="31483"/>
    <cellStyle name="메모 7 67 2" xfId="31484"/>
    <cellStyle name="메모 7 67 3" xfId="31485"/>
    <cellStyle name="메모 7 68" xfId="31486"/>
    <cellStyle name="메모 7 68 2" xfId="31487"/>
    <cellStyle name="메모 7 68 3" xfId="31488"/>
    <cellStyle name="메모 7 69" xfId="31489"/>
    <cellStyle name="메모 7 69 2" xfId="31490"/>
    <cellStyle name="메모 7 69 3" xfId="31491"/>
    <cellStyle name="메모 7 7" xfId="31492"/>
    <cellStyle name="메모 7 7 2" xfId="31493"/>
    <cellStyle name="메모 7 7 3" xfId="31494"/>
    <cellStyle name="메모 7 70" xfId="31495"/>
    <cellStyle name="메모 7 70 2" xfId="31496"/>
    <cellStyle name="메모 7 70 3" xfId="31497"/>
    <cellStyle name="메모 7 71" xfId="31498"/>
    <cellStyle name="메모 7 71 2" xfId="31499"/>
    <cellStyle name="메모 7 71 3" xfId="31500"/>
    <cellStyle name="메모 7 72" xfId="31501"/>
    <cellStyle name="메모 7 72 2" xfId="31502"/>
    <cellStyle name="메모 7 72 3" xfId="31503"/>
    <cellStyle name="메모 7 73" xfId="31504"/>
    <cellStyle name="메모 7 73 2" xfId="31505"/>
    <cellStyle name="메모 7 73 3" xfId="31506"/>
    <cellStyle name="메모 7 74" xfId="31507"/>
    <cellStyle name="메모 7 74 2" xfId="31508"/>
    <cellStyle name="메모 7 74 3" xfId="31509"/>
    <cellStyle name="메모 7 75" xfId="31510"/>
    <cellStyle name="메모 7 75 2" xfId="31511"/>
    <cellStyle name="메모 7 75 3" xfId="31512"/>
    <cellStyle name="메모 7 76" xfId="31513"/>
    <cellStyle name="메모 7 76 2" xfId="31514"/>
    <cellStyle name="메모 7 76 3" xfId="31515"/>
    <cellStyle name="메모 7 77" xfId="31516"/>
    <cellStyle name="메모 7 77 2" xfId="31517"/>
    <cellStyle name="메모 7 77 3" xfId="31518"/>
    <cellStyle name="메모 7 78" xfId="31519"/>
    <cellStyle name="메모 7 78 2" xfId="31520"/>
    <cellStyle name="메모 7 78 3" xfId="31521"/>
    <cellStyle name="메모 7 79" xfId="31522"/>
    <cellStyle name="메모 7 79 2" xfId="31523"/>
    <cellStyle name="메모 7 79 3" xfId="31524"/>
    <cellStyle name="메모 7 8" xfId="31525"/>
    <cellStyle name="메모 7 8 2" xfId="31526"/>
    <cellStyle name="메모 7 8 3" xfId="31527"/>
    <cellStyle name="메모 7 80" xfId="31528"/>
    <cellStyle name="메모 7 80 2" xfId="31529"/>
    <cellStyle name="메모 7 80 3" xfId="31530"/>
    <cellStyle name="메모 7 81" xfId="31531"/>
    <cellStyle name="메모 7 81 2" xfId="31532"/>
    <cellStyle name="메모 7 81 3" xfId="31533"/>
    <cellStyle name="메모 7 82" xfId="31534"/>
    <cellStyle name="메모 7 82 2" xfId="31535"/>
    <cellStyle name="메모 7 82 3" xfId="31536"/>
    <cellStyle name="메모 7 83" xfId="31537"/>
    <cellStyle name="메모 7 83 2" xfId="31538"/>
    <cellStyle name="메모 7 83 3" xfId="31539"/>
    <cellStyle name="메모 7 84" xfId="31540"/>
    <cellStyle name="메모 7 84 2" xfId="31541"/>
    <cellStyle name="메모 7 84 3" xfId="31542"/>
    <cellStyle name="메모 7 85" xfId="31543"/>
    <cellStyle name="메모 7 85 2" xfId="31544"/>
    <cellStyle name="메모 7 85 3" xfId="31545"/>
    <cellStyle name="메모 7 86" xfId="31546"/>
    <cellStyle name="메모 7 86 2" xfId="31547"/>
    <cellStyle name="메모 7 86 3" xfId="31548"/>
    <cellStyle name="메모 7 87" xfId="31549"/>
    <cellStyle name="메모 7 87 2" xfId="31550"/>
    <cellStyle name="메모 7 87 3" xfId="31551"/>
    <cellStyle name="메모 7 88" xfId="31552"/>
    <cellStyle name="메모 7 88 2" xfId="31553"/>
    <cellStyle name="메모 7 88 3" xfId="31554"/>
    <cellStyle name="메모 7 89" xfId="31555"/>
    <cellStyle name="메모 7 89 2" xfId="31556"/>
    <cellStyle name="메모 7 89 3" xfId="31557"/>
    <cellStyle name="메모 7 9" xfId="31558"/>
    <cellStyle name="메모 7 9 2" xfId="31559"/>
    <cellStyle name="메모 7 9 3" xfId="31560"/>
    <cellStyle name="메모 7 90" xfId="31561"/>
    <cellStyle name="메모 7 90 2" xfId="31562"/>
    <cellStyle name="메모 7 90 3" xfId="31563"/>
    <cellStyle name="메모 7 91" xfId="31564"/>
    <cellStyle name="메모 7 91 2" xfId="31565"/>
    <cellStyle name="메모 7 91 3" xfId="31566"/>
    <cellStyle name="메모 7 92" xfId="31567"/>
    <cellStyle name="메모 7 92 2" xfId="31568"/>
    <cellStyle name="메모 7 92 3" xfId="31569"/>
    <cellStyle name="메모 7 93" xfId="31570"/>
    <cellStyle name="메모 7 93 2" xfId="31571"/>
    <cellStyle name="메모 7 93 3" xfId="31572"/>
    <cellStyle name="메모 7 94" xfId="31573"/>
    <cellStyle name="메모 7 94 2" xfId="31574"/>
    <cellStyle name="메모 7 94 3" xfId="31575"/>
    <cellStyle name="메모 7 95" xfId="31576"/>
    <cellStyle name="메모 7 95 2" xfId="31577"/>
    <cellStyle name="메모 7 95 3" xfId="31578"/>
    <cellStyle name="메모 7 96" xfId="31579"/>
    <cellStyle name="메모 7 96 2" xfId="31580"/>
    <cellStyle name="메모 7 96 3" xfId="31581"/>
    <cellStyle name="메모 7 97" xfId="31582"/>
    <cellStyle name="메모 7 97 2" xfId="31583"/>
    <cellStyle name="메모 7 97 3" xfId="31584"/>
    <cellStyle name="메모 7 98" xfId="31585"/>
    <cellStyle name="메모 7 98 2" xfId="31586"/>
    <cellStyle name="메모 7 98 3" xfId="31587"/>
    <cellStyle name="메모 7 99" xfId="31588"/>
    <cellStyle name="메모 7 99 2" xfId="31589"/>
    <cellStyle name="메모 7 99 3" xfId="31590"/>
    <cellStyle name="메모 8" xfId="31591"/>
    <cellStyle name="메모 8 10" xfId="31592"/>
    <cellStyle name="메모 8 10 2" xfId="31593"/>
    <cellStyle name="메모 8 10 3" xfId="31594"/>
    <cellStyle name="메모 8 100" xfId="31595"/>
    <cellStyle name="메모 8 100 2" xfId="31596"/>
    <cellStyle name="메모 8 100 3" xfId="31597"/>
    <cellStyle name="메모 8 101" xfId="31598"/>
    <cellStyle name="메모 8 101 2" xfId="31599"/>
    <cellStyle name="메모 8 101 3" xfId="31600"/>
    <cellStyle name="메모 8 102" xfId="31601"/>
    <cellStyle name="메모 8 102 2" xfId="31602"/>
    <cellStyle name="메모 8 102 3" xfId="31603"/>
    <cellStyle name="메모 8 103" xfId="31604"/>
    <cellStyle name="메모 8 103 2" xfId="31605"/>
    <cellStyle name="메모 8 103 3" xfId="31606"/>
    <cellStyle name="메모 8 104" xfId="31607"/>
    <cellStyle name="메모 8 104 2" xfId="31608"/>
    <cellStyle name="메모 8 104 3" xfId="31609"/>
    <cellStyle name="메모 8 105" xfId="31610"/>
    <cellStyle name="메모 8 105 2" xfId="31611"/>
    <cellStyle name="메모 8 105 3" xfId="31612"/>
    <cellStyle name="메모 8 106" xfId="31613"/>
    <cellStyle name="메모 8 106 2" xfId="31614"/>
    <cellStyle name="메모 8 106 3" xfId="31615"/>
    <cellStyle name="메모 8 107" xfId="31616"/>
    <cellStyle name="메모 8 107 2" xfId="31617"/>
    <cellStyle name="메모 8 107 3" xfId="31618"/>
    <cellStyle name="메모 8 108" xfId="31619"/>
    <cellStyle name="메모 8 108 2" xfId="31620"/>
    <cellStyle name="메모 8 108 3" xfId="31621"/>
    <cellStyle name="메모 8 109" xfId="31622"/>
    <cellStyle name="메모 8 109 2" xfId="31623"/>
    <cellStyle name="메모 8 109 3" xfId="31624"/>
    <cellStyle name="메모 8 11" xfId="31625"/>
    <cellStyle name="메모 8 11 2" xfId="31626"/>
    <cellStyle name="메모 8 11 3" xfId="31627"/>
    <cellStyle name="메모 8 110" xfId="31628"/>
    <cellStyle name="메모 8 110 2" xfId="31629"/>
    <cellStyle name="메모 8 110 3" xfId="31630"/>
    <cellStyle name="메모 8 111" xfId="31631"/>
    <cellStyle name="메모 8 111 2" xfId="31632"/>
    <cellStyle name="메모 8 111 3" xfId="31633"/>
    <cellStyle name="메모 8 112" xfId="31634"/>
    <cellStyle name="메모 8 112 2" xfId="31635"/>
    <cellStyle name="메모 8 112 3" xfId="31636"/>
    <cellStyle name="메모 8 113" xfId="31637"/>
    <cellStyle name="메모 8 113 2" xfId="31638"/>
    <cellStyle name="메모 8 113 3" xfId="31639"/>
    <cellStyle name="메모 8 114" xfId="31640"/>
    <cellStyle name="메모 8 115" xfId="31641"/>
    <cellStyle name="메모 8 116" xfId="31642"/>
    <cellStyle name="메모 8 12" xfId="31643"/>
    <cellStyle name="메모 8 12 2" xfId="31644"/>
    <cellStyle name="메모 8 12 3" xfId="31645"/>
    <cellStyle name="메모 8 13" xfId="31646"/>
    <cellStyle name="메모 8 13 2" xfId="31647"/>
    <cellStyle name="메모 8 13 3" xfId="31648"/>
    <cellStyle name="메모 8 14" xfId="31649"/>
    <cellStyle name="메모 8 14 2" xfId="31650"/>
    <cellStyle name="메모 8 14 3" xfId="31651"/>
    <cellStyle name="메모 8 15" xfId="31652"/>
    <cellStyle name="메모 8 15 2" xfId="31653"/>
    <cellStyle name="메모 8 15 3" xfId="31654"/>
    <cellStyle name="메모 8 16" xfId="31655"/>
    <cellStyle name="메모 8 16 2" xfId="31656"/>
    <cellStyle name="메모 8 16 3" xfId="31657"/>
    <cellStyle name="메모 8 17" xfId="31658"/>
    <cellStyle name="메모 8 17 2" xfId="31659"/>
    <cellStyle name="메모 8 17 3" xfId="31660"/>
    <cellStyle name="메모 8 18" xfId="31661"/>
    <cellStyle name="메모 8 18 2" xfId="31662"/>
    <cellStyle name="메모 8 18 3" xfId="31663"/>
    <cellStyle name="메모 8 19" xfId="31664"/>
    <cellStyle name="메모 8 19 2" xfId="31665"/>
    <cellStyle name="메모 8 19 3" xfId="31666"/>
    <cellStyle name="메모 8 2" xfId="31667"/>
    <cellStyle name="메모 8 2 2" xfId="31668"/>
    <cellStyle name="메모 8 2 2 2" xfId="31669"/>
    <cellStyle name="메모 8 2 2 3" xfId="31670"/>
    <cellStyle name="메모 8 2 2 4" xfId="31671"/>
    <cellStyle name="메모 8 2 3" xfId="31672"/>
    <cellStyle name="메모 8 2 3 2" xfId="31673"/>
    <cellStyle name="메모 8 2 3 3" xfId="31674"/>
    <cellStyle name="메모 8 2 4" xfId="31675"/>
    <cellStyle name="메모 8 2 5" xfId="31676"/>
    <cellStyle name="메모 8 2 6" xfId="31677"/>
    <cellStyle name="메모 8 2 7" xfId="31678"/>
    <cellStyle name="메모 8 20" xfId="31679"/>
    <cellStyle name="메모 8 20 2" xfId="31680"/>
    <cellStyle name="메모 8 20 3" xfId="31681"/>
    <cellStyle name="메모 8 21" xfId="31682"/>
    <cellStyle name="메모 8 21 2" xfId="31683"/>
    <cellStyle name="메모 8 21 3" xfId="31684"/>
    <cellStyle name="메모 8 22" xfId="31685"/>
    <cellStyle name="메모 8 22 2" xfId="31686"/>
    <cellStyle name="메모 8 22 3" xfId="31687"/>
    <cellStyle name="메모 8 23" xfId="31688"/>
    <cellStyle name="메모 8 23 2" xfId="31689"/>
    <cellStyle name="메모 8 23 3" xfId="31690"/>
    <cellStyle name="메모 8 24" xfId="31691"/>
    <cellStyle name="메모 8 24 2" xfId="31692"/>
    <cellStyle name="메모 8 24 3" xfId="31693"/>
    <cellStyle name="메모 8 25" xfId="31694"/>
    <cellStyle name="메모 8 25 2" xfId="31695"/>
    <cellStyle name="메모 8 25 3" xfId="31696"/>
    <cellStyle name="메모 8 26" xfId="31697"/>
    <cellStyle name="메모 8 26 2" xfId="31698"/>
    <cellStyle name="메모 8 26 3" xfId="31699"/>
    <cellStyle name="메모 8 27" xfId="31700"/>
    <cellStyle name="메모 8 27 2" xfId="31701"/>
    <cellStyle name="메모 8 27 3" xfId="31702"/>
    <cellStyle name="메모 8 28" xfId="31703"/>
    <cellStyle name="메모 8 28 2" xfId="31704"/>
    <cellStyle name="메모 8 28 3" xfId="31705"/>
    <cellStyle name="메모 8 29" xfId="31706"/>
    <cellStyle name="메모 8 29 2" xfId="31707"/>
    <cellStyle name="메모 8 29 3" xfId="31708"/>
    <cellStyle name="메모 8 3" xfId="31709"/>
    <cellStyle name="메모 8 3 2" xfId="31710"/>
    <cellStyle name="메모 8 3 2 2" xfId="31711"/>
    <cellStyle name="메모 8 3 2 3" xfId="31712"/>
    <cellStyle name="메모 8 3 3" xfId="31713"/>
    <cellStyle name="메모 8 3 4" xfId="31714"/>
    <cellStyle name="메모 8 3 5" xfId="31715"/>
    <cellStyle name="메모 8 3 6" xfId="31716"/>
    <cellStyle name="메모 8 30" xfId="31717"/>
    <cellStyle name="메모 8 30 2" xfId="31718"/>
    <cellStyle name="메모 8 30 3" xfId="31719"/>
    <cellStyle name="메모 8 31" xfId="31720"/>
    <cellStyle name="메모 8 31 2" xfId="31721"/>
    <cellStyle name="메모 8 31 3" xfId="31722"/>
    <cellStyle name="메모 8 32" xfId="31723"/>
    <cellStyle name="메모 8 32 2" xfId="31724"/>
    <cellStyle name="메모 8 32 3" xfId="31725"/>
    <cellStyle name="메모 8 33" xfId="31726"/>
    <cellStyle name="메모 8 33 2" xfId="31727"/>
    <cellStyle name="메모 8 33 3" xfId="31728"/>
    <cellStyle name="메모 8 34" xfId="31729"/>
    <cellStyle name="메모 8 34 2" xfId="31730"/>
    <cellStyle name="메모 8 34 3" xfId="31731"/>
    <cellStyle name="메모 8 35" xfId="31732"/>
    <cellStyle name="메모 8 35 2" xfId="31733"/>
    <cellStyle name="메모 8 35 3" xfId="31734"/>
    <cellStyle name="메모 8 36" xfId="31735"/>
    <cellStyle name="메모 8 36 2" xfId="31736"/>
    <cellStyle name="메모 8 36 3" xfId="31737"/>
    <cellStyle name="메모 8 37" xfId="31738"/>
    <cellStyle name="메모 8 37 2" xfId="31739"/>
    <cellStyle name="메모 8 37 3" xfId="31740"/>
    <cellStyle name="메모 8 38" xfId="31741"/>
    <cellStyle name="메모 8 38 2" xfId="31742"/>
    <cellStyle name="메모 8 38 3" xfId="31743"/>
    <cellStyle name="메모 8 39" xfId="31744"/>
    <cellStyle name="메모 8 39 2" xfId="31745"/>
    <cellStyle name="메모 8 39 3" xfId="31746"/>
    <cellStyle name="메모 8 4" xfId="31747"/>
    <cellStyle name="메모 8 4 2" xfId="31748"/>
    <cellStyle name="메모 8 4 3" xfId="31749"/>
    <cellStyle name="메모 8 40" xfId="31750"/>
    <cellStyle name="메모 8 40 2" xfId="31751"/>
    <cellStyle name="메모 8 40 3" xfId="31752"/>
    <cellStyle name="메모 8 41" xfId="31753"/>
    <cellStyle name="메모 8 41 2" xfId="31754"/>
    <cellStyle name="메모 8 41 3" xfId="31755"/>
    <cellStyle name="메모 8 42" xfId="31756"/>
    <cellStyle name="메모 8 42 2" xfId="31757"/>
    <cellStyle name="메모 8 42 3" xfId="31758"/>
    <cellStyle name="메모 8 43" xfId="31759"/>
    <cellStyle name="메모 8 43 2" xfId="31760"/>
    <cellStyle name="메모 8 43 3" xfId="31761"/>
    <cellStyle name="메모 8 44" xfId="31762"/>
    <cellStyle name="메모 8 44 2" xfId="31763"/>
    <cellStyle name="메모 8 44 3" xfId="31764"/>
    <cellStyle name="메모 8 45" xfId="31765"/>
    <cellStyle name="메모 8 45 2" xfId="31766"/>
    <cellStyle name="메모 8 45 3" xfId="31767"/>
    <cellStyle name="메모 8 46" xfId="31768"/>
    <cellStyle name="메모 8 46 2" xfId="31769"/>
    <cellStyle name="메모 8 46 3" xfId="31770"/>
    <cellStyle name="메모 8 47" xfId="31771"/>
    <cellStyle name="메모 8 47 2" xfId="31772"/>
    <cellStyle name="메모 8 47 3" xfId="31773"/>
    <cellStyle name="메모 8 48" xfId="31774"/>
    <cellStyle name="메모 8 48 2" xfId="31775"/>
    <cellStyle name="메모 8 48 3" xfId="31776"/>
    <cellStyle name="메모 8 49" xfId="31777"/>
    <cellStyle name="메모 8 49 2" xfId="31778"/>
    <cellStyle name="메모 8 49 3" xfId="31779"/>
    <cellStyle name="메모 8 5" xfId="31780"/>
    <cellStyle name="메모 8 5 2" xfId="31781"/>
    <cellStyle name="메모 8 5 3" xfId="31782"/>
    <cellStyle name="메모 8 50" xfId="31783"/>
    <cellStyle name="메모 8 50 2" xfId="31784"/>
    <cellStyle name="메모 8 50 3" xfId="31785"/>
    <cellStyle name="메모 8 51" xfId="31786"/>
    <cellStyle name="메모 8 51 2" xfId="31787"/>
    <cellStyle name="메모 8 51 3" xfId="31788"/>
    <cellStyle name="메모 8 52" xfId="31789"/>
    <cellStyle name="메모 8 52 2" xfId="31790"/>
    <cellStyle name="메모 8 52 3" xfId="31791"/>
    <cellStyle name="메모 8 53" xfId="31792"/>
    <cellStyle name="메모 8 53 2" xfId="31793"/>
    <cellStyle name="메모 8 53 3" xfId="31794"/>
    <cellStyle name="메모 8 54" xfId="31795"/>
    <cellStyle name="메모 8 54 2" xfId="31796"/>
    <cellStyle name="메모 8 54 3" xfId="31797"/>
    <cellStyle name="메모 8 55" xfId="31798"/>
    <cellStyle name="메모 8 55 2" xfId="31799"/>
    <cellStyle name="메모 8 55 3" xfId="31800"/>
    <cellStyle name="메모 8 56" xfId="31801"/>
    <cellStyle name="메모 8 56 2" xfId="31802"/>
    <cellStyle name="메모 8 56 3" xfId="31803"/>
    <cellStyle name="메모 8 57" xfId="31804"/>
    <cellStyle name="메모 8 57 2" xfId="31805"/>
    <cellStyle name="메모 8 57 3" xfId="31806"/>
    <cellStyle name="메모 8 58" xfId="31807"/>
    <cellStyle name="메모 8 58 2" xfId="31808"/>
    <cellStyle name="메모 8 58 3" xfId="31809"/>
    <cellStyle name="메모 8 59" xfId="31810"/>
    <cellStyle name="메모 8 59 2" xfId="31811"/>
    <cellStyle name="메모 8 59 3" xfId="31812"/>
    <cellStyle name="메모 8 6" xfId="31813"/>
    <cellStyle name="메모 8 6 2" xfId="31814"/>
    <cellStyle name="메모 8 6 3" xfId="31815"/>
    <cellStyle name="메모 8 60" xfId="31816"/>
    <cellStyle name="메모 8 60 2" xfId="31817"/>
    <cellStyle name="메모 8 60 3" xfId="31818"/>
    <cellStyle name="메모 8 61" xfId="31819"/>
    <cellStyle name="메모 8 61 2" xfId="31820"/>
    <cellStyle name="메모 8 61 3" xfId="31821"/>
    <cellStyle name="메모 8 62" xfId="31822"/>
    <cellStyle name="메모 8 62 2" xfId="31823"/>
    <cellStyle name="메모 8 62 3" xfId="31824"/>
    <cellStyle name="메모 8 63" xfId="31825"/>
    <cellStyle name="메모 8 63 2" xfId="31826"/>
    <cellStyle name="메모 8 63 3" xfId="31827"/>
    <cellStyle name="메모 8 64" xfId="31828"/>
    <cellStyle name="메모 8 64 2" xfId="31829"/>
    <cellStyle name="메모 8 64 3" xfId="31830"/>
    <cellStyle name="메모 8 65" xfId="31831"/>
    <cellStyle name="메모 8 65 2" xfId="31832"/>
    <cellStyle name="메모 8 65 3" xfId="31833"/>
    <cellStyle name="메모 8 66" xfId="31834"/>
    <cellStyle name="메모 8 66 2" xfId="31835"/>
    <cellStyle name="메모 8 66 3" xfId="31836"/>
    <cellStyle name="메모 8 67" xfId="31837"/>
    <cellStyle name="메모 8 67 2" xfId="31838"/>
    <cellStyle name="메모 8 67 3" xfId="31839"/>
    <cellStyle name="메모 8 68" xfId="31840"/>
    <cellStyle name="메모 8 68 2" xfId="31841"/>
    <cellStyle name="메모 8 68 3" xfId="31842"/>
    <cellStyle name="메모 8 69" xfId="31843"/>
    <cellStyle name="메모 8 69 2" xfId="31844"/>
    <cellStyle name="메모 8 69 3" xfId="31845"/>
    <cellStyle name="메모 8 7" xfId="31846"/>
    <cellStyle name="메모 8 7 2" xfId="31847"/>
    <cellStyle name="메모 8 7 3" xfId="31848"/>
    <cellStyle name="메모 8 70" xfId="31849"/>
    <cellStyle name="메모 8 70 2" xfId="31850"/>
    <cellStyle name="메모 8 70 3" xfId="31851"/>
    <cellStyle name="메모 8 71" xfId="31852"/>
    <cellStyle name="메모 8 71 2" xfId="31853"/>
    <cellStyle name="메모 8 71 3" xfId="31854"/>
    <cellStyle name="메모 8 72" xfId="31855"/>
    <cellStyle name="메모 8 72 2" xfId="31856"/>
    <cellStyle name="메모 8 72 3" xfId="31857"/>
    <cellStyle name="메모 8 73" xfId="31858"/>
    <cellStyle name="메모 8 73 2" xfId="31859"/>
    <cellStyle name="메모 8 73 3" xfId="31860"/>
    <cellStyle name="메모 8 74" xfId="31861"/>
    <cellStyle name="메모 8 74 2" xfId="31862"/>
    <cellStyle name="메모 8 74 3" xfId="31863"/>
    <cellStyle name="메모 8 75" xfId="31864"/>
    <cellStyle name="메모 8 75 2" xfId="31865"/>
    <cellStyle name="메모 8 75 3" xfId="31866"/>
    <cellStyle name="메모 8 76" xfId="31867"/>
    <cellStyle name="메모 8 76 2" xfId="31868"/>
    <cellStyle name="메모 8 76 3" xfId="31869"/>
    <cellStyle name="메모 8 77" xfId="31870"/>
    <cellStyle name="메모 8 77 2" xfId="31871"/>
    <cellStyle name="메모 8 77 3" xfId="31872"/>
    <cellStyle name="메모 8 78" xfId="31873"/>
    <cellStyle name="메모 8 78 2" xfId="31874"/>
    <cellStyle name="메모 8 78 3" xfId="31875"/>
    <cellStyle name="메모 8 79" xfId="31876"/>
    <cellStyle name="메모 8 79 2" xfId="31877"/>
    <cellStyle name="메모 8 79 3" xfId="31878"/>
    <cellStyle name="메모 8 8" xfId="31879"/>
    <cellStyle name="메모 8 8 2" xfId="31880"/>
    <cellStyle name="메모 8 8 3" xfId="31881"/>
    <cellStyle name="메모 8 80" xfId="31882"/>
    <cellStyle name="메모 8 80 2" xfId="31883"/>
    <cellStyle name="메모 8 80 3" xfId="31884"/>
    <cellStyle name="메모 8 81" xfId="31885"/>
    <cellStyle name="메모 8 81 2" xfId="31886"/>
    <cellStyle name="메모 8 81 3" xfId="31887"/>
    <cellStyle name="메모 8 82" xfId="31888"/>
    <cellStyle name="메모 8 82 2" xfId="31889"/>
    <cellStyle name="메모 8 82 3" xfId="31890"/>
    <cellStyle name="메모 8 83" xfId="31891"/>
    <cellStyle name="메모 8 83 2" xfId="31892"/>
    <cellStyle name="메모 8 83 3" xfId="31893"/>
    <cellStyle name="메모 8 84" xfId="31894"/>
    <cellStyle name="메모 8 84 2" xfId="31895"/>
    <cellStyle name="메모 8 84 3" xfId="31896"/>
    <cellStyle name="메모 8 85" xfId="31897"/>
    <cellStyle name="메모 8 85 2" xfId="31898"/>
    <cellStyle name="메모 8 85 3" xfId="31899"/>
    <cellStyle name="메모 8 86" xfId="31900"/>
    <cellStyle name="메모 8 86 2" xfId="31901"/>
    <cellStyle name="메모 8 86 3" xfId="31902"/>
    <cellStyle name="메모 8 87" xfId="31903"/>
    <cellStyle name="메모 8 87 2" xfId="31904"/>
    <cellStyle name="메모 8 87 3" xfId="31905"/>
    <cellStyle name="메모 8 88" xfId="31906"/>
    <cellStyle name="메모 8 88 2" xfId="31907"/>
    <cellStyle name="메모 8 88 3" xfId="31908"/>
    <cellStyle name="메모 8 89" xfId="31909"/>
    <cellStyle name="메모 8 89 2" xfId="31910"/>
    <cellStyle name="메모 8 89 3" xfId="31911"/>
    <cellStyle name="메모 8 9" xfId="31912"/>
    <cellStyle name="메모 8 9 2" xfId="31913"/>
    <cellStyle name="메모 8 9 3" xfId="31914"/>
    <cellStyle name="메모 8 90" xfId="31915"/>
    <cellStyle name="메모 8 90 2" xfId="31916"/>
    <cellStyle name="메모 8 90 3" xfId="31917"/>
    <cellStyle name="메모 8 91" xfId="31918"/>
    <cellStyle name="메모 8 91 2" xfId="31919"/>
    <cellStyle name="메모 8 91 3" xfId="31920"/>
    <cellStyle name="메모 8 92" xfId="31921"/>
    <cellStyle name="메모 8 92 2" xfId="31922"/>
    <cellStyle name="메모 8 92 3" xfId="31923"/>
    <cellStyle name="메모 8 93" xfId="31924"/>
    <cellStyle name="메모 8 93 2" xfId="31925"/>
    <cellStyle name="메모 8 93 3" xfId="31926"/>
    <cellStyle name="메모 8 94" xfId="31927"/>
    <cellStyle name="메모 8 94 2" xfId="31928"/>
    <cellStyle name="메모 8 94 3" xfId="31929"/>
    <cellStyle name="메모 8 95" xfId="31930"/>
    <cellStyle name="메모 8 95 2" xfId="31931"/>
    <cellStyle name="메모 8 95 3" xfId="31932"/>
    <cellStyle name="메모 8 96" xfId="31933"/>
    <cellStyle name="메모 8 96 2" xfId="31934"/>
    <cellStyle name="메모 8 96 3" xfId="31935"/>
    <cellStyle name="메모 8 97" xfId="31936"/>
    <cellStyle name="메모 8 97 2" xfId="31937"/>
    <cellStyle name="메모 8 97 3" xfId="31938"/>
    <cellStyle name="메모 8 98" xfId="31939"/>
    <cellStyle name="메모 8 98 2" xfId="31940"/>
    <cellStyle name="메모 8 98 3" xfId="31941"/>
    <cellStyle name="메모 8 99" xfId="31942"/>
    <cellStyle name="메모 8 99 2" xfId="31943"/>
    <cellStyle name="메모 8 99 3" xfId="31944"/>
    <cellStyle name="메모 9" xfId="31945"/>
    <cellStyle name="메모 9 10" xfId="31946"/>
    <cellStyle name="메모 9 10 2" xfId="31947"/>
    <cellStyle name="메모 9 10 3" xfId="31948"/>
    <cellStyle name="메모 9 100" xfId="31949"/>
    <cellStyle name="메모 9 100 2" xfId="31950"/>
    <cellStyle name="메모 9 100 3" xfId="31951"/>
    <cellStyle name="메모 9 101" xfId="31952"/>
    <cellStyle name="메모 9 101 2" xfId="31953"/>
    <cellStyle name="메모 9 101 3" xfId="31954"/>
    <cellStyle name="메모 9 102" xfId="31955"/>
    <cellStyle name="메모 9 102 2" xfId="31956"/>
    <cellStyle name="메모 9 102 3" xfId="31957"/>
    <cellStyle name="메모 9 103" xfId="31958"/>
    <cellStyle name="메모 9 103 2" xfId="31959"/>
    <cellStyle name="메모 9 103 3" xfId="31960"/>
    <cellStyle name="메모 9 104" xfId="31961"/>
    <cellStyle name="메모 9 104 2" xfId="31962"/>
    <cellStyle name="메모 9 104 3" xfId="31963"/>
    <cellStyle name="메모 9 105" xfId="31964"/>
    <cellStyle name="메모 9 105 2" xfId="31965"/>
    <cellStyle name="메모 9 105 3" xfId="31966"/>
    <cellStyle name="메모 9 106" xfId="31967"/>
    <cellStyle name="메모 9 106 2" xfId="31968"/>
    <cellStyle name="메모 9 106 3" xfId="31969"/>
    <cellStyle name="메모 9 107" xfId="31970"/>
    <cellStyle name="메모 9 107 2" xfId="31971"/>
    <cellStyle name="메모 9 107 3" xfId="31972"/>
    <cellStyle name="메모 9 108" xfId="31973"/>
    <cellStyle name="메모 9 108 2" xfId="31974"/>
    <cellStyle name="메모 9 108 3" xfId="31975"/>
    <cellStyle name="메모 9 109" xfId="31976"/>
    <cellStyle name="메모 9 109 2" xfId="31977"/>
    <cellStyle name="메모 9 109 3" xfId="31978"/>
    <cellStyle name="메모 9 11" xfId="31979"/>
    <cellStyle name="메모 9 11 2" xfId="31980"/>
    <cellStyle name="메모 9 11 3" xfId="31981"/>
    <cellStyle name="메모 9 110" xfId="31982"/>
    <cellStyle name="메모 9 110 2" xfId="31983"/>
    <cellStyle name="메모 9 110 3" xfId="31984"/>
    <cellStyle name="메모 9 111" xfId="31985"/>
    <cellStyle name="메모 9 111 2" xfId="31986"/>
    <cellStyle name="메모 9 111 3" xfId="31987"/>
    <cellStyle name="메모 9 112" xfId="31988"/>
    <cellStyle name="메모 9 112 2" xfId="31989"/>
    <cellStyle name="메모 9 112 3" xfId="31990"/>
    <cellStyle name="메모 9 113" xfId="31991"/>
    <cellStyle name="메모 9 113 2" xfId="31992"/>
    <cellStyle name="메모 9 113 3" xfId="31993"/>
    <cellStyle name="메모 9 114" xfId="31994"/>
    <cellStyle name="메모 9 115" xfId="31995"/>
    <cellStyle name="메모 9 116" xfId="31996"/>
    <cellStyle name="메모 9 12" xfId="31997"/>
    <cellStyle name="메모 9 12 2" xfId="31998"/>
    <cellStyle name="메모 9 12 3" xfId="31999"/>
    <cellStyle name="메모 9 13" xfId="32000"/>
    <cellStyle name="메모 9 13 2" xfId="32001"/>
    <cellStyle name="메모 9 13 3" xfId="32002"/>
    <cellStyle name="메모 9 14" xfId="32003"/>
    <cellStyle name="메모 9 14 2" xfId="32004"/>
    <cellStyle name="메모 9 14 3" xfId="32005"/>
    <cellStyle name="메모 9 15" xfId="32006"/>
    <cellStyle name="메모 9 15 2" xfId="32007"/>
    <cellStyle name="메모 9 15 3" xfId="32008"/>
    <cellStyle name="메모 9 16" xfId="32009"/>
    <cellStyle name="메모 9 16 2" xfId="32010"/>
    <cellStyle name="메모 9 16 3" xfId="32011"/>
    <cellStyle name="메모 9 17" xfId="32012"/>
    <cellStyle name="메모 9 17 2" xfId="32013"/>
    <cellStyle name="메모 9 17 3" xfId="32014"/>
    <cellStyle name="메모 9 18" xfId="32015"/>
    <cellStyle name="메모 9 18 2" xfId="32016"/>
    <cellStyle name="메모 9 18 3" xfId="32017"/>
    <cellStyle name="메모 9 19" xfId="32018"/>
    <cellStyle name="메모 9 19 2" xfId="32019"/>
    <cellStyle name="메모 9 19 3" xfId="32020"/>
    <cellStyle name="메모 9 2" xfId="32021"/>
    <cellStyle name="메모 9 2 2" xfId="32022"/>
    <cellStyle name="메모 9 2 2 2" xfId="32023"/>
    <cellStyle name="메모 9 2 2 3" xfId="32024"/>
    <cellStyle name="메모 9 2 2 4" xfId="32025"/>
    <cellStyle name="메모 9 2 3" xfId="32026"/>
    <cellStyle name="메모 9 2 3 2" xfId="32027"/>
    <cellStyle name="메모 9 2 3 3" xfId="32028"/>
    <cellStyle name="메모 9 2 4" xfId="32029"/>
    <cellStyle name="메모 9 2 5" xfId="32030"/>
    <cellStyle name="메모 9 2 6" xfId="32031"/>
    <cellStyle name="메모 9 2 7" xfId="32032"/>
    <cellStyle name="메모 9 20" xfId="32033"/>
    <cellStyle name="메모 9 20 2" xfId="32034"/>
    <cellStyle name="메모 9 20 3" xfId="32035"/>
    <cellStyle name="메모 9 21" xfId="32036"/>
    <cellStyle name="메모 9 21 2" xfId="32037"/>
    <cellStyle name="메모 9 21 3" xfId="32038"/>
    <cellStyle name="메모 9 22" xfId="32039"/>
    <cellStyle name="메모 9 22 2" xfId="32040"/>
    <cellStyle name="메모 9 22 3" xfId="32041"/>
    <cellStyle name="메모 9 23" xfId="32042"/>
    <cellStyle name="메모 9 23 2" xfId="32043"/>
    <cellStyle name="메모 9 23 3" xfId="32044"/>
    <cellStyle name="메모 9 24" xfId="32045"/>
    <cellStyle name="메모 9 24 2" xfId="32046"/>
    <cellStyle name="메모 9 24 3" xfId="32047"/>
    <cellStyle name="메모 9 25" xfId="32048"/>
    <cellStyle name="메모 9 25 2" xfId="32049"/>
    <cellStyle name="메모 9 25 3" xfId="32050"/>
    <cellStyle name="메모 9 26" xfId="32051"/>
    <cellStyle name="메모 9 26 2" xfId="32052"/>
    <cellStyle name="메모 9 26 3" xfId="32053"/>
    <cellStyle name="메모 9 27" xfId="32054"/>
    <cellStyle name="메모 9 27 2" xfId="32055"/>
    <cellStyle name="메모 9 27 3" xfId="32056"/>
    <cellStyle name="메모 9 28" xfId="32057"/>
    <cellStyle name="메모 9 28 2" xfId="32058"/>
    <cellStyle name="메모 9 28 3" xfId="32059"/>
    <cellStyle name="메모 9 29" xfId="32060"/>
    <cellStyle name="메모 9 29 2" xfId="32061"/>
    <cellStyle name="메모 9 29 3" xfId="32062"/>
    <cellStyle name="메모 9 3" xfId="32063"/>
    <cellStyle name="메모 9 3 2" xfId="32064"/>
    <cellStyle name="메모 9 3 2 2" xfId="32065"/>
    <cellStyle name="메모 9 3 2 3" xfId="32066"/>
    <cellStyle name="메모 9 3 3" xfId="32067"/>
    <cellStyle name="메모 9 3 4" xfId="32068"/>
    <cellStyle name="메모 9 3 5" xfId="32069"/>
    <cellStyle name="메모 9 3 6" xfId="32070"/>
    <cellStyle name="메모 9 30" xfId="32071"/>
    <cellStyle name="메모 9 30 2" xfId="32072"/>
    <cellStyle name="메모 9 30 3" xfId="32073"/>
    <cellStyle name="메모 9 31" xfId="32074"/>
    <cellStyle name="메모 9 31 2" xfId="32075"/>
    <cellStyle name="메모 9 31 3" xfId="32076"/>
    <cellStyle name="메모 9 32" xfId="32077"/>
    <cellStyle name="메모 9 32 2" xfId="32078"/>
    <cellStyle name="메모 9 32 3" xfId="32079"/>
    <cellStyle name="메모 9 33" xfId="32080"/>
    <cellStyle name="메모 9 33 2" xfId="32081"/>
    <cellStyle name="메모 9 33 3" xfId="32082"/>
    <cellStyle name="메모 9 34" xfId="32083"/>
    <cellStyle name="메모 9 34 2" xfId="32084"/>
    <cellStyle name="메모 9 34 3" xfId="32085"/>
    <cellStyle name="메모 9 35" xfId="32086"/>
    <cellStyle name="메모 9 35 2" xfId="32087"/>
    <cellStyle name="메모 9 35 3" xfId="32088"/>
    <cellStyle name="메모 9 36" xfId="32089"/>
    <cellStyle name="메모 9 36 2" xfId="32090"/>
    <cellStyle name="메모 9 36 3" xfId="32091"/>
    <cellStyle name="메모 9 37" xfId="32092"/>
    <cellStyle name="메모 9 37 2" xfId="32093"/>
    <cellStyle name="메모 9 37 3" xfId="32094"/>
    <cellStyle name="메모 9 38" xfId="32095"/>
    <cellStyle name="메모 9 38 2" xfId="32096"/>
    <cellStyle name="메모 9 38 3" xfId="32097"/>
    <cellStyle name="메모 9 39" xfId="32098"/>
    <cellStyle name="메모 9 39 2" xfId="32099"/>
    <cellStyle name="메모 9 39 3" xfId="32100"/>
    <cellStyle name="메모 9 4" xfId="32101"/>
    <cellStyle name="메모 9 4 2" xfId="32102"/>
    <cellStyle name="메모 9 4 3" xfId="32103"/>
    <cellStyle name="메모 9 40" xfId="32104"/>
    <cellStyle name="메모 9 40 2" xfId="32105"/>
    <cellStyle name="메모 9 40 3" xfId="32106"/>
    <cellStyle name="메모 9 41" xfId="32107"/>
    <cellStyle name="메모 9 41 2" xfId="32108"/>
    <cellStyle name="메모 9 41 3" xfId="32109"/>
    <cellStyle name="메모 9 42" xfId="32110"/>
    <cellStyle name="메모 9 42 2" xfId="32111"/>
    <cellStyle name="메모 9 42 3" xfId="32112"/>
    <cellStyle name="메모 9 43" xfId="32113"/>
    <cellStyle name="메모 9 43 2" xfId="32114"/>
    <cellStyle name="메모 9 43 3" xfId="32115"/>
    <cellStyle name="메모 9 44" xfId="32116"/>
    <cellStyle name="메모 9 44 2" xfId="32117"/>
    <cellStyle name="메모 9 44 3" xfId="32118"/>
    <cellStyle name="메모 9 45" xfId="32119"/>
    <cellStyle name="메모 9 45 2" xfId="32120"/>
    <cellStyle name="메모 9 45 3" xfId="32121"/>
    <cellStyle name="메모 9 46" xfId="32122"/>
    <cellStyle name="메모 9 46 2" xfId="32123"/>
    <cellStyle name="메모 9 46 3" xfId="32124"/>
    <cellStyle name="메모 9 47" xfId="32125"/>
    <cellStyle name="메모 9 47 2" xfId="32126"/>
    <cellStyle name="메모 9 47 3" xfId="32127"/>
    <cellStyle name="메모 9 48" xfId="32128"/>
    <cellStyle name="메모 9 48 2" xfId="32129"/>
    <cellStyle name="메모 9 48 3" xfId="32130"/>
    <cellStyle name="메모 9 49" xfId="32131"/>
    <cellStyle name="메모 9 49 2" xfId="32132"/>
    <cellStyle name="메모 9 49 3" xfId="32133"/>
    <cellStyle name="메모 9 5" xfId="32134"/>
    <cellStyle name="메모 9 5 2" xfId="32135"/>
    <cellStyle name="메모 9 5 3" xfId="32136"/>
    <cellStyle name="메모 9 50" xfId="32137"/>
    <cellStyle name="메모 9 50 2" xfId="32138"/>
    <cellStyle name="메모 9 50 3" xfId="32139"/>
    <cellStyle name="메모 9 51" xfId="32140"/>
    <cellStyle name="메모 9 51 2" xfId="32141"/>
    <cellStyle name="메모 9 51 3" xfId="32142"/>
    <cellStyle name="메모 9 52" xfId="32143"/>
    <cellStyle name="메모 9 52 2" xfId="32144"/>
    <cellStyle name="메모 9 52 3" xfId="32145"/>
    <cellStyle name="메모 9 53" xfId="32146"/>
    <cellStyle name="메모 9 53 2" xfId="32147"/>
    <cellStyle name="메모 9 53 3" xfId="32148"/>
    <cellStyle name="메모 9 54" xfId="32149"/>
    <cellStyle name="메모 9 54 2" xfId="32150"/>
    <cellStyle name="메모 9 54 3" xfId="32151"/>
    <cellStyle name="메모 9 55" xfId="32152"/>
    <cellStyle name="메모 9 55 2" xfId="32153"/>
    <cellStyle name="메모 9 55 3" xfId="32154"/>
    <cellStyle name="메모 9 56" xfId="32155"/>
    <cellStyle name="메모 9 56 2" xfId="32156"/>
    <cellStyle name="메모 9 56 3" xfId="32157"/>
    <cellStyle name="메모 9 57" xfId="32158"/>
    <cellStyle name="메모 9 57 2" xfId="32159"/>
    <cellStyle name="메모 9 57 3" xfId="32160"/>
    <cellStyle name="메모 9 58" xfId="32161"/>
    <cellStyle name="메모 9 58 2" xfId="32162"/>
    <cellStyle name="메모 9 58 3" xfId="32163"/>
    <cellStyle name="메모 9 59" xfId="32164"/>
    <cellStyle name="메모 9 59 2" xfId="32165"/>
    <cellStyle name="메모 9 59 3" xfId="32166"/>
    <cellStyle name="메모 9 6" xfId="32167"/>
    <cellStyle name="메모 9 6 2" xfId="32168"/>
    <cellStyle name="메모 9 6 3" xfId="32169"/>
    <cellStyle name="메모 9 60" xfId="32170"/>
    <cellStyle name="메모 9 60 2" xfId="32171"/>
    <cellStyle name="메모 9 60 3" xfId="32172"/>
    <cellStyle name="메모 9 61" xfId="32173"/>
    <cellStyle name="메모 9 61 2" xfId="32174"/>
    <cellStyle name="메모 9 61 3" xfId="32175"/>
    <cellStyle name="메모 9 62" xfId="32176"/>
    <cellStyle name="메모 9 62 2" xfId="32177"/>
    <cellStyle name="메모 9 62 3" xfId="32178"/>
    <cellStyle name="메모 9 63" xfId="32179"/>
    <cellStyle name="메모 9 63 2" xfId="32180"/>
    <cellStyle name="메모 9 63 3" xfId="32181"/>
    <cellStyle name="메모 9 64" xfId="32182"/>
    <cellStyle name="메모 9 64 2" xfId="32183"/>
    <cellStyle name="메모 9 64 3" xfId="32184"/>
    <cellStyle name="메모 9 65" xfId="32185"/>
    <cellStyle name="메모 9 65 2" xfId="32186"/>
    <cellStyle name="메모 9 65 3" xfId="32187"/>
    <cellStyle name="메모 9 66" xfId="32188"/>
    <cellStyle name="메모 9 66 2" xfId="32189"/>
    <cellStyle name="메모 9 66 3" xfId="32190"/>
    <cellStyle name="메모 9 67" xfId="32191"/>
    <cellStyle name="메모 9 67 2" xfId="32192"/>
    <cellStyle name="메모 9 67 3" xfId="32193"/>
    <cellStyle name="메모 9 68" xfId="32194"/>
    <cellStyle name="메모 9 68 2" xfId="32195"/>
    <cellStyle name="메모 9 68 3" xfId="32196"/>
    <cellStyle name="메모 9 69" xfId="32197"/>
    <cellStyle name="메모 9 69 2" xfId="32198"/>
    <cellStyle name="메모 9 69 3" xfId="32199"/>
    <cellStyle name="메모 9 7" xfId="32200"/>
    <cellStyle name="메모 9 7 2" xfId="32201"/>
    <cellStyle name="메모 9 7 3" xfId="32202"/>
    <cellStyle name="메모 9 70" xfId="32203"/>
    <cellStyle name="메모 9 70 2" xfId="32204"/>
    <cellStyle name="메모 9 70 3" xfId="32205"/>
    <cellStyle name="메모 9 71" xfId="32206"/>
    <cellStyle name="메모 9 71 2" xfId="32207"/>
    <cellStyle name="메모 9 71 3" xfId="32208"/>
    <cellStyle name="메모 9 72" xfId="32209"/>
    <cellStyle name="메모 9 72 2" xfId="32210"/>
    <cellStyle name="메모 9 72 3" xfId="32211"/>
    <cellStyle name="메모 9 73" xfId="32212"/>
    <cellStyle name="메모 9 73 2" xfId="32213"/>
    <cellStyle name="메모 9 73 3" xfId="32214"/>
    <cellStyle name="메모 9 74" xfId="32215"/>
    <cellStyle name="메모 9 74 2" xfId="32216"/>
    <cellStyle name="메모 9 74 3" xfId="32217"/>
    <cellStyle name="메모 9 75" xfId="32218"/>
    <cellStyle name="메모 9 75 2" xfId="32219"/>
    <cellStyle name="메모 9 75 3" xfId="32220"/>
    <cellStyle name="메모 9 76" xfId="32221"/>
    <cellStyle name="메모 9 76 2" xfId="32222"/>
    <cellStyle name="메모 9 76 3" xfId="32223"/>
    <cellStyle name="메모 9 77" xfId="32224"/>
    <cellStyle name="메모 9 77 2" xfId="32225"/>
    <cellStyle name="메모 9 77 3" xfId="32226"/>
    <cellStyle name="메모 9 78" xfId="32227"/>
    <cellStyle name="메모 9 78 2" xfId="32228"/>
    <cellStyle name="메모 9 78 3" xfId="32229"/>
    <cellStyle name="메모 9 79" xfId="32230"/>
    <cellStyle name="메모 9 79 2" xfId="32231"/>
    <cellStyle name="메모 9 79 3" xfId="32232"/>
    <cellStyle name="메모 9 8" xfId="32233"/>
    <cellStyle name="메모 9 8 2" xfId="32234"/>
    <cellStyle name="메모 9 8 3" xfId="32235"/>
    <cellStyle name="메모 9 80" xfId="32236"/>
    <cellStyle name="메모 9 80 2" xfId="32237"/>
    <cellStyle name="메모 9 80 3" xfId="32238"/>
    <cellStyle name="메모 9 81" xfId="32239"/>
    <cellStyle name="메모 9 81 2" xfId="32240"/>
    <cellStyle name="메모 9 81 3" xfId="32241"/>
    <cellStyle name="메모 9 82" xfId="32242"/>
    <cellStyle name="메모 9 82 2" xfId="32243"/>
    <cellStyle name="메모 9 82 3" xfId="32244"/>
    <cellStyle name="메모 9 83" xfId="32245"/>
    <cellStyle name="메모 9 83 2" xfId="32246"/>
    <cellStyle name="메모 9 83 3" xfId="32247"/>
    <cellStyle name="메모 9 84" xfId="32248"/>
    <cellStyle name="메모 9 84 2" xfId="32249"/>
    <cellStyle name="메모 9 84 3" xfId="32250"/>
    <cellStyle name="메모 9 85" xfId="32251"/>
    <cellStyle name="메모 9 85 2" xfId="32252"/>
    <cellStyle name="메모 9 85 3" xfId="32253"/>
    <cellStyle name="메모 9 86" xfId="32254"/>
    <cellStyle name="메모 9 86 2" xfId="32255"/>
    <cellStyle name="메모 9 86 3" xfId="32256"/>
    <cellStyle name="메모 9 87" xfId="32257"/>
    <cellStyle name="메모 9 87 2" xfId="32258"/>
    <cellStyle name="메모 9 87 3" xfId="32259"/>
    <cellStyle name="메모 9 88" xfId="32260"/>
    <cellStyle name="메모 9 88 2" xfId="32261"/>
    <cellStyle name="메모 9 88 3" xfId="32262"/>
    <cellStyle name="메모 9 89" xfId="32263"/>
    <cellStyle name="메모 9 89 2" xfId="32264"/>
    <cellStyle name="메모 9 89 3" xfId="32265"/>
    <cellStyle name="메모 9 9" xfId="32266"/>
    <cellStyle name="메모 9 9 2" xfId="32267"/>
    <cellStyle name="메모 9 9 3" xfId="32268"/>
    <cellStyle name="메모 9 90" xfId="32269"/>
    <cellStyle name="메모 9 90 2" xfId="32270"/>
    <cellStyle name="메모 9 90 3" xfId="32271"/>
    <cellStyle name="메모 9 91" xfId="32272"/>
    <cellStyle name="메모 9 91 2" xfId="32273"/>
    <cellStyle name="메모 9 91 3" xfId="32274"/>
    <cellStyle name="메모 9 92" xfId="32275"/>
    <cellStyle name="메모 9 92 2" xfId="32276"/>
    <cellStyle name="메모 9 92 3" xfId="32277"/>
    <cellStyle name="메모 9 93" xfId="32278"/>
    <cellStyle name="메모 9 93 2" xfId="32279"/>
    <cellStyle name="메모 9 93 3" xfId="32280"/>
    <cellStyle name="메모 9 94" xfId="32281"/>
    <cellStyle name="메모 9 94 2" xfId="32282"/>
    <cellStyle name="메모 9 94 3" xfId="32283"/>
    <cellStyle name="메모 9 95" xfId="32284"/>
    <cellStyle name="메모 9 95 2" xfId="32285"/>
    <cellStyle name="메모 9 95 3" xfId="32286"/>
    <cellStyle name="메모 9 96" xfId="32287"/>
    <cellStyle name="메모 9 96 2" xfId="32288"/>
    <cellStyle name="메모 9 96 3" xfId="32289"/>
    <cellStyle name="메모 9 97" xfId="32290"/>
    <cellStyle name="메모 9 97 2" xfId="32291"/>
    <cellStyle name="메모 9 97 3" xfId="32292"/>
    <cellStyle name="메모 9 98" xfId="32293"/>
    <cellStyle name="메모 9 98 2" xfId="32294"/>
    <cellStyle name="메모 9 98 3" xfId="32295"/>
    <cellStyle name="메모 9 99" xfId="32296"/>
    <cellStyle name="메모 9 99 2" xfId="32297"/>
    <cellStyle name="메모 9 99 3" xfId="32298"/>
    <cellStyle name="묮뎋 [0.00]_NT Server " xfId="32299"/>
    <cellStyle name="묮뎋_NT Server " xfId="32300"/>
    <cellStyle name="문자필드" xfId="32301"/>
    <cellStyle name="문자필드 10" xfId="32302"/>
    <cellStyle name="문자필드 10 2" xfId="32303"/>
    <cellStyle name="문자필드 10 3" xfId="32304"/>
    <cellStyle name="문자필드 11" xfId="32305"/>
    <cellStyle name="문자필드 11 2" xfId="32306"/>
    <cellStyle name="문자필드 11 3" xfId="32307"/>
    <cellStyle name="문자필드 12" xfId="32308"/>
    <cellStyle name="문자필드 12 2" xfId="32309"/>
    <cellStyle name="문자필드 12 3" xfId="32310"/>
    <cellStyle name="문자필드 13" xfId="32311"/>
    <cellStyle name="문자필드 13 2" xfId="32312"/>
    <cellStyle name="문자필드 13 3" xfId="32313"/>
    <cellStyle name="문자필드 14" xfId="32314"/>
    <cellStyle name="문자필드 14 2" xfId="32315"/>
    <cellStyle name="문자필드 14 3" xfId="32316"/>
    <cellStyle name="문자필드 15" xfId="32317"/>
    <cellStyle name="문자필드 15 2" xfId="32318"/>
    <cellStyle name="문자필드 15 3" xfId="32319"/>
    <cellStyle name="문자필드 16" xfId="32320"/>
    <cellStyle name="문자필드 16 2" xfId="32321"/>
    <cellStyle name="문자필드 16 3" xfId="32322"/>
    <cellStyle name="문자필드 17" xfId="32323"/>
    <cellStyle name="문자필드 17 2" xfId="32324"/>
    <cellStyle name="문자필드 17 3" xfId="32325"/>
    <cellStyle name="문자필드 18" xfId="32326"/>
    <cellStyle name="문자필드 18 2" xfId="32327"/>
    <cellStyle name="문자필드 18 3" xfId="32328"/>
    <cellStyle name="문자필드 19" xfId="32329"/>
    <cellStyle name="문자필드 19 2" xfId="32330"/>
    <cellStyle name="문자필드 19 3" xfId="32331"/>
    <cellStyle name="문자필드 2" xfId="32332"/>
    <cellStyle name="문자필드 2 2" xfId="32333"/>
    <cellStyle name="문자필드 2 3" xfId="32334"/>
    <cellStyle name="문자필드 20" xfId="32335"/>
    <cellStyle name="문자필드 20 2" xfId="32336"/>
    <cellStyle name="문자필드 20 3" xfId="32337"/>
    <cellStyle name="문자필드 21" xfId="32338"/>
    <cellStyle name="문자필드 22" xfId="32339"/>
    <cellStyle name="문자필드 3" xfId="32340"/>
    <cellStyle name="문자필드 3 2" xfId="32341"/>
    <cellStyle name="문자필드 3 3" xfId="32342"/>
    <cellStyle name="문자필드 4" xfId="32343"/>
    <cellStyle name="문자필드 4 2" xfId="32344"/>
    <cellStyle name="문자필드 4 3" xfId="32345"/>
    <cellStyle name="문자필드 5" xfId="32346"/>
    <cellStyle name="문자필드 5 2" xfId="32347"/>
    <cellStyle name="문자필드 5 3" xfId="32348"/>
    <cellStyle name="문자필드 6" xfId="32349"/>
    <cellStyle name="문자필드 6 2" xfId="32350"/>
    <cellStyle name="문자필드 6 3" xfId="32351"/>
    <cellStyle name="문자필드 7" xfId="32352"/>
    <cellStyle name="문자필드 7 2" xfId="32353"/>
    <cellStyle name="문자필드 7 3" xfId="32354"/>
    <cellStyle name="문자필드 8" xfId="32355"/>
    <cellStyle name="문자필드 8 2" xfId="32356"/>
    <cellStyle name="문자필드 8 3" xfId="32357"/>
    <cellStyle name="문자필드 9" xfId="32358"/>
    <cellStyle name="문자필드 9 2" xfId="32359"/>
    <cellStyle name="문자필드 9 3" xfId="32360"/>
    <cellStyle name="물량" xfId="32361"/>
    <cellStyle name="믅됞 [0.00]_GUIDE" xfId="32362"/>
    <cellStyle name="믅됞_BOQ SHEET" xfId="32363"/>
    <cellStyle name="未定義" xfId="32364"/>
    <cellStyle name="未定義 2" xfId="32365"/>
    <cellStyle name="未定義 2 2" xfId="32366"/>
    <cellStyle name="未定義 2 2 2" xfId="32367"/>
    <cellStyle name="未定義 2 3" xfId="32368"/>
    <cellStyle name="未定義 2 4" xfId="32369"/>
    <cellStyle name="未定義 2 5" xfId="32370"/>
    <cellStyle name="未定義 3" xfId="32371"/>
    <cellStyle name="未定義 3 2" xfId="32372"/>
    <cellStyle name="未定義 3 2 2" xfId="32373"/>
    <cellStyle name="未定義 3 3" xfId="32374"/>
    <cellStyle name="未定義 3 4" xfId="32375"/>
    <cellStyle name="未定義 3 5" xfId="32376"/>
    <cellStyle name="未定義 3 6" xfId="32377"/>
    <cellStyle name="未定義 4" xfId="32378"/>
    <cellStyle name="未定義 5" xfId="32379"/>
    <cellStyle name="未定義 6" xfId="32380"/>
    <cellStyle name="백분율 [0]" xfId="32381"/>
    <cellStyle name="백분율 [2]" xfId="32382"/>
    <cellStyle name="백분율 2" xfId="32383"/>
    <cellStyle name="백분율 2 2" xfId="32384"/>
    <cellStyle name="백분율 2 2 2" xfId="32385"/>
    <cellStyle name="백분율 2 3" xfId="32386"/>
    <cellStyle name="백분율 2 3 2" xfId="32387"/>
    <cellStyle name="백분율 2 4" xfId="32388"/>
    <cellStyle name="백분율 2 5" xfId="32389"/>
    <cellStyle name="백분율 3" xfId="32390"/>
    <cellStyle name="백분율 3 2" xfId="32391"/>
    <cellStyle name="백분율 3 3" xfId="32392"/>
    <cellStyle name="보통 10" xfId="32393"/>
    <cellStyle name="보통 10 2" xfId="32394"/>
    <cellStyle name="보통 10 2 2" xfId="32395"/>
    <cellStyle name="보통 10 2 2 2" xfId="32396"/>
    <cellStyle name="보통 10 2 2 3" xfId="32397"/>
    <cellStyle name="보통 10 2 2 4" xfId="32398"/>
    <cellStyle name="보통 10 2 3" xfId="32399"/>
    <cellStyle name="보통 10 2 4" xfId="32400"/>
    <cellStyle name="보통 10 2 5" xfId="32401"/>
    <cellStyle name="보통 10 3" xfId="32402"/>
    <cellStyle name="보통 10 3 2" xfId="32403"/>
    <cellStyle name="보통 10 3 3" xfId="32404"/>
    <cellStyle name="보통 10 3 4" xfId="32405"/>
    <cellStyle name="보통 10 4" xfId="32406"/>
    <cellStyle name="보통 10 5" xfId="32407"/>
    <cellStyle name="보통 11" xfId="32408"/>
    <cellStyle name="보통 11 2" xfId="32409"/>
    <cellStyle name="보통 11 2 2" xfId="32410"/>
    <cellStyle name="보통 11 2 2 2" xfId="32411"/>
    <cellStyle name="보통 11 2 2 3" xfId="32412"/>
    <cellStyle name="보통 11 2 2 4" xfId="32413"/>
    <cellStyle name="보통 11 2 3" xfId="32414"/>
    <cellStyle name="보통 11 2 4" xfId="32415"/>
    <cellStyle name="보통 11 2 5" xfId="32416"/>
    <cellStyle name="보통 11 3" xfId="32417"/>
    <cellStyle name="보통 11 3 2" xfId="32418"/>
    <cellStyle name="보통 11 3 3" xfId="32419"/>
    <cellStyle name="보통 11 3 4" xfId="32420"/>
    <cellStyle name="보통 11 4" xfId="32421"/>
    <cellStyle name="보통 11 5" xfId="32422"/>
    <cellStyle name="보통 12" xfId="32423"/>
    <cellStyle name="보통 12 2" xfId="32424"/>
    <cellStyle name="보통 12 2 2" xfId="32425"/>
    <cellStyle name="보통 12 2 3" xfId="32426"/>
    <cellStyle name="보통 12 2 4" xfId="32427"/>
    <cellStyle name="보통 12 3" xfId="32428"/>
    <cellStyle name="보통 12 4" xfId="32429"/>
    <cellStyle name="보통 13" xfId="32430"/>
    <cellStyle name="보통 13 2" xfId="32431"/>
    <cellStyle name="보통 13 3" xfId="32432"/>
    <cellStyle name="보통 13 4" xfId="32433"/>
    <cellStyle name="보통 14" xfId="32434"/>
    <cellStyle name="보통 2" xfId="32435"/>
    <cellStyle name="보통 2 2" xfId="32436"/>
    <cellStyle name="보통 2 2 2" xfId="32437"/>
    <cellStyle name="보통 2 2 2 2" xfId="32438"/>
    <cellStyle name="보통 2 2 2 3" xfId="32439"/>
    <cellStyle name="보통 2 2 2 4" xfId="32440"/>
    <cellStyle name="보통 2 2 3" xfId="32441"/>
    <cellStyle name="보통 2 2 4" xfId="32442"/>
    <cellStyle name="보통 2 2 5" xfId="32443"/>
    <cellStyle name="보통 2 2 6" xfId="32444"/>
    <cellStyle name="보통 2 3" xfId="32445"/>
    <cellStyle name="보통 2 3 2" xfId="32446"/>
    <cellStyle name="보통 2 3 3" xfId="32447"/>
    <cellStyle name="보통 2 3 4" xfId="32448"/>
    <cellStyle name="보통 2 4" xfId="32449"/>
    <cellStyle name="보통 2 5" xfId="32450"/>
    <cellStyle name="보통 2 6" xfId="32451"/>
    <cellStyle name="보통 3" xfId="32452"/>
    <cellStyle name="보통 3 2" xfId="32453"/>
    <cellStyle name="보통 3 2 2" xfId="32454"/>
    <cellStyle name="보통 3 2 2 2" xfId="32455"/>
    <cellStyle name="보통 3 2 2 3" xfId="32456"/>
    <cellStyle name="보통 3 2 2 4" xfId="32457"/>
    <cellStyle name="보통 3 2 3" xfId="32458"/>
    <cellStyle name="보통 3 2 4" xfId="32459"/>
    <cellStyle name="보통 3 2 5" xfId="32460"/>
    <cellStyle name="보통 3 2 6" xfId="32461"/>
    <cellStyle name="보통 3 3" xfId="32462"/>
    <cellStyle name="보통 3 3 2" xfId="32463"/>
    <cellStyle name="보통 3 3 3" xfId="32464"/>
    <cellStyle name="보통 3 3 4" xfId="32465"/>
    <cellStyle name="보통 3 4" xfId="32466"/>
    <cellStyle name="보통 3 5" xfId="32467"/>
    <cellStyle name="보통 3 6" xfId="32468"/>
    <cellStyle name="보통 4" xfId="32469"/>
    <cellStyle name="보통 4 2" xfId="32470"/>
    <cellStyle name="보통 4 2 2" xfId="32471"/>
    <cellStyle name="보통 4 2 2 2" xfId="32472"/>
    <cellStyle name="보통 4 2 2 3" xfId="32473"/>
    <cellStyle name="보통 4 2 2 4" xfId="32474"/>
    <cellStyle name="보통 4 2 3" xfId="32475"/>
    <cellStyle name="보통 4 2 4" xfId="32476"/>
    <cellStyle name="보통 4 2 5" xfId="32477"/>
    <cellStyle name="보통 4 3" xfId="32478"/>
    <cellStyle name="보통 4 3 2" xfId="32479"/>
    <cellStyle name="보통 4 3 3" xfId="32480"/>
    <cellStyle name="보통 4 3 4" xfId="32481"/>
    <cellStyle name="보통 4 4" xfId="32482"/>
    <cellStyle name="보통 4 5" xfId="32483"/>
    <cellStyle name="보통 5" xfId="32484"/>
    <cellStyle name="보통 5 2" xfId="32485"/>
    <cellStyle name="보통 5 2 2" xfId="32486"/>
    <cellStyle name="보통 5 2 2 2" xfId="32487"/>
    <cellStyle name="보통 5 2 2 3" xfId="32488"/>
    <cellStyle name="보통 5 2 2 4" xfId="32489"/>
    <cellStyle name="보통 5 2 3" xfId="32490"/>
    <cellStyle name="보통 5 2 4" xfId="32491"/>
    <cellStyle name="보통 5 2 5" xfId="32492"/>
    <cellStyle name="보통 5 3" xfId="32493"/>
    <cellStyle name="보통 5 3 2" xfId="32494"/>
    <cellStyle name="보통 5 3 3" xfId="32495"/>
    <cellStyle name="보통 5 3 4" xfId="32496"/>
    <cellStyle name="보통 5 4" xfId="32497"/>
    <cellStyle name="보통 5 5" xfId="32498"/>
    <cellStyle name="보통 6" xfId="32499"/>
    <cellStyle name="보통 6 2" xfId="32500"/>
    <cellStyle name="보통 6 2 2" xfId="32501"/>
    <cellStyle name="보통 6 2 2 2" xfId="32502"/>
    <cellStyle name="보통 6 2 2 3" xfId="32503"/>
    <cellStyle name="보통 6 2 2 4" xfId="32504"/>
    <cellStyle name="보통 6 2 3" xfId="32505"/>
    <cellStyle name="보통 6 2 4" xfId="32506"/>
    <cellStyle name="보통 6 2 5" xfId="32507"/>
    <cellStyle name="보통 6 3" xfId="32508"/>
    <cellStyle name="보통 6 3 2" xfId="32509"/>
    <cellStyle name="보통 6 3 3" xfId="32510"/>
    <cellStyle name="보통 6 3 4" xfId="32511"/>
    <cellStyle name="보통 6 4" xfId="32512"/>
    <cellStyle name="보통 6 5" xfId="32513"/>
    <cellStyle name="보통 7" xfId="32514"/>
    <cellStyle name="보통 7 2" xfId="32515"/>
    <cellStyle name="보통 7 2 2" xfId="32516"/>
    <cellStyle name="보통 7 2 2 2" xfId="32517"/>
    <cellStyle name="보통 7 2 2 3" xfId="32518"/>
    <cellStyle name="보통 7 2 2 4" xfId="32519"/>
    <cellStyle name="보통 7 2 3" xfId="32520"/>
    <cellStyle name="보통 7 2 4" xfId="32521"/>
    <cellStyle name="보통 7 2 5" xfId="32522"/>
    <cellStyle name="보통 7 3" xfId="32523"/>
    <cellStyle name="보통 7 3 2" xfId="32524"/>
    <cellStyle name="보통 7 3 3" xfId="32525"/>
    <cellStyle name="보통 7 3 4" xfId="32526"/>
    <cellStyle name="보통 7 4" xfId="32527"/>
    <cellStyle name="보통 7 5" xfId="32528"/>
    <cellStyle name="보통 8" xfId="32529"/>
    <cellStyle name="보통 8 2" xfId="32530"/>
    <cellStyle name="보통 8 2 2" xfId="32531"/>
    <cellStyle name="보통 8 2 2 2" xfId="32532"/>
    <cellStyle name="보통 8 2 2 3" xfId="32533"/>
    <cellStyle name="보통 8 2 2 4" xfId="32534"/>
    <cellStyle name="보통 8 2 3" xfId="32535"/>
    <cellStyle name="보통 8 2 4" xfId="32536"/>
    <cellStyle name="보통 8 2 5" xfId="32537"/>
    <cellStyle name="보통 8 3" xfId="32538"/>
    <cellStyle name="보통 8 3 2" xfId="32539"/>
    <cellStyle name="보통 8 3 3" xfId="32540"/>
    <cellStyle name="보통 8 3 4" xfId="32541"/>
    <cellStyle name="보통 8 4" xfId="32542"/>
    <cellStyle name="보통 8 5" xfId="32543"/>
    <cellStyle name="보통 9" xfId="32544"/>
    <cellStyle name="보통 9 2" xfId="32545"/>
    <cellStyle name="보통 9 2 2" xfId="32546"/>
    <cellStyle name="보통 9 2 2 2" xfId="32547"/>
    <cellStyle name="보통 9 2 2 3" xfId="32548"/>
    <cellStyle name="보통 9 2 2 4" xfId="32549"/>
    <cellStyle name="보통 9 2 3" xfId="32550"/>
    <cellStyle name="보통 9 2 4" xfId="32551"/>
    <cellStyle name="보통 9 2 5" xfId="32552"/>
    <cellStyle name="보통 9 3" xfId="32553"/>
    <cellStyle name="보통 9 3 2" xfId="32554"/>
    <cellStyle name="보통 9 3 3" xfId="32555"/>
    <cellStyle name="보통 9 3 4" xfId="32556"/>
    <cellStyle name="보통 9 4" xfId="32557"/>
    <cellStyle name="보통 9 5" xfId="32558"/>
    <cellStyle name="普通_2" xfId="32559"/>
    <cellStyle name="분수" xfId="32560"/>
    <cellStyle name="붘ōบb붴ōสb뷄ōฺb뷘ō๊b닄ō๚b닜ō๪b닰ō๺b댜ōຊb댸ōບb뷬ōສb븄ō຺b블ō໊b븨ō໚b븼ō໪b덐ō໺b덠ō༊b델ō༚b뎔ō༪b뎬ō༺b빘ōཊb빰ōཚb뺌ōཪb뻘ōེb뻴ōྊb돌ō" xfId="32561"/>
    <cellStyle name="뷭?" xfId="32562"/>
    <cellStyle name="뷭? 2" xfId="32563"/>
    <cellStyle name="뷭? 2 2" xfId="32564"/>
    <cellStyle name="뷭? 3" xfId="32565"/>
    <cellStyle name="뷭? E" xfId="32566"/>
    <cellStyle name="뷭?_1234@PC" xfId="32567"/>
    <cellStyle name="븏?_reserves " xfId="32568"/>
    <cellStyle name="븨ō໚b븼ō໪b덐ō໺b덠ō༊b델ō༚b뎔ō༪b뎬ō༺b빘ōཊb빰ōཚb뺌ōཪb뻘ōེb뻴ōྊb돌ōྚb돴ōྪb된ōྺb됸ō࿊b둔ō࿚b뼘ō࿪b뼸ō࿺b뽨ōညb뾔ōယb뿄ōဪb뒜ō်b뒸ō၊b듌ō" xfId="32569"/>
    <cellStyle name="뻴ōྊb돌ōྚb돴ōྪb된ōྺb됸ō࿊b둔ō࿚b뼘ō࿪b뼸ō࿺b뽨ōညb뾔ōယb뿄ōဪb뒜ō်b뒸ō၊b듌ōၚb들ōၪb듸ōၺb뿴ōႊb쀐ōႚb쀬ōႪb쁴ōႺb삐ō჊b딐ōლb따ōცb땔ōჺb땬ō" xfId="32570"/>
    <cellStyle name="常规_0018000-K04-1" xfId="32571"/>
    <cellStyle name="설명 텍스트 10" xfId="32572"/>
    <cellStyle name="설명 텍스트 10 2" xfId="32573"/>
    <cellStyle name="설명 텍스트 10 2 2" xfId="32574"/>
    <cellStyle name="설명 텍스트 10 2 2 2" xfId="32575"/>
    <cellStyle name="설명 텍스트 10 2 2 3" xfId="32576"/>
    <cellStyle name="설명 텍스트 10 2 2 4" xfId="32577"/>
    <cellStyle name="설명 텍스트 10 2 3" xfId="32578"/>
    <cellStyle name="설명 텍스트 10 2 4" xfId="32579"/>
    <cellStyle name="설명 텍스트 10 2 5" xfId="32580"/>
    <cellStyle name="설명 텍스트 10 3" xfId="32581"/>
    <cellStyle name="설명 텍스트 10 3 2" xfId="32582"/>
    <cellStyle name="설명 텍스트 10 3 3" xfId="32583"/>
    <cellStyle name="설명 텍스트 10 3 4" xfId="32584"/>
    <cellStyle name="설명 텍스트 10 4" xfId="32585"/>
    <cellStyle name="설명 텍스트 10 5" xfId="32586"/>
    <cellStyle name="설명 텍스트 11" xfId="32587"/>
    <cellStyle name="설명 텍스트 11 2" xfId="32588"/>
    <cellStyle name="설명 텍스트 11 2 2" xfId="32589"/>
    <cellStyle name="설명 텍스트 11 2 2 2" xfId="32590"/>
    <cellStyle name="설명 텍스트 11 2 2 3" xfId="32591"/>
    <cellStyle name="설명 텍스트 11 2 2 4" xfId="32592"/>
    <cellStyle name="설명 텍스트 11 2 3" xfId="32593"/>
    <cellStyle name="설명 텍스트 11 2 4" xfId="32594"/>
    <cellStyle name="설명 텍스트 11 2 5" xfId="32595"/>
    <cellStyle name="설명 텍스트 11 3" xfId="32596"/>
    <cellStyle name="설명 텍스트 11 3 2" xfId="32597"/>
    <cellStyle name="설명 텍스트 11 3 3" xfId="32598"/>
    <cellStyle name="설명 텍스트 11 3 4" xfId="32599"/>
    <cellStyle name="설명 텍스트 11 4" xfId="32600"/>
    <cellStyle name="설명 텍스트 11 5" xfId="32601"/>
    <cellStyle name="설명 텍스트 12" xfId="32602"/>
    <cellStyle name="설명 텍스트 12 2" xfId="32603"/>
    <cellStyle name="설명 텍스트 12 2 2" xfId="32604"/>
    <cellStyle name="설명 텍스트 12 2 3" xfId="32605"/>
    <cellStyle name="설명 텍스트 12 2 4" xfId="32606"/>
    <cellStyle name="설명 텍스트 12 3" xfId="32607"/>
    <cellStyle name="설명 텍스트 12 4" xfId="32608"/>
    <cellStyle name="설명 텍스트 13" xfId="32609"/>
    <cellStyle name="설명 텍스트 13 2" xfId="32610"/>
    <cellStyle name="설명 텍스트 13 3" xfId="32611"/>
    <cellStyle name="설명 텍스트 13 4" xfId="32612"/>
    <cellStyle name="설명 텍스트 14" xfId="32613"/>
    <cellStyle name="설명 텍스트 2" xfId="32614"/>
    <cellStyle name="설명 텍스트 2 2" xfId="32615"/>
    <cellStyle name="설명 텍스트 2 2 2" xfId="32616"/>
    <cellStyle name="설명 텍스트 2 2 2 2" xfId="32617"/>
    <cellStyle name="설명 텍스트 2 2 2 3" xfId="32618"/>
    <cellStyle name="설명 텍스트 2 2 2 4" xfId="32619"/>
    <cellStyle name="설명 텍스트 2 2 3" xfId="32620"/>
    <cellStyle name="설명 텍스트 2 2 4" xfId="32621"/>
    <cellStyle name="설명 텍스트 2 2 5" xfId="32622"/>
    <cellStyle name="설명 텍스트 2 2 6" xfId="32623"/>
    <cellStyle name="설명 텍스트 2 3" xfId="32624"/>
    <cellStyle name="설명 텍스트 2 3 2" xfId="32625"/>
    <cellStyle name="설명 텍스트 2 3 3" xfId="32626"/>
    <cellStyle name="설명 텍스트 2 3 4" xfId="32627"/>
    <cellStyle name="설명 텍스트 2 3 5" xfId="32628"/>
    <cellStyle name="설명 텍스트 2 4" xfId="32629"/>
    <cellStyle name="설명 텍스트 2 5" xfId="32630"/>
    <cellStyle name="설명 텍스트 2 6" xfId="32631"/>
    <cellStyle name="설명 텍스트 3" xfId="32632"/>
    <cellStyle name="설명 텍스트 3 2" xfId="32633"/>
    <cellStyle name="설명 텍스트 3 2 2" xfId="32634"/>
    <cellStyle name="설명 텍스트 3 2 2 2" xfId="32635"/>
    <cellStyle name="설명 텍스트 3 2 2 3" xfId="32636"/>
    <cellStyle name="설명 텍스트 3 2 2 4" xfId="32637"/>
    <cellStyle name="설명 텍스트 3 2 3" xfId="32638"/>
    <cellStyle name="설명 텍스트 3 2 4" xfId="32639"/>
    <cellStyle name="설명 텍스트 3 2 5" xfId="32640"/>
    <cellStyle name="설명 텍스트 3 3" xfId="32641"/>
    <cellStyle name="설명 텍스트 3 3 2" xfId="32642"/>
    <cellStyle name="설명 텍스트 3 3 3" xfId="32643"/>
    <cellStyle name="설명 텍스트 3 3 4" xfId="32644"/>
    <cellStyle name="설명 텍스트 3 4" xfId="32645"/>
    <cellStyle name="설명 텍스트 3 5" xfId="32646"/>
    <cellStyle name="설명 텍스트 4" xfId="32647"/>
    <cellStyle name="설명 텍스트 4 2" xfId="32648"/>
    <cellStyle name="설명 텍스트 4 2 2" xfId="32649"/>
    <cellStyle name="설명 텍스트 4 2 2 2" xfId="32650"/>
    <cellStyle name="설명 텍스트 4 2 2 3" xfId="32651"/>
    <cellStyle name="설명 텍스트 4 2 2 4" xfId="32652"/>
    <cellStyle name="설명 텍스트 4 2 3" xfId="32653"/>
    <cellStyle name="설명 텍스트 4 2 4" xfId="32654"/>
    <cellStyle name="설명 텍스트 4 2 5" xfId="32655"/>
    <cellStyle name="설명 텍스트 4 3" xfId="32656"/>
    <cellStyle name="설명 텍스트 4 3 2" xfId="32657"/>
    <cellStyle name="설명 텍스트 4 3 3" xfId="32658"/>
    <cellStyle name="설명 텍스트 4 3 4" xfId="32659"/>
    <cellStyle name="설명 텍스트 4 4" xfId="32660"/>
    <cellStyle name="설명 텍스트 4 5" xfId="32661"/>
    <cellStyle name="설명 텍스트 5" xfId="32662"/>
    <cellStyle name="설명 텍스트 5 2" xfId="32663"/>
    <cellStyle name="설명 텍스트 5 2 2" xfId="32664"/>
    <cellStyle name="설명 텍스트 5 2 2 2" xfId="32665"/>
    <cellStyle name="설명 텍스트 5 2 2 3" xfId="32666"/>
    <cellStyle name="설명 텍스트 5 2 2 4" xfId="32667"/>
    <cellStyle name="설명 텍스트 5 2 3" xfId="32668"/>
    <cellStyle name="설명 텍스트 5 2 4" xfId="32669"/>
    <cellStyle name="설명 텍스트 5 2 5" xfId="32670"/>
    <cellStyle name="설명 텍스트 5 3" xfId="32671"/>
    <cellStyle name="설명 텍스트 5 3 2" xfId="32672"/>
    <cellStyle name="설명 텍스트 5 3 3" xfId="32673"/>
    <cellStyle name="설명 텍스트 5 3 4" xfId="32674"/>
    <cellStyle name="설명 텍스트 5 4" xfId="32675"/>
    <cellStyle name="설명 텍스트 5 5" xfId="32676"/>
    <cellStyle name="설명 텍스트 6" xfId="32677"/>
    <cellStyle name="설명 텍스트 6 2" xfId="32678"/>
    <cellStyle name="설명 텍스트 6 2 2" xfId="32679"/>
    <cellStyle name="설명 텍스트 6 2 2 2" xfId="32680"/>
    <cellStyle name="설명 텍스트 6 2 2 3" xfId="32681"/>
    <cellStyle name="설명 텍스트 6 2 2 4" xfId="32682"/>
    <cellStyle name="설명 텍스트 6 2 3" xfId="32683"/>
    <cellStyle name="설명 텍스트 6 2 4" xfId="32684"/>
    <cellStyle name="설명 텍스트 6 2 5" xfId="32685"/>
    <cellStyle name="설명 텍스트 6 3" xfId="32686"/>
    <cellStyle name="설명 텍스트 6 3 2" xfId="32687"/>
    <cellStyle name="설명 텍스트 6 3 3" xfId="32688"/>
    <cellStyle name="설명 텍스트 6 3 4" xfId="32689"/>
    <cellStyle name="설명 텍스트 6 4" xfId="32690"/>
    <cellStyle name="설명 텍스트 6 5" xfId="32691"/>
    <cellStyle name="설명 텍스트 7" xfId="32692"/>
    <cellStyle name="설명 텍스트 7 2" xfId="32693"/>
    <cellStyle name="설명 텍스트 7 2 2" xfId="32694"/>
    <cellStyle name="설명 텍스트 7 2 2 2" xfId="32695"/>
    <cellStyle name="설명 텍스트 7 2 2 3" xfId="32696"/>
    <cellStyle name="설명 텍스트 7 2 2 4" xfId="32697"/>
    <cellStyle name="설명 텍스트 7 2 3" xfId="32698"/>
    <cellStyle name="설명 텍스트 7 2 4" xfId="32699"/>
    <cellStyle name="설명 텍스트 7 2 5" xfId="32700"/>
    <cellStyle name="설명 텍스트 7 3" xfId="32701"/>
    <cellStyle name="설명 텍스트 7 3 2" xfId="32702"/>
    <cellStyle name="설명 텍스트 7 3 3" xfId="32703"/>
    <cellStyle name="설명 텍스트 7 3 4" xfId="32704"/>
    <cellStyle name="설명 텍스트 7 4" xfId="32705"/>
    <cellStyle name="설명 텍스트 7 5" xfId="32706"/>
    <cellStyle name="설명 텍스트 8" xfId="32707"/>
    <cellStyle name="설명 텍스트 8 2" xfId="32708"/>
    <cellStyle name="설명 텍스트 8 2 2" xfId="32709"/>
    <cellStyle name="설명 텍스트 8 2 2 2" xfId="32710"/>
    <cellStyle name="설명 텍스트 8 2 2 3" xfId="32711"/>
    <cellStyle name="설명 텍스트 8 2 2 4" xfId="32712"/>
    <cellStyle name="설명 텍스트 8 2 3" xfId="32713"/>
    <cellStyle name="설명 텍스트 8 2 4" xfId="32714"/>
    <cellStyle name="설명 텍스트 8 2 5" xfId="32715"/>
    <cellStyle name="설명 텍스트 8 3" xfId="32716"/>
    <cellStyle name="설명 텍스트 8 3 2" xfId="32717"/>
    <cellStyle name="설명 텍스트 8 3 3" xfId="32718"/>
    <cellStyle name="설명 텍스트 8 3 4" xfId="32719"/>
    <cellStyle name="설명 텍스트 8 4" xfId="32720"/>
    <cellStyle name="설명 텍스트 8 5" xfId="32721"/>
    <cellStyle name="설명 텍스트 9" xfId="32722"/>
    <cellStyle name="설명 텍스트 9 2" xfId="32723"/>
    <cellStyle name="설명 텍스트 9 2 2" xfId="32724"/>
    <cellStyle name="설명 텍스트 9 2 2 2" xfId="32725"/>
    <cellStyle name="설명 텍스트 9 2 2 3" xfId="32726"/>
    <cellStyle name="설명 텍스트 9 2 2 4" xfId="32727"/>
    <cellStyle name="설명 텍스트 9 2 3" xfId="32728"/>
    <cellStyle name="설명 텍스트 9 2 4" xfId="32729"/>
    <cellStyle name="설명 텍스트 9 2 5" xfId="32730"/>
    <cellStyle name="설명 텍스트 9 3" xfId="32731"/>
    <cellStyle name="설명 텍스트 9 3 2" xfId="32732"/>
    <cellStyle name="설명 텍스트 9 3 3" xfId="32733"/>
    <cellStyle name="설명 텍스트 9 3 4" xfId="32734"/>
    <cellStyle name="설명 텍스트 9 4" xfId="32735"/>
    <cellStyle name="설명 텍스트 9 5" xfId="32736"/>
    <cellStyle name="셀 확인 10" xfId="32737"/>
    <cellStyle name="셀 확인 10 2" xfId="32738"/>
    <cellStyle name="셀 확인 10 2 2" xfId="32739"/>
    <cellStyle name="셀 확인 10 2 2 2" xfId="32740"/>
    <cellStyle name="셀 확인 10 2 2 3" xfId="32741"/>
    <cellStyle name="셀 확인 10 2 2 4" xfId="32742"/>
    <cellStyle name="셀 확인 10 2 3" xfId="32743"/>
    <cellStyle name="셀 확인 10 2 4" xfId="32744"/>
    <cellStyle name="셀 확인 10 2 5" xfId="32745"/>
    <cellStyle name="셀 확인 10 3" xfId="32746"/>
    <cellStyle name="셀 확인 10 3 2" xfId="32747"/>
    <cellStyle name="셀 확인 10 3 3" xfId="32748"/>
    <cellStyle name="셀 확인 10 3 4" xfId="32749"/>
    <cellStyle name="셀 확인 10 4" xfId="32750"/>
    <cellStyle name="셀 확인 10 5" xfId="32751"/>
    <cellStyle name="셀 확인 11" xfId="32752"/>
    <cellStyle name="셀 확인 11 2" xfId="32753"/>
    <cellStyle name="셀 확인 11 2 2" xfId="32754"/>
    <cellStyle name="셀 확인 11 2 2 2" xfId="32755"/>
    <cellStyle name="셀 확인 11 2 2 3" xfId="32756"/>
    <cellStyle name="셀 확인 11 2 2 4" xfId="32757"/>
    <cellStyle name="셀 확인 11 2 3" xfId="32758"/>
    <cellStyle name="셀 확인 11 2 4" xfId="32759"/>
    <cellStyle name="셀 확인 11 2 5" xfId="32760"/>
    <cellStyle name="셀 확인 11 3" xfId="32761"/>
    <cellStyle name="셀 확인 11 3 2" xfId="32762"/>
    <cellStyle name="셀 확인 11 3 3" xfId="32763"/>
    <cellStyle name="셀 확인 11 3 4" xfId="32764"/>
    <cellStyle name="셀 확인 11 4" xfId="32765"/>
    <cellStyle name="셀 확인 11 5" xfId="32766"/>
    <cellStyle name="셀 확인 12" xfId="32767"/>
    <cellStyle name="셀 확인 12 2" xfId="32768"/>
    <cellStyle name="셀 확인 12 2 2" xfId="32769"/>
    <cellStyle name="셀 확인 12 2 3" xfId="32770"/>
    <cellStyle name="셀 확인 12 2 4" xfId="32771"/>
    <cellStyle name="셀 확인 12 3" xfId="32772"/>
    <cellStyle name="셀 확인 12 4" xfId="32773"/>
    <cellStyle name="셀 확인 13" xfId="32774"/>
    <cellStyle name="셀 확인 13 2" xfId="32775"/>
    <cellStyle name="셀 확인 13 3" xfId="32776"/>
    <cellStyle name="셀 확인 13 4" xfId="32777"/>
    <cellStyle name="셀 확인 14" xfId="32778"/>
    <cellStyle name="셀 확인 2" xfId="32779"/>
    <cellStyle name="셀 확인 2 2" xfId="32780"/>
    <cellStyle name="셀 확인 2 2 2" xfId="32781"/>
    <cellStyle name="셀 확인 2 2 2 2" xfId="32782"/>
    <cellStyle name="셀 확인 2 2 2 3" xfId="32783"/>
    <cellStyle name="셀 확인 2 2 2 4" xfId="32784"/>
    <cellStyle name="셀 확인 2 2 3" xfId="32785"/>
    <cellStyle name="셀 확인 2 2 4" xfId="32786"/>
    <cellStyle name="셀 확인 2 2 5" xfId="32787"/>
    <cellStyle name="셀 확인 2 2 6" xfId="32788"/>
    <cellStyle name="셀 확인 2 3" xfId="32789"/>
    <cellStyle name="셀 확인 2 3 2" xfId="32790"/>
    <cellStyle name="셀 확인 2 3 3" xfId="32791"/>
    <cellStyle name="셀 확인 2 3 4" xfId="32792"/>
    <cellStyle name="셀 확인 2 3 5" xfId="32793"/>
    <cellStyle name="셀 확인 2 4" xfId="32794"/>
    <cellStyle name="셀 확인 2 5" xfId="32795"/>
    <cellStyle name="셀 확인 2 6" xfId="32796"/>
    <cellStyle name="셀 확인 3" xfId="32797"/>
    <cellStyle name="셀 확인 3 2" xfId="32798"/>
    <cellStyle name="셀 확인 3 2 2" xfId="32799"/>
    <cellStyle name="셀 확인 3 2 2 2" xfId="32800"/>
    <cellStyle name="셀 확인 3 2 2 3" xfId="32801"/>
    <cellStyle name="셀 확인 3 2 2 4" xfId="32802"/>
    <cellStyle name="셀 확인 3 2 3" xfId="32803"/>
    <cellStyle name="셀 확인 3 2 4" xfId="32804"/>
    <cellStyle name="셀 확인 3 2 5" xfId="32805"/>
    <cellStyle name="셀 확인 3 3" xfId="32806"/>
    <cellStyle name="셀 확인 3 3 2" xfId="32807"/>
    <cellStyle name="셀 확인 3 3 3" xfId="32808"/>
    <cellStyle name="셀 확인 3 3 4" xfId="32809"/>
    <cellStyle name="셀 확인 3 4" xfId="32810"/>
    <cellStyle name="셀 확인 3 5" xfId="32811"/>
    <cellStyle name="셀 확인 4" xfId="32812"/>
    <cellStyle name="셀 확인 4 2" xfId="32813"/>
    <cellStyle name="셀 확인 4 2 2" xfId="32814"/>
    <cellStyle name="셀 확인 4 2 2 2" xfId="32815"/>
    <cellStyle name="셀 확인 4 2 2 3" xfId="32816"/>
    <cellStyle name="셀 확인 4 2 2 4" xfId="32817"/>
    <cellStyle name="셀 확인 4 2 3" xfId="32818"/>
    <cellStyle name="셀 확인 4 2 4" xfId="32819"/>
    <cellStyle name="셀 확인 4 2 5" xfId="32820"/>
    <cellStyle name="셀 확인 4 3" xfId="32821"/>
    <cellStyle name="셀 확인 4 3 2" xfId="32822"/>
    <cellStyle name="셀 확인 4 3 3" xfId="32823"/>
    <cellStyle name="셀 확인 4 3 4" xfId="32824"/>
    <cellStyle name="셀 확인 4 4" xfId="32825"/>
    <cellStyle name="셀 확인 4 5" xfId="32826"/>
    <cellStyle name="셀 확인 5" xfId="32827"/>
    <cellStyle name="셀 확인 5 2" xfId="32828"/>
    <cellStyle name="셀 확인 5 2 2" xfId="32829"/>
    <cellStyle name="셀 확인 5 2 2 2" xfId="32830"/>
    <cellStyle name="셀 확인 5 2 2 3" xfId="32831"/>
    <cellStyle name="셀 확인 5 2 2 4" xfId="32832"/>
    <cellStyle name="셀 확인 5 2 3" xfId="32833"/>
    <cellStyle name="셀 확인 5 2 4" xfId="32834"/>
    <cellStyle name="셀 확인 5 2 5" xfId="32835"/>
    <cellStyle name="셀 확인 5 3" xfId="32836"/>
    <cellStyle name="셀 확인 5 3 2" xfId="32837"/>
    <cellStyle name="셀 확인 5 3 3" xfId="32838"/>
    <cellStyle name="셀 확인 5 3 4" xfId="32839"/>
    <cellStyle name="셀 확인 5 4" xfId="32840"/>
    <cellStyle name="셀 확인 5 5" xfId="32841"/>
    <cellStyle name="셀 확인 6" xfId="32842"/>
    <cellStyle name="셀 확인 6 2" xfId="32843"/>
    <cellStyle name="셀 확인 6 2 2" xfId="32844"/>
    <cellStyle name="셀 확인 6 2 2 2" xfId="32845"/>
    <cellStyle name="셀 확인 6 2 2 3" xfId="32846"/>
    <cellStyle name="셀 확인 6 2 2 4" xfId="32847"/>
    <cellStyle name="셀 확인 6 2 3" xfId="32848"/>
    <cellStyle name="셀 확인 6 2 4" xfId="32849"/>
    <cellStyle name="셀 확인 6 2 5" xfId="32850"/>
    <cellStyle name="셀 확인 6 3" xfId="32851"/>
    <cellStyle name="셀 확인 6 3 2" xfId="32852"/>
    <cellStyle name="셀 확인 6 3 3" xfId="32853"/>
    <cellStyle name="셀 확인 6 3 4" xfId="32854"/>
    <cellStyle name="셀 확인 6 4" xfId="32855"/>
    <cellStyle name="셀 확인 6 5" xfId="32856"/>
    <cellStyle name="셀 확인 7" xfId="32857"/>
    <cellStyle name="셀 확인 7 2" xfId="32858"/>
    <cellStyle name="셀 확인 7 2 2" xfId="32859"/>
    <cellStyle name="셀 확인 7 2 2 2" xfId="32860"/>
    <cellStyle name="셀 확인 7 2 2 3" xfId="32861"/>
    <cellStyle name="셀 확인 7 2 2 4" xfId="32862"/>
    <cellStyle name="셀 확인 7 2 3" xfId="32863"/>
    <cellStyle name="셀 확인 7 2 4" xfId="32864"/>
    <cellStyle name="셀 확인 7 2 5" xfId="32865"/>
    <cellStyle name="셀 확인 7 3" xfId="32866"/>
    <cellStyle name="셀 확인 7 3 2" xfId="32867"/>
    <cellStyle name="셀 확인 7 3 3" xfId="32868"/>
    <cellStyle name="셀 확인 7 3 4" xfId="32869"/>
    <cellStyle name="셀 확인 7 4" xfId="32870"/>
    <cellStyle name="셀 확인 7 5" xfId="32871"/>
    <cellStyle name="셀 확인 8" xfId="32872"/>
    <cellStyle name="셀 확인 8 2" xfId="32873"/>
    <cellStyle name="셀 확인 8 2 2" xfId="32874"/>
    <cellStyle name="셀 확인 8 2 2 2" xfId="32875"/>
    <cellStyle name="셀 확인 8 2 2 3" xfId="32876"/>
    <cellStyle name="셀 확인 8 2 2 4" xfId="32877"/>
    <cellStyle name="셀 확인 8 2 3" xfId="32878"/>
    <cellStyle name="셀 확인 8 2 4" xfId="32879"/>
    <cellStyle name="셀 확인 8 2 5" xfId="32880"/>
    <cellStyle name="셀 확인 8 3" xfId="32881"/>
    <cellStyle name="셀 확인 8 3 2" xfId="32882"/>
    <cellStyle name="셀 확인 8 3 3" xfId="32883"/>
    <cellStyle name="셀 확인 8 3 4" xfId="32884"/>
    <cellStyle name="셀 확인 8 4" xfId="32885"/>
    <cellStyle name="셀 확인 8 5" xfId="32886"/>
    <cellStyle name="셀 확인 9" xfId="32887"/>
    <cellStyle name="셀 확인 9 2" xfId="32888"/>
    <cellStyle name="셀 확인 9 2 2" xfId="32889"/>
    <cellStyle name="셀 확인 9 2 2 2" xfId="32890"/>
    <cellStyle name="셀 확인 9 2 2 3" xfId="32891"/>
    <cellStyle name="셀 확인 9 2 2 4" xfId="32892"/>
    <cellStyle name="셀 확인 9 2 3" xfId="32893"/>
    <cellStyle name="셀 확인 9 2 4" xfId="32894"/>
    <cellStyle name="셀 확인 9 2 5" xfId="32895"/>
    <cellStyle name="셀 확인 9 3" xfId="32896"/>
    <cellStyle name="셀 확인 9 3 2" xfId="32897"/>
    <cellStyle name="셀 확인 9 3 3" xfId="32898"/>
    <cellStyle name="셀 확인 9 3 4" xfId="32899"/>
    <cellStyle name="셀 확인 9 4" xfId="32900"/>
    <cellStyle name="셀 확인 9 5" xfId="32901"/>
    <cellStyle name="소제목" xfId="32902"/>
    <cellStyle name="输入" xfId="32903"/>
    <cellStyle name="输入 2" xfId="32904"/>
    <cellStyle name="输入 2 2" xfId="32905"/>
    <cellStyle name="输出" xfId="32906"/>
    <cellStyle name="输出 2" xfId="32907"/>
    <cellStyle name="输出 2 2" xfId="32908"/>
    <cellStyle name="숫자(R)" xfId="32909"/>
    <cellStyle name="숫자(R) 2" xfId="32910"/>
    <cellStyle name="숫자(R) 2 2" xfId="32911"/>
    <cellStyle name="숫자(R) 3" xfId="32912"/>
    <cellStyle name="숫자필드" xfId="32913"/>
    <cellStyle name="숫자필드 10" xfId="32914"/>
    <cellStyle name="숫자필드 10 2" xfId="32915"/>
    <cellStyle name="숫자필드 10 3" xfId="32916"/>
    <cellStyle name="숫자필드 11" xfId="32917"/>
    <cellStyle name="숫자필드 11 2" xfId="32918"/>
    <cellStyle name="숫자필드 11 3" xfId="32919"/>
    <cellStyle name="숫자필드 12" xfId="32920"/>
    <cellStyle name="숫자필드 12 2" xfId="32921"/>
    <cellStyle name="숫자필드 12 3" xfId="32922"/>
    <cellStyle name="숫자필드 13" xfId="32923"/>
    <cellStyle name="숫자필드 13 2" xfId="32924"/>
    <cellStyle name="숫자필드 13 3" xfId="32925"/>
    <cellStyle name="숫자필드 14" xfId="32926"/>
    <cellStyle name="숫자필드 14 2" xfId="32927"/>
    <cellStyle name="숫자필드 14 3" xfId="32928"/>
    <cellStyle name="숫자필드 15" xfId="32929"/>
    <cellStyle name="숫자필드 15 2" xfId="32930"/>
    <cellStyle name="숫자필드 15 3" xfId="32931"/>
    <cellStyle name="숫자필드 16" xfId="32932"/>
    <cellStyle name="숫자필드 16 2" xfId="32933"/>
    <cellStyle name="숫자필드 16 3" xfId="32934"/>
    <cellStyle name="숫자필드 17" xfId="32935"/>
    <cellStyle name="숫자필드 17 2" xfId="32936"/>
    <cellStyle name="숫자필드 17 3" xfId="32937"/>
    <cellStyle name="숫자필드 18" xfId="32938"/>
    <cellStyle name="숫자필드 18 2" xfId="32939"/>
    <cellStyle name="숫자필드 18 3" xfId="32940"/>
    <cellStyle name="숫자필드 19" xfId="32941"/>
    <cellStyle name="숫자필드 19 2" xfId="32942"/>
    <cellStyle name="숫자필드 19 3" xfId="32943"/>
    <cellStyle name="숫자필드 2" xfId="32944"/>
    <cellStyle name="숫자필드 2 2" xfId="32945"/>
    <cellStyle name="숫자필드 2 3" xfId="32946"/>
    <cellStyle name="숫자필드 20" xfId="32947"/>
    <cellStyle name="숫자필드 20 2" xfId="32948"/>
    <cellStyle name="숫자필드 20 3" xfId="32949"/>
    <cellStyle name="숫자필드 21" xfId="32950"/>
    <cellStyle name="숫자필드 22" xfId="32951"/>
    <cellStyle name="숫자필드 3" xfId="32952"/>
    <cellStyle name="숫자필드 3 2" xfId="32953"/>
    <cellStyle name="숫자필드 3 3" xfId="32954"/>
    <cellStyle name="숫자필드 4" xfId="32955"/>
    <cellStyle name="숫자필드 4 2" xfId="32956"/>
    <cellStyle name="숫자필드 4 3" xfId="32957"/>
    <cellStyle name="숫자필드 5" xfId="32958"/>
    <cellStyle name="숫자필드 5 2" xfId="32959"/>
    <cellStyle name="숫자필드 5 3" xfId="32960"/>
    <cellStyle name="숫자필드 6" xfId="32961"/>
    <cellStyle name="숫자필드 6 2" xfId="32962"/>
    <cellStyle name="숫자필드 6 3" xfId="32963"/>
    <cellStyle name="숫자필드 7" xfId="32964"/>
    <cellStyle name="숫자필드 7 2" xfId="32965"/>
    <cellStyle name="숫자필드 7 3" xfId="32966"/>
    <cellStyle name="숫자필드 8" xfId="32967"/>
    <cellStyle name="숫자필드 8 2" xfId="32968"/>
    <cellStyle name="숫자필드 8 3" xfId="32969"/>
    <cellStyle name="숫자필드 9" xfId="32970"/>
    <cellStyle name="숫자필드 9 2" xfId="32971"/>
    <cellStyle name="숫자필드 9 3" xfId="32972"/>
    <cellStyle name="쉼표 [0] 2" xfId="32973"/>
    <cellStyle name="쉼표 [0] 2 2" xfId="32974"/>
    <cellStyle name="쉼표 [0] 2 2 2" xfId="32975"/>
    <cellStyle name="쉼표 [0] 2 2 2 2" xfId="32976"/>
    <cellStyle name="쉼표 [0] 2 2 2 3" xfId="32977"/>
    <cellStyle name="쉼표 [0] 2 2 3" xfId="32978"/>
    <cellStyle name="쉼표 [0] 2 2 4" xfId="32979"/>
    <cellStyle name="쉼표 [0] 2 2 5" xfId="32980"/>
    <cellStyle name="쉼표 [0] 2 2 6" xfId="32981"/>
    <cellStyle name="쉼표 [0] 2 3" xfId="32982"/>
    <cellStyle name="쉼표 [0] 2 3 2" xfId="32983"/>
    <cellStyle name="쉼표 [0] 2 3 3" xfId="32984"/>
    <cellStyle name="쉼표 [0] 2 3 4" xfId="32985"/>
    <cellStyle name="쉼표 [0] 2 4" xfId="32986"/>
    <cellStyle name="쉼표 [0] 2 5" xfId="32987"/>
    <cellStyle name="쉼표 [0] 2 6" xfId="32988"/>
    <cellStyle name="쉼표 [0] 3" xfId="32989"/>
    <cellStyle name="쉼표 [0] 3 2" xfId="32990"/>
    <cellStyle name="쉼표 [0] 3 3" xfId="32991"/>
    <cellStyle name="쉼표 [0] 3 4" xfId="32992"/>
    <cellStyle name="쉼표 [0] 3 5" xfId="32993"/>
    <cellStyle name="쉼표 [0] 4" xfId="32994"/>
    <cellStyle name="쉼표 [0] 4 2" xfId="32995"/>
    <cellStyle name="쉼표 [0] 4 3" xfId="32996"/>
    <cellStyle name="쉼표 [0] 4 4" xfId="32997"/>
    <cellStyle name="쉼표 [0] 4 5" xfId="32998"/>
    <cellStyle name="쉼표 [0] 5" xfId="32999"/>
    <cellStyle name="쉼표 [0] 5 2" xfId="33000"/>
    <cellStyle name="쉼표 [0] 5 3" xfId="33001"/>
    <cellStyle name="쉼표 [0] 5 4" xfId="33002"/>
    <cellStyle name="쉼표 [0] 6" xfId="33003"/>
    <cellStyle name="스타일 1" xfId="33004"/>
    <cellStyle name="스타일 1 2" xfId="33005"/>
    <cellStyle name="스타일 1 2 2" xfId="33006"/>
    <cellStyle name="스타일 1 2 3" xfId="33007"/>
    <cellStyle name="스타일 1 3" xfId="33008"/>
    <cellStyle name="스타일 1 3 2" xfId="33009"/>
    <cellStyle name="스타일 1 4" xfId="33010"/>
    <cellStyle name="스타일 2" xfId="33011"/>
    <cellStyle name="스타일 2 2" xfId="33012"/>
    <cellStyle name="스타일 2 2 2" xfId="33013"/>
    <cellStyle name="스타일 2 3" xfId="33014"/>
    <cellStyle name="스타일 3" xfId="33015"/>
    <cellStyle name="스타일 3 2" xfId="33016"/>
    <cellStyle name="스타일 3 2 2" xfId="33017"/>
    <cellStyle name="스타일 3 3" xfId="33018"/>
    <cellStyle name="스타일 4" xfId="33019"/>
    <cellStyle name="스타일 4 2" xfId="33020"/>
    <cellStyle name="스타일 4 2 2" xfId="33021"/>
    <cellStyle name="스타일 4 3" xfId="33022"/>
    <cellStyle name="스타일 5" xfId="33023"/>
    <cellStyle name="스타일 6" xfId="33024"/>
    <cellStyle name="스타일 7" xfId="33025"/>
    <cellStyle name="스타일 8" xfId="33026"/>
    <cellStyle name="안건회계법인" xfId="33027"/>
    <cellStyle name="연결된 셀 10" xfId="33028"/>
    <cellStyle name="연결된 셀 10 2" xfId="33029"/>
    <cellStyle name="연결된 셀 10 2 2" xfId="33030"/>
    <cellStyle name="연결된 셀 10 2 2 2" xfId="33031"/>
    <cellStyle name="연결된 셀 10 2 2 3" xfId="33032"/>
    <cellStyle name="연결된 셀 10 2 2 4" xfId="33033"/>
    <cellStyle name="연결된 셀 10 2 3" xfId="33034"/>
    <cellStyle name="연결된 셀 10 2 4" xfId="33035"/>
    <cellStyle name="연결된 셀 10 2 5" xfId="33036"/>
    <cellStyle name="연결된 셀 10 3" xfId="33037"/>
    <cellStyle name="연결된 셀 10 3 2" xfId="33038"/>
    <cellStyle name="연결된 셀 10 3 3" xfId="33039"/>
    <cellStyle name="연결된 셀 10 3 4" xfId="33040"/>
    <cellStyle name="연결된 셀 10 4" xfId="33041"/>
    <cellStyle name="연결된 셀 10 5" xfId="33042"/>
    <cellStyle name="연결된 셀 11" xfId="33043"/>
    <cellStyle name="연결된 셀 11 2" xfId="33044"/>
    <cellStyle name="연결된 셀 11 2 2" xfId="33045"/>
    <cellStyle name="연결된 셀 11 2 2 2" xfId="33046"/>
    <cellStyle name="연결된 셀 11 2 2 3" xfId="33047"/>
    <cellStyle name="연결된 셀 11 2 2 4" xfId="33048"/>
    <cellStyle name="연결된 셀 11 2 3" xfId="33049"/>
    <cellStyle name="연결된 셀 11 2 4" xfId="33050"/>
    <cellStyle name="연결된 셀 11 2 5" xfId="33051"/>
    <cellStyle name="연결된 셀 11 3" xfId="33052"/>
    <cellStyle name="연결된 셀 11 3 2" xfId="33053"/>
    <cellStyle name="연결된 셀 11 3 3" xfId="33054"/>
    <cellStyle name="연결된 셀 11 3 4" xfId="33055"/>
    <cellStyle name="연결된 셀 11 4" xfId="33056"/>
    <cellStyle name="연결된 셀 11 5" xfId="33057"/>
    <cellStyle name="연결된 셀 12" xfId="33058"/>
    <cellStyle name="연결된 셀 12 2" xfId="33059"/>
    <cellStyle name="연결된 셀 12 2 2" xfId="33060"/>
    <cellStyle name="연결된 셀 12 2 3" xfId="33061"/>
    <cellStyle name="연결된 셀 12 2 4" xfId="33062"/>
    <cellStyle name="연결된 셀 12 3" xfId="33063"/>
    <cellStyle name="연결된 셀 12 4" xfId="33064"/>
    <cellStyle name="연결된 셀 13" xfId="33065"/>
    <cellStyle name="연결된 셀 13 2" xfId="33066"/>
    <cellStyle name="연결된 셀 13 3" xfId="33067"/>
    <cellStyle name="연결된 셀 13 4" xfId="33068"/>
    <cellStyle name="연결된 셀 14" xfId="33069"/>
    <cellStyle name="연결된 셀 2" xfId="33070"/>
    <cellStyle name="연결된 셀 2 2" xfId="33071"/>
    <cellStyle name="연결된 셀 2 2 2" xfId="33072"/>
    <cellStyle name="연결된 셀 2 2 2 2" xfId="33073"/>
    <cellStyle name="연결된 셀 2 2 2 3" xfId="33074"/>
    <cellStyle name="연결된 셀 2 2 2 4" xfId="33075"/>
    <cellStyle name="연결된 셀 2 2 3" xfId="33076"/>
    <cellStyle name="연결된 셀 2 2 4" xfId="33077"/>
    <cellStyle name="연결된 셀 2 2 5" xfId="33078"/>
    <cellStyle name="연결된 셀 2 2 6" xfId="33079"/>
    <cellStyle name="연결된 셀 2 3" xfId="33080"/>
    <cellStyle name="연결된 셀 2 3 2" xfId="33081"/>
    <cellStyle name="연결된 셀 2 3 3" xfId="33082"/>
    <cellStyle name="연결된 셀 2 3 4" xfId="33083"/>
    <cellStyle name="연결된 셀 2 4" xfId="33084"/>
    <cellStyle name="연결된 셀 2 5" xfId="33085"/>
    <cellStyle name="연결된 셀 2 6" xfId="33086"/>
    <cellStyle name="연결된 셀 3" xfId="33087"/>
    <cellStyle name="연결된 셀 3 2" xfId="33088"/>
    <cellStyle name="연결된 셀 3 2 2" xfId="33089"/>
    <cellStyle name="연결된 셀 3 2 2 2" xfId="33090"/>
    <cellStyle name="연결된 셀 3 2 2 3" xfId="33091"/>
    <cellStyle name="연결된 셀 3 2 2 4" xfId="33092"/>
    <cellStyle name="연결된 셀 3 2 3" xfId="33093"/>
    <cellStyle name="연결된 셀 3 2 4" xfId="33094"/>
    <cellStyle name="연결된 셀 3 2 5" xfId="33095"/>
    <cellStyle name="연결된 셀 3 2 6" xfId="33096"/>
    <cellStyle name="연결된 셀 3 3" xfId="33097"/>
    <cellStyle name="연결된 셀 3 3 2" xfId="33098"/>
    <cellStyle name="연결된 셀 3 3 3" xfId="33099"/>
    <cellStyle name="연결된 셀 3 3 4" xfId="33100"/>
    <cellStyle name="연결된 셀 3 4" xfId="33101"/>
    <cellStyle name="연결된 셀 3 5" xfId="33102"/>
    <cellStyle name="연결된 셀 3 6" xfId="33103"/>
    <cellStyle name="연결된 셀 4" xfId="33104"/>
    <cellStyle name="연결된 셀 4 2" xfId="33105"/>
    <cellStyle name="연결된 셀 4 2 2" xfId="33106"/>
    <cellStyle name="연결된 셀 4 2 2 2" xfId="33107"/>
    <cellStyle name="연결된 셀 4 2 2 3" xfId="33108"/>
    <cellStyle name="연결된 셀 4 2 2 4" xfId="33109"/>
    <cellStyle name="연결된 셀 4 2 3" xfId="33110"/>
    <cellStyle name="연결된 셀 4 2 4" xfId="33111"/>
    <cellStyle name="연결된 셀 4 2 5" xfId="33112"/>
    <cellStyle name="연결된 셀 4 3" xfId="33113"/>
    <cellStyle name="연결된 셀 4 3 2" xfId="33114"/>
    <cellStyle name="연결된 셀 4 3 3" xfId="33115"/>
    <cellStyle name="연결된 셀 4 3 4" xfId="33116"/>
    <cellStyle name="연결된 셀 4 4" xfId="33117"/>
    <cellStyle name="연결된 셀 4 5" xfId="33118"/>
    <cellStyle name="연결된 셀 5" xfId="33119"/>
    <cellStyle name="연결된 셀 5 2" xfId="33120"/>
    <cellStyle name="연결된 셀 5 2 2" xfId="33121"/>
    <cellStyle name="연결된 셀 5 2 2 2" xfId="33122"/>
    <cellStyle name="연결된 셀 5 2 2 3" xfId="33123"/>
    <cellStyle name="연결된 셀 5 2 2 4" xfId="33124"/>
    <cellStyle name="연결된 셀 5 2 3" xfId="33125"/>
    <cellStyle name="연결된 셀 5 2 4" xfId="33126"/>
    <cellStyle name="연결된 셀 5 2 5" xfId="33127"/>
    <cellStyle name="연결된 셀 5 3" xfId="33128"/>
    <cellStyle name="연결된 셀 5 3 2" xfId="33129"/>
    <cellStyle name="연결된 셀 5 3 3" xfId="33130"/>
    <cellStyle name="연결된 셀 5 3 4" xfId="33131"/>
    <cellStyle name="연결된 셀 5 4" xfId="33132"/>
    <cellStyle name="연결된 셀 5 5" xfId="33133"/>
    <cellStyle name="연결된 셀 6" xfId="33134"/>
    <cellStyle name="연결된 셀 6 2" xfId="33135"/>
    <cellStyle name="연결된 셀 6 2 2" xfId="33136"/>
    <cellStyle name="연결된 셀 6 2 2 2" xfId="33137"/>
    <cellStyle name="연결된 셀 6 2 2 3" xfId="33138"/>
    <cellStyle name="연결된 셀 6 2 2 4" xfId="33139"/>
    <cellStyle name="연결된 셀 6 2 3" xfId="33140"/>
    <cellStyle name="연결된 셀 6 2 4" xfId="33141"/>
    <cellStyle name="연결된 셀 6 2 5" xfId="33142"/>
    <cellStyle name="연결된 셀 6 3" xfId="33143"/>
    <cellStyle name="연결된 셀 6 3 2" xfId="33144"/>
    <cellStyle name="연결된 셀 6 3 3" xfId="33145"/>
    <cellStyle name="연결된 셀 6 3 4" xfId="33146"/>
    <cellStyle name="연결된 셀 6 4" xfId="33147"/>
    <cellStyle name="연결된 셀 6 5" xfId="33148"/>
    <cellStyle name="연결된 셀 7" xfId="33149"/>
    <cellStyle name="연결된 셀 7 2" xfId="33150"/>
    <cellStyle name="연결된 셀 7 2 2" xfId="33151"/>
    <cellStyle name="연결된 셀 7 2 2 2" xfId="33152"/>
    <cellStyle name="연결된 셀 7 2 2 3" xfId="33153"/>
    <cellStyle name="연결된 셀 7 2 2 4" xfId="33154"/>
    <cellStyle name="연결된 셀 7 2 3" xfId="33155"/>
    <cellStyle name="연결된 셀 7 2 4" xfId="33156"/>
    <cellStyle name="연결된 셀 7 2 5" xfId="33157"/>
    <cellStyle name="연결된 셀 7 3" xfId="33158"/>
    <cellStyle name="연결된 셀 7 3 2" xfId="33159"/>
    <cellStyle name="연결된 셀 7 3 3" xfId="33160"/>
    <cellStyle name="연결된 셀 7 3 4" xfId="33161"/>
    <cellStyle name="연결된 셀 7 4" xfId="33162"/>
    <cellStyle name="연결된 셀 7 5" xfId="33163"/>
    <cellStyle name="연결된 셀 8" xfId="33164"/>
    <cellStyle name="연결된 셀 8 2" xfId="33165"/>
    <cellStyle name="연결된 셀 8 2 2" xfId="33166"/>
    <cellStyle name="연결된 셀 8 2 2 2" xfId="33167"/>
    <cellStyle name="연결된 셀 8 2 2 3" xfId="33168"/>
    <cellStyle name="연결된 셀 8 2 2 4" xfId="33169"/>
    <cellStyle name="연결된 셀 8 2 3" xfId="33170"/>
    <cellStyle name="연결된 셀 8 2 4" xfId="33171"/>
    <cellStyle name="연결된 셀 8 2 5" xfId="33172"/>
    <cellStyle name="연결된 셀 8 3" xfId="33173"/>
    <cellStyle name="연결된 셀 8 3 2" xfId="33174"/>
    <cellStyle name="연결된 셀 8 3 3" xfId="33175"/>
    <cellStyle name="연결된 셀 8 3 4" xfId="33176"/>
    <cellStyle name="연결된 셀 8 4" xfId="33177"/>
    <cellStyle name="연결된 셀 8 5" xfId="33178"/>
    <cellStyle name="연결된 셀 9" xfId="33179"/>
    <cellStyle name="연결된 셀 9 2" xfId="33180"/>
    <cellStyle name="연결된 셀 9 2 2" xfId="33181"/>
    <cellStyle name="연결된 셀 9 2 2 2" xfId="33182"/>
    <cellStyle name="연결된 셀 9 2 2 3" xfId="33183"/>
    <cellStyle name="연결된 셀 9 2 2 4" xfId="33184"/>
    <cellStyle name="연결된 셀 9 2 3" xfId="33185"/>
    <cellStyle name="연결된 셀 9 2 4" xfId="33186"/>
    <cellStyle name="연결된 셀 9 2 5" xfId="33187"/>
    <cellStyle name="연결된 셀 9 3" xfId="33188"/>
    <cellStyle name="연결된 셀 9 3 2" xfId="33189"/>
    <cellStyle name="연결된 셀 9 3 3" xfId="33190"/>
    <cellStyle name="연결된 셀 9 3 4" xfId="33191"/>
    <cellStyle name="연결된 셀 9 4" xfId="33192"/>
    <cellStyle name="연결된 셀 9 5" xfId="33193"/>
    <cellStyle name="열어본 하이퍼링크" xfId="33194"/>
    <cellStyle name="열어본 하이퍼링크 2" xfId="33195"/>
    <cellStyle name="열어본 하이퍼링크潳瑦作晦捩履⸸尰" xfId="33196"/>
    <cellStyle name="霓付 [0]_INQUIRY 康?眠柳 " xfId="33197"/>
    <cellStyle name="霓付_INQUIRY 康?眠柳 " xfId="33198"/>
    <cellStyle name="요약 10" xfId="33199"/>
    <cellStyle name="요약 10 2" xfId="33200"/>
    <cellStyle name="요약 10 2 2" xfId="33201"/>
    <cellStyle name="요약 10 2 2 2" xfId="33202"/>
    <cellStyle name="요약 10 2 2 3" xfId="33203"/>
    <cellStyle name="요약 10 2 2 4" xfId="33204"/>
    <cellStyle name="요약 10 2 3" xfId="33205"/>
    <cellStyle name="요약 10 2 4" xfId="33206"/>
    <cellStyle name="요약 10 2 5" xfId="33207"/>
    <cellStyle name="요약 10 3" xfId="33208"/>
    <cellStyle name="요약 10 3 2" xfId="33209"/>
    <cellStyle name="요약 10 3 3" xfId="33210"/>
    <cellStyle name="요약 10 3 4" xfId="33211"/>
    <cellStyle name="요약 10 4" xfId="33212"/>
    <cellStyle name="요약 10 5" xfId="33213"/>
    <cellStyle name="요약 11" xfId="33214"/>
    <cellStyle name="요약 11 2" xfId="33215"/>
    <cellStyle name="요약 11 2 2" xfId="33216"/>
    <cellStyle name="요약 11 2 2 2" xfId="33217"/>
    <cellStyle name="요약 11 2 2 3" xfId="33218"/>
    <cellStyle name="요약 11 2 2 4" xfId="33219"/>
    <cellStyle name="요약 11 2 3" xfId="33220"/>
    <cellStyle name="요약 11 2 4" xfId="33221"/>
    <cellStyle name="요약 11 2 5" xfId="33222"/>
    <cellStyle name="요약 11 3" xfId="33223"/>
    <cellStyle name="요약 11 3 2" xfId="33224"/>
    <cellStyle name="요약 11 3 3" xfId="33225"/>
    <cellStyle name="요약 11 3 4" xfId="33226"/>
    <cellStyle name="요약 11 4" xfId="33227"/>
    <cellStyle name="요약 11 5" xfId="33228"/>
    <cellStyle name="요약 12" xfId="33229"/>
    <cellStyle name="요약 12 2" xfId="33230"/>
    <cellStyle name="요약 12 2 2" xfId="33231"/>
    <cellStyle name="요약 12 2 3" xfId="33232"/>
    <cellStyle name="요약 12 2 4" xfId="33233"/>
    <cellStyle name="요약 12 3" xfId="33234"/>
    <cellStyle name="요약 12 4" xfId="33235"/>
    <cellStyle name="요약 13" xfId="33236"/>
    <cellStyle name="요약 13 2" xfId="33237"/>
    <cellStyle name="요약 13 3" xfId="33238"/>
    <cellStyle name="요약 13 4" xfId="33239"/>
    <cellStyle name="요약 14" xfId="33240"/>
    <cellStyle name="요약 2" xfId="33241"/>
    <cellStyle name="요약 2 2" xfId="33242"/>
    <cellStyle name="요약 2 2 2" xfId="33243"/>
    <cellStyle name="요약 2 2 2 2" xfId="33244"/>
    <cellStyle name="요약 2 2 2 2 2" xfId="33245"/>
    <cellStyle name="요약 2 2 2 2 3" xfId="33246"/>
    <cellStyle name="요약 2 2 2 2 4" xfId="33247"/>
    <cellStyle name="요약 2 2 2 3" xfId="33248"/>
    <cellStyle name="요약 2 2 2 4" xfId="33249"/>
    <cellStyle name="요약 2 2 2 5" xfId="33250"/>
    <cellStyle name="요약 2 2 3" xfId="33251"/>
    <cellStyle name="요약 2 2 3 2" xfId="33252"/>
    <cellStyle name="요약 2 2 3 3" xfId="33253"/>
    <cellStyle name="요약 2 2 3 4" xfId="33254"/>
    <cellStyle name="요약 2 2 4" xfId="33255"/>
    <cellStyle name="요약 2 2 5" xfId="33256"/>
    <cellStyle name="요약 2 2 6" xfId="33257"/>
    <cellStyle name="요약 2 3" xfId="33258"/>
    <cellStyle name="요약 2 3 2" xfId="33259"/>
    <cellStyle name="요약 2 3 2 2" xfId="33260"/>
    <cellStyle name="요약 2 3 2 2 2" xfId="33261"/>
    <cellStyle name="요약 2 3 2 2 3" xfId="33262"/>
    <cellStyle name="요약 2 3 2 2 4" xfId="33263"/>
    <cellStyle name="요약 2 3 2 3" xfId="33264"/>
    <cellStyle name="요약 2 3 2 4" xfId="33265"/>
    <cellStyle name="요약 2 3 2 5" xfId="33266"/>
    <cellStyle name="요약 2 3 3" xfId="33267"/>
    <cellStyle name="요약 2 3 3 2" xfId="33268"/>
    <cellStyle name="요약 2 3 3 3" xfId="33269"/>
    <cellStyle name="요약 2 3 3 4" xfId="33270"/>
    <cellStyle name="요약 2 3 4" xfId="33271"/>
    <cellStyle name="요약 2 3 5" xfId="33272"/>
    <cellStyle name="요약 2 4" xfId="33273"/>
    <cellStyle name="요약 2 4 2" xfId="33274"/>
    <cellStyle name="요약 2 4 2 2" xfId="33275"/>
    <cellStyle name="요약 2 4 2 2 2" xfId="33276"/>
    <cellStyle name="요약 2 4 2 2 3" xfId="33277"/>
    <cellStyle name="요약 2 4 2 2 4" xfId="33278"/>
    <cellStyle name="요약 2 4 2 3" xfId="33279"/>
    <cellStyle name="요약 2 4 2 4" xfId="33280"/>
    <cellStyle name="요약 2 4 2 5" xfId="33281"/>
    <cellStyle name="요약 2 4 3" xfId="33282"/>
    <cellStyle name="요약 2 4 3 2" xfId="33283"/>
    <cellStyle name="요약 2 4 3 3" xfId="33284"/>
    <cellStyle name="요약 2 4 3 4" xfId="33285"/>
    <cellStyle name="요약 2 4 4" xfId="33286"/>
    <cellStyle name="요약 2 4 5" xfId="33287"/>
    <cellStyle name="요약 2 5" xfId="33288"/>
    <cellStyle name="요약 2 5 2" xfId="33289"/>
    <cellStyle name="요약 2 5 2 2" xfId="33290"/>
    <cellStyle name="요약 2 5 2 3" xfId="33291"/>
    <cellStyle name="요약 2 5 2 4" xfId="33292"/>
    <cellStyle name="요약 2 5 3" xfId="33293"/>
    <cellStyle name="요약 2 5 4" xfId="33294"/>
    <cellStyle name="요약 2 5 5" xfId="33295"/>
    <cellStyle name="요약 2 6" xfId="33296"/>
    <cellStyle name="요약 2 6 2" xfId="33297"/>
    <cellStyle name="요약 2 6 3" xfId="33298"/>
    <cellStyle name="요약 2 6 4" xfId="33299"/>
    <cellStyle name="요약 2 7" xfId="33300"/>
    <cellStyle name="요약 2 8" xfId="33301"/>
    <cellStyle name="요약 2 9" xfId="33302"/>
    <cellStyle name="요약 3" xfId="33303"/>
    <cellStyle name="요약 3 2" xfId="33304"/>
    <cellStyle name="요약 3 2 2" xfId="33305"/>
    <cellStyle name="요약 3 2 2 2" xfId="33306"/>
    <cellStyle name="요약 3 2 2 3" xfId="33307"/>
    <cellStyle name="요약 3 2 2 4" xfId="33308"/>
    <cellStyle name="요약 3 2 3" xfId="33309"/>
    <cellStyle name="요약 3 2 4" xfId="33310"/>
    <cellStyle name="요약 3 2 5" xfId="33311"/>
    <cellStyle name="요약 3 2 6" xfId="33312"/>
    <cellStyle name="요약 3 3" xfId="33313"/>
    <cellStyle name="요약 3 3 2" xfId="33314"/>
    <cellStyle name="요약 3 3 3" xfId="33315"/>
    <cellStyle name="요약 3 3 4" xfId="33316"/>
    <cellStyle name="요약 3 4" xfId="33317"/>
    <cellStyle name="요약 3 5" xfId="33318"/>
    <cellStyle name="요약 3 6" xfId="33319"/>
    <cellStyle name="요약 4" xfId="33320"/>
    <cellStyle name="요약 4 2" xfId="33321"/>
    <cellStyle name="요약 4 2 2" xfId="33322"/>
    <cellStyle name="요약 4 2 2 2" xfId="33323"/>
    <cellStyle name="요약 4 2 2 3" xfId="33324"/>
    <cellStyle name="요약 4 2 2 4" xfId="33325"/>
    <cellStyle name="요약 4 2 3" xfId="33326"/>
    <cellStyle name="요약 4 2 4" xfId="33327"/>
    <cellStyle name="요약 4 2 5" xfId="33328"/>
    <cellStyle name="요약 4 3" xfId="33329"/>
    <cellStyle name="요약 4 3 2" xfId="33330"/>
    <cellStyle name="요약 4 3 3" xfId="33331"/>
    <cellStyle name="요약 4 3 4" xfId="33332"/>
    <cellStyle name="요약 4 4" xfId="33333"/>
    <cellStyle name="요약 4 5" xfId="33334"/>
    <cellStyle name="요약 5" xfId="33335"/>
    <cellStyle name="요약 5 2" xfId="33336"/>
    <cellStyle name="요약 5 2 2" xfId="33337"/>
    <cellStyle name="요약 5 2 2 2" xfId="33338"/>
    <cellStyle name="요약 5 2 2 3" xfId="33339"/>
    <cellStyle name="요약 5 2 2 4" xfId="33340"/>
    <cellStyle name="요약 5 2 3" xfId="33341"/>
    <cellStyle name="요약 5 2 4" xfId="33342"/>
    <cellStyle name="요약 5 2 5" xfId="33343"/>
    <cellStyle name="요약 5 3" xfId="33344"/>
    <cellStyle name="요약 5 3 2" xfId="33345"/>
    <cellStyle name="요약 5 3 3" xfId="33346"/>
    <cellStyle name="요약 5 3 4" xfId="33347"/>
    <cellStyle name="요약 5 4" xfId="33348"/>
    <cellStyle name="요약 5 5" xfId="33349"/>
    <cellStyle name="요약 6" xfId="33350"/>
    <cellStyle name="요약 6 2" xfId="33351"/>
    <cellStyle name="요약 6 2 2" xfId="33352"/>
    <cellStyle name="요약 6 2 2 2" xfId="33353"/>
    <cellStyle name="요약 6 2 2 3" xfId="33354"/>
    <cellStyle name="요약 6 2 2 4" xfId="33355"/>
    <cellStyle name="요약 6 2 3" xfId="33356"/>
    <cellStyle name="요약 6 2 4" xfId="33357"/>
    <cellStyle name="요약 6 2 5" xfId="33358"/>
    <cellStyle name="요약 6 3" xfId="33359"/>
    <cellStyle name="요약 6 3 2" xfId="33360"/>
    <cellStyle name="요약 6 3 3" xfId="33361"/>
    <cellStyle name="요약 6 3 4" xfId="33362"/>
    <cellStyle name="요약 6 4" xfId="33363"/>
    <cellStyle name="요약 6 5" xfId="33364"/>
    <cellStyle name="요약 7" xfId="33365"/>
    <cellStyle name="요약 7 2" xfId="33366"/>
    <cellStyle name="요약 7 2 2" xfId="33367"/>
    <cellStyle name="요약 7 2 2 2" xfId="33368"/>
    <cellStyle name="요약 7 2 2 3" xfId="33369"/>
    <cellStyle name="요약 7 2 2 4" xfId="33370"/>
    <cellStyle name="요약 7 2 3" xfId="33371"/>
    <cellStyle name="요약 7 2 4" xfId="33372"/>
    <cellStyle name="요약 7 2 5" xfId="33373"/>
    <cellStyle name="요약 7 3" xfId="33374"/>
    <cellStyle name="요약 7 3 2" xfId="33375"/>
    <cellStyle name="요약 7 3 3" xfId="33376"/>
    <cellStyle name="요약 7 3 4" xfId="33377"/>
    <cellStyle name="요약 7 4" xfId="33378"/>
    <cellStyle name="요약 7 5" xfId="33379"/>
    <cellStyle name="요약 8" xfId="33380"/>
    <cellStyle name="요약 8 2" xfId="33381"/>
    <cellStyle name="요약 8 2 2" xfId="33382"/>
    <cellStyle name="요약 8 2 2 2" xfId="33383"/>
    <cellStyle name="요약 8 2 2 3" xfId="33384"/>
    <cellStyle name="요약 8 2 2 4" xfId="33385"/>
    <cellStyle name="요약 8 2 3" xfId="33386"/>
    <cellStyle name="요약 8 2 4" xfId="33387"/>
    <cellStyle name="요약 8 2 5" xfId="33388"/>
    <cellStyle name="요약 8 3" xfId="33389"/>
    <cellStyle name="요약 8 3 2" xfId="33390"/>
    <cellStyle name="요약 8 3 3" xfId="33391"/>
    <cellStyle name="요약 8 3 4" xfId="33392"/>
    <cellStyle name="요약 8 4" xfId="33393"/>
    <cellStyle name="요약 8 5" xfId="33394"/>
    <cellStyle name="요약 9" xfId="33395"/>
    <cellStyle name="요약 9 2" xfId="33396"/>
    <cellStyle name="요약 9 2 2" xfId="33397"/>
    <cellStyle name="요약 9 2 2 2" xfId="33398"/>
    <cellStyle name="요약 9 2 2 3" xfId="33399"/>
    <cellStyle name="요약 9 2 2 4" xfId="33400"/>
    <cellStyle name="요약 9 2 3" xfId="33401"/>
    <cellStyle name="요약 9 2 4" xfId="33402"/>
    <cellStyle name="요약 9 2 5" xfId="33403"/>
    <cellStyle name="요약 9 3" xfId="33404"/>
    <cellStyle name="요약 9 3 2" xfId="33405"/>
    <cellStyle name="요약 9 3 3" xfId="33406"/>
    <cellStyle name="요약 9 3 4" xfId="33407"/>
    <cellStyle name="요약 9 4" xfId="33408"/>
    <cellStyle name="요약 9 5" xfId="33409"/>
    <cellStyle name="월당월 (2)" xfId="33410"/>
    <cellStyle name="一般_GARMENT STEP FORM HK" xfId="33411"/>
    <cellStyle name="입력 10" xfId="33412"/>
    <cellStyle name="입력 10 2" xfId="33413"/>
    <cellStyle name="입력 10 2 2" xfId="33414"/>
    <cellStyle name="입력 10 2 2 2" xfId="33415"/>
    <cellStyle name="입력 10 2 2 3" xfId="33416"/>
    <cellStyle name="입력 10 2 2 4" xfId="33417"/>
    <cellStyle name="입력 10 2 3" xfId="33418"/>
    <cellStyle name="입력 10 2 4" xfId="33419"/>
    <cellStyle name="입력 10 2 5" xfId="33420"/>
    <cellStyle name="입력 10 3" xfId="33421"/>
    <cellStyle name="입력 10 3 2" xfId="33422"/>
    <cellStyle name="입력 10 3 3" xfId="33423"/>
    <cellStyle name="입력 10 3 4" xfId="33424"/>
    <cellStyle name="입력 10 4" xfId="33425"/>
    <cellStyle name="입력 10 5" xfId="33426"/>
    <cellStyle name="입력 11" xfId="33427"/>
    <cellStyle name="입력 11 2" xfId="33428"/>
    <cellStyle name="입력 11 2 2" xfId="33429"/>
    <cellStyle name="입력 11 2 2 2" xfId="33430"/>
    <cellStyle name="입력 11 2 2 3" xfId="33431"/>
    <cellStyle name="입력 11 2 2 4" xfId="33432"/>
    <cellStyle name="입력 11 2 3" xfId="33433"/>
    <cellStyle name="입력 11 2 4" xfId="33434"/>
    <cellStyle name="입력 11 2 5" xfId="33435"/>
    <cellStyle name="입력 11 3" xfId="33436"/>
    <cellStyle name="입력 11 3 2" xfId="33437"/>
    <cellStyle name="입력 11 3 3" xfId="33438"/>
    <cellStyle name="입력 11 3 4" xfId="33439"/>
    <cellStyle name="입력 11 4" xfId="33440"/>
    <cellStyle name="입력 11 5" xfId="33441"/>
    <cellStyle name="입력 12" xfId="33442"/>
    <cellStyle name="입력 12 2" xfId="33443"/>
    <cellStyle name="입력 12 2 2" xfId="33444"/>
    <cellStyle name="입력 12 2 3" xfId="33445"/>
    <cellStyle name="입력 12 2 4" xfId="33446"/>
    <cellStyle name="입력 12 3" xfId="33447"/>
    <cellStyle name="입력 12 4" xfId="33448"/>
    <cellStyle name="입력 13" xfId="33449"/>
    <cellStyle name="입력 13 2" xfId="33450"/>
    <cellStyle name="입력 13 3" xfId="33451"/>
    <cellStyle name="입력 13 4" xfId="33452"/>
    <cellStyle name="입력 14" xfId="33453"/>
    <cellStyle name="입력 2" xfId="33454"/>
    <cellStyle name="입력 2 2" xfId="33455"/>
    <cellStyle name="입력 2 2 2" xfId="33456"/>
    <cellStyle name="입력 2 2 2 2" xfId="33457"/>
    <cellStyle name="입력 2 2 2 2 2" xfId="33458"/>
    <cellStyle name="입력 2 2 2 2 3" xfId="33459"/>
    <cellStyle name="입력 2 2 2 2 4" xfId="33460"/>
    <cellStyle name="입력 2 2 2 3" xfId="33461"/>
    <cellStyle name="입력 2 2 2 4" xfId="33462"/>
    <cellStyle name="입력 2 2 2 5" xfId="33463"/>
    <cellStyle name="입력 2 2 3" xfId="33464"/>
    <cellStyle name="입력 2 2 3 2" xfId="33465"/>
    <cellStyle name="입력 2 2 3 3" xfId="33466"/>
    <cellStyle name="입력 2 2 3 4" xfId="33467"/>
    <cellStyle name="입력 2 2 4" xfId="33468"/>
    <cellStyle name="입력 2 2 5" xfId="33469"/>
    <cellStyle name="입력 2 2 6" xfId="33470"/>
    <cellStyle name="입력 2 3" xfId="33471"/>
    <cellStyle name="입력 2 3 2" xfId="33472"/>
    <cellStyle name="입력 2 3 2 2" xfId="33473"/>
    <cellStyle name="입력 2 3 2 2 2" xfId="33474"/>
    <cellStyle name="입력 2 3 2 2 3" xfId="33475"/>
    <cellStyle name="입력 2 3 2 2 4" xfId="33476"/>
    <cellStyle name="입력 2 3 2 3" xfId="33477"/>
    <cellStyle name="입력 2 3 2 4" xfId="33478"/>
    <cellStyle name="입력 2 3 2 5" xfId="33479"/>
    <cellStyle name="입력 2 3 3" xfId="33480"/>
    <cellStyle name="입력 2 3 3 2" xfId="33481"/>
    <cellStyle name="입력 2 3 3 3" xfId="33482"/>
    <cellStyle name="입력 2 3 3 4" xfId="33483"/>
    <cellStyle name="입력 2 3 4" xfId="33484"/>
    <cellStyle name="입력 2 3 5" xfId="33485"/>
    <cellStyle name="입력 2 4" xfId="33486"/>
    <cellStyle name="입력 2 4 2" xfId="33487"/>
    <cellStyle name="입력 2 4 2 2" xfId="33488"/>
    <cellStyle name="입력 2 4 2 3" xfId="33489"/>
    <cellStyle name="입력 2 4 2 4" xfId="33490"/>
    <cellStyle name="입력 2 4 3" xfId="33491"/>
    <cellStyle name="입력 2 4 4" xfId="33492"/>
    <cellStyle name="입력 2 4 5" xfId="33493"/>
    <cellStyle name="입력 2 5" xfId="33494"/>
    <cellStyle name="입력 2 5 2" xfId="33495"/>
    <cellStyle name="입력 2 5 3" xfId="33496"/>
    <cellStyle name="입력 2 5 4" xfId="33497"/>
    <cellStyle name="입력 2 6" xfId="33498"/>
    <cellStyle name="입력 2 7" xfId="33499"/>
    <cellStyle name="입력 2 8" xfId="33500"/>
    <cellStyle name="입력 3" xfId="33501"/>
    <cellStyle name="입력 3 2" xfId="33502"/>
    <cellStyle name="입력 3 2 2" xfId="33503"/>
    <cellStyle name="입력 3 2 2 2" xfId="33504"/>
    <cellStyle name="입력 3 2 2 3" xfId="33505"/>
    <cellStyle name="입력 3 2 2 4" xfId="33506"/>
    <cellStyle name="입력 3 2 3" xfId="33507"/>
    <cellStyle name="입력 3 2 4" xfId="33508"/>
    <cellStyle name="입력 3 2 5" xfId="33509"/>
    <cellStyle name="입력 3 2 6" xfId="33510"/>
    <cellStyle name="입력 3 3" xfId="33511"/>
    <cellStyle name="입력 3 3 2" xfId="33512"/>
    <cellStyle name="입력 3 3 3" xfId="33513"/>
    <cellStyle name="입력 3 3 4" xfId="33514"/>
    <cellStyle name="입력 3 4" xfId="33515"/>
    <cellStyle name="입력 3 5" xfId="33516"/>
    <cellStyle name="입력 3 6" xfId="33517"/>
    <cellStyle name="입력 4" xfId="33518"/>
    <cellStyle name="입력 4 2" xfId="33519"/>
    <cellStyle name="입력 4 2 2" xfId="33520"/>
    <cellStyle name="입력 4 2 2 2" xfId="33521"/>
    <cellStyle name="입력 4 2 2 3" xfId="33522"/>
    <cellStyle name="입력 4 2 2 4" xfId="33523"/>
    <cellStyle name="입력 4 2 3" xfId="33524"/>
    <cellStyle name="입력 4 2 4" xfId="33525"/>
    <cellStyle name="입력 4 2 5" xfId="33526"/>
    <cellStyle name="입력 4 3" xfId="33527"/>
    <cellStyle name="입력 4 3 2" xfId="33528"/>
    <cellStyle name="입력 4 3 3" xfId="33529"/>
    <cellStyle name="입력 4 3 4" xfId="33530"/>
    <cellStyle name="입력 4 4" xfId="33531"/>
    <cellStyle name="입력 4 5" xfId="33532"/>
    <cellStyle name="입력 5" xfId="33533"/>
    <cellStyle name="입력 5 2" xfId="33534"/>
    <cellStyle name="입력 5 2 2" xfId="33535"/>
    <cellStyle name="입력 5 2 2 2" xfId="33536"/>
    <cellStyle name="입력 5 2 2 3" xfId="33537"/>
    <cellStyle name="입력 5 2 2 4" xfId="33538"/>
    <cellStyle name="입력 5 2 3" xfId="33539"/>
    <cellStyle name="입력 5 2 4" xfId="33540"/>
    <cellStyle name="입력 5 2 5" xfId="33541"/>
    <cellStyle name="입력 5 3" xfId="33542"/>
    <cellStyle name="입력 5 3 2" xfId="33543"/>
    <cellStyle name="입력 5 3 3" xfId="33544"/>
    <cellStyle name="입력 5 3 4" xfId="33545"/>
    <cellStyle name="입력 5 4" xfId="33546"/>
    <cellStyle name="입력 5 5" xfId="33547"/>
    <cellStyle name="입력 6" xfId="33548"/>
    <cellStyle name="입력 6 2" xfId="33549"/>
    <cellStyle name="입력 6 2 2" xfId="33550"/>
    <cellStyle name="입력 6 2 2 2" xfId="33551"/>
    <cellStyle name="입력 6 2 2 3" xfId="33552"/>
    <cellStyle name="입력 6 2 2 4" xfId="33553"/>
    <cellStyle name="입력 6 2 3" xfId="33554"/>
    <cellStyle name="입력 6 2 4" xfId="33555"/>
    <cellStyle name="입력 6 2 5" xfId="33556"/>
    <cellStyle name="입력 6 3" xfId="33557"/>
    <cellStyle name="입력 6 3 2" xfId="33558"/>
    <cellStyle name="입력 6 3 3" xfId="33559"/>
    <cellStyle name="입력 6 3 4" xfId="33560"/>
    <cellStyle name="입력 6 4" xfId="33561"/>
    <cellStyle name="입력 6 5" xfId="33562"/>
    <cellStyle name="입력 7" xfId="33563"/>
    <cellStyle name="입력 7 2" xfId="33564"/>
    <cellStyle name="입력 7 2 2" xfId="33565"/>
    <cellStyle name="입력 7 2 2 2" xfId="33566"/>
    <cellStyle name="입력 7 2 2 3" xfId="33567"/>
    <cellStyle name="입력 7 2 2 4" xfId="33568"/>
    <cellStyle name="입력 7 2 3" xfId="33569"/>
    <cellStyle name="입력 7 2 4" xfId="33570"/>
    <cellStyle name="입력 7 2 5" xfId="33571"/>
    <cellStyle name="입력 7 3" xfId="33572"/>
    <cellStyle name="입력 7 3 2" xfId="33573"/>
    <cellStyle name="입력 7 3 3" xfId="33574"/>
    <cellStyle name="입력 7 3 4" xfId="33575"/>
    <cellStyle name="입력 7 4" xfId="33576"/>
    <cellStyle name="입력 7 5" xfId="33577"/>
    <cellStyle name="입력 8" xfId="33578"/>
    <cellStyle name="입력 8 2" xfId="33579"/>
    <cellStyle name="입력 8 2 2" xfId="33580"/>
    <cellStyle name="입력 8 2 2 2" xfId="33581"/>
    <cellStyle name="입력 8 2 2 3" xfId="33582"/>
    <cellStyle name="입력 8 2 2 4" xfId="33583"/>
    <cellStyle name="입력 8 2 3" xfId="33584"/>
    <cellStyle name="입력 8 2 4" xfId="33585"/>
    <cellStyle name="입력 8 2 5" xfId="33586"/>
    <cellStyle name="입력 8 3" xfId="33587"/>
    <cellStyle name="입력 8 3 2" xfId="33588"/>
    <cellStyle name="입력 8 3 3" xfId="33589"/>
    <cellStyle name="입력 8 3 4" xfId="33590"/>
    <cellStyle name="입력 8 4" xfId="33591"/>
    <cellStyle name="입력 8 5" xfId="33592"/>
    <cellStyle name="입력 9" xfId="33593"/>
    <cellStyle name="입력 9 2" xfId="33594"/>
    <cellStyle name="입력 9 2 2" xfId="33595"/>
    <cellStyle name="입력 9 2 2 2" xfId="33596"/>
    <cellStyle name="입력 9 2 2 3" xfId="33597"/>
    <cellStyle name="입력 9 2 2 4" xfId="33598"/>
    <cellStyle name="입력 9 2 3" xfId="33599"/>
    <cellStyle name="입력 9 2 4" xfId="33600"/>
    <cellStyle name="입력 9 2 5" xfId="33601"/>
    <cellStyle name="입력 9 3" xfId="33602"/>
    <cellStyle name="입력 9 3 2" xfId="33603"/>
    <cellStyle name="입력 9 3 3" xfId="33604"/>
    <cellStyle name="입력 9 3 4" xfId="33605"/>
    <cellStyle name="입력 9 4" xfId="33606"/>
    <cellStyle name="입력 9 5" xfId="33607"/>
    <cellStyle name="자리수" xfId="33608"/>
    <cellStyle name="자리수 2" xfId="33609"/>
    <cellStyle name="자리수 2 2" xfId="33610"/>
    <cellStyle name="자리수 3" xfId="33611"/>
    <cellStyle name="자리수 4" xfId="33612"/>
    <cellStyle name="자리수0" xfId="33613"/>
    <cellStyle name="자리수0 2" xfId="33614"/>
    <cellStyle name="자리수0 2 2" xfId="33615"/>
    <cellStyle name="자리수0 2 2 2" xfId="33616"/>
    <cellStyle name="자리수0 2 2 3" xfId="33617"/>
    <cellStyle name="자리수0 2 2 4" xfId="33618"/>
    <cellStyle name="자리수0 2 3" xfId="33619"/>
    <cellStyle name="자리수0 2 4" xfId="33620"/>
    <cellStyle name="자리수0 2 5" xfId="33621"/>
    <cellStyle name="자리수0 2 6" xfId="33622"/>
    <cellStyle name="자리수0 2 7" xfId="33623"/>
    <cellStyle name="자리수0 2 8" xfId="33624"/>
    <cellStyle name="자리수0 3" xfId="33625"/>
    <cellStyle name="자리수0 3 2" xfId="33626"/>
    <cellStyle name="자리수0 3 3" xfId="33627"/>
    <cellStyle name="자리수0 3 4" xfId="33628"/>
    <cellStyle name="자리수0 3 5" xfId="33629"/>
    <cellStyle name="자리수0 4" xfId="33630"/>
    <cellStyle name="자리수0 5" xfId="33631"/>
    <cellStyle name="제목 1 10" xfId="33632"/>
    <cellStyle name="제목 1 10 2" xfId="33633"/>
    <cellStyle name="제목 1 10 2 2" xfId="33634"/>
    <cellStyle name="제목 1 10 2 2 2" xfId="33635"/>
    <cellStyle name="제목 1 10 2 2 3" xfId="33636"/>
    <cellStyle name="제목 1 10 2 2 4" xfId="33637"/>
    <cellStyle name="제목 1 10 2 3" xfId="33638"/>
    <cellStyle name="제목 1 10 2 4" xfId="33639"/>
    <cellStyle name="제목 1 10 2 5" xfId="33640"/>
    <cellStyle name="제목 1 10 3" xfId="33641"/>
    <cellStyle name="제목 1 10 3 2" xfId="33642"/>
    <cellStyle name="제목 1 10 3 3" xfId="33643"/>
    <cellStyle name="제목 1 10 3 4" xfId="33644"/>
    <cellStyle name="제목 1 10 4" xfId="33645"/>
    <cellStyle name="제목 1 10 5" xfId="33646"/>
    <cellStyle name="제목 1 11" xfId="33647"/>
    <cellStyle name="제목 1 11 2" xfId="33648"/>
    <cellStyle name="제목 1 11 2 2" xfId="33649"/>
    <cellStyle name="제목 1 11 2 2 2" xfId="33650"/>
    <cellStyle name="제목 1 11 2 2 3" xfId="33651"/>
    <cellStyle name="제목 1 11 2 2 4" xfId="33652"/>
    <cellStyle name="제목 1 11 2 3" xfId="33653"/>
    <cellStyle name="제목 1 11 2 4" xfId="33654"/>
    <cellStyle name="제목 1 11 2 5" xfId="33655"/>
    <cellStyle name="제목 1 11 3" xfId="33656"/>
    <cellStyle name="제목 1 11 3 2" xfId="33657"/>
    <cellStyle name="제목 1 11 3 3" xfId="33658"/>
    <cellStyle name="제목 1 11 3 4" xfId="33659"/>
    <cellStyle name="제목 1 11 4" xfId="33660"/>
    <cellStyle name="제목 1 11 5" xfId="33661"/>
    <cellStyle name="제목 1 12" xfId="33662"/>
    <cellStyle name="제목 1 12 2" xfId="33663"/>
    <cellStyle name="제목 1 12 2 2" xfId="33664"/>
    <cellStyle name="제목 1 12 2 3" xfId="33665"/>
    <cellStyle name="제목 1 12 2 4" xfId="33666"/>
    <cellStyle name="제목 1 12 3" xfId="33667"/>
    <cellStyle name="제목 1 12 4" xfId="33668"/>
    <cellStyle name="제목 1 13" xfId="33669"/>
    <cellStyle name="제목 1 13 2" xfId="33670"/>
    <cellStyle name="제목 1 13 3" xfId="33671"/>
    <cellStyle name="제목 1 13 4" xfId="33672"/>
    <cellStyle name="제목 1 14" xfId="33673"/>
    <cellStyle name="제목 1 2" xfId="33674"/>
    <cellStyle name="제목 1 2 2" xfId="33675"/>
    <cellStyle name="제목 1 2 2 2" xfId="33676"/>
    <cellStyle name="제목 1 2 2 2 2" xfId="33677"/>
    <cellStyle name="제목 1 2 2 2 3" xfId="33678"/>
    <cellStyle name="제목 1 2 2 2 4" xfId="33679"/>
    <cellStyle name="제목 1 2 2 3" xfId="33680"/>
    <cellStyle name="제목 1 2 2 4" xfId="33681"/>
    <cellStyle name="제목 1 2 2 5" xfId="33682"/>
    <cellStyle name="제목 1 2 2 6" xfId="33683"/>
    <cellStyle name="제목 1 2 3" xfId="33684"/>
    <cellStyle name="제목 1 2 3 2" xfId="33685"/>
    <cellStyle name="제목 1 2 3 3" xfId="33686"/>
    <cellStyle name="제목 1 2 3 4" xfId="33687"/>
    <cellStyle name="제목 1 2 4" xfId="33688"/>
    <cellStyle name="제목 1 2 5" xfId="33689"/>
    <cellStyle name="제목 1 2 6" xfId="33690"/>
    <cellStyle name="제목 1 3" xfId="33691"/>
    <cellStyle name="제목 1 3 2" xfId="33692"/>
    <cellStyle name="제목 1 3 2 2" xfId="33693"/>
    <cellStyle name="제목 1 3 2 2 2" xfId="33694"/>
    <cellStyle name="제목 1 3 2 2 3" xfId="33695"/>
    <cellStyle name="제목 1 3 2 2 4" xfId="33696"/>
    <cellStyle name="제목 1 3 2 3" xfId="33697"/>
    <cellStyle name="제목 1 3 2 4" xfId="33698"/>
    <cellStyle name="제목 1 3 2 5" xfId="33699"/>
    <cellStyle name="제목 1 3 2 6" xfId="33700"/>
    <cellStyle name="제목 1 3 3" xfId="33701"/>
    <cellStyle name="제목 1 3 3 2" xfId="33702"/>
    <cellStyle name="제목 1 3 3 3" xfId="33703"/>
    <cellStyle name="제목 1 3 3 4" xfId="33704"/>
    <cellStyle name="제목 1 3 4" xfId="33705"/>
    <cellStyle name="제목 1 3 5" xfId="33706"/>
    <cellStyle name="제목 1 3 6" xfId="33707"/>
    <cellStyle name="제목 1 4" xfId="33708"/>
    <cellStyle name="제목 1 4 2" xfId="33709"/>
    <cellStyle name="제목 1 4 2 2" xfId="33710"/>
    <cellStyle name="제목 1 4 2 2 2" xfId="33711"/>
    <cellStyle name="제목 1 4 2 2 3" xfId="33712"/>
    <cellStyle name="제목 1 4 2 2 4" xfId="33713"/>
    <cellStyle name="제목 1 4 2 3" xfId="33714"/>
    <cellStyle name="제목 1 4 2 4" xfId="33715"/>
    <cellStyle name="제목 1 4 2 5" xfId="33716"/>
    <cellStyle name="제목 1 4 3" xfId="33717"/>
    <cellStyle name="제목 1 4 3 2" xfId="33718"/>
    <cellStyle name="제목 1 4 3 3" xfId="33719"/>
    <cellStyle name="제목 1 4 3 4" xfId="33720"/>
    <cellStyle name="제목 1 4 4" xfId="33721"/>
    <cellStyle name="제목 1 4 5" xfId="33722"/>
    <cellStyle name="제목 1 5" xfId="33723"/>
    <cellStyle name="제목 1 5 2" xfId="33724"/>
    <cellStyle name="제목 1 5 2 2" xfId="33725"/>
    <cellStyle name="제목 1 5 2 2 2" xfId="33726"/>
    <cellStyle name="제목 1 5 2 2 3" xfId="33727"/>
    <cellStyle name="제목 1 5 2 2 4" xfId="33728"/>
    <cellStyle name="제목 1 5 2 3" xfId="33729"/>
    <cellStyle name="제목 1 5 2 4" xfId="33730"/>
    <cellStyle name="제목 1 5 2 5" xfId="33731"/>
    <cellStyle name="제목 1 5 3" xfId="33732"/>
    <cellStyle name="제목 1 5 3 2" xfId="33733"/>
    <cellStyle name="제목 1 5 3 3" xfId="33734"/>
    <cellStyle name="제목 1 5 3 4" xfId="33735"/>
    <cellStyle name="제목 1 5 4" xfId="33736"/>
    <cellStyle name="제목 1 5 5" xfId="33737"/>
    <cellStyle name="제목 1 6" xfId="33738"/>
    <cellStyle name="제목 1 6 2" xfId="33739"/>
    <cellStyle name="제목 1 6 2 2" xfId="33740"/>
    <cellStyle name="제목 1 6 2 2 2" xfId="33741"/>
    <cellStyle name="제목 1 6 2 2 3" xfId="33742"/>
    <cellStyle name="제목 1 6 2 2 4" xfId="33743"/>
    <cellStyle name="제목 1 6 2 3" xfId="33744"/>
    <cellStyle name="제목 1 6 2 4" xfId="33745"/>
    <cellStyle name="제목 1 6 2 5" xfId="33746"/>
    <cellStyle name="제목 1 6 3" xfId="33747"/>
    <cellStyle name="제목 1 6 3 2" xfId="33748"/>
    <cellStyle name="제목 1 6 3 3" xfId="33749"/>
    <cellStyle name="제목 1 6 3 4" xfId="33750"/>
    <cellStyle name="제목 1 6 4" xfId="33751"/>
    <cellStyle name="제목 1 6 5" xfId="33752"/>
    <cellStyle name="제목 1 7" xfId="33753"/>
    <cellStyle name="제목 1 7 2" xfId="33754"/>
    <cellStyle name="제목 1 7 2 2" xfId="33755"/>
    <cellStyle name="제목 1 7 2 2 2" xfId="33756"/>
    <cellStyle name="제목 1 7 2 2 3" xfId="33757"/>
    <cellStyle name="제목 1 7 2 2 4" xfId="33758"/>
    <cellStyle name="제목 1 7 2 3" xfId="33759"/>
    <cellStyle name="제목 1 7 2 4" xfId="33760"/>
    <cellStyle name="제목 1 7 2 5" xfId="33761"/>
    <cellStyle name="제목 1 7 3" xfId="33762"/>
    <cellStyle name="제목 1 7 3 2" xfId="33763"/>
    <cellStyle name="제목 1 7 3 3" xfId="33764"/>
    <cellStyle name="제목 1 7 3 4" xfId="33765"/>
    <cellStyle name="제목 1 7 4" xfId="33766"/>
    <cellStyle name="제목 1 7 5" xfId="33767"/>
    <cellStyle name="제목 1 8" xfId="33768"/>
    <cellStyle name="제목 1 8 2" xfId="33769"/>
    <cellStyle name="제목 1 8 2 2" xfId="33770"/>
    <cellStyle name="제목 1 8 2 2 2" xfId="33771"/>
    <cellStyle name="제목 1 8 2 2 3" xfId="33772"/>
    <cellStyle name="제목 1 8 2 2 4" xfId="33773"/>
    <cellStyle name="제목 1 8 2 3" xfId="33774"/>
    <cellStyle name="제목 1 8 2 4" xfId="33775"/>
    <cellStyle name="제목 1 8 2 5" xfId="33776"/>
    <cellStyle name="제목 1 8 3" xfId="33777"/>
    <cellStyle name="제목 1 8 3 2" xfId="33778"/>
    <cellStyle name="제목 1 8 3 3" xfId="33779"/>
    <cellStyle name="제목 1 8 3 4" xfId="33780"/>
    <cellStyle name="제목 1 8 4" xfId="33781"/>
    <cellStyle name="제목 1 8 5" xfId="33782"/>
    <cellStyle name="제목 1 9" xfId="33783"/>
    <cellStyle name="제목 1 9 2" xfId="33784"/>
    <cellStyle name="제목 1 9 2 2" xfId="33785"/>
    <cellStyle name="제목 1 9 2 2 2" xfId="33786"/>
    <cellStyle name="제목 1 9 2 2 3" xfId="33787"/>
    <cellStyle name="제목 1 9 2 2 4" xfId="33788"/>
    <cellStyle name="제목 1 9 2 3" xfId="33789"/>
    <cellStyle name="제목 1 9 2 4" xfId="33790"/>
    <cellStyle name="제목 1 9 2 5" xfId="33791"/>
    <cellStyle name="제목 1 9 3" xfId="33792"/>
    <cellStyle name="제목 1 9 3 2" xfId="33793"/>
    <cellStyle name="제목 1 9 3 3" xfId="33794"/>
    <cellStyle name="제목 1 9 3 4" xfId="33795"/>
    <cellStyle name="제목 1 9 4" xfId="33796"/>
    <cellStyle name="제목 1 9 5" xfId="33797"/>
    <cellStyle name="제목 10" xfId="33798"/>
    <cellStyle name="제목 10 2" xfId="33799"/>
    <cellStyle name="제목 10 2 2" xfId="33800"/>
    <cellStyle name="제목 10 2 2 2" xfId="33801"/>
    <cellStyle name="제목 10 2 2 3" xfId="33802"/>
    <cellStyle name="제목 10 2 2 4" xfId="33803"/>
    <cellStyle name="제목 10 2 3" xfId="33804"/>
    <cellStyle name="제목 10 2 4" xfId="33805"/>
    <cellStyle name="제목 10 2 5" xfId="33806"/>
    <cellStyle name="제목 10 3" xfId="33807"/>
    <cellStyle name="제목 10 3 2" xfId="33808"/>
    <cellStyle name="제목 10 3 3" xfId="33809"/>
    <cellStyle name="제목 10 3 4" xfId="33810"/>
    <cellStyle name="제목 10 4" xfId="33811"/>
    <cellStyle name="제목 10 5" xfId="33812"/>
    <cellStyle name="제목 11" xfId="33813"/>
    <cellStyle name="제목 11 2" xfId="33814"/>
    <cellStyle name="제목 11 2 2" xfId="33815"/>
    <cellStyle name="제목 11 2 2 2" xfId="33816"/>
    <cellStyle name="제목 11 2 2 3" xfId="33817"/>
    <cellStyle name="제목 11 2 2 4" xfId="33818"/>
    <cellStyle name="제목 11 2 3" xfId="33819"/>
    <cellStyle name="제목 11 2 4" xfId="33820"/>
    <cellStyle name="제목 11 2 5" xfId="33821"/>
    <cellStyle name="제목 11 3" xfId="33822"/>
    <cellStyle name="제목 11 3 2" xfId="33823"/>
    <cellStyle name="제목 11 3 3" xfId="33824"/>
    <cellStyle name="제목 11 3 4" xfId="33825"/>
    <cellStyle name="제목 11 4" xfId="33826"/>
    <cellStyle name="제목 11 5" xfId="33827"/>
    <cellStyle name="제목 12" xfId="33828"/>
    <cellStyle name="제목 12 2" xfId="33829"/>
    <cellStyle name="제목 12 2 2" xfId="33830"/>
    <cellStyle name="제목 12 2 2 2" xfId="33831"/>
    <cellStyle name="제목 12 2 2 3" xfId="33832"/>
    <cellStyle name="제목 12 2 2 4" xfId="33833"/>
    <cellStyle name="제목 12 2 3" xfId="33834"/>
    <cellStyle name="제목 12 2 4" xfId="33835"/>
    <cellStyle name="제목 12 2 5" xfId="33836"/>
    <cellStyle name="제목 12 3" xfId="33837"/>
    <cellStyle name="제목 12 3 2" xfId="33838"/>
    <cellStyle name="제목 12 3 3" xfId="33839"/>
    <cellStyle name="제목 12 3 4" xfId="33840"/>
    <cellStyle name="제목 12 4" xfId="33841"/>
    <cellStyle name="제목 12 5" xfId="33842"/>
    <cellStyle name="제목 13" xfId="33843"/>
    <cellStyle name="제목 13 2" xfId="33844"/>
    <cellStyle name="제목 13 2 2" xfId="33845"/>
    <cellStyle name="제목 13 2 2 2" xfId="33846"/>
    <cellStyle name="제목 13 2 2 3" xfId="33847"/>
    <cellStyle name="제목 13 2 2 4" xfId="33848"/>
    <cellStyle name="제목 13 2 3" xfId="33849"/>
    <cellStyle name="제목 13 2 4" xfId="33850"/>
    <cellStyle name="제목 13 2 5" xfId="33851"/>
    <cellStyle name="제목 13 3" xfId="33852"/>
    <cellStyle name="제목 13 3 2" xfId="33853"/>
    <cellStyle name="제목 13 3 3" xfId="33854"/>
    <cellStyle name="제목 13 3 4" xfId="33855"/>
    <cellStyle name="제목 13 4" xfId="33856"/>
    <cellStyle name="제목 13 5" xfId="33857"/>
    <cellStyle name="제목 14" xfId="33858"/>
    <cellStyle name="제목 14 2" xfId="33859"/>
    <cellStyle name="제목 14 2 2" xfId="33860"/>
    <cellStyle name="제목 14 2 2 2" xfId="33861"/>
    <cellStyle name="제목 14 2 2 3" xfId="33862"/>
    <cellStyle name="제목 14 2 2 4" xfId="33863"/>
    <cellStyle name="제목 14 2 3" xfId="33864"/>
    <cellStyle name="제목 14 2 4" xfId="33865"/>
    <cellStyle name="제목 14 2 5" xfId="33866"/>
    <cellStyle name="제목 14 3" xfId="33867"/>
    <cellStyle name="제목 14 3 2" xfId="33868"/>
    <cellStyle name="제목 14 3 3" xfId="33869"/>
    <cellStyle name="제목 14 3 4" xfId="33870"/>
    <cellStyle name="제목 14 4" xfId="33871"/>
    <cellStyle name="제목 14 5" xfId="33872"/>
    <cellStyle name="제목 15" xfId="33873"/>
    <cellStyle name="제목 15 2" xfId="33874"/>
    <cellStyle name="제목 15 2 2" xfId="33875"/>
    <cellStyle name="제목 15 2 3" xfId="33876"/>
    <cellStyle name="제목 15 2 4" xfId="33877"/>
    <cellStyle name="제목 15 3" xfId="33878"/>
    <cellStyle name="제목 15 4" xfId="33879"/>
    <cellStyle name="제목 16" xfId="33880"/>
    <cellStyle name="제목 16 2" xfId="33881"/>
    <cellStyle name="제목 16 3" xfId="33882"/>
    <cellStyle name="제목 16 4" xfId="33883"/>
    <cellStyle name="제목 17" xfId="33884"/>
    <cellStyle name="제목 2 10" xfId="33885"/>
    <cellStyle name="제목 2 10 2" xfId="33886"/>
    <cellStyle name="제목 2 10 2 2" xfId="33887"/>
    <cellStyle name="제목 2 10 2 2 2" xfId="33888"/>
    <cellStyle name="제목 2 10 2 2 3" xfId="33889"/>
    <cellStyle name="제목 2 10 2 2 4" xfId="33890"/>
    <cellStyle name="제목 2 10 2 3" xfId="33891"/>
    <cellStyle name="제목 2 10 2 4" xfId="33892"/>
    <cellStyle name="제목 2 10 2 5" xfId="33893"/>
    <cellStyle name="제목 2 10 3" xfId="33894"/>
    <cellStyle name="제목 2 10 3 2" xfId="33895"/>
    <cellStyle name="제목 2 10 3 3" xfId="33896"/>
    <cellStyle name="제목 2 10 3 4" xfId="33897"/>
    <cellStyle name="제목 2 10 4" xfId="33898"/>
    <cellStyle name="제목 2 10 5" xfId="33899"/>
    <cellStyle name="제목 2 11" xfId="33900"/>
    <cellStyle name="제목 2 11 2" xfId="33901"/>
    <cellStyle name="제목 2 11 2 2" xfId="33902"/>
    <cellStyle name="제목 2 11 2 2 2" xfId="33903"/>
    <cellStyle name="제목 2 11 2 2 3" xfId="33904"/>
    <cellStyle name="제목 2 11 2 2 4" xfId="33905"/>
    <cellStyle name="제목 2 11 2 3" xfId="33906"/>
    <cellStyle name="제목 2 11 2 4" xfId="33907"/>
    <cellStyle name="제목 2 11 2 5" xfId="33908"/>
    <cellStyle name="제목 2 11 3" xfId="33909"/>
    <cellStyle name="제목 2 11 3 2" xfId="33910"/>
    <cellStyle name="제목 2 11 3 3" xfId="33911"/>
    <cellStyle name="제목 2 11 3 4" xfId="33912"/>
    <cellStyle name="제목 2 11 4" xfId="33913"/>
    <cellStyle name="제목 2 11 5" xfId="33914"/>
    <cellStyle name="제목 2 12" xfId="33915"/>
    <cellStyle name="제목 2 12 2" xfId="33916"/>
    <cellStyle name="제목 2 12 2 2" xfId="33917"/>
    <cellStyle name="제목 2 12 2 3" xfId="33918"/>
    <cellStyle name="제목 2 12 2 4" xfId="33919"/>
    <cellStyle name="제목 2 12 3" xfId="33920"/>
    <cellStyle name="제목 2 12 4" xfId="33921"/>
    <cellStyle name="제목 2 13" xfId="33922"/>
    <cellStyle name="제목 2 13 2" xfId="33923"/>
    <cellStyle name="제목 2 13 3" xfId="33924"/>
    <cellStyle name="제목 2 13 4" xfId="33925"/>
    <cellStyle name="제목 2 14" xfId="33926"/>
    <cellStyle name="제목 2 2" xfId="33927"/>
    <cellStyle name="제목 2 2 2" xfId="33928"/>
    <cellStyle name="제목 2 2 2 2" xfId="33929"/>
    <cellStyle name="제목 2 2 2 2 2" xfId="33930"/>
    <cellStyle name="제목 2 2 2 2 3" xfId="33931"/>
    <cellStyle name="제목 2 2 2 2 4" xfId="33932"/>
    <cellStyle name="제목 2 2 2 3" xfId="33933"/>
    <cellStyle name="제목 2 2 2 4" xfId="33934"/>
    <cellStyle name="제목 2 2 2 5" xfId="33935"/>
    <cellStyle name="제목 2 2 2 6" xfId="33936"/>
    <cellStyle name="제목 2 2 3" xfId="33937"/>
    <cellStyle name="제목 2 2 3 2" xfId="33938"/>
    <cellStyle name="제목 2 2 3 3" xfId="33939"/>
    <cellStyle name="제목 2 2 3 4" xfId="33940"/>
    <cellStyle name="제목 2 2 4" xfId="33941"/>
    <cellStyle name="제목 2 2 5" xfId="33942"/>
    <cellStyle name="제목 2 2 6" xfId="33943"/>
    <cellStyle name="제목 2 3" xfId="33944"/>
    <cellStyle name="제목 2 3 2" xfId="33945"/>
    <cellStyle name="제목 2 3 2 2" xfId="33946"/>
    <cellStyle name="제목 2 3 2 2 2" xfId="33947"/>
    <cellStyle name="제목 2 3 2 2 3" xfId="33948"/>
    <cellStyle name="제목 2 3 2 2 4" xfId="33949"/>
    <cellStyle name="제목 2 3 2 3" xfId="33950"/>
    <cellStyle name="제목 2 3 2 4" xfId="33951"/>
    <cellStyle name="제목 2 3 2 5" xfId="33952"/>
    <cellStyle name="제목 2 3 2 6" xfId="33953"/>
    <cellStyle name="제목 2 3 3" xfId="33954"/>
    <cellStyle name="제목 2 3 3 2" xfId="33955"/>
    <cellStyle name="제목 2 3 3 3" xfId="33956"/>
    <cellStyle name="제목 2 3 3 4" xfId="33957"/>
    <cellStyle name="제목 2 3 4" xfId="33958"/>
    <cellStyle name="제목 2 3 5" xfId="33959"/>
    <cellStyle name="제목 2 3 6" xfId="33960"/>
    <cellStyle name="제목 2 4" xfId="33961"/>
    <cellStyle name="제목 2 4 2" xfId="33962"/>
    <cellStyle name="제목 2 4 2 2" xfId="33963"/>
    <cellStyle name="제목 2 4 2 2 2" xfId="33964"/>
    <cellStyle name="제목 2 4 2 2 3" xfId="33965"/>
    <cellStyle name="제목 2 4 2 2 4" xfId="33966"/>
    <cellStyle name="제목 2 4 2 3" xfId="33967"/>
    <cellStyle name="제목 2 4 2 4" xfId="33968"/>
    <cellStyle name="제목 2 4 2 5" xfId="33969"/>
    <cellStyle name="제목 2 4 3" xfId="33970"/>
    <cellStyle name="제목 2 4 3 2" xfId="33971"/>
    <cellStyle name="제목 2 4 3 3" xfId="33972"/>
    <cellStyle name="제목 2 4 3 4" xfId="33973"/>
    <cellStyle name="제목 2 4 4" xfId="33974"/>
    <cellStyle name="제목 2 4 5" xfId="33975"/>
    <cellStyle name="제목 2 5" xfId="33976"/>
    <cellStyle name="제목 2 5 2" xfId="33977"/>
    <cellStyle name="제목 2 5 2 2" xfId="33978"/>
    <cellStyle name="제목 2 5 2 2 2" xfId="33979"/>
    <cellStyle name="제목 2 5 2 2 3" xfId="33980"/>
    <cellStyle name="제목 2 5 2 2 4" xfId="33981"/>
    <cellStyle name="제목 2 5 2 3" xfId="33982"/>
    <cellStyle name="제목 2 5 2 4" xfId="33983"/>
    <cellStyle name="제목 2 5 2 5" xfId="33984"/>
    <cellStyle name="제목 2 5 3" xfId="33985"/>
    <cellStyle name="제목 2 5 3 2" xfId="33986"/>
    <cellStyle name="제목 2 5 3 3" xfId="33987"/>
    <cellStyle name="제목 2 5 3 4" xfId="33988"/>
    <cellStyle name="제목 2 5 4" xfId="33989"/>
    <cellStyle name="제목 2 5 5" xfId="33990"/>
    <cellStyle name="제목 2 6" xfId="33991"/>
    <cellStyle name="제목 2 6 2" xfId="33992"/>
    <cellStyle name="제목 2 6 2 2" xfId="33993"/>
    <cellStyle name="제목 2 6 2 2 2" xfId="33994"/>
    <cellStyle name="제목 2 6 2 2 3" xfId="33995"/>
    <cellStyle name="제목 2 6 2 2 4" xfId="33996"/>
    <cellStyle name="제목 2 6 2 3" xfId="33997"/>
    <cellStyle name="제목 2 6 2 4" xfId="33998"/>
    <cellStyle name="제목 2 6 2 5" xfId="33999"/>
    <cellStyle name="제목 2 6 3" xfId="34000"/>
    <cellStyle name="제목 2 6 3 2" xfId="34001"/>
    <cellStyle name="제목 2 6 3 3" xfId="34002"/>
    <cellStyle name="제목 2 6 3 4" xfId="34003"/>
    <cellStyle name="제목 2 6 4" xfId="34004"/>
    <cellStyle name="제목 2 6 5" xfId="34005"/>
    <cellStyle name="제목 2 7" xfId="34006"/>
    <cellStyle name="제목 2 7 2" xfId="34007"/>
    <cellStyle name="제목 2 7 2 2" xfId="34008"/>
    <cellStyle name="제목 2 7 2 2 2" xfId="34009"/>
    <cellStyle name="제목 2 7 2 2 3" xfId="34010"/>
    <cellStyle name="제목 2 7 2 2 4" xfId="34011"/>
    <cellStyle name="제목 2 7 2 3" xfId="34012"/>
    <cellStyle name="제목 2 7 2 4" xfId="34013"/>
    <cellStyle name="제목 2 7 2 5" xfId="34014"/>
    <cellStyle name="제목 2 7 3" xfId="34015"/>
    <cellStyle name="제목 2 7 3 2" xfId="34016"/>
    <cellStyle name="제목 2 7 3 3" xfId="34017"/>
    <cellStyle name="제목 2 7 3 4" xfId="34018"/>
    <cellStyle name="제목 2 7 4" xfId="34019"/>
    <cellStyle name="제목 2 7 5" xfId="34020"/>
    <cellStyle name="제목 2 8" xfId="34021"/>
    <cellStyle name="제목 2 8 2" xfId="34022"/>
    <cellStyle name="제목 2 8 2 2" xfId="34023"/>
    <cellStyle name="제목 2 8 2 2 2" xfId="34024"/>
    <cellStyle name="제목 2 8 2 2 3" xfId="34025"/>
    <cellStyle name="제목 2 8 2 2 4" xfId="34026"/>
    <cellStyle name="제목 2 8 2 3" xfId="34027"/>
    <cellStyle name="제목 2 8 2 4" xfId="34028"/>
    <cellStyle name="제목 2 8 2 5" xfId="34029"/>
    <cellStyle name="제목 2 8 3" xfId="34030"/>
    <cellStyle name="제목 2 8 3 2" xfId="34031"/>
    <cellStyle name="제목 2 8 3 3" xfId="34032"/>
    <cellStyle name="제목 2 8 3 4" xfId="34033"/>
    <cellStyle name="제목 2 8 4" xfId="34034"/>
    <cellStyle name="제목 2 8 5" xfId="34035"/>
    <cellStyle name="제목 2 9" xfId="34036"/>
    <cellStyle name="제목 2 9 2" xfId="34037"/>
    <cellStyle name="제목 2 9 2 2" xfId="34038"/>
    <cellStyle name="제목 2 9 2 2 2" xfId="34039"/>
    <cellStyle name="제목 2 9 2 2 3" xfId="34040"/>
    <cellStyle name="제목 2 9 2 2 4" xfId="34041"/>
    <cellStyle name="제목 2 9 2 3" xfId="34042"/>
    <cellStyle name="제목 2 9 2 4" xfId="34043"/>
    <cellStyle name="제목 2 9 2 5" xfId="34044"/>
    <cellStyle name="제목 2 9 3" xfId="34045"/>
    <cellStyle name="제목 2 9 3 2" xfId="34046"/>
    <cellStyle name="제목 2 9 3 3" xfId="34047"/>
    <cellStyle name="제목 2 9 3 4" xfId="34048"/>
    <cellStyle name="제목 2 9 4" xfId="34049"/>
    <cellStyle name="제목 2 9 5" xfId="34050"/>
    <cellStyle name="제목 3 10" xfId="34051"/>
    <cellStyle name="제목 3 10 2" xfId="34052"/>
    <cellStyle name="제목 3 10 2 2" xfId="34053"/>
    <cellStyle name="제목 3 10 2 2 2" xfId="34054"/>
    <cellStyle name="제목 3 10 2 2 3" xfId="34055"/>
    <cellStyle name="제목 3 10 2 2 4" xfId="34056"/>
    <cellStyle name="제목 3 10 2 3" xfId="34057"/>
    <cellStyle name="제목 3 10 2 4" xfId="34058"/>
    <cellStyle name="제목 3 10 2 5" xfId="34059"/>
    <cellStyle name="제목 3 10 3" xfId="34060"/>
    <cellStyle name="제목 3 10 3 2" xfId="34061"/>
    <cellStyle name="제목 3 10 3 3" xfId="34062"/>
    <cellStyle name="제목 3 10 3 4" xfId="34063"/>
    <cellStyle name="제목 3 10 4" xfId="34064"/>
    <cellStyle name="제목 3 10 5" xfId="34065"/>
    <cellStyle name="제목 3 11" xfId="34066"/>
    <cellStyle name="제목 3 11 2" xfId="34067"/>
    <cellStyle name="제목 3 11 2 2" xfId="34068"/>
    <cellStyle name="제목 3 11 2 2 2" xfId="34069"/>
    <cellStyle name="제목 3 11 2 2 3" xfId="34070"/>
    <cellStyle name="제목 3 11 2 2 4" xfId="34071"/>
    <cellStyle name="제목 3 11 2 3" xfId="34072"/>
    <cellStyle name="제목 3 11 2 4" xfId="34073"/>
    <cellStyle name="제목 3 11 2 5" xfId="34074"/>
    <cellStyle name="제목 3 11 3" xfId="34075"/>
    <cellStyle name="제목 3 11 3 2" xfId="34076"/>
    <cellStyle name="제목 3 11 3 3" xfId="34077"/>
    <cellStyle name="제목 3 11 3 4" xfId="34078"/>
    <cellStyle name="제목 3 11 4" xfId="34079"/>
    <cellStyle name="제목 3 11 5" xfId="34080"/>
    <cellStyle name="제목 3 12" xfId="34081"/>
    <cellStyle name="제목 3 12 2" xfId="34082"/>
    <cellStyle name="제목 3 12 2 2" xfId="34083"/>
    <cellStyle name="제목 3 12 2 3" xfId="34084"/>
    <cellStyle name="제목 3 12 2 4" xfId="34085"/>
    <cellStyle name="제목 3 12 3" xfId="34086"/>
    <cellStyle name="제목 3 12 4" xfId="34087"/>
    <cellStyle name="제목 3 13" xfId="34088"/>
    <cellStyle name="제목 3 13 2" xfId="34089"/>
    <cellStyle name="제목 3 13 3" xfId="34090"/>
    <cellStyle name="제목 3 13 4" xfId="34091"/>
    <cellStyle name="제목 3 14" xfId="34092"/>
    <cellStyle name="제목 3 2" xfId="34093"/>
    <cellStyle name="제목 3 2 2" xfId="34094"/>
    <cellStyle name="제목 3 2 2 2" xfId="34095"/>
    <cellStyle name="제목 3 2 2 2 2" xfId="34096"/>
    <cellStyle name="제목 3 2 2 2 3" xfId="34097"/>
    <cellStyle name="제목 3 2 2 2 4" xfId="34098"/>
    <cellStyle name="제목 3 2 2 3" xfId="34099"/>
    <cellStyle name="제목 3 2 2 4" xfId="34100"/>
    <cellStyle name="제목 3 2 2 5" xfId="34101"/>
    <cellStyle name="제목 3 2 2 6" xfId="34102"/>
    <cellStyle name="제목 3 2 3" xfId="34103"/>
    <cellStyle name="제목 3 2 3 2" xfId="34104"/>
    <cellStyle name="제목 3 2 3 3" xfId="34105"/>
    <cellStyle name="제목 3 2 3 4" xfId="34106"/>
    <cellStyle name="제목 3 2 4" xfId="34107"/>
    <cellStyle name="제목 3 2 5" xfId="34108"/>
    <cellStyle name="제목 3 2 6" xfId="34109"/>
    <cellStyle name="제목 3 3" xfId="34110"/>
    <cellStyle name="제목 3 3 2" xfId="34111"/>
    <cellStyle name="제목 3 3 2 2" xfId="34112"/>
    <cellStyle name="제목 3 3 2 2 2" xfId="34113"/>
    <cellStyle name="제목 3 3 2 2 3" xfId="34114"/>
    <cellStyle name="제목 3 3 2 2 4" xfId="34115"/>
    <cellStyle name="제목 3 3 2 3" xfId="34116"/>
    <cellStyle name="제목 3 3 2 4" xfId="34117"/>
    <cellStyle name="제목 3 3 2 5" xfId="34118"/>
    <cellStyle name="제목 3 3 2 6" xfId="34119"/>
    <cellStyle name="제목 3 3 3" xfId="34120"/>
    <cellStyle name="제목 3 3 3 2" xfId="34121"/>
    <cellStyle name="제목 3 3 3 3" xfId="34122"/>
    <cellStyle name="제목 3 3 3 4" xfId="34123"/>
    <cellStyle name="제목 3 3 4" xfId="34124"/>
    <cellStyle name="제목 3 3 5" xfId="34125"/>
    <cellStyle name="제목 3 3 6" xfId="34126"/>
    <cellStyle name="제목 3 4" xfId="34127"/>
    <cellStyle name="제목 3 4 2" xfId="34128"/>
    <cellStyle name="제목 3 4 2 2" xfId="34129"/>
    <cellStyle name="제목 3 4 2 2 2" xfId="34130"/>
    <cellStyle name="제목 3 4 2 2 3" xfId="34131"/>
    <cellStyle name="제목 3 4 2 2 4" xfId="34132"/>
    <cellStyle name="제목 3 4 2 3" xfId="34133"/>
    <cellStyle name="제목 3 4 2 4" xfId="34134"/>
    <cellStyle name="제목 3 4 2 5" xfId="34135"/>
    <cellStyle name="제목 3 4 3" xfId="34136"/>
    <cellStyle name="제목 3 4 3 2" xfId="34137"/>
    <cellStyle name="제목 3 4 3 3" xfId="34138"/>
    <cellStyle name="제목 3 4 3 4" xfId="34139"/>
    <cellStyle name="제목 3 4 4" xfId="34140"/>
    <cellStyle name="제목 3 4 5" xfId="34141"/>
    <cellStyle name="제목 3 5" xfId="34142"/>
    <cellStyle name="제목 3 5 2" xfId="34143"/>
    <cellStyle name="제목 3 5 2 2" xfId="34144"/>
    <cellStyle name="제목 3 5 2 2 2" xfId="34145"/>
    <cellStyle name="제목 3 5 2 2 3" xfId="34146"/>
    <cellStyle name="제목 3 5 2 2 4" xfId="34147"/>
    <cellStyle name="제목 3 5 2 3" xfId="34148"/>
    <cellStyle name="제목 3 5 2 4" xfId="34149"/>
    <cellStyle name="제목 3 5 2 5" xfId="34150"/>
    <cellStyle name="제목 3 5 3" xfId="34151"/>
    <cellStyle name="제목 3 5 3 2" xfId="34152"/>
    <cellStyle name="제목 3 5 3 3" xfId="34153"/>
    <cellStyle name="제목 3 5 3 4" xfId="34154"/>
    <cellStyle name="제목 3 5 4" xfId="34155"/>
    <cellStyle name="제목 3 5 5" xfId="34156"/>
    <cellStyle name="제목 3 6" xfId="34157"/>
    <cellStyle name="제목 3 6 2" xfId="34158"/>
    <cellStyle name="제목 3 6 2 2" xfId="34159"/>
    <cellStyle name="제목 3 6 2 2 2" xfId="34160"/>
    <cellStyle name="제목 3 6 2 2 3" xfId="34161"/>
    <cellStyle name="제목 3 6 2 2 4" xfId="34162"/>
    <cellStyle name="제목 3 6 2 3" xfId="34163"/>
    <cellStyle name="제목 3 6 2 4" xfId="34164"/>
    <cellStyle name="제목 3 6 2 5" xfId="34165"/>
    <cellStyle name="제목 3 6 3" xfId="34166"/>
    <cellStyle name="제목 3 6 3 2" xfId="34167"/>
    <cellStyle name="제목 3 6 3 3" xfId="34168"/>
    <cellStyle name="제목 3 6 3 4" xfId="34169"/>
    <cellStyle name="제목 3 6 4" xfId="34170"/>
    <cellStyle name="제목 3 6 5" xfId="34171"/>
    <cellStyle name="제목 3 7" xfId="34172"/>
    <cellStyle name="제목 3 7 2" xfId="34173"/>
    <cellStyle name="제목 3 7 2 2" xfId="34174"/>
    <cellStyle name="제목 3 7 2 2 2" xfId="34175"/>
    <cellStyle name="제목 3 7 2 2 3" xfId="34176"/>
    <cellStyle name="제목 3 7 2 2 4" xfId="34177"/>
    <cellStyle name="제목 3 7 2 3" xfId="34178"/>
    <cellStyle name="제목 3 7 2 4" xfId="34179"/>
    <cellStyle name="제목 3 7 2 5" xfId="34180"/>
    <cellStyle name="제목 3 7 3" xfId="34181"/>
    <cellStyle name="제목 3 7 3 2" xfId="34182"/>
    <cellStyle name="제목 3 7 3 3" xfId="34183"/>
    <cellStyle name="제목 3 7 3 4" xfId="34184"/>
    <cellStyle name="제목 3 7 4" xfId="34185"/>
    <cellStyle name="제목 3 7 5" xfId="34186"/>
    <cellStyle name="제목 3 8" xfId="34187"/>
    <cellStyle name="제목 3 8 2" xfId="34188"/>
    <cellStyle name="제목 3 8 2 2" xfId="34189"/>
    <cellStyle name="제목 3 8 2 2 2" xfId="34190"/>
    <cellStyle name="제목 3 8 2 2 3" xfId="34191"/>
    <cellStyle name="제목 3 8 2 2 4" xfId="34192"/>
    <cellStyle name="제목 3 8 2 3" xfId="34193"/>
    <cellStyle name="제목 3 8 2 4" xfId="34194"/>
    <cellStyle name="제목 3 8 2 5" xfId="34195"/>
    <cellStyle name="제목 3 8 3" xfId="34196"/>
    <cellStyle name="제목 3 8 3 2" xfId="34197"/>
    <cellStyle name="제목 3 8 3 3" xfId="34198"/>
    <cellStyle name="제목 3 8 3 4" xfId="34199"/>
    <cellStyle name="제목 3 8 4" xfId="34200"/>
    <cellStyle name="제목 3 8 5" xfId="34201"/>
    <cellStyle name="제목 3 9" xfId="34202"/>
    <cellStyle name="제목 3 9 2" xfId="34203"/>
    <cellStyle name="제목 3 9 2 2" xfId="34204"/>
    <cellStyle name="제목 3 9 2 2 2" xfId="34205"/>
    <cellStyle name="제목 3 9 2 2 3" xfId="34206"/>
    <cellStyle name="제목 3 9 2 2 4" xfId="34207"/>
    <cellStyle name="제목 3 9 2 3" xfId="34208"/>
    <cellStyle name="제목 3 9 2 4" xfId="34209"/>
    <cellStyle name="제목 3 9 2 5" xfId="34210"/>
    <cellStyle name="제목 3 9 3" xfId="34211"/>
    <cellStyle name="제목 3 9 3 2" xfId="34212"/>
    <cellStyle name="제목 3 9 3 3" xfId="34213"/>
    <cellStyle name="제목 3 9 3 4" xfId="34214"/>
    <cellStyle name="제목 3 9 4" xfId="34215"/>
    <cellStyle name="제목 3 9 5" xfId="34216"/>
    <cellStyle name="제목 4 10" xfId="34217"/>
    <cellStyle name="제목 4 10 2" xfId="34218"/>
    <cellStyle name="제목 4 10 2 2" xfId="34219"/>
    <cellStyle name="제목 4 10 2 2 2" xfId="34220"/>
    <cellStyle name="제목 4 10 2 2 3" xfId="34221"/>
    <cellStyle name="제목 4 10 2 2 4" xfId="34222"/>
    <cellStyle name="제목 4 10 2 3" xfId="34223"/>
    <cellStyle name="제목 4 10 2 4" xfId="34224"/>
    <cellStyle name="제목 4 10 2 5" xfId="34225"/>
    <cellStyle name="제목 4 10 3" xfId="34226"/>
    <cellStyle name="제목 4 10 3 2" xfId="34227"/>
    <cellStyle name="제목 4 10 3 3" xfId="34228"/>
    <cellStyle name="제목 4 10 3 4" xfId="34229"/>
    <cellStyle name="제목 4 10 4" xfId="34230"/>
    <cellStyle name="제목 4 10 5" xfId="34231"/>
    <cellStyle name="제목 4 11" xfId="34232"/>
    <cellStyle name="제목 4 11 2" xfId="34233"/>
    <cellStyle name="제목 4 11 2 2" xfId="34234"/>
    <cellStyle name="제목 4 11 2 2 2" xfId="34235"/>
    <cellStyle name="제목 4 11 2 2 3" xfId="34236"/>
    <cellStyle name="제목 4 11 2 2 4" xfId="34237"/>
    <cellStyle name="제목 4 11 2 3" xfId="34238"/>
    <cellStyle name="제목 4 11 2 4" xfId="34239"/>
    <cellStyle name="제목 4 11 2 5" xfId="34240"/>
    <cellStyle name="제목 4 11 3" xfId="34241"/>
    <cellStyle name="제목 4 11 3 2" xfId="34242"/>
    <cellStyle name="제목 4 11 3 3" xfId="34243"/>
    <cellStyle name="제목 4 11 3 4" xfId="34244"/>
    <cellStyle name="제목 4 11 4" xfId="34245"/>
    <cellStyle name="제목 4 11 5" xfId="34246"/>
    <cellStyle name="제목 4 12" xfId="34247"/>
    <cellStyle name="제목 4 12 2" xfId="34248"/>
    <cellStyle name="제목 4 12 2 2" xfId="34249"/>
    <cellStyle name="제목 4 12 2 3" xfId="34250"/>
    <cellStyle name="제목 4 12 2 4" xfId="34251"/>
    <cellStyle name="제목 4 12 3" xfId="34252"/>
    <cellStyle name="제목 4 12 4" xfId="34253"/>
    <cellStyle name="제목 4 13" xfId="34254"/>
    <cellStyle name="제목 4 13 2" xfId="34255"/>
    <cellStyle name="제목 4 13 3" xfId="34256"/>
    <cellStyle name="제목 4 13 4" xfId="34257"/>
    <cellStyle name="제목 4 14" xfId="34258"/>
    <cellStyle name="제목 4 2" xfId="34259"/>
    <cellStyle name="제목 4 2 2" xfId="34260"/>
    <cellStyle name="제목 4 2 2 2" xfId="34261"/>
    <cellStyle name="제목 4 2 2 2 2" xfId="34262"/>
    <cellStyle name="제목 4 2 2 2 3" xfId="34263"/>
    <cellStyle name="제목 4 2 2 2 4" xfId="34264"/>
    <cellStyle name="제목 4 2 2 3" xfId="34265"/>
    <cellStyle name="제목 4 2 2 4" xfId="34266"/>
    <cellStyle name="제목 4 2 2 5" xfId="34267"/>
    <cellStyle name="제목 4 2 2 6" xfId="34268"/>
    <cellStyle name="제목 4 2 3" xfId="34269"/>
    <cellStyle name="제목 4 2 3 2" xfId="34270"/>
    <cellStyle name="제목 4 2 3 3" xfId="34271"/>
    <cellStyle name="제목 4 2 3 4" xfId="34272"/>
    <cellStyle name="제목 4 2 4" xfId="34273"/>
    <cellStyle name="제목 4 2 5" xfId="34274"/>
    <cellStyle name="제목 4 2 6" xfId="34275"/>
    <cellStyle name="제목 4 3" xfId="34276"/>
    <cellStyle name="제목 4 3 2" xfId="34277"/>
    <cellStyle name="제목 4 3 2 2" xfId="34278"/>
    <cellStyle name="제목 4 3 2 2 2" xfId="34279"/>
    <cellStyle name="제목 4 3 2 2 3" xfId="34280"/>
    <cellStyle name="제목 4 3 2 2 4" xfId="34281"/>
    <cellStyle name="제목 4 3 2 3" xfId="34282"/>
    <cellStyle name="제목 4 3 2 4" xfId="34283"/>
    <cellStyle name="제목 4 3 2 5" xfId="34284"/>
    <cellStyle name="제목 4 3 2 6" xfId="34285"/>
    <cellStyle name="제목 4 3 3" xfId="34286"/>
    <cellStyle name="제목 4 3 3 2" xfId="34287"/>
    <cellStyle name="제목 4 3 3 3" xfId="34288"/>
    <cellStyle name="제목 4 3 3 4" xfId="34289"/>
    <cellStyle name="제목 4 3 4" xfId="34290"/>
    <cellStyle name="제목 4 3 5" xfId="34291"/>
    <cellStyle name="제목 4 3 6" xfId="34292"/>
    <cellStyle name="제목 4 4" xfId="34293"/>
    <cellStyle name="제목 4 4 2" xfId="34294"/>
    <cellStyle name="제목 4 4 2 2" xfId="34295"/>
    <cellStyle name="제목 4 4 2 2 2" xfId="34296"/>
    <cellStyle name="제목 4 4 2 2 3" xfId="34297"/>
    <cellStyle name="제목 4 4 2 2 4" xfId="34298"/>
    <cellStyle name="제목 4 4 2 3" xfId="34299"/>
    <cellStyle name="제목 4 4 2 4" xfId="34300"/>
    <cellStyle name="제목 4 4 2 5" xfId="34301"/>
    <cellStyle name="제목 4 4 3" xfId="34302"/>
    <cellStyle name="제목 4 4 3 2" xfId="34303"/>
    <cellStyle name="제목 4 4 3 3" xfId="34304"/>
    <cellStyle name="제목 4 4 3 4" xfId="34305"/>
    <cellStyle name="제목 4 4 4" xfId="34306"/>
    <cellStyle name="제목 4 4 5" xfId="34307"/>
    <cellStyle name="제목 4 5" xfId="34308"/>
    <cellStyle name="제목 4 5 2" xfId="34309"/>
    <cellStyle name="제목 4 5 2 2" xfId="34310"/>
    <cellStyle name="제목 4 5 2 2 2" xfId="34311"/>
    <cellStyle name="제목 4 5 2 2 3" xfId="34312"/>
    <cellStyle name="제목 4 5 2 2 4" xfId="34313"/>
    <cellStyle name="제목 4 5 2 3" xfId="34314"/>
    <cellStyle name="제목 4 5 2 4" xfId="34315"/>
    <cellStyle name="제목 4 5 2 5" xfId="34316"/>
    <cellStyle name="제목 4 5 3" xfId="34317"/>
    <cellStyle name="제목 4 5 3 2" xfId="34318"/>
    <cellStyle name="제목 4 5 3 3" xfId="34319"/>
    <cellStyle name="제목 4 5 3 4" xfId="34320"/>
    <cellStyle name="제목 4 5 4" xfId="34321"/>
    <cellStyle name="제목 4 5 5" xfId="34322"/>
    <cellStyle name="제목 4 6" xfId="34323"/>
    <cellStyle name="제목 4 6 2" xfId="34324"/>
    <cellStyle name="제목 4 6 2 2" xfId="34325"/>
    <cellStyle name="제목 4 6 2 2 2" xfId="34326"/>
    <cellStyle name="제목 4 6 2 2 3" xfId="34327"/>
    <cellStyle name="제목 4 6 2 2 4" xfId="34328"/>
    <cellStyle name="제목 4 6 2 3" xfId="34329"/>
    <cellStyle name="제목 4 6 2 4" xfId="34330"/>
    <cellStyle name="제목 4 6 2 5" xfId="34331"/>
    <cellStyle name="제목 4 6 3" xfId="34332"/>
    <cellStyle name="제목 4 6 3 2" xfId="34333"/>
    <cellStyle name="제목 4 6 3 3" xfId="34334"/>
    <cellStyle name="제목 4 6 3 4" xfId="34335"/>
    <cellStyle name="제목 4 6 4" xfId="34336"/>
    <cellStyle name="제목 4 6 5" xfId="34337"/>
    <cellStyle name="제목 4 7" xfId="34338"/>
    <cellStyle name="제목 4 7 2" xfId="34339"/>
    <cellStyle name="제목 4 7 2 2" xfId="34340"/>
    <cellStyle name="제목 4 7 2 2 2" xfId="34341"/>
    <cellStyle name="제목 4 7 2 2 3" xfId="34342"/>
    <cellStyle name="제목 4 7 2 2 4" xfId="34343"/>
    <cellStyle name="제목 4 7 2 3" xfId="34344"/>
    <cellStyle name="제목 4 7 2 4" xfId="34345"/>
    <cellStyle name="제목 4 7 2 5" xfId="34346"/>
    <cellStyle name="제목 4 7 3" xfId="34347"/>
    <cellStyle name="제목 4 7 3 2" xfId="34348"/>
    <cellStyle name="제목 4 7 3 3" xfId="34349"/>
    <cellStyle name="제목 4 7 3 4" xfId="34350"/>
    <cellStyle name="제목 4 7 4" xfId="34351"/>
    <cellStyle name="제목 4 7 5" xfId="34352"/>
    <cellStyle name="제목 4 8" xfId="34353"/>
    <cellStyle name="제목 4 8 2" xfId="34354"/>
    <cellStyle name="제목 4 8 2 2" xfId="34355"/>
    <cellStyle name="제목 4 8 2 2 2" xfId="34356"/>
    <cellStyle name="제목 4 8 2 2 3" xfId="34357"/>
    <cellStyle name="제목 4 8 2 2 4" xfId="34358"/>
    <cellStyle name="제목 4 8 2 3" xfId="34359"/>
    <cellStyle name="제목 4 8 2 4" xfId="34360"/>
    <cellStyle name="제목 4 8 2 5" xfId="34361"/>
    <cellStyle name="제목 4 8 3" xfId="34362"/>
    <cellStyle name="제목 4 8 3 2" xfId="34363"/>
    <cellStyle name="제목 4 8 3 3" xfId="34364"/>
    <cellStyle name="제목 4 8 3 4" xfId="34365"/>
    <cellStyle name="제목 4 8 4" xfId="34366"/>
    <cellStyle name="제목 4 8 5" xfId="34367"/>
    <cellStyle name="제목 4 9" xfId="34368"/>
    <cellStyle name="제목 4 9 2" xfId="34369"/>
    <cellStyle name="제목 4 9 2 2" xfId="34370"/>
    <cellStyle name="제목 4 9 2 2 2" xfId="34371"/>
    <cellStyle name="제목 4 9 2 2 3" xfId="34372"/>
    <cellStyle name="제목 4 9 2 2 4" xfId="34373"/>
    <cellStyle name="제목 4 9 2 3" xfId="34374"/>
    <cellStyle name="제목 4 9 2 4" xfId="34375"/>
    <cellStyle name="제목 4 9 2 5" xfId="34376"/>
    <cellStyle name="제목 4 9 3" xfId="34377"/>
    <cellStyle name="제목 4 9 3 2" xfId="34378"/>
    <cellStyle name="제목 4 9 3 3" xfId="34379"/>
    <cellStyle name="제목 4 9 3 4" xfId="34380"/>
    <cellStyle name="제목 4 9 4" xfId="34381"/>
    <cellStyle name="제목 4 9 5" xfId="34382"/>
    <cellStyle name="제목 5" xfId="34383"/>
    <cellStyle name="제목 5 2" xfId="34384"/>
    <cellStyle name="제목 5 2 2" xfId="34385"/>
    <cellStyle name="제목 5 2 2 2" xfId="34386"/>
    <cellStyle name="제목 5 2 2 3" xfId="34387"/>
    <cellStyle name="제목 5 2 2 4" xfId="34388"/>
    <cellStyle name="제목 5 2 3" xfId="34389"/>
    <cellStyle name="제목 5 2 4" xfId="34390"/>
    <cellStyle name="제목 5 2 5" xfId="34391"/>
    <cellStyle name="제목 5 2 6" xfId="34392"/>
    <cellStyle name="제목 5 3" xfId="34393"/>
    <cellStyle name="제목 5 3 2" xfId="34394"/>
    <cellStyle name="제목 5 3 3" xfId="34395"/>
    <cellStyle name="제목 5 3 4" xfId="34396"/>
    <cellStyle name="제목 5 4" xfId="34397"/>
    <cellStyle name="제목 5 5" xfId="34398"/>
    <cellStyle name="제목 6" xfId="34399"/>
    <cellStyle name="제목 6 2" xfId="34400"/>
    <cellStyle name="제목 6 2 2" xfId="34401"/>
    <cellStyle name="제목 6 2 2 2" xfId="34402"/>
    <cellStyle name="제목 6 2 2 3" xfId="34403"/>
    <cellStyle name="제목 6 2 2 4" xfId="34404"/>
    <cellStyle name="제목 6 2 3" xfId="34405"/>
    <cellStyle name="제목 6 2 4" xfId="34406"/>
    <cellStyle name="제목 6 2 5" xfId="34407"/>
    <cellStyle name="제목 6 2 6" xfId="34408"/>
    <cellStyle name="제목 6 3" xfId="34409"/>
    <cellStyle name="제목 6 3 2" xfId="34410"/>
    <cellStyle name="제목 6 3 3" xfId="34411"/>
    <cellStyle name="제목 6 3 4" xfId="34412"/>
    <cellStyle name="제목 6 4" xfId="34413"/>
    <cellStyle name="제목 6 5" xfId="34414"/>
    <cellStyle name="제목 6 6" xfId="34415"/>
    <cellStyle name="제목 7" xfId="34416"/>
    <cellStyle name="제목 7 2" xfId="34417"/>
    <cellStyle name="제목 7 2 2" xfId="34418"/>
    <cellStyle name="제목 7 2 2 2" xfId="34419"/>
    <cellStyle name="제목 7 2 2 3" xfId="34420"/>
    <cellStyle name="제목 7 2 2 4" xfId="34421"/>
    <cellStyle name="제목 7 2 3" xfId="34422"/>
    <cellStyle name="제목 7 2 4" xfId="34423"/>
    <cellStyle name="제목 7 2 5" xfId="34424"/>
    <cellStyle name="제목 7 3" xfId="34425"/>
    <cellStyle name="제목 7 3 2" xfId="34426"/>
    <cellStyle name="제목 7 3 3" xfId="34427"/>
    <cellStyle name="제목 7 3 4" xfId="34428"/>
    <cellStyle name="제목 7 4" xfId="34429"/>
    <cellStyle name="제목 7 5" xfId="34430"/>
    <cellStyle name="제목 8" xfId="34431"/>
    <cellStyle name="제목 8 2" xfId="34432"/>
    <cellStyle name="제목 8 2 2" xfId="34433"/>
    <cellStyle name="제목 8 2 2 2" xfId="34434"/>
    <cellStyle name="제목 8 2 2 3" xfId="34435"/>
    <cellStyle name="제목 8 2 2 4" xfId="34436"/>
    <cellStyle name="제목 8 2 3" xfId="34437"/>
    <cellStyle name="제목 8 2 4" xfId="34438"/>
    <cellStyle name="제목 8 2 5" xfId="34439"/>
    <cellStyle name="제목 8 3" xfId="34440"/>
    <cellStyle name="제목 8 3 2" xfId="34441"/>
    <cellStyle name="제목 8 3 3" xfId="34442"/>
    <cellStyle name="제목 8 3 4" xfId="34443"/>
    <cellStyle name="제목 8 4" xfId="34444"/>
    <cellStyle name="제목 8 5" xfId="34445"/>
    <cellStyle name="제목 9" xfId="34446"/>
    <cellStyle name="제목 9 2" xfId="34447"/>
    <cellStyle name="제목 9 2 2" xfId="34448"/>
    <cellStyle name="제목 9 2 2 2" xfId="34449"/>
    <cellStyle name="제목 9 2 2 3" xfId="34450"/>
    <cellStyle name="제목 9 2 2 4" xfId="34451"/>
    <cellStyle name="제목 9 2 3" xfId="34452"/>
    <cellStyle name="제목 9 2 4" xfId="34453"/>
    <cellStyle name="제목 9 2 5" xfId="34454"/>
    <cellStyle name="제목 9 3" xfId="34455"/>
    <cellStyle name="제목 9 3 2" xfId="34456"/>
    <cellStyle name="제목 9 3 3" xfId="34457"/>
    <cellStyle name="제목 9 3 4" xfId="34458"/>
    <cellStyle name="제목 9 4" xfId="34459"/>
    <cellStyle name="제목 9 5" xfId="34460"/>
    <cellStyle name="좋음 10" xfId="34461"/>
    <cellStyle name="좋음 10 2" xfId="34462"/>
    <cellStyle name="좋음 10 2 2" xfId="34463"/>
    <cellStyle name="좋음 10 2 2 2" xfId="34464"/>
    <cellStyle name="좋음 10 2 2 3" xfId="34465"/>
    <cellStyle name="좋음 10 2 2 4" xfId="34466"/>
    <cellStyle name="좋음 10 2 3" xfId="34467"/>
    <cellStyle name="좋음 10 2 4" xfId="34468"/>
    <cellStyle name="좋음 10 2 5" xfId="34469"/>
    <cellStyle name="좋음 10 3" xfId="34470"/>
    <cellStyle name="좋음 10 3 2" xfId="34471"/>
    <cellStyle name="좋음 10 3 3" xfId="34472"/>
    <cellStyle name="좋음 10 3 4" xfId="34473"/>
    <cellStyle name="좋음 10 4" xfId="34474"/>
    <cellStyle name="좋음 10 5" xfId="34475"/>
    <cellStyle name="좋음 11" xfId="34476"/>
    <cellStyle name="좋음 11 2" xfId="34477"/>
    <cellStyle name="좋음 11 2 2" xfId="34478"/>
    <cellStyle name="좋음 11 2 2 2" xfId="34479"/>
    <cellStyle name="좋음 11 2 2 3" xfId="34480"/>
    <cellStyle name="좋음 11 2 2 4" xfId="34481"/>
    <cellStyle name="좋음 11 2 3" xfId="34482"/>
    <cellStyle name="좋음 11 2 4" xfId="34483"/>
    <cellStyle name="좋음 11 2 5" xfId="34484"/>
    <cellStyle name="좋음 11 3" xfId="34485"/>
    <cellStyle name="좋음 11 3 2" xfId="34486"/>
    <cellStyle name="좋음 11 3 3" xfId="34487"/>
    <cellStyle name="좋음 11 3 4" xfId="34488"/>
    <cellStyle name="좋음 11 4" xfId="34489"/>
    <cellStyle name="좋음 11 5" xfId="34490"/>
    <cellStyle name="좋음 12" xfId="34491"/>
    <cellStyle name="좋음 12 2" xfId="34492"/>
    <cellStyle name="좋음 12 2 2" xfId="34493"/>
    <cellStyle name="좋음 12 2 3" xfId="34494"/>
    <cellStyle name="좋음 12 2 4" xfId="34495"/>
    <cellStyle name="좋음 12 3" xfId="34496"/>
    <cellStyle name="좋음 12 4" xfId="34497"/>
    <cellStyle name="좋음 13" xfId="34498"/>
    <cellStyle name="좋음 13 2" xfId="34499"/>
    <cellStyle name="좋음 13 3" xfId="34500"/>
    <cellStyle name="좋음 13 4" xfId="34501"/>
    <cellStyle name="좋음 14" xfId="34502"/>
    <cellStyle name="좋음 2" xfId="34503"/>
    <cellStyle name="좋음 2 2" xfId="34504"/>
    <cellStyle name="좋음 2 2 2" xfId="34505"/>
    <cellStyle name="좋음 2 2 2 2" xfId="34506"/>
    <cellStyle name="좋음 2 2 2 3" xfId="34507"/>
    <cellStyle name="좋음 2 2 2 4" xfId="34508"/>
    <cellStyle name="좋음 2 2 3" xfId="34509"/>
    <cellStyle name="좋음 2 2 4" xfId="34510"/>
    <cellStyle name="좋음 2 2 5" xfId="34511"/>
    <cellStyle name="좋음 2 2 6" xfId="34512"/>
    <cellStyle name="좋음 2 3" xfId="34513"/>
    <cellStyle name="좋음 2 3 2" xfId="34514"/>
    <cellStyle name="좋음 2 3 3" xfId="34515"/>
    <cellStyle name="좋음 2 3 4" xfId="34516"/>
    <cellStyle name="좋음 2 4" xfId="34517"/>
    <cellStyle name="좋음 2 5" xfId="34518"/>
    <cellStyle name="좋음 2 6" xfId="34519"/>
    <cellStyle name="좋음 3" xfId="34520"/>
    <cellStyle name="좋음 3 2" xfId="34521"/>
    <cellStyle name="좋음 3 2 2" xfId="34522"/>
    <cellStyle name="좋음 3 2 2 2" xfId="34523"/>
    <cellStyle name="좋음 3 2 2 3" xfId="34524"/>
    <cellStyle name="좋음 3 2 2 4" xfId="34525"/>
    <cellStyle name="좋음 3 2 3" xfId="34526"/>
    <cellStyle name="좋음 3 2 4" xfId="34527"/>
    <cellStyle name="좋음 3 2 5" xfId="34528"/>
    <cellStyle name="좋음 3 2 6" xfId="34529"/>
    <cellStyle name="좋음 3 3" xfId="34530"/>
    <cellStyle name="좋음 3 3 2" xfId="34531"/>
    <cellStyle name="좋음 3 3 3" xfId="34532"/>
    <cellStyle name="좋음 3 3 4" xfId="34533"/>
    <cellStyle name="좋음 3 4" xfId="34534"/>
    <cellStyle name="좋음 3 5" xfId="34535"/>
    <cellStyle name="좋음 3 6" xfId="34536"/>
    <cellStyle name="좋음 4" xfId="34537"/>
    <cellStyle name="좋음 4 2" xfId="34538"/>
    <cellStyle name="좋음 4 2 2" xfId="34539"/>
    <cellStyle name="좋음 4 2 2 2" xfId="34540"/>
    <cellStyle name="좋음 4 2 2 3" xfId="34541"/>
    <cellStyle name="좋음 4 2 2 4" xfId="34542"/>
    <cellStyle name="좋음 4 2 3" xfId="34543"/>
    <cellStyle name="좋음 4 2 4" xfId="34544"/>
    <cellStyle name="좋음 4 2 5" xfId="34545"/>
    <cellStyle name="좋음 4 3" xfId="34546"/>
    <cellStyle name="좋음 4 3 2" xfId="34547"/>
    <cellStyle name="좋음 4 3 3" xfId="34548"/>
    <cellStyle name="좋음 4 3 4" xfId="34549"/>
    <cellStyle name="좋음 4 4" xfId="34550"/>
    <cellStyle name="좋음 4 5" xfId="34551"/>
    <cellStyle name="좋음 5" xfId="34552"/>
    <cellStyle name="좋음 5 2" xfId="34553"/>
    <cellStyle name="좋음 5 2 2" xfId="34554"/>
    <cellStyle name="좋음 5 2 2 2" xfId="34555"/>
    <cellStyle name="좋음 5 2 2 3" xfId="34556"/>
    <cellStyle name="좋음 5 2 2 4" xfId="34557"/>
    <cellStyle name="좋음 5 2 3" xfId="34558"/>
    <cellStyle name="좋음 5 2 4" xfId="34559"/>
    <cellStyle name="좋음 5 2 5" xfId="34560"/>
    <cellStyle name="좋음 5 3" xfId="34561"/>
    <cellStyle name="좋음 5 3 2" xfId="34562"/>
    <cellStyle name="좋음 5 3 3" xfId="34563"/>
    <cellStyle name="좋음 5 3 4" xfId="34564"/>
    <cellStyle name="좋음 5 4" xfId="34565"/>
    <cellStyle name="좋음 5 5" xfId="34566"/>
    <cellStyle name="좋음 6" xfId="34567"/>
    <cellStyle name="좋음 6 2" xfId="34568"/>
    <cellStyle name="좋음 6 2 2" xfId="34569"/>
    <cellStyle name="좋음 6 2 2 2" xfId="34570"/>
    <cellStyle name="좋음 6 2 2 3" xfId="34571"/>
    <cellStyle name="좋음 6 2 2 4" xfId="34572"/>
    <cellStyle name="좋음 6 2 3" xfId="34573"/>
    <cellStyle name="좋음 6 2 4" xfId="34574"/>
    <cellStyle name="좋음 6 2 5" xfId="34575"/>
    <cellStyle name="좋음 6 3" xfId="34576"/>
    <cellStyle name="좋음 6 3 2" xfId="34577"/>
    <cellStyle name="좋음 6 3 3" xfId="34578"/>
    <cellStyle name="좋음 6 3 4" xfId="34579"/>
    <cellStyle name="좋음 6 4" xfId="34580"/>
    <cellStyle name="좋음 6 5" xfId="34581"/>
    <cellStyle name="좋음 7" xfId="34582"/>
    <cellStyle name="좋음 7 2" xfId="34583"/>
    <cellStyle name="좋음 7 2 2" xfId="34584"/>
    <cellStyle name="좋음 7 2 2 2" xfId="34585"/>
    <cellStyle name="좋음 7 2 2 3" xfId="34586"/>
    <cellStyle name="좋음 7 2 2 4" xfId="34587"/>
    <cellStyle name="좋음 7 2 3" xfId="34588"/>
    <cellStyle name="좋음 7 2 4" xfId="34589"/>
    <cellStyle name="좋음 7 2 5" xfId="34590"/>
    <cellStyle name="좋음 7 3" xfId="34591"/>
    <cellStyle name="좋음 7 3 2" xfId="34592"/>
    <cellStyle name="좋음 7 3 3" xfId="34593"/>
    <cellStyle name="좋음 7 3 4" xfId="34594"/>
    <cellStyle name="좋음 7 4" xfId="34595"/>
    <cellStyle name="좋음 7 5" xfId="34596"/>
    <cellStyle name="좋음 8" xfId="34597"/>
    <cellStyle name="좋음 8 2" xfId="34598"/>
    <cellStyle name="좋음 8 2 2" xfId="34599"/>
    <cellStyle name="좋음 8 2 2 2" xfId="34600"/>
    <cellStyle name="좋음 8 2 2 3" xfId="34601"/>
    <cellStyle name="좋음 8 2 2 4" xfId="34602"/>
    <cellStyle name="좋음 8 2 3" xfId="34603"/>
    <cellStyle name="좋음 8 2 4" xfId="34604"/>
    <cellStyle name="좋음 8 2 5" xfId="34605"/>
    <cellStyle name="좋음 8 3" xfId="34606"/>
    <cellStyle name="좋음 8 3 2" xfId="34607"/>
    <cellStyle name="좋음 8 3 3" xfId="34608"/>
    <cellStyle name="좋음 8 3 4" xfId="34609"/>
    <cellStyle name="좋음 8 4" xfId="34610"/>
    <cellStyle name="좋음 8 5" xfId="34611"/>
    <cellStyle name="좋음 9" xfId="34612"/>
    <cellStyle name="좋음 9 2" xfId="34613"/>
    <cellStyle name="좋음 9 2 2" xfId="34614"/>
    <cellStyle name="좋음 9 2 2 2" xfId="34615"/>
    <cellStyle name="좋음 9 2 2 3" xfId="34616"/>
    <cellStyle name="좋음 9 2 2 4" xfId="34617"/>
    <cellStyle name="좋음 9 2 3" xfId="34618"/>
    <cellStyle name="좋음 9 2 4" xfId="34619"/>
    <cellStyle name="좋음 9 2 5" xfId="34620"/>
    <cellStyle name="좋음 9 3" xfId="34621"/>
    <cellStyle name="좋음 9 3 2" xfId="34622"/>
    <cellStyle name="좋음 9 3 3" xfId="34623"/>
    <cellStyle name="좋음 9 3 4" xfId="34624"/>
    <cellStyle name="좋음 9 4" xfId="34625"/>
    <cellStyle name="좋음 9 5" xfId="34626"/>
    <cellStyle name="주석" xfId="34627"/>
    <cellStyle name="注释" xfId="34628"/>
    <cellStyle name="중제목" xfId="34629"/>
    <cellStyle name="지정되지 않음" xfId="34630"/>
    <cellStyle name="지정되지 않음 2" xfId="34631"/>
    <cellStyle name="지정되지 않음 2 2" xfId="34632"/>
    <cellStyle name="지정되지 않음 3" xfId="34633"/>
    <cellStyle name="差" xfId="34634"/>
    <cellStyle name="差 2" xfId="34635"/>
    <cellStyle name="差 2 2" xfId="34636"/>
    <cellStyle name="千分位[0]_GARMENT STEP FORM HK" xfId="34637"/>
    <cellStyle name="千分位_GARMENT STEP FORM HK" xfId="34638"/>
    <cellStyle name="출 (한장)" xfId="34639"/>
    <cellStyle name="출력 10" xfId="34640"/>
    <cellStyle name="출력 10 2" xfId="34641"/>
    <cellStyle name="출력 10 2 2" xfId="34642"/>
    <cellStyle name="출력 10 2 2 2" xfId="34643"/>
    <cellStyle name="출력 10 2 2 3" xfId="34644"/>
    <cellStyle name="출력 10 2 2 4" xfId="34645"/>
    <cellStyle name="출력 10 2 3" xfId="34646"/>
    <cellStyle name="출력 10 2 4" xfId="34647"/>
    <cellStyle name="출력 10 2 5" xfId="34648"/>
    <cellStyle name="출력 10 3" xfId="34649"/>
    <cellStyle name="출력 10 3 2" xfId="34650"/>
    <cellStyle name="출력 10 3 3" xfId="34651"/>
    <cellStyle name="출력 10 3 4" xfId="34652"/>
    <cellStyle name="출력 10 4" xfId="34653"/>
    <cellStyle name="출력 10 5" xfId="34654"/>
    <cellStyle name="출력 11" xfId="34655"/>
    <cellStyle name="출력 11 2" xfId="34656"/>
    <cellStyle name="출력 11 2 2" xfId="34657"/>
    <cellStyle name="출력 11 2 2 2" xfId="34658"/>
    <cellStyle name="출력 11 2 2 3" xfId="34659"/>
    <cellStyle name="출력 11 2 2 4" xfId="34660"/>
    <cellStyle name="출력 11 2 3" xfId="34661"/>
    <cellStyle name="출력 11 2 4" xfId="34662"/>
    <cellStyle name="출력 11 2 5" xfId="34663"/>
    <cellStyle name="출력 11 3" xfId="34664"/>
    <cellStyle name="출력 11 3 2" xfId="34665"/>
    <cellStyle name="출력 11 3 3" xfId="34666"/>
    <cellStyle name="출력 11 3 4" xfId="34667"/>
    <cellStyle name="출력 11 4" xfId="34668"/>
    <cellStyle name="출력 11 5" xfId="34669"/>
    <cellStyle name="출력 12" xfId="34670"/>
    <cellStyle name="출력 12 2" xfId="34671"/>
    <cellStyle name="출력 12 2 2" xfId="34672"/>
    <cellStyle name="출력 12 2 3" xfId="34673"/>
    <cellStyle name="출력 12 2 4" xfId="34674"/>
    <cellStyle name="출력 12 3" xfId="34675"/>
    <cellStyle name="출력 12 4" xfId="34676"/>
    <cellStyle name="출력 13" xfId="34677"/>
    <cellStyle name="출력 13 2" xfId="34678"/>
    <cellStyle name="출력 13 3" xfId="34679"/>
    <cellStyle name="출력 13 4" xfId="34680"/>
    <cellStyle name="출력 14" xfId="34681"/>
    <cellStyle name="출력 2" xfId="34682"/>
    <cellStyle name="출력 2 2" xfId="34683"/>
    <cellStyle name="출력 2 2 2" xfId="34684"/>
    <cellStyle name="출력 2 2 2 2" xfId="34685"/>
    <cellStyle name="출력 2 2 2 2 2" xfId="34686"/>
    <cellStyle name="출력 2 2 2 2 3" xfId="34687"/>
    <cellStyle name="출력 2 2 2 2 4" xfId="34688"/>
    <cellStyle name="출력 2 2 2 3" xfId="34689"/>
    <cellStyle name="출력 2 2 2 4" xfId="34690"/>
    <cellStyle name="출력 2 2 2 5" xfId="34691"/>
    <cellStyle name="출력 2 2 3" xfId="34692"/>
    <cellStyle name="출력 2 2 3 2" xfId="34693"/>
    <cellStyle name="출력 2 2 3 3" xfId="34694"/>
    <cellStyle name="출력 2 2 3 4" xfId="34695"/>
    <cellStyle name="출력 2 2 4" xfId="34696"/>
    <cellStyle name="출력 2 2 5" xfId="34697"/>
    <cellStyle name="출력 2 2 6" xfId="34698"/>
    <cellStyle name="출력 2 3" xfId="34699"/>
    <cellStyle name="출력 2 3 2" xfId="34700"/>
    <cellStyle name="출력 2 3 2 2" xfId="34701"/>
    <cellStyle name="출력 2 3 2 2 2" xfId="34702"/>
    <cellStyle name="출력 2 3 2 2 3" xfId="34703"/>
    <cellStyle name="출력 2 3 2 2 4" xfId="34704"/>
    <cellStyle name="출력 2 3 2 3" xfId="34705"/>
    <cellStyle name="출력 2 3 2 4" xfId="34706"/>
    <cellStyle name="출력 2 3 2 5" xfId="34707"/>
    <cellStyle name="출력 2 3 3" xfId="34708"/>
    <cellStyle name="출력 2 3 3 2" xfId="34709"/>
    <cellStyle name="출력 2 3 3 3" xfId="34710"/>
    <cellStyle name="출력 2 3 3 4" xfId="34711"/>
    <cellStyle name="출력 2 3 4" xfId="34712"/>
    <cellStyle name="출력 2 3 5" xfId="34713"/>
    <cellStyle name="출력 2 4" xfId="34714"/>
    <cellStyle name="출력 2 4 2" xfId="34715"/>
    <cellStyle name="출력 2 4 2 2" xfId="34716"/>
    <cellStyle name="출력 2 4 2 2 2" xfId="34717"/>
    <cellStyle name="출력 2 4 2 2 3" xfId="34718"/>
    <cellStyle name="출력 2 4 2 2 4" xfId="34719"/>
    <cellStyle name="출력 2 4 2 3" xfId="34720"/>
    <cellStyle name="출력 2 4 2 4" xfId="34721"/>
    <cellStyle name="출력 2 4 2 5" xfId="34722"/>
    <cellStyle name="출력 2 4 3" xfId="34723"/>
    <cellStyle name="출력 2 4 3 2" xfId="34724"/>
    <cellStyle name="출력 2 4 3 3" xfId="34725"/>
    <cellStyle name="출력 2 4 3 4" xfId="34726"/>
    <cellStyle name="출력 2 4 4" xfId="34727"/>
    <cellStyle name="출력 2 4 5" xfId="34728"/>
    <cellStyle name="출력 2 5" xfId="34729"/>
    <cellStyle name="출력 2 5 2" xfId="34730"/>
    <cellStyle name="출력 2 5 2 2" xfId="34731"/>
    <cellStyle name="출력 2 5 2 3" xfId="34732"/>
    <cellStyle name="출력 2 5 2 4" xfId="34733"/>
    <cellStyle name="출력 2 5 3" xfId="34734"/>
    <cellStyle name="출력 2 5 4" xfId="34735"/>
    <cellStyle name="출력 2 5 5" xfId="34736"/>
    <cellStyle name="출력 2 6" xfId="34737"/>
    <cellStyle name="출력 2 6 2" xfId="34738"/>
    <cellStyle name="출력 2 6 3" xfId="34739"/>
    <cellStyle name="출력 2 6 4" xfId="34740"/>
    <cellStyle name="출력 2 7" xfId="34741"/>
    <cellStyle name="출력 2 8" xfId="34742"/>
    <cellStyle name="출력 2 9" xfId="34743"/>
    <cellStyle name="출력 3" xfId="34744"/>
    <cellStyle name="출력 3 2" xfId="34745"/>
    <cellStyle name="출력 3 2 2" xfId="34746"/>
    <cellStyle name="출력 3 2 2 2" xfId="34747"/>
    <cellStyle name="출력 3 2 2 3" xfId="34748"/>
    <cellStyle name="출력 3 2 2 4" xfId="34749"/>
    <cellStyle name="출력 3 2 3" xfId="34750"/>
    <cellStyle name="출력 3 2 4" xfId="34751"/>
    <cellStyle name="출력 3 2 5" xfId="34752"/>
    <cellStyle name="출력 3 2 6" xfId="34753"/>
    <cellStyle name="출력 3 3" xfId="34754"/>
    <cellStyle name="출력 3 3 2" xfId="34755"/>
    <cellStyle name="출력 3 3 3" xfId="34756"/>
    <cellStyle name="출력 3 3 4" xfId="34757"/>
    <cellStyle name="출력 3 4" xfId="34758"/>
    <cellStyle name="출력 3 5" xfId="34759"/>
    <cellStyle name="출력 3 6" xfId="34760"/>
    <cellStyle name="출력 4" xfId="34761"/>
    <cellStyle name="출력 4 2" xfId="34762"/>
    <cellStyle name="출력 4 2 2" xfId="34763"/>
    <cellStyle name="출력 4 2 2 2" xfId="34764"/>
    <cellStyle name="출력 4 2 2 3" xfId="34765"/>
    <cellStyle name="출력 4 2 2 4" xfId="34766"/>
    <cellStyle name="출력 4 2 3" xfId="34767"/>
    <cellStyle name="출력 4 2 4" xfId="34768"/>
    <cellStyle name="출력 4 2 5" xfId="34769"/>
    <cellStyle name="출력 4 3" xfId="34770"/>
    <cellStyle name="출력 4 3 2" xfId="34771"/>
    <cellStyle name="출력 4 3 3" xfId="34772"/>
    <cellStyle name="출력 4 3 4" xfId="34773"/>
    <cellStyle name="출력 4 4" xfId="34774"/>
    <cellStyle name="출력 4 5" xfId="34775"/>
    <cellStyle name="출력 5" xfId="34776"/>
    <cellStyle name="출력 5 2" xfId="34777"/>
    <cellStyle name="출력 5 2 2" xfId="34778"/>
    <cellStyle name="출력 5 2 2 2" xfId="34779"/>
    <cellStyle name="출력 5 2 2 3" xfId="34780"/>
    <cellStyle name="출력 5 2 2 4" xfId="34781"/>
    <cellStyle name="출력 5 2 3" xfId="34782"/>
    <cellStyle name="출력 5 2 4" xfId="34783"/>
    <cellStyle name="출력 5 2 5" xfId="34784"/>
    <cellStyle name="출력 5 3" xfId="34785"/>
    <cellStyle name="출력 5 3 2" xfId="34786"/>
    <cellStyle name="출력 5 3 3" xfId="34787"/>
    <cellStyle name="출력 5 3 4" xfId="34788"/>
    <cellStyle name="출력 5 4" xfId="34789"/>
    <cellStyle name="출력 5 5" xfId="34790"/>
    <cellStyle name="출력 6" xfId="34791"/>
    <cellStyle name="출력 6 2" xfId="34792"/>
    <cellStyle name="출력 6 2 2" xfId="34793"/>
    <cellStyle name="출력 6 2 2 2" xfId="34794"/>
    <cellStyle name="출력 6 2 2 3" xfId="34795"/>
    <cellStyle name="출력 6 2 2 4" xfId="34796"/>
    <cellStyle name="출력 6 2 3" xfId="34797"/>
    <cellStyle name="출력 6 2 4" xfId="34798"/>
    <cellStyle name="출력 6 2 5" xfId="34799"/>
    <cellStyle name="출력 6 3" xfId="34800"/>
    <cellStyle name="출력 6 3 2" xfId="34801"/>
    <cellStyle name="출력 6 3 3" xfId="34802"/>
    <cellStyle name="출력 6 3 4" xfId="34803"/>
    <cellStyle name="출력 6 4" xfId="34804"/>
    <cellStyle name="출력 6 5" xfId="34805"/>
    <cellStyle name="출력 7" xfId="34806"/>
    <cellStyle name="출력 7 2" xfId="34807"/>
    <cellStyle name="출력 7 2 2" xfId="34808"/>
    <cellStyle name="출력 7 2 2 2" xfId="34809"/>
    <cellStyle name="출력 7 2 2 3" xfId="34810"/>
    <cellStyle name="출력 7 2 2 4" xfId="34811"/>
    <cellStyle name="출력 7 2 3" xfId="34812"/>
    <cellStyle name="출력 7 2 4" xfId="34813"/>
    <cellStyle name="출력 7 2 5" xfId="34814"/>
    <cellStyle name="출력 7 3" xfId="34815"/>
    <cellStyle name="출력 7 3 2" xfId="34816"/>
    <cellStyle name="출력 7 3 3" xfId="34817"/>
    <cellStyle name="출력 7 3 4" xfId="34818"/>
    <cellStyle name="출력 7 4" xfId="34819"/>
    <cellStyle name="출력 7 5" xfId="34820"/>
    <cellStyle name="출력 8" xfId="34821"/>
    <cellStyle name="출력 8 2" xfId="34822"/>
    <cellStyle name="출력 8 2 2" xfId="34823"/>
    <cellStyle name="출력 8 2 2 2" xfId="34824"/>
    <cellStyle name="출력 8 2 2 3" xfId="34825"/>
    <cellStyle name="출력 8 2 2 4" xfId="34826"/>
    <cellStyle name="출력 8 2 3" xfId="34827"/>
    <cellStyle name="출력 8 2 4" xfId="34828"/>
    <cellStyle name="출력 8 2 5" xfId="34829"/>
    <cellStyle name="출력 8 3" xfId="34830"/>
    <cellStyle name="출력 8 3 2" xfId="34831"/>
    <cellStyle name="출력 8 3 3" xfId="34832"/>
    <cellStyle name="출력 8 3 4" xfId="34833"/>
    <cellStyle name="출력 8 4" xfId="34834"/>
    <cellStyle name="출력 8 5" xfId="34835"/>
    <cellStyle name="출력 9" xfId="34836"/>
    <cellStyle name="출력 9 2" xfId="34837"/>
    <cellStyle name="출력 9 2 2" xfId="34838"/>
    <cellStyle name="출력 9 2 2 2" xfId="34839"/>
    <cellStyle name="출력 9 2 2 3" xfId="34840"/>
    <cellStyle name="출력 9 2 2 4" xfId="34841"/>
    <cellStyle name="출력 9 2 3" xfId="34842"/>
    <cellStyle name="출력 9 2 4" xfId="34843"/>
    <cellStyle name="출력 9 2 5" xfId="34844"/>
    <cellStyle name="출력 9 3" xfId="34845"/>
    <cellStyle name="출력 9 3 2" xfId="34846"/>
    <cellStyle name="출력 9 3 3" xfId="34847"/>
    <cellStyle name="출력 9 3 4" xfId="34848"/>
    <cellStyle name="출력 9 4" xfId="34849"/>
    <cellStyle name="출력 9 5" xfId="34850"/>
    <cellStyle name="콤마 [0]_  종  합  " xfId="34851"/>
    <cellStyle name="콤마 [0]기기자재비" xfId="34852"/>
    <cellStyle name="콤마 [2]" xfId="34853"/>
    <cellStyle name="콤마 [20]" xfId="34854"/>
    <cellStyle name="콤마 [ʰ]" xfId="34855"/>
    <cellStyle name="콤마_  종  합  " xfId="34856"/>
    <cellStyle name="퀼마_현지법인" xfId="34857"/>
    <cellStyle name="通貨 [0.00]_ Att. 1- Cover" xfId="34858"/>
    <cellStyle name="통화 [0] 2" xfId="34859"/>
    <cellStyle name="통화 [0] 2 2" xfId="34860"/>
    <cellStyle name="통화 [0] 2 3" xfId="34861"/>
    <cellStyle name="통화 [0] 2 4" xfId="34862"/>
    <cellStyle name="통화[0]" xfId="34863"/>
    <cellStyle name="通貨_ Att. 1- Cover" xfId="34864"/>
    <cellStyle name="烹拳 [0]_INQUIRY 康?眠柳 " xfId="34865"/>
    <cellStyle name="烹拳_INQUIRY 康?眠柳 " xfId="34866"/>
    <cellStyle name="퍼센트" xfId="34867"/>
    <cellStyle name="퍼센트 2" xfId="34868"/>
    <cellStyle name="퍼센트 2 2" xfId="34869"/>
    <cellStyle name="퍼센트 2 2 2" xfId="34870"/>
    <cellStyle name="퍼센트 2 2 3" xfId="34871"/>
    <cellStyle name="퍼센트 2 2 4" xfId="34872"/>
    <cellStyle name="퍼센트 2 3" xfId="34873"/>
    <cellStyle name="퍼센트 2 4" xfId="34874"/>
    <cellStyle name="퍼센트 2 5" xfId="34875"/>
    <cellStyle name="퍼센트 2 6" xfId="34876"/>
    <cellStyle name="퍼센트 2 7" xfId="34877"/>
    <cellStyle name="퍼센트 2 8" xfId="34878"/>
    <cellStyle name="퍼센트 3" xfId="34879"/>
    <cellStyle name="퍼센트 3 2" xfId="34880"/>
    <cellStyle name="퍼센트 3 3" xfId="34881"/>
    <cellStyle name="퍼센트 3 4" xfId="34882"/>
    <cellStyle name="퍼센트 3 5" xfId="34883"/>
    <cellStyle name="퍼센트 4" xfId="34884"/>
    <cellStyle name="퍼센트 5" xfId="34885"/>
    <cellStyle name="표내용" xfId="34886"/>
    <cellStyle name="표내용 10" xfId="34887"/>
    <cellStyle name="표내용 10 2" xfId="34888"/>
    <cellStyle name="표내용 10 2 2" xfId="34889"/>
    <cellStyle name="표내용 10 3" xfId="34890"/>
    <cellStyle name="표내용 10 3 2" xfId="34891"/>
    <cellStyle name="표내용 10 4" xfId="34892"/>
    <cellStyle name="표내용 11" xfId="34893"/>
    <cellStyle name="표내용 11 2" xfId="34894"/>
    <cellStyle name="표내용 11 2 2" xfId="34895"/>
    <cellStyle name="표내용 11 3" xfId="34896"/>
    <cellStyle name="표내용 11 3 2" xfId="34897"/>
    <cellStyle name="표내용 11 4" xfId="34898"/>
    <cellStyle name="표내용 12" xfId="34899"/>
    <cellStyle name="표내용 12 2" xfId="34900"/>
    <cellStyle name="표내용 12 2 2" xfId="34901"/>
    <cellStyle name="표내용 12 3" xfId="34902"/>
    <cellStyle name="표내용 12 3 2" xfId="34903"/>
    <cellStyle name="표내용 12 4" xfId="34904"/>
    <cellStyle name="표내용 13" xfId="34905"/>
    <cellStyle name="표내용 13 2" xfId="34906"/>
    <cellStyle name="표내용 13 2 2" xfId="34907"/>
    <cellStyle name="표내용 13 3" xfId="34908"/>
    <cellStyle name="표내용 13 3 2" xfId="34909"/>
    <cellStyle name="표내용 13 4" xfId="34910"/>
    <cellStyle name="표내용 14" xfId="34911"/>
    <cellStyle name="표내용 14 2" xfId="34912"/>
    <cellStyle name="표내용 14 2 2" xfId="34913"/>
    <cellStyle name="표내용 14 3" xfId="34914"/>
    <cellStyle name="표내용 14 3 2" xfId="34915"/>
    <cellStyle name="표내용 14 4" xfId="34916"/>
    <cellStyle name="표내용 15" xfId="34917"/>
    <cellStyle name="표내용 15 2" xfId="34918"/>
    <cellStyle name="표내용 15 2 2" xfId="34919"/>
    <cellStyle name="표내용 15 3" xfId="34920"/>
    <cellStyle name="표내용 15 3 2" xfId="34921"/>
    <cellStyle name="표내용 15 4" xfId="34922"/>
    <cellStyle name="표내용 16" xfId="34923"/>
    <cellStyle name="표내용 16 2" xfId="34924"/>
    <cellStyle name="표내용 16 2 2" xfId="34925"/>
    <cellStyle name="표내용 16 3" xfId="34926"/>
    <cellStyle name="표내용 16 3 2" xfId="34927"/>
    <cellStyle name="표내용 16 4" xfId="34928"/>
    <cellStyle name="표내용 17" xfId="34929"/>
    <cellStyle name="표내용 17 2" xfId="34930"/>
    <cellStyle name="표내용 17 2 2" xfId="34931"/>
    <cellStyle name="표내용 17 3" xfId="34932"/>
    <cellStyle name="표내용 17 3 2" xfId="34933"/>
    <cellStyle name="표내용 17 4" xfId="34934"/>
    <cellStyle name="표내용 18" xfId="34935"/>
    <cellStyle name="표내용 18 2" xfId="34936"/>
    <cellStyle name="표내용 18 2 2" xfId="34937"/>
    <cellStyle name="표내용 18 3" xfId="34938"/>
    <cellStyle name="표내용 18 3 2" xfId="34939"/>
    <cellStyle name="표내용 18 4" xfId="34940"/>
    <cellStyle name="표내용 19" xfId="34941"/>
    <cellStyle name="표내용 19 2" xfId="34942"/>
    <cellStyle name="표내용 19 2 2" xfId="34943"/>
    <cellStyle name="표내용 19 3" xfId="34944"/>
    <cellStyle name="표내용 19 3 2" xfId="34945"/>
    <cellStyle name="표내용 19 4" xfId="34946"/>
    <cellStyle name="표내용 2" xfId="34947"/>
    <cellStyle name="표내용 2 2" xfId="34948"/>
    <cellStyle name="표내용 2 2 2" xfId="34949"/>
    <cellStyle name="표내용 2 3" xfId="34950"/>
    <cellStyle name="표내용 2 3 2" xfId="34951"/>
    <cellStyle name="표내용 2 4" xfId="34952"/>
    <cellStyle name="표내용 20" xfId="34953"/>
    <cellStyle name="표내용 20 2" xfId="34954"/>
    <cellStyle name="표내용 20 2 2" xfId="34955"/>
    <cellStyle name="표내용 20 3" xfId="34956"/>
    <cellStyle name="표내용 20 3 2" xfId="34957"/>
    <cellStyle name="표내용 20 4" xfId="34958"/>
    <cellStyle name="표내용 21" xfId="34959"/>
    <cellStyle name="표내용 21 2" xfId="34960"/>
    <cellStyle name="표내용 21 2 2" xfId="34961"/>
    <cellStyle name="표내용 21 3" xfId="34962"/>
    <cellStyle name="표내용 21 3 2" xfId="34963"/>
    <cellStyle name="표내용 21 4" xfId="34964"/>
    <cellStyle name="표내용 22" xfId="34965"/>
    <cellStyle name="표내용 22 2" xfId="34966"/>
    <cellStyle name="표내용 22 2 2" xfId="34967"/>
    <cellStyle name="표내용 22 3" xfId="34968"/>
    <cellStyle name="표내용 22 3 2" xfId="34969"/>
    <cellStyle name="표내용 22 4" xfId="34970"/>
    <cellStyle name="표내용 23" xfId="34971"/>
    <cellStyle name="표내용 23 2" xfId="34972"/>
    <cellStyle name="표내용 23 2 2" xfId="34973"/>
    <cellStyle name="표내용 23 3" xfId="34974"/>
    <cellStyle name="표내용 23 3 2" xfId="34975"/>
    <cellStyle name="표내용 23 4" xfId="34976"/>
    <cellStyle name="표내용 24" xfId="34977"/>
    <cellStyle name="표내용 24 2" xfId="34978"/>
    <cellStyle name="표내용 24 2 2" xfId="34979"/>
    <cellStyle name="표내용 24 3" xfId="34980"/>
    <cellStyle name="표내용 24 3 2" xfId="34981"/>
    <cellStyle name="표내용 24 4" xfId="34982"/>
    <cellStyle name="표내용 25" xfId="34983"/>
    <cellStyle name="표내용 25 2" xfId="34984"/>
    <cellStyle name="표내용 25 2 2" xfId="34985"/>
    <cellStyle name="표내용 25 3" xfId="34986"/>
    <cellStyle name="표내용 25 3 2" xfId="34987"/>
    <cellStyle name="표내용 25 4" xfId="34988"/>
    <cellStyle name="표내용 26" xfId="34989"/>
    <cellStyle name="표내용 26 2" xfId="34990"/>
    <cellStyle name="표내용 26 2 2" xfId="34991"/>
    <cellStyle name="표내용 26 3" xfId="34992"/>
    <cellStyle name="표내용 26 3 2" xfId="34993"/>
    <cellStyle name="표내용 26 4" xfId="34994"/>
    <cellStyle name="표내용 27" xfId="34995"/>
    <cellStyle name="표내용 27 2" xfId="34996"/>
    <cellStyle name="표내용 27 2 2" xfId="34997"/>
    <cellStyle name="표내용 27 3" xfId="34998"/>
    <cellStyle name="표내용 27 3 2" xfId="34999"/>
    <cellStyle name="표내용 27 4" xfId="35000"/>
    <cellStyle name="표내용 28" xfId="35001"/>
    <cellStyle name="표내용 28 2" xfId="35002"/>
    <cellStyle name="표내용 28 2 2" xfId="35003"/>
    <cellStyle name="표내용 28 3" xfId="35004"/>
    <cellStyle name="표내용 28 3 2" xfId="35005"/>
    <cellStyle name="표내용 28 4" xfId="35006"/>
    <cellStyle name="표내용 29" xfId="35007"/>
    <cellStyle name="표내용 29 2" xfId="35008"/>
    <cellStyle name="표내용 29 2 2" xfId="35009"/>
    <cellStyle name="표내용 29 3" xfId="35010"/>
    <cellStyle name="표내용 29 3 2" xfId="35011"/>
    <cellStyle name="표내용 29 4" xfId="35012"/>
    <cellStyle name="표내용 3" xfId="35013"/>
    <cellStyle name="표내용 3 2" xfId="35014"/>
    <cellStyle name="표내용 3 2 2" xfId="35015"/>
    <cellStyle name="표내용 3 3" xfId="35016"/>
    <cellStyle name="표내용 3 3 2" xfId="35017"/>
    <cellStyle name="표내용 3 4" xfId="35018"/>
    <cellStyle name="표내용 30" xfId="35019"/>
    <cellStyle name="표내용 30 2" xfId="35020"/>
    <cellStyle name="표내용 30 2 2" xfId="35021"/>
    <cellStyle name="표내용 30 3" xfId="35022"/>
    <cellStyle name="표내용 30 3 2" xfId="35023"/>
    <cellStyle name="표내용 30 4" xfId="35024"/>
    <cellStyle name="표내용 31" xfId="35025"/>
    <cellStyle name="표내용 31 2" xfId="35026"/>
    <cellStyle name="표내용 31 2 2" xfId="35027"/>
    <cellStyle name="표내용 31 3" xfId="35028"/>
    <cellStyle name="표내용 31 3 2" xfId="35029"/>
    <cellStyle name="표내용 31 4" xfId="35030"/>
    <cellStyle name="표내용 32" xfId="35031"/>
    <cellStyle name="표내용 32 2" xfId="35032"/>
    <cellStyle name="표내용 32 2 2" xfId="35033"/>
    <cellStyle name="표내용 32 3" xfId="35034"/>
    <cellStyle name="표내용 32 3 2" xfId="35035"/>
    <cellStyle name="표내용 32 4" xfId="35036"/>
    <cellStyle name="표내용 33" xfId="35037"/>
    <cellStyle name="표내용 33 2" xfId="35038"/>
    <cellStyle name="표내용 33 2 2" xfId="35039"/>
    <cellStyle name="표내용 33 3" xfId="35040"/>
    <cellStyle name="표내용 33 3 2" xfId="35041"/>
    <cellStyle name="표내용 33 4" xfId="35042"/>
    <cellStyle name="표내용 34" xfId="35043"/>
    <cellStyle name="표내용 34 2" xfId="35044"/>
    <cellStyle name="표내용 34 2 2" xfId="35045"/>
    <cellStyle name="표내용 34 3" xfId="35046"/>
    <cellStyle name="표내용 34 3 2" xfId="35047"/>
    <cellStyle name="표내용 34 4" xfId="35048"/>
    <cellStyle name="표내용 35" xfId="35049"/>
    <cellStyle name="표내용 35 2" xfId="35050"/>
    <cellStyle name="표내용 35 2 2" xfId="35051"/>
    <cellStyle name="표내용 35 3" xfId="35052"/>
    <cellStyle name="표내용 35 3 2" xfId="35053"/>
    <cellStyle name="표내용 35 4" xfId="35054"/>
    <cellStyle name="표내용 36" xfId="35055"/>
    <cellStyle name="표내용 36 2" xfId="35056"/>
    <cellStyle name="표내용 36 2 2" xfId="35057"/>
    <cellStyle name="표내용 36 3" xfId="35058"/>
    <cellStyle name="표내용 36 3 2" xfId="35059"/>
    <cellStyle name="표내용 36 4" xfId="35060"/>
    <cellStyle name="표내용 37" xfId="35061"/>
    <cellStyle name="표내용 37 2" xfId="35062"/>
    <cellStyle name="표내용 37 2 2" xfId="35063"/>
    <cellStyle name="표내용 37 3" xfId="35064"/>
    <cellStyle name="표내용 37 3 2" xfId="35065"/>
    <cellStyle name="표내용 37 4" xfId="35066"/>
    <cellStyle name="표내용 38" xfId="35067"/>
    <cellStyle name="표내용 38 2" xfId="35068"/>
    <cellStyle name="표내용 38 2 2" xfId="35069"/>
    <cellStyle name="표내용 38 3" xfId="35070"/>
    <cellStyle name="표내용 38 3 2" xfId="35071"/>
    <cellStyle name="표내용 38 4" xfId="35072"/>
    <cellStyle name="표내용 39" xfId="35073"/>
    <cellStyle name="표내용 39 2" xfId="35074"/>
    <cellStyle name="표내용 39 2 2" xfId="35075"/>
    <cellStyle name="표내용 39 3" xfId="35076"/>
    <cellStyle name="표내용 39 3 2" xfId="35077"/>
    <cellStyle name="표내용 39 4" xfId="35078"/>
    <cellStyle name="표내용 4" xfId="35079"/>
    <cellStyle name="표내용 4 2" xfId="35080"/>
    <cellStyle name="표내용 4 2 2" xfId="35081"/>
    <cellStyle name="표내용 4 3" xfId="35082"/>
    <cellStyle name="표내용 4 3 2" xfId="35083"/>
    <cellStyle name="표내용 4 4" xfId="35084"/>
    <cellStyle name="표내용 40" xfId="35085"/>
    <cellStyle name="표내용 40 2" xfId="35086"/>
    <cellStyle name="표내용 40 2 2" xfId="35087"/>
    <cellStyle name="표내용 40 3" xfId="35088"/>
    <cellStyle name="표내용 40 3 2" xfId="35089"/>
    <cellStyle name="표내용 40 4" xfId="35090"/>
    <cellStyle name="표내용 41" xfId="35091"/>
    <cellStyle name="표내용 41 2" xfId="35092"/>
    <cellStyle name="표내용 41 2 2" xfId="35093"/>
    <cellStyle name="표내용 41 3" xfId="35094"/>
    <cellStyle name="표내용 41 3 2" xfId="35095"/>
    <cellStyle name="표내용 41 4" xfId="35096"/>
    <cellStyle name="표내용 42" xfId="35097"/>
    <cellStyle name="표내용 42 2" xfId="35098"/>
    <cellStyle name="표내용 42 2 2" xfId="35099"/>
    <cellStyle name="표내용 42 3" xfId="35100"/>
    <cellStyle name="표내용 42 3 2" xfId="35101"/>
    <cellStyle name="표내용 42 4" xfId="35102"/>
    <cellStyle name="표내용 43" xfId="35103"/>
    <cellStyle name="표내용 43 2" xfId="35104"/>
    <cellStyle name="표내용 43 2 2" xfId="35105"/>
    <cellStyle name="표내용 43 3" xfId="35106"/>
    <cellStyle name="표내용 43 3 2" xfId="35107"/>
    <cellStyle name="표내용 43 4" xfId="35108"/>
    <cellStyle name="표내용 44" xfId="35109"/>
    <cellStyle name="표내용 44 2" xfId="35110"/>
    <cellStyle name="표내용 44 2 2" xfId="35111"/>
    <cellStyle name="표내용 44 3" xfId="35112"/>
    <cellStyle name="표내용 44 3 2" xfId="35113"/>
    <cellStyle name="표내용 44 4" xfId="35114"/>
    <cellStyle name="표내용 45" xfId="35115"/>
    <cellStyle name="표내용 45 2" xfId="35116"/>
    <cellStyle name="표내용 45 2 2" xfId="35117"/>
    <cellStyle name="표내용 45 3" xfId="35118"/>
    <cellStyle name="표내용 45 3 2" xfId="35119"/>
    <cellStyle name="표내용 45 4" xfId="35120"/>
    <cellStyle name="표내용 46" xfId="35121"/>
    <cellStyle name="표내용 46 2" xfId="35122"/>
    <cellStyle name="표내용 46 2 2" xfId="35123"/>
    <cellStyle name="표내용 46 3" xfId="35124"/>
    <cellStyle name="표내용 46 3 2" xfId="35125"/>
    <cellStyle name="표내용 46 4" xfId="35126"/>
    <cellStyle name="표내용 47" xfId="35127"/>
    <cellStyle name="표내용 47 2" xfId="35128"/>
    <cellStyle name="표내용 47 2 2" xfId="35129"/>
    <cellStyle name="표내용 47 3" xfId="35130"/>
    <cellStyle name="표내용 47 3 2" xfId="35131"/>
    <cellStyle name="표내용 47 4" xfId="35132"/>
    <cellStyle name="표내용 48" xfId="35133"/>
    <cellStyle name="표내용 48 2" xfId="35134"/>
    <cellStyle name="표내용 48 2 2" xfId="35135"/>
    <cellStyle name="표내용 48 3" xfId="35136"/>
    <cellStyle name="표내용 48 3 2" xfId="35137"/>
    <cellStyle name="표내용 48 4" xfId="35138"/>
    <cellStyle name="표내용 49" xfId="35139"/>
    <cellStyle name="표내용 49 2" xfId="35140"/>
    <cellStyle name="표내용 49 2 2" xfId="35141"/>
    <cellStyle name="표내용 49 3" xfId="35142"/>
    <cellStyle name="표내용 49 3 2" xfId="35143"/>
    <cellStyle name="표내용 49 4" xfId="35144"/>
    <cellStyle name="표내용 5" xfId="35145"/>
    <cellStyle name="표내용 5 2" xfId="35146"/>
    <cellStyle name="표내용 5 2 2" xfId="35147"/>
    <cellStyle name="표내용 5 3" xfId="35148"/>
    <cellStyle name="표내용 5 3 2" xfId="35149"/>
    <cellStyle name="표내용 5 4" xfId="35150"/>
    <cellStyle name="표내용 50" xfId="35151"/>
    <cellStyle name="표내용 50 2" xfId="35152"/>
    <cellStyle name="표내용 50 2 2" xfId="35153"/>
    <cellStyle name="표내용 50 3" xfId="35154"/>
    <cellStyle name="표내용 50 3 2" xfId="35155"/>
    <cellStyle name="표내용 50 4" xfId="35156"/>
    <cellStyle name="표내용 51" xfId="35157"/>
    <cellStyle name="표내용 51 2" xfId="35158"/>
    <cellStyle name="표내용 51 2 2" xfId="35159"/>
    <cellStyle name="표내용 51 3" xfId="35160"/>
    <cellStyle name="표내용 51 3 2" xfId="35161"/>
    <cellStyle name="표내용 51 4" xfId="35162"/>
    <cellStyle name="표내용 52" xfId="35163"/>
    <cellStyle name="표내용 52 2" xfId="35164"/>
    <cellStyle name="표내용 52 2 2" xfId="35165"/>
    <cellStyle name="표내용 52 3" xfId="35166"/>
    <cellStyle name="표내용 52 3 2" xfId="35167"/>
    <cellStyle name="표내용 52 4" xfId="35168"/>
    <cellStyle name="표내용 53" xfId="35169"/>
    <cellStyle name="표내용 53 2" xfId="35170"/>
    <cellStyle name="표내용 53 2 2" xfId="35171"/>
    <cellStyle name="표내용 53 3" xfId="35172"/>
    <cellStyle name="표내용 53 3 2" xfId="35173"/>
    <cellStyle name="표내용 53 4" xfId="35174"/>
    <cellStyle name="표내용 54" xfId="35175"/>
    <cellStyle name="표내용 54 2" xfId="35176"/>
    <cellStyle name="표내용 54 2 2" xfId="35177"/>
    <cellStyle name="표내용 54 3" xfId="35178"/>
    <cellStyle name="표내용 54 3 2" xfId="35179"/>
    <cellStyle name="표내용 54 4" xfId="35180"/>
    <cellStyle name="표내용 55" xfId="35181"/>
    <cellStyle name="표내용 55 2" xfId="35182"/>
    <cellStyle name="표내용 55 2 2" xfId="35183"/>
    <cellStyle name="표내용 55 3" xfId="35184"/>
    <cellStyle name="표내용 55 3 2" xfId="35185"/>
    <cellStyle name="표내용 55 4" xfId="35186"/>
    <cellStyle name="표내용 56" xfId="35187"/>
    <cellStyle name="표내용 56 2" xfId="35188"/>
    <cellStyle name="표내용 56 2 2" xfId="35189"/>
    <cellStyle name="표내용 56 3" xfId="35190"/>
    <cellStyle name="표내용 56 3 2" xfId="35191"/>
    <cellStyle name="표내용 56 4" xfId="35192"/>
    <cellStyle name="표내용 57" xfId="35193"/>
    <cellStyle name="표내용 57 2" xfId="35194"/>
    <cellStyle name="표내용 57 2 2" xfId="35195"/>
    <cellStyle name="표내용 57 3" xfId="35196"/>
    <cellStyle name="표내용 57 3 2" xfId="35197"/>
    <cellStyle name="표내용 57 4" xfId="35198"/>
    <cellStyle name="표내용 58" xfId="35199"/>
    <cellStyle name="표내용 58 2" xfId="35200"/>
    <cellStyle name="표내용 58 2 2" xfId="35201"/>
    <cellStyle name="표내용 58 3" xfId="35202"/>
    <cellStyle name="표내용 58 3 2" xfId="35203"/>
    <cellStyle name="표내용 58 4" xfId="35204"/>
    <cellStyle name="표내용 59" xfId="35205"/>
    <cellStyle name="표내용 59 2" xfId="35206"/>
    <cellStyle name="표내용 59 2 2" xfId="35207"/>
    <cellStyle name="표내용 59 3" xfId="35208"/>
    <cellStyle name="표내용 59 3 2" xfId="35209"/>
    <cellStyle name="표내용 59 4" xfId="35210"/>
    <cellStyle name="표내용 6" xfId="35211"/>
    <cellStyle name="표내용 6 2" xfId="35212"/>
    <cellStyle name="표내용 6 2 2" xfId="35213"/>
    <cellStyle name="표내용 6 3" xfId="35214"/>
    <cellStyle name="표내용 6 3 2" xfId="35215"/>
    <cellStyle name="표내용 6 4" xfId="35216"/>
    <cellStyle name="표내용 60" xfId="35217"/>
    <cellStyle name="표내용 60 2" xfId="35218"/>
    <cellStyle name="표내용 60 2 2" xfId="35219"/>
    <cellStyle name="표내용 60 3" xfId="35220"/>
    <cellStyle name="표내용 60 3 2" xfId="35221"/>
    <cellStyle name="표내용 60 4" xfId="35222"/>
    <cellStyle name="표내용 61" xfId="35223"/>
    <cellStyle name="표내용 61 2" xfId="35224"/>
    <cellStyle name="표내용 61 2 2" xfId="35225"/>
    <cellStyle name="표내용 61 3" xfId="35226"/>
    <cellStyle name="표내용 61 3 2" xfId="35227"/>
    <cellStyle name="표내용 61 4" xfId="35228"/>
    <cellStyle name="표내용 62" xfId="35229"/>
    <cellStyle name="표내용 62 2" xfId="35230"/>
    <cellStyle name="표내용 62 2 2" xfId="35231"/>
    <cellStyle name="표내용 62 3" xfId="35232"/>
    <cellStyle name="표내용 62 3 2" xfId="35233"/>
    <cellStyle name="표내용 62 4" xfId="35234"/>
    <cellStyle name="표내용 63" xfId="35235"/>
    <cellStyle name="표내용 63 2" xfId="35236"/>
    <cellStyle name="표내용 63 2 2" xfId="35237"/>
    <cellStyle name="표내용 63 3" xfId="35238"/>
    <cellStyle name="표내용 63 3 2" xfId="35239"/>
    <cellStyle name="표내용 63 4" xfId="35240"/>
    <cellStyle name="표내용 64" xfId="35241"/>
    <cellStyle name="표내용 64 2" xfId="35242"/>
    <cellStyle name="표내용 64 2 2" xfId="35243"/>
    <cellStyle name="표내용 64 3" xfId="35244"/>
    <cellStyle name="표내용 64 3 2" xfId="35245"/>
    <cellStyle name="표내용 64 4" xfId="35246"/>
    <cellStyle name="표내용 65" xfId="35247"/>
    <cellStyle name="표내용 65 2" xfId="35248"/>
    <cellStyle name="표내용 65 2 2" xfId="35249"/>
    <cellStyle name="표내용 65 3" xfId="35250"/>
    <cellStyle name="표내용 65 3 2" xfId="35251"/>
    <cellStyle name="표내용 65 4" xfId="35252"/>
    <cellStyle name="표내용 66" xfId="35253"/>
    <cellStyle name="표내용 66 2" xfId="35254"/>
    <cellStyle name="표내용 66 2 2" xfId="35255"/>
    <cellStyle name="표내용 66 3" xfId="35256"/>
    <cellStyle name="표내용 66 3 2" xfId="35257"/>
    <cellStyle name="표내용 66 4" xfId="35258"/>
    <cellStyle name="표내용 67" xfId="35259"/>
    <cellStyle name="표내용 67 2" xfId="35260"/>
    <cellStyle name="표내용 67 2 2" xfId="35261"/>
    <cellStyle name="표내용 67 3" xfId="35262"/>
    <cellStyle name="표내용 67 3 2" xfId="35263"/>
    <cellStyle name="표내용 67 4" xfId="35264"/>
    <cellStyle name="표내용 68" xfId="35265"/>
    <cellStyle name="표내용 68 2" xfId="35266"/>
    <cellStyle name="표내용 68 2 2" xfId="35267"/>
    <cellStyle name="표내용 68 3" xfId="35268"/>
    <cellStyle name="표내용 68 3 2" xfId="35269"/>
    <cellStyle name="표내용 68 4" xfId="35270"/>
    <cellStyle name="표내용 69" xfId="35271"/>
    <cellStyle name="표내용 69 2" xfId="35272"/>
    <cellStyle name="표내용 69 2 2" xfId="35273"/>
    <cellStyle name="표내용 69 3" xfId="35274"/>
    <cellStyle name="표내용 69 3 2" xfId="35275"/>
    <cellStyle name="표내용 69 4" xfId="35276"/>
    <cellStyle name="표내용 7" xfId="35277"/>
    <cellStyle name="표내용 7 2" xfId="35278"/>
    <cellStyle name="표내용 7 2 2" xfId="35279"/>
    <cellStyle name="표내용 7 3" xfId="35280"/>
    <cellStyle name="표내용 7 3 2" xfId="35281"/>
    <cellStyle name="표내용 7 4" xfId="35282"/>
    <cellStyle name="표내용 70" xfId="35283"/>
    <cellStyle name="표내용 70 2" xfId="35284"/>
    <cellStyle name="표내용 70 2 2" xfId="35285"/>
    <cellStyle name="표내용 70 3" xfId="35286"/>
    <cellStyle name="표내용 70 3 2" xfId="35287"/>
    <cellStyle name="표내용 70 4" xfId="35288"/>
    <cellStyle name="표내용 71" xfId="35289"/>
    <cellStyle name="표내용 71 2" xfId="35290"/>
    <cellStyle name="표내용 71 2 2" xfId="35291"/>
    <cellStyle name="표내용 71 3" xfId="35292"/>
    <cellStyle name="표내용 71 3 2" xfId="35293"/>
    <cellStyle name="표내용 71 4" xfId="35294"/>
    <cellStyle name="표내용 72" xfId="35295"/>
    <cellStyle name="표내용 72 2" xfId="35296"/>
    <cellStyle name="표내용 72 2 2" xfId="35297"/>
    <cellStyle name="표내용 72 3" xfId="35298"/>
    <cellStyle name="표내용 72 3 2" xfId="35299"/>
    <cellStyle name="표내용 72 4" xfId="35300"/>
    <cellStyle name="표내용 73" xfId="35301"/>
    <cellStyle name="표내용 73 2" xfId="35302"/>
    <cellStyle name="표내용 73 2 2" xfId="35303"/>
    <cellStyle name="표내용 73 3" xfId="35304"/>
    <cellStyle name="표내용 73 3 2" xfId="35305"/>
    <cellStyle name="표내용 73 4" xfId="35306"/>
    <cellStyle name="표내용 74" xfId="35307"/>
    <cellStyle name="표내용 74 2" xfId="35308"/>
    <cellStyle name="표내용 74 2 2" xfId="35309"/>
    <cellStyle name="표내용 74 3" xfId="35310"/>
    <cellStyle name="표내용 74 3 2" xfId="35311"/>
    <cellStyle name="표내용 74 4" xfId="35312"/>
    <cellStyle name="표내용 75" xfId="35313"/>
    <cellStyle name="표내용 75 2" xfId="35314"/>
    <cellStyle name="표내용 75 2 2" xfId="35315"/>
    <cellStyle name="표내용 75 3" xfId="35316"/>
    <cellStyle name="표내용 75 3 2" xfId="35317"/>
    <cellStyle name="표내용 75 4" xfId="35318"/>
    <cellStyle name="표내용 76" xfId="35319"/>
    <cellStyle name="표내용 76 2" xfId="35320"/>
    <cellStyle name="표내용 76 2 2" xfId="35321"/>
    <cellStyle name="표내용 76 3" xfId="35322"/>
    <cellStyle name="표내용 76 3 2" xfId="35323"/>
    <cellStyle name="표내용 76 4" xfId="35324"/>
    <cellStyle name="표내용 77" xfId="35325"/>
    <cellStyle name="표내용 77 2" xfId="35326"/>
    <cellStyle name="표내용 77 2 2" xfId="35327"/>
    <cellStyle name="표내용 77 3" xfId="35328"/>
    <cellStyle name="표내용 77 3 2" xfId="35329"/>
    <cellStyle name="표내용 77 4" xfId="35330"/>
    <cellStyle name="표내용 78" xfId="35331"/>
    <cellStyle name="표내용 78 2" xfId="35332"/>
    <cellStyle name="표내용 78 2 2" xfId="35333"/>
    <cellStyle name="표내용 78 3" xfId="35334"/>
    <cellStyle name="표내용 78 3 2" xfId="35335"/>
    <cellStyle name="표내용 78 4" xfId="35336"/>
    <cellStyle name="표내용 79" xfId="35337"/>
    <cellStyle name="표내용 79 2" xfId="35338"/>
    <cellStyle name="표내용 79 2 2" xfId="35339"/>
    <cellStyle name="표내용 79 3" xfId="35340"/>
    <cellStyle name="표내용 79 3 2" xfId="35341"/>
    <cellStyle name="표내용 79 4" xfId="35342"/>
    <cellStyle name="표내용 8" xfId="35343"/>
    <cellStyle name="표내용 8 2" xfId="35344"/>
    <cellStyle name="표내용 8 2 2" xfId="35345"/>
    <cellStyle name="표내용 8 3" xfId="35346"/>
    <cellStyle name="표내용 8 3 2" xfId="35347"/>
    <cellStyle name="표내용 8 4" xfId="35348"/>
    <cellStyle name="표내용 80" xfId="35349"/>
    <cellStyle name="표내용 80 2" xfId="35350"/>
    <cellStyle name="표내용 80 2 2" xfId="35351"/>
    <cellStyle name="표내용 80 3" xfId="35352"/>
    <cellStyle name="표내용 80 3 2" xfId="35353"/>
    <cellStyle name="표내용 80 4" xfId="35354"/>
    <cellStyle name="표내용 81" xfId="35355"/>
    <cellStyle name="표내용 81 2" xfId="35356"/>
    <cellStyle name="표내용 81 2 2" xfId="35357"/>
    <cellStyle name="표내용 81 3" xfId="35358"/>
    <cellStyle name="표내용 81 3 2" xfId="35359"/>
    <cellStyle name="표내용 81 4" xfId="35360"/>
    <cellStyle name="표내용 82" xfId="35361"/>
    <cellStyle name="표내용 82 2" xfId="35362"/>
    <cellStyle name="표내용 82 2 2" xfId="35363"/>
    <cellStyle name="표내용 82 3" xfId="35364"/>
    <cellStyle name="표내용 82 3 2" xfId="35365"/>
    <cellStyle name="표내용 82 4" xfId="35366"/>
    <cellStyle name="표내용 83" xfId="35367"/>
    <cellStyle name="표내용 83 2" xfId="35368"/>
    <cellStyle name="표내용 83 2 2" xfId="35369"/>
    <cellStyle name="표내용 83 3" xfId="35370"/>
    <cellStyle name="표내용 83 3 2" xfId="35371"/>
    <cellStyle name="표내용 83 4" xfId="35372"/>
    <cellStyle name="표내용 84" xfId="35373"/>
    <cellStyle name="표내용 84 2" xfId="35374"/>
    <cellStyle name="표내용 84 2 2" xfId="35375"/>
    <cellStyle name="표내용 84 3" xfId="35376"/>
    <cellStyle name="표내용 84 3 2" xfId="35377"/>
    <cellStyle name="표내용 84 4" xfId="35378"/>
    <cellStyle name="표내용 85" xfId="35379"/>
    <cellStyle name="표내용 85 2" xfId="35380"/>
    <cellStyle name="표내용 85 2 2" xfId="35381"/>
    <cellStyle name="표내용 85 3" xfId="35382"/>
    <cellStyle name="표내용 85 3 2" xfId="35383"/>
    <cellStyle name="표내용 85 4" xfId="35384"/>
    <cellStyle name="표내용 86" xfId="35385"/>
    <cellStyle name="표내용 86 2" xfId="35386"/>
    <cellStyle name="표내용 86 2 2" xfId="35387"/>
    <cellStyle name="표내용 86 3" xfId="35388"/>
    <cellStyle name="표내용 86 3 2" xfId="35389"/>
    <cellStyle name="표내용 86 4" xfId="35390"/>
    <cellStyle name="표내용 87" xfId="35391"/>
    <cellStyle name="표내용 87 2" xfId="35392"/>
    <cellStyle name="표내용 87 2 2" xfId="35393"/>
    <cellStyle name="표내용 87 3" xfId="35394"/>
    <cellStyle name="표내용 87 3 2" xfId="35395"/>
    <cellStyle name="표내용 87 4" xfId="35396"/>
    <cellStyle name="표내용 88" xfId="35397"/>
    <cellStyle name="표내용 88 2" xfId="35398"/>
    <cellStyle name="표내용 88 2 2" xfId="35399"/>
    <cellStyle name="표내용 88 3" xfId="35400"/>
    <cellStyle name="표내용 88 3 2" xfId="35401"/>
    <cellStyle name="표내용 88 4" xfId="35402"/>
    <cellStyle name="표내용 89" xfId="35403"/>
    <cellStyle name="표내용 89 2" xfId="35404"/>
    <cellStyle name="표내용 9" xfId="35405"/>
    <cellStyle name="표내용 9 2" xfId="35406"/>
    <cellStyle name="표내용 9 2 2" xfId="35407"/>
    <cellStyle name="표내용 9 3" xfId="35408"/>
    <cellStyle name="표내용 9 3 2" xfId="35409"/>
    <cellStyle name="표내용 9 4" xfId="35410"/>
    <cellStyle name="표내용 90" xfId="35411"/>
    <cellStyle name="표내용 90 2" xfId="35412"/>
    <cellStyle name="표내용 91" xfId="35413"/>
    <cellStyle name="表示済みのハイパーリンク" xfId="35414"/>
    <cellStyle name="表示済みのハイパーリンク 2" xfId="35415"/>
    <cellStyle name="表示済みのハイパーリンク 3" xfId="35416"/>
    <cellStyle name="表示済みのハイパーリンク 4" xfId="35417"/>
    <cellStyle name="表示済みのハイパーリンク 5" xfId="35418"/>
    <cellStyle name="标题" xfId="35419"/>
    <cellStyle name="标题 1" xfId="35420"/>
    <cellStyle name="标题 1 2" xfId="35421"/>
    <cellStyle name="标题 1 2 2" xfId="35422"/>
    <cellStyle name="标题 2" xfId="35423"/>
    <cellStyle name="标题 2 2" xfId="35424"/>
    <cellStyle name="标题 2 2 2" xfId="35425"/>
    <cellStyle name="标题 3" xfId="35426"/>
    <cellStyle name="标题 3 2" xfId="35427"/>
    <cellStyle name="标题 3 2 2" xfId="35428"/>
    <cellStyle name="标题 4" xfId="35429"/>
    <cellStyle name="标题 4 2" xfId="35430"/>
    <cellStyle name="标题 4 2 2" xfId="35431"/>
    <cellStyle name="标题 5" xfId="35432"/>
    <cellStyle name="标题 5 2" xfId="35433"/>
    <cellStyle name="표제목" xfId="35434"/>
    <cellStyle name="표준" xfId="0" builtinId="0"/>
    <cellStyle name="표준 10" xfId="35435"/>
    <cellStyle name="표준 10 2" xfId="35436"/>
    <cellStyle name="표준 10 2 2" xfId="35437"/>
    <cellStyle name="표준 10 2 2 2" xfId="35438"/>
    <cellStyle name="표준 10 2 2 3" xfId="35439"/>
    <cellStyle name="표준 10 2 2 4" xfId="35440"/>
    <cellStyle name="표준 10 2 3" xfId="35441"/>
    <cellStyle name="표준 10 2 4" xfId="35442"/>
    <cellStyle name="표준 10 2 5" xfId="35443"/>
    <cellStyle name="표준 10 2 6" xfId="35444"/>
    <cellStyle name="표준 10 3" xfId="35445"/>
    <cellStyle name="표준 10 3 2" xfId="35446"/>
    <cellStyle name="표준 10 3 3" xfId="35447"/>
    <cellStyle name="표준 10 3 4" xfId="35448"/>
    <cellStyle name="표준 10 3 5" xfId="35449"/>
    <cellStyle name="표준 10 4" xfId="35450"/>
    <cellStyle name="표준 10 5" xfId="35451"/>
    <cellStyle name="표준 10 6" xfId="35452"/>
    <cellStyle name="표준 11" xfId="35453"/>
    <cellStyle name="표준 11 2" xfId="35454"/>
    <cellStyle name="표준 11 2 2" xfId="35455"/>
    <cellStyle name="표준 11 2 3" xfId="35456"/>
    <cellStyle name="표준 11 2 4" xfId="35457"/>
    <cellStyle name="표준 11 3" xfId="35458"/>
    <cellStyle name="표준 11 3 2" xfId="35459"/>
    <cellStyle name="표준 11 4" xfId="35460"/>
    <cellStyle name="표준 11 5" xfId="35461"/>
    <cellStyle name="표준 12" xfId="35462"/>
    <cellStyle name="표준 12 2" xfId="35463"/>
    <cellStyle name="표준 12 2 2" xfId="35464"/>
    <cellStyle name="표준 12 2 2 2" xfId="35465"/>
    <cellStyle name="표준 12 2 2 3" xfId="35466"/>
    <cellStyle name="표준 12 2 2 4" xfId="35467"/>
    <cellStyle name="표준 12 2 3" xfId="35468"/>
    <cellStyle name="표준 12 2 4" xfId="35469"/>
    <cellStyle name="표준 12 2 5" xfId="35470"/>
    <cellStyle name="표준 12 2 6" xfId="35471"/>
    <cellStyle name="표준 12 3" xfId="35472"/>
    <cellStyle name="표준 12 3 2" xfId="35473"/>
    <cellStyle name="표준 12 3 3" xfId="35474"/>
    <cellStyle name="표준 12 3 4" xfId="35475"/>
    <cellStyle name="표준 12 4" xfId="35476"/>
    <cellStyle name="표준 12 4 2" xfId="35477"/>
    <cellStyle name="표준 12 4 3" xfId="35478"/>
    <cellStyle name="표준 12 5" xfId="35479"/>
    <cellStyle name="표준 12 6" xfId="35480"/>
    <cellStyle name="표준 12 7" xfId="35481"/>
    <cellStyle name="표준 12 8" xfId="35482"/>
    <cellStyle name="표준 13" xfId="35483"/>
    <cellStyle name="표준 13 10" xfId="35484"/>
    <cellStyle name="표준 13 10 2" xfId="35485"/>
    <cellStyle name="표준 13 10 2 2" xfId="35486"/>
    <cellStyle name="표준 13 10 2 2 2" xfId="35487"/>
    <cellStyle name="표준 13 10 2 2 2 2" xfId="35488"/>
    <cellStyle name="표준 13 10 2 2 3" xfId="35489"/>
    <cellStyle name="표준 13 10 2 3" xfId="35490"/>
    <cellStyle name="표준 13 10 2 3 2" xfId="35491"/>
    <cellStyle name="표준 13 10 2 4" xfId="35492"/>
    <cellStyle name="표준 13 10 3" xfId="35493"/>
    <cellStyle name="표준 13 10 3 2" xfId="35494"/>
    <cellStyle name="표준 13 10 3 2 2" xfId="35495"/>
    <cellStyle name="표준 13 10 3 3" xfId="35496"/>
    <cellStyle name="표준 13 10 4" xfId="35497"/>
    <cellStyle name="표준 13 10 4 2" xfId="35498"/>
    <cellStyle name="표준 13 10 5" xfId="35499"/>
    <cellStyle name="표준 13 11" xfId="35500"/>
    <cellStyle name="표준 13 11 2" xfId="35501"/>
    <cellStyle name="표준 13 11 2 2" xfId="35502"/>
    <cellStyle name="표준 13 11 2 2 2" xfId="35503"/>
    <cellStyle name="표준 13 11 2 3" xfId="35504"/>
    <cellStyle name="표준 13 11 3" xfId="35505"/>
    <cellStyle name="표준 13 11 3 2" xfId="35506"/>
    <cellStyle name="표준 13 11 4" xfId="35507"/>
    <cellStyle name="표준 13 12" xfId="35508"/>
    <cellStyle name="표준 13 12 2" xfId="35509"/>
    <cellStyle name="표준 13 12 2 2" xfId="35510"/>
    <cellStyle name="표준 13 12 3" xfId="35511"/>
    <cellStyle name="표준 13 13" xfId="35512"/>
    <cellStyle name="표준 13 13 2" xfId="35513"/>
    <cellStyle name="표준 13 14" xfId="35514"/>
    <cellStyle name="표준 13 15" xfId="35515"/>
    <cellStyle name="표준 13 2" xfId="35516"/>
    <cellStyle name="표준 13 2 10" xfId="35517"/>
    <cellStyle name="표준 13 2 11" xfId="35518"/>
    <cellStyle name="표준 13 2 2" xfId="35519"/>
    <cellStyle name="표준 13 2 2 2" xfId="35520"/>
    <cellStyle name="표준 13 2 2 2 2" xfId="35521"/>
    <cellStyle name="표준 13 2 2 2 2 2" xfId="35522"/>
    <cellStyle name="표준 13 2 2 2 2 2 2" xfId="35523"/>
    <cellStyle name="표준 13 2 2 2 2 2 2 2" xfId="35524"/>
    <cellStyle name="표준 13 2 2 2 2 2 2 2 2" xfId="35525"/>
    <cellStyle name="표준 13 2 2 2 2 2 2 3" xfId="35526"/>
    <cellStyle name="표준 13 2 2 2 2 2 3" xfId="35527"/>
    <cellStyle name="표준 13 2 2 2 2 2 3 2" xfId="35528"/>
    <cellStyle name="표준 13 2 2 2 2 2 4" xfId="35529"/>
    <cellStyle name="표준 13 2 2 2 2 3" xfId="35530"/>
    <cellStyle name="표준 13 2 2 2 2 3 2" xfId="35531"/>
    <cellStyle name="표준 13 2 2 2 2 3 2 2" xfId="35532"/>
    <cellStyle name="표준 13 2 2 2 2 3 3" xfId="35533"/>
    <cellStyle name="표준 13 2 2 2 2 4" xfId="35534"/>
    <cellStyle name="표준 13 2 2 2 2 4 2" xfId="35535"/>
    <cellStyle name="표준 13 2 2 2 2 5" xfId="35536"/>
    <cellStyle name="표준 13 2 2 2 3" xfId="35537"/>
    <cellStyle name="표준 13 2 2 2 3 2" xfId="35538"/>
    <cellStyle name="표준 13 2 2 2 3 2 2" xfId="35539"/>
    <cellStyle name="표준 13 2 2 2 3 2 2 2" xfId="35540"/>
    <cellStyle name="표준 13 2 2 2 3 2 3" xfId="35541"/>
    <cellStyle name="표준 13 2 2 2 3 3" xfId="35542"/>
    <cellStyle name="표준 13 2 2 2 3 3 2" xfId="35543"/>
    <cellStyle name="표준 13 2 2 2 3 4" xfId="35544"/>
    <cellStyle name="표준 13 2 2 2 4" xfId="35545"/>
    <cellStyle name="표준 13 2 2 2 4 2" xfId="35546"/>
    <cellStyle name="표준 13 2 2 2 4 2 2" xfId="35547"/>
    <cellStyle name="표준 13 2 2 2 4 3" xfId="35548"/>
    <cellStyle name="표준 13 2 2 2 5" xfId="35549"/>
    <cellStyle name="표준 13 2 2 2 5 2" xfId="35550"/>
    <cellStyle name="표준 13 2 2 2 6" xfId="35551"/>
    <cellStyle name="표준 13 2 2 3" xfId="35552"/>
    <cellStyle name="표준 13 2 2 3 2" xfId="35553"/>
    <cellStyle name="표준 13 2 2 3 2 2" xfId="35554"/>
    <cellStyle name="표준 13 2 2 3 2 2 2" xfId="35555"/>
    <cellStyle name="표준 13 2 2 3 2 2 2 2" xfId="35556"/>
    <cellStyle name="표준 13 2 2 3 2 2 3" xfId="35557"/>
    <cellStyle name="표준 13 2 2 3 2 3" xfId="35558"/>
    <cellStyle name="표준 13 2 2 3 2 3 2" xfId="35559"/>
    <cellStyle name="표준 13 2 2 3 2 4" xfId="35560"/>
    <cellStyle name="표준 13 2 2 3 3" xfId="35561"/>
    <cellStyle name="표준 13 2 2 3 3 2" xfId="35562"/>
    <cellStyle name="표준 13 2 2 3 3 2 2" xfId="35563"/>
    <cellStyle name="표준 13 2 2 3 3 3" xfId="35564"/>
    <cellStyle name="표준 13 2 2 3 4" xfId="35565"/>
    <cellStyle name="표준 13 2 2 3 4 2" xfId="35566"/>
    <cellStyle name="표준 13 2 2 3 5" xfId="35567"/>
    <cellStyle name="표준 13 2 2 4" xfId="35568"/>
    <cellStyle name="표준 13 2 2 4 2" xfId="35569"/>
    <cellStyle name="표준 13 2 2 4 2 2" xfId="35570"/>
    <cellStyle name="표준 13 2 2 4 2 2 2" xfId="35571"/>
    <cellStyle name="표준 13 2 2 4 2 3" xfId="35572"/>
    <cellStyle name="표준 13 2 2 4 3" xfId="35573"/>
    <cellStyle name="표준 13 2 2 4 3 2" xfId="35574"/>
    <cellStyle name="표준 13 2 2 4 4" xfId="35575"/>
    <cellStyle name="표준 13 2 2 5" xfId="35576"/>
    <cellStyle name="표준 13 2 2 5 2" xfId="35577"/>
    <cellStyle name="표준 13 2 2 5 2 2" xfId="35578"/>
    <cellStyle name="표준 13 2 2 5 3" xfId="35579"/>
    <cellStyle name="표준 13 2 2 6" xfId="35580"/>
    <cellStyle name="표준 13 2 2 6 2" xfId="35581"/>
    <cellStyle name="표준 13 2 2 7" xfId="35582"/>
    <cellStyle name="표준 13 2 3" xfId="35583"/>
    <cellStyle name="표준 13 2 4" xfId="35584"/>
    <cellStyle name="표준 13 2 4 2" xfId="35585"/>
    <cellStyle name="표준 13 2 4 2 2" xfId="35586"/>
    <cellStyle name="표준 13 2 4 2 2 2" xfId="35587"/>
    <cellStyle name="표준 13 2 4 2 2 2 2" xfId="35588"/>
    <cellStyle name="표준 13 2 4 2 2 3" xfId="35589"/>
    <cellStyle name="표준 13 2 4 2 3" xfId="35590"/>
    <cellStyle name="표준 13 2 4 2 3 2" xfId="35591"/>
    <cellStyle name="표준 13 2 4 2 4" xfId="35592"/>
    <cellStyle name="표준 13 2 4 3" xfId="35593"/>
    <cellStyle name="표준 13 2 4 3 2" xfId="35594"/>
    <cellStyle name="표준 13 2 4 3 2 2" xfId="35595"/>
    <cellStyle name="표준 13 2 4 3 3" xfId="35596"/>
    <cellStyle name="표준 13 2 4 4" xfId="35597"/>
    <cellStyle name="표준 13 2 4 4 2" xfId="35598"/>
    <cellStyle name="표준 13 2 4 5" xfId="35599"/>
    <cellStyle name="표준 13 2 5" xfId="35600"/>
    <cellStyle name="표준 13 2 5 2" xfId="35601"/>
    <cellStyle name="표준 13 2 5 2 2" xfId="35602"/>
    <cellStyle name="표준 13 2 5 2 2 2" xfId="35603"/>
    <cellStyle name="표준 13 2 5 2 2 2 2" xfId="35604"/>
    <cellStyle name="표준 13 2 5 2 2 3" xfId="35605"/>
    <cellStyle name="표준 13 2 5 2 3" xfId="35606"/>
    <cellStyle name="표준 13 2 5 2 3 2" xfId="35607"/>
    <cellStyle name="표준 13 2 5 2 4" xfId="35608"/>
    <cellStyle name="표준 13 2 5 3" xfId="35609"/>
    <cellStyle name="표준 13 2 5 3 2" xfId="35610"/>
    <cellStyle name="표준 13 2 5 3 2 2" xfId="35611"/>
    <cellStyle name="표준 13 2 5 3 3" xfId="35612"/>
    <cellStyle name="표준 13 2 5 4" xfId="35613"/>
    <cellStyle name="표준 13 2 5 4 2" xfId="35614"/>
    <cellStyle name="표준 13 2 5 5" xfId="35615"/>
    <cellStyle name="표준 13 2 6" xfId="35616"/>
    <cellStyle name="표준 13 2 6 2" xfId="35617"/>
    <cellStyle name="표준 13 2 6 2 2" xfId="35618"/>
    <cellStyle name="표준 13 2 6 2 2 2" xfId="35619"/>
    <cellStyle name="표준 13 2 6 2 2 2 2" xfId="35620"/>
    <cellStyle name="표준 13 2 6 2 2 3" xfId="35621"/>
    <cellStyle name="표준 13 2 6 2 3" xfId="35622"/>
    <cellStyle name="표준 13 2 6 2 3 2" xfId="35623"/>
    <cellStyle name="표준 13 2 6 2 4" xfId="35624"/>
    <cellStyle name="표준 13 2 6 3" xfId="35625"/>
    <cellStyle name="표준 13 2 6 3 2" xfId="35626"/>
    <cellStyle name="표준 13 2 6 3 2 2" xfId="35627"/>
    <cellStyle name="표준 13 2 6 3 3" xfId="35628"/>
    <cellStyle name="표준 13 2 6 4" xfId="35629"/>
    <cellStyle name="표준 13 2 6 4 2" xfId="35630"/>
    <cellStyle name="표준 13 2 6 5" xfId="35631"/>
    <cellStyle name="표준 13 2 7" xfId="35632"/>
    <cellStyle name="표준 13 2 7 2" xfId="35633"/>
    <cellStyle name="표준 13 2 7 2 2" xfId="35634"/>
    <cellStyle name="표준 13 2 7 2 2 2" xfId="35635"/>
    <cellStyle name="표준 13 2 7 2 3" xfId="35636"/>
    <cellStyle name="표준 13 2 7 3" xfId="35637"/>
    <cellStyle name="표준 13 2 7 3 2" xfId="35638"/>
    <cellStyle name="표준 13 2 7 4" xfId="35639"/>
    <cellStyle name="표준 13 2 8" xfId="35640"/>
    <cellStyle name="표준 13 2 8 2" xfId="35641"/>
    <cellStyle name="표준 13 2 8 2 2" xfId="35642"/>
    <cellStyle name="표준 13 2 8 3" xfId="35643"/>
    <cellStyle name="표준 13 2 9" xfId="35644"/>
    <cellStyle name="표준 13 2 9 2" xfId="35645"/>
    <cellStyle name="표준 13 3" xfId="35646"/>
    <cellStyle name="표준 13 3 10" xfId="35647"/>
    <cellStyle name="표준 13 3 11" xfId="35648"/>
    <cellStyle name="표준 13 3 2" xfId="35649"/>
    <cellStyle name="표준 13 3 2 2" xfId="35650"/>
    <cellStyle name="표준 13 3 2 2 2" xfId="35651"/>
    <cellStyle name="표준 13 3 2 2 2 2" xfId="35652"/>
    <cellStyle name="표준 13 3 2 2 2 2 2" xfId="35653"/>
    <cellStyle name="표준 13 3 2 2 2 2 2 2" xfId="35654"/>
    <cellStyle name="표준 13 3 2 2 2 2 2 2 2" xfId="35655"/>
    <cellStyle name="표준 13 3 2 2 2 2 2 3" xfId="35656"/>
    <cellStyle name="표준 13 3 2 2 2 2 3" xfId="35657"/>
    <cellStyle name="표준 13 3 2 2 2 2 3 2" xfId="35658"/>
    <cellStyle name="표준 13 3 2 2 2 2 4" xfId="35659"/>
    <cellStyle name="표준 13 3 2 2 2 3" xfId="35660"/>
    <cellStyle name="표준 13 3 2 2 2 3 2" xfId="35661"/>
    <cellStyle name="표준 13 3 2 2 2 3 2 2" xfId="35662"/>
    <cellStyle name="표준 13 3 2 2 2 3 3" xfId="35663"/>
    <cellStyle name="표준 13 3 2 2 2 4" xfId="35664"/>
    <cellStyle name="표준 13 3 2 2 2 4 2" xfId="35665"/>
    <cellStyle name="표준 13 3 2 2 2 5" xfId="35666"/>
    <cellStyle name="표준 13 3 2 2 3" xfId="35667"/>
    <cellStyle name="표준 13 3 2 2 3 2" xfId="35668"/>
    <cellStyle name="표준 13 3 2 2 3 2 2" xfId="35669"/>
    <cellStyle name="표준 13 3 2 2 3 2 2 2" xfId="35670"/>
    <cellStyle name="표준 13 3 2 2 3 2 3" xfId="35671"/>
    <cellStyle name="표준 13 3 2 2 3 3" xfId="35672"/>
    <cellStyle name="표준 13 3 2 2 3 3 2" xfId="35673"/>
    <cellStyle name="표준 13 3 2 2 3 4" xfId="35674"/>
    <cellStyle name="표준 13 3 2 2 4" xfId="35675"/>
    <cellStyle name="표준 13 3 2 2 4 2" xfId="35676"/>
    <cellStyle name="표준 13 3 2 2 4 2 2" xfId="35677"/>
    <cellStyle name="표준 13 3 2 2 4 3" xfId="35678"/>
    <cellStyle name="표준 13 3 2 2 5" xfId="35679"/>
    <cellStyle name="표준 13 3 2 2 5 2" xfId="35680"/>
    <cellStyle name="표준 13 3 2 2 6" xfId="35681"/>
    <cellStyle name="표준 13 3 2 3" xfId="35682"/>
    <cellStyle name="표준 13 3 2 3 2" xfId="35683"/>
    <cellStyle name="표준 13 3 2 3 2 2" xfId="35684"/>
    <cellStyle name="표준 13 3 2 3 2 2 2" xfId="35685"/>
    <cellStyle name="표준 13 3 2 3 2 2 2 2" xfId="35686"/>
    <cellStyle name="표준 13 3 2 3 2 2 3" xfId="35687"/>
    <cellStyle name="표준 13 3 2 3 2 3" xfId="35688"/>
    <cellStyle name="표준 13 3 2 3 2 3 2" xfId="35689"/>
    <cellStyle name="표준 13 3 2 3 2 4" xfId="35690"/>
    <cellStyle name="표준 13 3 2 3 3" xfId="35691"/>
    <cellStyle name="표준 13 3 2 3 3 2" xfId="35692"/>
    <cellStyle name="표준 13 3 2 3 3 2 2" xfId="35693"/>
    <cellStyle name="표준 13 3 2 3 3 3" xfId="35694"/>
    <cellStyle name="표준 13 3 2 3 4" xfId="35695"/>
    <cellStyle name="표준 13 3 2 3 4 2" xfId="35696"/>
    <cellStyle name="표준 13 3 2 3 5" xfId="35697"/>
    <cellStyle name="표준 13 3 2 4" xfId="35698"/>
    <cellStyle name="표준 13 3 2 4 2" xfId="35699"/>
    <cellStyle name="표준 13 3 2 4 2 2" xfId="35700"/>
    <cellStyle name="표준 13 3 2 4 2 2 2" xfId="35701"/>
    <cellStyle name="표준 13 3 2 4 2 3" xfId="35702"/>
    <cellStyle name="표준 13 3 2 4 3" xfId="35703"/>
    <cellStyle name="표준 13 3 2 4 3 2" xfId="35704"/>
    <cellStyle name="표준 13 3 2 4 4" xfId="35705"/>
    <cellStyle name="표준 13 3 2 5" xfId="35706"/>
    <cellStyle name="표준 13 3 2 5 2" xfId="35707"/>
    <cellStyle name="표준 13 3 2 5 2 2" xfId="35708"/>
    <cellStyle name="표준 13 3 2 5 3" xfId="35709"/>
    <cellStyle name="표준 13 3 2 6" xfId="35710"/>
    <cellStyle name="표준 13 3 2 6 2" xfId="35711"/>
    <cellStyle name="표준 13 3 2 7" xfId="35712"/>
    <cellStyle name="표준 13 3 3" xfId="35713"/>
    <cellStyle name="표준 13 3 4" xfId="35714"/>
    <cellStyle name="표준 13 3 4 2" xfId="35715"/>
    <cellStyle name="표준 13 3 4 2 2" xfId="35716"/>
    <cellStyle name="표준 13 3 4 2 2 2" xfId="35717"/>
    <cellStyle name="표준 13 3 4 2 2 2 2" xfId="35718"/>
    <cellStyle name="표준 13 3 4 2 2 3" xfId="35719"/>
    <cellStyle name="표준 13 3 4 2 3" xfId="35720"/>
    <cellStyle name="표준 13 3 4 2 3 2" xfId="35721"/>
    <cellStyle name="표준 13 3 4 2 4" xfId="35722"/>
    <cellStyle name="표준 13 3 4 3" xfId="35723"/>
    <cellStyle name="표준 13 3 4 3 2" xfId="35724"/>
    <cellStyle name="표준 13 3 4 3 2 2" xfId="35725"/>
    <cellStyle name="표준 13 3 4 3 3" xfId="35726"/>
    <cellStyle name="표준 13 3 4 4" xfId="35727"/>
    <cellStyle name="표준 13 3 4 4 2" xfId="35728"/>
    <cellStyle name="표준 13 3 4 5" xfId="35729"/>
    <cellStyle name="표준 13 3 5" xfId="35730"/>
    <cellStyle name="표준 13 3 5 2" xfId="35731"/>
    <cellStyle name="표준 13 3 5 2 2" xfId="35732"/>
    <cellStyle name="표준 13 3 5 2 2 2" xfId="35733"/>
    <cellStyle name="표준 13 3 5 2 2 2 2" xfId="35734"/>
    <cellStyle name="표준 13 3 5 2 2 3" xfId="35735"/>
    <cellStyle name="표준 13 3 5 2 3" xfId="35736"/>
    <cellStyle name="표준 13 3 5 2 3 2" xfId="35737"/>
    <cellStyle name="표준 13 3 5 2 4" xfId="35738"/>
    <cellStyle name="표준 13 3 5 3" xfId="35739"/>
    <cellStyle name="표준 13 3 5 3 2" xfId="35740"/>
    <cellStyle name="표준 13 3 5 3 2 2" xfId="35741"/>
    <cellStyle name="표준 13 3 5 3 3" xfId="35742"/>
    <cellStyle name="표준 13 3 5 4" xfId="35743"/>
    <cellStyle name="표준 13 3 5 4 2" xfId="35744"/>
    <cellStyle name="표준 13 3 5 5" xfId="35745"/>
    <cellStyle name="표준 13 3 6" xfId="35746"/>
    <cellStyle name="표준 13 3 6 2" xfId="35747"/>
    <cellStyle name="표준 13 3 6 2 2" xfId="35748"/>
    <cellStyle name="표준 13 3 6 2 2 2" xfId="35749"/>
    <cellStyle name="표준 13 3 6 2 2 2 2" xfId="35750"/>
    <cellStyle name="표준 13 3 6 2 2 3" xfId="35751"/>
    <cellStyle name="표준 13 3 6 2 3" xfId="35752"/>
    <cellStyle name="표준 13 3 6 2 3 2" xfId="35753"/>
    <cellStyle name="표준 13 3 6 2 4" xfId="35754"/>
    <cellStyle name="표준 13 3 6 3" xfId="35755"/>
    <cellStyle name="표준 13 3 6 3 2" xfId="35756"/>
    <cellStyle name="표준 13 3 6 3 2 2" xfId="35757"/>
    <cellStyle name="표준 13 3 6 3 3" xfId="35758"/>
    <cellStyle name="표준 13 3 6 4" xfId="35759"/>
    <cellStyle name="표준 13 3 6 4 2" xfId="35760"/>
    <cellStyle name="표준 13 3 6 5" xfId="35761"/>
    <cellStyle name="표준 13 3 7" xfId="35762"/>
    <cellStyle name="표준 13 3 7 2" xfId="35763"/>
    <cellStyle name="표준 13 3 7 2 2" xfId="35764"/>
    <cellStyle name="표준 13 3 7 2 2 2" xfId="35765"/>
    <cellStyle name="표준 13 3 7 2 3" xfId="35766"/>
    <cellStyle name="표준 13 3 7 3" xfId="35767"/>
    <cellStyle name="표준 13 3 7 3 2" xfId="35768"/>
    <cellStyle name="표준 13 3 7 4" xfId="35769"/>
    <cellStyle name="표준 13 3 8" xfId="35770"/>
    <cellStyle name="표준 13 3 8 2" xfId="35771"/>
    <cellStyle name="표준 13 3 8 2 2" xfId="35772"/>
    <cellStyle name="표준 13 3 8 3" xfId="35773"/>
    <cellStyle name="표준 13 3 9" xfId="35774"/>
    <cellStyle name="표준 13 3 9 2" xfId="35775"/>
    <cellStyle name="표준 13 4" xfId="35776"/>
    <cellStyle name="표준 13 4 2" xfId="35777"/>
    <cellStyle name="표준 13 4 2 2" xfId="35778"/>
    <cellStyle name="표준 13 4 2 2 2" xfId="35779"/>
    <cellStyle name="표준 13 4 2 2 2 2" xfId="35780"/>
    <cellStyle name="표준 13 4 2 2 2 2 2" xfId="35781"/>
    <cellStyle name="표준 13 4 2 2 2 2 2 2" xfId="35782"/>
    <cellStyle name="표준 13 4 2 2 2 2 2 2 2" xfId="35783"/>
    <cellStyle name="표준 13 4 2 2 2 2 2 3" xfId="35784"/>
    <cellStyle name="표준 13 4 2 2 2 2 3" xfId="35785"/>
    <cellStyle name="표준 13 4 2 2 2 2 3 2" xfId="35786"/>
    <cellStyle name="표준 13 4 2 2 2 2 4" xfId="35787"/>
    <cellStyle name="표준 13 4 2 2 2 3" xfId="35788"/>
    <cellStyle name="표준 13 4 2 2 2 3 2" xfId="35789"/>
    <cellStyle name="표준 13 4 2 2 2 3 2 2" xfId="35790"/>
    <cellStyle name="표준 13 4 2 2 2 3 3" xfId="35791"/>
    <cellStyle name="표준 13 4 2 2 2 4" xfId="35792"/>
    <cellStyle name="표준 13 4 2 2 2 4 2" xfId="35793"/>
    <cellStyle name="표준 13 4 2 2 2 5" xfId="35794"/>
    <cellStyle name="표준 13 4 2 2 3" xfId="35795"/>
    <cellStyle name="표준 13 4 2 2 3 2" xfId="35796"/>
    <cellStyle name="표준 13 4 2 2 3 2 2" xfId="35797"/>
    <cellStyle name="표준 13 4 2 2 3 2 2 2" xfId="35798"/>
    <cellStyle name="표준 13 4 2 2 3 2 3" xfId="35799"/>
    <cellStyle name="표준 13 4 2 2 3 3" xfId="35800"/>
    <cellStyle name="표준 13 4 2 2 3 3 2" xfId="35801"/>
    <cellStyle name="표준 13 4 2 2 3 4" xfId="35802"/>
    <cellStyle name="표준 13 4 2 2 4" xfId="35803"/>
    <cellStyle name="표준 13 4 2 2 4 2" xfId="35804"/>
    <cellStyle name="표준 13 4 2 2 4 2 2" xfId="35805"/>
    <cellStyle name="표준 13 4 2 2 4 3" xfId="35806"/>
    <cellStyle name="표준 13 4 2 2 5" xfId="35807"/>
    <cellStyle name="표준 13 4 2 2 5 2" xfId="35808"/>
    <cellStyle name="표준 13 4 2 2 6" xfId="35809"/>
    <cellStyle name="표준 13 4 2 3" xfId="35810"/>
    <cellStyle name="표준 13 4 2 3 2" xfId="35811"/>
    <cellStyle name="표준 13 4 2 3 2 2" xfId="35812"/>
    <cellStyle name="표준 13 4 2 3 2 2 2" xfId="35813"/>
    <cellStyle name="표준 13 4 2 3 2 2 2 2" xfId="35814"/>
    <cellStyle name="표준 13 4 2 3 2 2 3" xfId="35815"/>
    <cellStyle name="표준 13 4 2 3 2 3" xfId="35816"/>
    <cellStyle name="표준 13 4 2 3 2 3 2" xfId="35817"/>
    <cellStyle name="표준 13 4 2 3 2 4" xfId="35818"/>
    <cellStyle name="표준 13 4 2 3 3" xfId="35819"/>
    <cellStyle name="표준 13 4 2 3 3 2" xfId="35820"/>
    <cellStyle name="표준 13 4 2 3 3 2 2" xfId="35821"/>
    <cellStyle name="표준 13 4 2 3 3 3" xfId="35822"/>
    <cellStyle name="표준 13 4 2 3 4" xfId="35823"/>
    <cellStyle name="표준 13 4 2 3 4 2" xfId="35824"/>
    <cellStyle name="표준 13 4 2 3 5" xfId="35825"/>
    <cellStyle name="표준 13 4 2 4" xfId="35826"/>
    <cellStyle name="표준 13 4 2 4 2" xfId="35827"/>
    <cellStyle name="표준 13 4 2 4 2 2" xfId="35828"/>
    <cellStyle name="표준 13 4 2 4 2 2 2" xfId="35829"/>
    <cellStyle name="표준 13 4 2 4 2 3" xfId="35830"/>
    <cellStyle name="표준 13 4 2 4 3" xfId="35831"/>
    <cellStyle name="표준 13 4 2 4 3 2" xfId="35832"/>
    <cellStyle name="표준 13 4 2 4 4" xfId="35833"/>
    <cellStyle name="표준 13 4 2 5" xfId="35834"/>
    <cellStyle name="표준 13 4 2 5 2" xfId="35835"/>
    <cellStyle name="표준 13 4 2 5 2 2" xfId="35836"/>
    <cellStyle name="표준 13 4 2 5 3" xfId="35837"/>
    <cellStyle name="표준 13 4 2 6" xfId="35838"/>
    <cellStyle name="표준 13 4 2 6 2" xfId="35839"/>
    <cellStyle name="표준 13 4 2 7" xfId="35840"/>
    <cellStyle name="표준 13 4 3" xfId="35841"/>
    <cellStyle name="표준 13 4 4" xfId="35842"/>
    <cellStyle name="표준 13 4 4 2" xfId="35843"/>
    <cellStyle name="표준 13 4 4 2 2" xfId="35844"/>
    <cellStyle name="표준 13 4 4 2 2 2" xfId="35845"/>
    <cellStyle name="표준 13 4 4 2 2 2 2" xfId="35846"/>
    <cellStyle name="표준 13 4 4 2 2 3" xfId="35847"/>
    <cellStyle name="표준 13 4 4 2 3" xfId="35848"/>
    <cellStyle name="표준 13 4 4 2 3 2" xfId="35849"/>
    <cellStyle name="표준 13 4 4 2 4" xfId="35850"/>
    <cellStyle name="표준 13 4 4 3" xfId="35851"/>
    <cellStyle name="표준 13 4 4 3 2" xfId="35852"/>
    <cellStyle name="표준 13 4 4 3 2 2" xfId="35853"/>
    <cellStyle name="표준 13 4 4 3 3" xfId="35854"/>
    <cellStyle name="표준 13 4 4 4" xfId="35855"/>
    <cellStyle name="표준 13 4 4 4 2" xfId="35856"/>
    <cellStyle name="표준 13 4 4 5" xfId="35857"/>
    <cellStyle name="표준 13 4 5" xfId="35858"/>
    <cellStyle name="표준 13 4 5 2" xfId="35859"/>
    <cellStyle name="표준 13 4 5 2 2" xfId="35860"/>
    <cellStyle name="표준 13 4 5 2 2 2" xfId="35861"/>
    <cellStyle name="표준 13 4 5 2 3" xfId="35862"/>
    <cellStyle name="표준 13 4 5 3" xfId="35863"/>
    <cellStyle name="표준 13 4 5 3 2" xfId="35864"/>
    <cellStyle name="표준 13 4 5 4" xfId="35865"/>
    <cellStyle name="표준 13 4 6" xfId="35866"/>
    <cellStyle name="표준 13 4 6 2" xfId="35867"/>
    <cellStyle name="표준 13 4 6 2 2" xfId="35868"/>
    <cellStyle name="표준 13 4 6 3" xfId="35869"/>
    <cellStyle name="표준 13 4 7" xfId="35870"/>
    <cellStyle name="표준 13 4 7 2" xfId="35871"/>
    <cellStyle name="표준 13 4 8" xfId="35872"/>
    <cellStyle name="표준 13 4 9" xfId="35873"/>
    <cellStyle name="표준 13 5" xfId="35874"/>
    <cellStyle name="표준 13 5 2" xfId="35875"/>
    <cellStyle name="표준 13 5 2 2" xfId="35876"/>
    <cellStyle name="표준 13 5 2 2 2" xfId="35877"/>
    <cellStyle name="표준 13 5 2 2 2 2" xfId="35878"/>
    <cellStyle name="표준 13 5 2 2 2 2 2" xfId="35879"/>
    <cellStyle name="표준 13 5 2 2 2 2 2 2" xfId="35880"/>
    <cellStyle name="표준 13 5 2 2 2 2 3" xfId="35881"/>
    <cellStyle name="표준 13 5 2 2 2 3" xfId="35882"/>
    <cellStyle name="표준 13 5 2 2 2 3 2" xfId="35883"/>
    <cellStyle name="표준 13 5 2 2 2 4" xfId="35884"/>
    <cellStyle name="표준 13 5 2 2 3" xfId="35885"/>
    <cellStyle name="표준 13 5 2 2 3 2" xfId="35886"/>
    <cellStyle name="표준 13 5 2 2 3 2 2" xfId="35887"/>
    <cellStyle name="표준 13 5 2 2 3 3" xfId="35888"/>
    <cellStyle name="표준 13 5 2 2 4" xfId="35889"/>
    <cellStyle name="표준 13 5 2 2 4 2" xfId="35890"/>
    <cellStyle name="표준 13 5 2 2 5" xfId="35891"/>
    <cellStyle name="표준 13 5 2 3" xfId="35892"/>
    <cellStyle name="표준 13 5 2 3 2" xfId="35893"/>
    <cellStyle name="표준 13 5 2 3 2 2" xfId="35894"/>
    <cellStyle name="표준 13 5 2 3 2 2 2" xfId="35895"/>
    <cellStyle name="표준 13 5 2 3 2 3" xfId="35896"/>
    <cellStyle name="표준 13 5 2 3 3" xfId="35897"/>
    <cellStyle name="표준 13 5 2 3 3 2" xfId="35898"/>
    <cellStyle name="표준 13 5 2 3 4" xfId="35899"/>
    <cellStyle name="표준 13 5 2 4" xfId="35900"/>
    <cellStyle name="표준 13 5 2 4 2" xfId="35901"/>
    <cellStyle name="표준 13 5 2 4 2 2" xfId="35902"/>
    <cellStyle name="표준 13 5 2 4 3" xfId="35903"/>
    <cellStyle name="표준 13 5 2 5" xfId="35904"/>
    <cellStyle name="표준 13 5 2 5 2" xfId="35905"/>
    <cellStyle name="표준 13 5 2 6" xfId="35906"/>
    <cellStyle name="표준 13 5 3" xfId="35907"/>
    <cellStyle name="표준 13 5 3 2" xfId="35908"/>
    <cellStyle name="표준 13 5 3 2 2" xfId="35909"/>
    <cellStyle name="표준 13 5 3 2 2 2" xfId="35910"/>
    <cellStyle name="표준 13 5 3 2 2 2 2" xfId="35911"/>
    <cellStyle name="표준 13 5 3 2 2 2 2 2" xfId="35912"/>
    <cellStyle name="표준 13 5 3 2 2 2 3" xfId="35913"/>
    <cellStyle name="표준 13 5 3 2 2 3" xfId="35914"/>
    <cellStyle name="표준 13 5 3 2 2 3 2" xfId="35915"/>
    <cellStyle name="표준 13 5 3 2 2 4" xfId="35916"/>
    <cellStyle name="표준 13 5 3 2 3" xfId="35917"/>
    <cellStyle name="표준 13 5 3 2 3 2" xfId="35918"/>
    <cellStyle name="표준 13 5 3 2 3 2 2" xfId="35919"/>
    <cellStyle name="표준 13 5 3 2 3 3" xfId="35920"/>
    <cellStyle name="표준 13 5 3 2 4" xfId="35921"/>
    <cellStyle name="표준 13 5 3 2 4 2" xfId="35922"/>
    <cellStyle name="표준 13 5 3 2 5" xfId="35923"/>
    <cellStyle name="표준 13 5 3 3" xfId="35924"/>
    <cellStyle name="표준 13 5 3 3 2" xfId="35925"/>
    <cellStyle name="표준 13 5 3 3 2 2" xfId="35926"/>
    <cellStyle name="표준 13 5 3 3 2 2 2" xfId="35927"/>
    <cellStyle name="표준 13 5 3 3 2 3" xfId="35928"/>
    <cellStyle name="표준 13 5 3 3 3" xfId="35929"/>
    <cellStyle name="표준 13 5 3 3 3 2" xfId="35930"/>
    <cellStyle name="표준 13 5 3 3 4" xfId="35931"/>
    <cellStyle name="표준 13 5 3 4" xfId="35932"/>
    <cellStyle name="표준 13 5 3 4 2" xfId="35933"/>
    <cellStyle name="표준 13 5 3 4 2 2" xfId="35934"/>
    <cellStyle name="표준 13 5 3 4 3" xfId="35935"/>
    <cellStyle name="표준 13 5 3 5" xfId="35936"/>
    <cellStyle name="표준 13 5 3 5 2" xfId="35937"/>
    <cellStyle name="표준 13 5 3 6" xfId="35938"/>
    <cellStyle name="표준 13 5 4" xfId="35939"/>
    <cellStyle name="표준 13 5 4 2" xfId="35940"/>
    <cellStyle name="표준 13 5 4 2 2" xfId="35941"/>
    <cellStyle name="표준 13 5 4 2 2 2" xfId="35942"/>
    <cellStyle name="표준 13 5 4 2 2 2 2" xfId="35943"/>
    <cellStyle name="표준 13 5 4 2 2 3" xfId="35944"/>
    <cellStyle name="표준 13 5 4 2 3" xfId="35945"/>
    <cellStyle name="표준 13 5 4 2 3 2" xfId="35946"/>
    <cellStyle name="표준 13 5 4 2 4" xfId="35947"/>
    <cellStyle name="표준 13 5 4 3" xfId="35948"/>
    <cellStyle name="표준 13 5 4 3 2" xfId="35949"/>
    <cellStyle name="표준 13 5 4 3 2 2" xfId="35950"/>
    <cellStyle name="표준 13 5 4 3 3" xfId="35951"/>
    <cellStyle name="표준 13 5 4 4" xfId="35952"/>
    <cellStyle name="표준 13 5 4 4 2" xfId="35953"/>
    <cellStyle name="표준 13 5 4 5" xfId="35954"/>
    <cellStyle name="표준 13 5 5" xfId="35955"/>
    <cellStyle name="표준 13 5 5 2" xfId="35956"/>
    <cellStyle name="표준 13 5 5 2 2" xfId="35957"/>
    <cellStyle name="표준 13 5 5 2 2 2" xfId="35958"/>
    <cellStyle name="표준 13 5 5 2 3" xfId="35959"/>
    <cellStyle name="표준 13 5 5 3" xfId="35960"/>
    <cellStyle name="표준 13 5 5 3 2" xfId="35961"/>
    <cellStyle name="표준 13 5 5 4" xfId="35962"/>
    <cellStyle name="표준 13 5 6" xfId="35963"/>
    <cellStyle name="표준 13 5 6 2" xfId="35964"/>
    <cellStyle name="표준 13 5 6 2 2" xfId="35965"/>
    <cellStyle name="표준 13 5 6 3" xfId="35966"/>
    <cellStyle name="표준 13 5 7" xfId="35967"/>
    <cellStyle name="표준 13 5 7 2" xfId="35968"/>
    <cellStyle name="표준 13 5 8" xfId="35969"/>
    <cellStyle name="표준 13 6" xfId="35970"/>
    <cellStyle name="표준 13 6 2" xfId="35971"/>
    <cellStyle name="표준 13 6 2 2" xfId="35972"/>
    <cellStyle name="표준 13 6 2 2 2" xfId="35973"/>
    <cellStyle name="표준 13 6 2 2 2 2" xfId="35974"/>
    <cellStyle name="표준 13 6 2 2 2 2 2" xfId="35975"/>
    <cellStyle name="표준 13 6 2 2 2 2 2 2" xfId="35976"/>
    <cellStyle name="표준 13 6 2 2 2 2 3" xfId="35977"/>
    <cellStyle name="표준 13 6 2 2 2 3" xfId="35978"/>
    <cellStyle name="표준 13 6 2 2 2 3 2" xfId="35979"/>
    <cellStyle name="표준 13 6 2 2 2 4" xfId="35980"/>
    <cellStyle name="표준 13 6 2 2 3" xfId="35981"/>
    <cellStyle name="표준 13 6 2 2 3 2" xfId="35982"/>
    <cellStyle name="표준 13 6 2 2 3 2 2" xfId="35983"/>
    <cellStyle name="표준 13 6 2 2 3 3" xfId="35984"/>
    <cellStyle name="표준 13 6 2 2 4" xfId="35985"/>
    <cellStyle name="표준 13 6 2 2 4 2" xfId="35986"/>
    <cellStyle name="표준 13 6 2 2 5" xfId="35987"/>
    <cellStyle name="표준 13 6 2 3" xfId="35988"/>
    <cellStyle name="표준 13 6 2 3 2" xfId="35989"/>
    <cellStyle name="표준 13 6 2 3 2 2" xfId="35990"/>
    <cellStyle name="표준 13 6 2 3 2 2 2" xfId="35991"/>
    <cellStyle name="표준 13 6 2 3 2 3" xfId="35992"/>
    <cellStyle name="표준 13 6 2 3 3" xfId="35993"/>
    <cellStyle name="표준 13 6 2 3 3 2" xfId="35994"/>
    <cellStyle name="표준 13 6 2 3 4" xfId="35995"/>
    <cellStyle name="표준 13 6 2 4" xfId="35996"/>
    <cellStyle name="표준 13 6 2 4 2" xfId="35997"/>
    <cellStyle name="표준 13 6 2 4 2 2" xfId="35998"/>
    <cellStyle name="표준 13 6 2 4 3" xfId="35999"/>
    <cellStyle name="표준 13 6 2 5" xfId="36000"/>
    <cellStyle name="표준 13 6 2 5 2" xfId="36001"/>
    <cellStyle name="표준 13 6 2 6" xfId="36002"/>
    <cellStyle name="표준 13 6 3" xfId="36003"/>
    <cellStyle name="표준 13 6 3 2" xfId="36004"/>
    <cellStyle name="표준 13 6 3 2 2" xfId="36005"/>
    <cellStyle name="표준 13 6 3 2 2 2" xfId="36006"/>
    <cellStyle name="표준 13 6 3 2 2 2 2" xfId="36007"/>
    <cellStyle name="표준 13 6 3 2 2 3" xfId="36008"/>
    <cellStyle name="표준 13 6 3 2 3" xfId="36009"/>
    <cellStyle name="표준 13 6 3 2 3 2" xfId="36010"/>
    <cellStyle name="표준 13 6 3 2 4" xfId="36011"/>
    <cellStyle name="표준 13 6 3 3" xfId="36012"/>
    <cellStyle name="표준 13 6 3 3 2" xfId="36013"/>
    <cellStyle name="표준 13 6 3 3 2 2" xfId="36014"/>
    <cellStyle name="표준 13 6 3 3 3" xfId="36015"/>
    <cellStyle name="표준 13 6 3 4" xfId="36016"/>
    <cellStyle name="표준 13 6 3 4 2" xfId="36017"/>
    <cellStyle name="표준 13 6 3 5" xfId="36018"/>
    <cellStyle name="표준 13 6 4" xfId="36019"/>
    <cellStyle name="표준 13 6 4 2" xfId="36020"/>
    <cellStyle name="표준 13 6 4 2 2" xfId="36021"/>
    <cellStyle name="표준 13 6 4 2 2 2" xfId="36022"/>
    <cellStyle name="표준 13 6 4 2 3" xfId="36023"/>
    <cellStyle name="표준 13 6 4 3" xfId="36024"/>
    <cellStyle name="표준 13 6 4 3 2" xfId="36025"/>
    <cellStyle name="표준 13 6 4 4" xfId="36026"/>
    <cellStyle name="표준 13 6 5" xfId="36027"/>
    <cellStyle name="표준 13 6 5 2" xfId="36028"/>
    <cellStyle name="표준 13 6 5 2 2" xfId="36029"/>
    <cellStyle name="표준 13 6 5 3" xfId="36030"/>
    <cellStyle name="표준 13 6 6" xfId="36031"/>
    <cellStyle name="표준 13 6 6 2" xfId="36032"/>
    <cellStyle name="표준 13 6 7" xfId="36033"/>
    <cellStyle name="표준 13 7" xfId="36034"/>
    <cellStyle name="표준 13 8" xfId="36035"/>
    <cellStyle name="표준 13 8 2" xfId="36036"/>
    <cellStyle name="표준 13 8 2 2" xfId="36037"/>
    <cellStyle name="표준 13 8 2 2 2" xfId="36038"/>
    <cellStyle name="표준 13 8 2 2 2 2" xfId="36039"/>
    <cellStyle name="표준 13 8 2 2 3" xfId="36040"/>
    <cellStyle name="표준 13 8 2 3" xfId="36041"/>
    <cellStyle name="표준 13 8 2 3 2" xfId="36042"/>
    <cellStyle name="표준 13 8 2 4" xfId="36043"/>
    <cellStyle name="표준 13 8 3" xfId="36044"/>
    <cellStyle name="표준 13 8 3 2" xfId="36045"/>
    <cellStyle name="표준 13 8 3 2 2" xfId="36046"/>
    <cellStyle name="표준 13 8 3 3" xfId="36047"/>
    <cellStyle name="표준 13 8 4" xfId="36048"/>
    <cellStyle name="표준 13 8 4 2" xfId="36049"/>
    <cellStyle name="표준 13 8 5" xfId="36050"/>
    <cellStyle name="표준 13 9" xfId="36051"/>
    <cellStyle name="표준 13 9 2" xfId="36052"/>
    <cellStyle name="표준 13 9 2 2" xfId="36053"/>
    <cellStyle name="표준 13 9 2 2 2" xfId="36054"/>
    <cellStyle name="표준 13 9 2 2 2 2" xfId="36055"/>
    <cellStyle name="표준 13 9 2 2 3" xfId="36056"/>
    <cellStyle name="표준 13 9 2 3" xfId="36057"/>
    <cellStyle name="표준 13 9 2 3 2" xfId="36058"/>
    <cellStyle name="표준 13 9 2 4" xfId="36059"/>
    <cellStyle name="표준 13 9 3" xfId="36060"/>
    <cellStyle name="표준 13 9 3 2" xfId="36061"/>
    <cellStyle name="표준 13 9 3 2 2" xfId="36062"/>
    <cellStyle name="표준 13 9 3 3" xfId="36063"/>
    <cellStyle name="표준 13 9 4" xfId="36064"/>
    <cellStyle name="표준 13 9 4 2" xfId="36065"/>
    <cellStyle name="표준 13 9 5" xfId="36066"/>
    <cellStyle name="표준 14" xfId="36067"/>
    <cellStyle name="표준 14 2" xfId="36068"/>
    <cellStyle name="표준 14 2 2" xfId="36069"/>
    <cellStyle name="표준 14 2 2 2" xfId="36070"/>
    <cellStyle name="표준 14 2 3" xfId="36071"/>
    <cellStyle name="표준 14 2 4" xfId="36072"/>
    <cellStyle name="표준 14 3" xfId="36073"/>
    <cellStyle name="표준 14 3 2" xfId="36074"/>
    <cellStyle name="표준 14 3 3" xfId="36075"/>
    <cellStyle name="표준 14 4" xfId="36076"/>
    <cellStyle name="표준 14 5" xfId="36077"/>
    <cellStyle name="표준 14 6" xfId="36078"/>
    <cellStyle name="표준 15" xfId="36079"/>
    <cellStyle name="표준 15 2" xfId="36080"/>
    <cellStyle name="표준 15 2 2" xfId="36081"/>
    <cellStyle name="표준 15 2 2 2" xfId="36082"/>
    <cellStyle name="표준 15 2 2 3" xfId="36083"/>
    <cellStyle name="표준 15 2 2 4" xfId="36084"/>
    <cellStyle name="표준 15 2 3" xfId="36085"/>
    <cellStyle name="표준 15 2 4" xfId="36086"/>
    <cellStyle name="표준 15 2 5" xfId="36087"/>
    <cellStyle name="표준 15 2 6" xfId="36088"/>
    <cellStyle name="표준 15 3" xfId="36089"/>
    <cellStyle name="표준 15 3 2" xfId="36090"/>
    <cellStyle name="표준 15 3 3" xfId="36091"/>
    <cellStyle name="표준 15 3 4" xfId="36092"/>
    <cellStyle name="표준 15 4" xfId="36093"/>
    <cellStyle name="표준 15 5" xfId="36094"/>
    <cellStyle name="표준 15 6" xfId="36095"/>
    <cellStyle name="표준 16" xfId="36096"/>
    <cellStyle name="표준 16 2" xfId="36097"/>
    <cellStyle name="표준 16 3" xfId="36098"/>
    <cellStyle name="표준 16 4" xfId="36099"/>
    <cellStyle name="표준 17" xfId="36100"/>
    <cellStyle name="표준 17 2" xfId="36101"/>
    <cellStyle name="표준 17 3" xfId="36102"/>
    <cellStyle name="표준 17 4" xfId="37107"/>
    <cellStyle name="표준 18" xfId="36103"/>
    <cellStyle name="표준 18 2" xfId="36104"/>
    <cellStyle name="표준 18 3" xfId="36105"/>
    <cellStyle name="표준 19" xfId="36106"/>
    <cellStyle name="표준 19 2" xfId="36107"/>
    <cellStyle name="표준 19 2 2" xfId="36108"/>
    <cellStyle name="표준 19 2 2 2" xfId="36109"/>
    <cellStyle name="표준 19 2 2 3" xfId="36110"/>
    <cellStyle name="표준 19 2 2 4" xfId="36111"/>
    <cellStyle name="표준 19 2 3" xfId="36112"/>
    <cellStyle name="표준 19 2 4" xfId="36113"/>
    <cellStyle name="표준 19 2 5" xfId="36114"/>
    <cellStyle name="표준 19 2 6" xfId="36115"/>
    <cellStyle name="표준 19 3" xfId="36116"/>
    <cellStyle name="표준 19 3 2" xfId="36117"/>
    <cellStyle name="표준 19 3 3" xfId="36118"/>
    <cellStyle name="표준 19 3 4" xfId="36119"/>
    <cellStyle name="표준 19 3 5" xfId="36120"/>
    <cellStyle name="표준 19 4" xfId="36121"/>
    <cellStyle name="표준 19 5" xfId="36122"/>
    <cellStyle name="표준 19 6" xfId="36123"/>
    <cellStyle name="표준 2" xfId="36124"/>
    <cellStyle name="標準 2" xfId="36125"/>
    <cellStyle name="표준 2 10" xfId="36126"/>
    <cellStyle name="표준 2 10 10" xfId="36127"/>
    <cellStyle name="표준 2 10 11" xfId="36128"/>
    <cellStyle name="표준 2 10 12" xfId="36129"/>
    <cellStyle name="표준 2 10 13" xfId="36130"/>
    <cellStyle name="표준 2 10 14" xfId="36131"/>
    <cellStyle name="표준 2 10 15" xfId="36132"/>
    <cellStyle name="표준 2 10 16" xfId="36133"/>
    <cellStyle name="표준 2 10 17" xfId="36134"/>
    <cellStyle name="표준 2 10 18" xfId="36135"/>
    <cellStyle name="표준 2 10 19" xfId="36136"/>
    <cellStyle name="표준 2 10 2" xfId="36137"/>
    <cellStyle name="표준 2 10 20" xfId="36138"/>
    <cellStyle name="표준 2 10 21" xfId="36139"/>
    <cellStyle name="표준 2 10 22" xfId="36140"/>
    <cellStyle name="표준 2 10 23" xfId="36141"/>
    <cellStyle name="표준 2 10 24" xfId="36142"/>
    <cellStyle name="표준 2 10 25" xfId="36143"/>
    <cellStyle name="표준 2 10 26" xfId="36144"/>
    <cellStyle name="표준 2 10 27" xfId="36145"/>
    <cellStyle name="표준 2 10 28" xfId="36146"/>
    <cellStyle name="표준 2 10 29" xfId="36147"/>
    <cellStyle name="표준 2 10 3" xfId="36148"/>
    <cellStyle name="표준 2 10 30" xfId="36149"/>
    <cellStyle name="표준 2 10 31" xfId="36150"/>
    <cellStyle name="표준 2 10 32" xfId="36151"/>
    <cellStyle name="표준 2 10 33" xfId="36152"/>
    <cellStyle name="표준 2 10 34" xfId="36153"/>
    <cellStyle name="표준 2 10 35" xfId="36154"/>
    <cellStyle name="표준 2 10 36" xfId="36155"/>
    <cellStyle name="표준 2 10 37" xfId="36156"/>
    <cellStyle name="표준 2 10 38" xfId="36157"/>
    <cellStyle name="표준 2 10 39" xfId="36158"/>
    <cellStyle name="표준 2 10 4" xfId="36159"/>
    <cellStyle name="표준 2 10 40" xfId="36160"/>
    <cellStyle name="표준 2 10 41" xfId="36161"/>
    <cellStyle name="표준 2 10 42" xfId="36162"/>
    <cellStyle name="표준 2 10 43" xfId="36163"/>
    <cellStyle name="표준 2 10 44" xfId="36164"/>
    <cellStyle name="표준 2 10 45" xfId="36165"/>
    <cellStyle name="표준 2 10 46" xfId="36166"/>
    <cellStyle name="표준 2 10 47" xfId="36167"/>
    <cellStyle name="표준 2 10 48" xfId="36168"/>
    <cellStyle name="표준 2 10 49" xfId="36169"/>
    <cellStyle name="표준 2 10 5" xfId="36170"/>
    <cellStyle name="표준 2 10 50" xfId="36171"/>
    <cellStyle name="표준 2 10 51" xfId="36172"/>
    <cellStyle name="표준 2 10 52" xfId="36173"/>
    <cellStyle name="표준 2 10 53" xfId="36174"/>
    <cellStyle name="표준 2 10 54" xfId="36175"/>
    <cellStyle name="표준 2 10 55" xfId="36176"/>
    <cellStyle name="표준 2 10 56" xfId="36177"/>
    <cellStyle name="표준 2 10 57" xfId="36178"/>
    <cellStyle name="표준 2 10 58" xfId="36179"/>
    <cellStyle name="표준 2 10 59" xfId="36180"/>
    <cellStyle name="표준 2 10 6" xfId="36181"/>
    <cellStyle name="표준 2 10 60" xfId="36182"/>
    <cellStyle name="표준 2 10 61" xfId="36183"/>
    <cellStyle name="표준 2 10 62" xfId="36184"/>
    <cellStyle name="표준 2 10 63" xfId="36185"/>
    <cellStyle name="표준 2 10 64" xfId="36186"/>
    <cellStyle name="표준 2 10 65" xfId="36187"/>
    <cellStyle name="표준 2 10 66" xfId="36188"/>
    <cellStyle name="표준 2 10 67" xfId="36189"/>
    <cellStyle name="표준 2 10 68" xfId="36190"/>
    <cellStyle name="표준 2 10 69" xfId="36191"/>
    <cellStyle name="표준 2 10 7" xfId="36192"/>
    <cellStyle name="표준 2 10 70" xfId="36193"/>
    <cellStyle name="표준 2 10 71" xfId="36194"/>
    <cellStyle name="표준 2 10 72" xfId="36195"/>
    <cellStyle name="표준 2 10 73" xfId="36196"/>
    <cellStyle name="표준 2 10 8" xfId="36197"/>
    <cellStyle name="표준 2 10 9" xfId="36198"/>
    <cellStyle name="표준 2 100" xfId="36199"/>
    <cellStyle name="표준 2 101" xfId="36200"/>
    <cellStyle name="표준 2 102" xfId="36201"/>
    <cellStyle name="표준 2 103" xfId="36202"/>
    <cellStyle name="표준 2 104" xfId="36203"/>
    <cellStyle name="표준 2 105" xfId="36204"/>
    <cellStyle name="표준 2 106" xfId="36205"/>
    <cellStyle name="표준 2 107" xfId="36206"/>
    <cellStyle name="표준 2 108" xfId="36207"/>
    <cellStyle name="표준 2 109" xfId="36208"/>
    <cellStyle name="표준 2 11" xfId="36209"/>
    <cellStyle name="표준 2 110" xfId="36210"/>
    <cellStyle name="표준 2 111" xfId="36211"/>
    <cellStyle name="표준 2 112" xfId="36212"/>
    <cellStyle name="표준 2 113" xfId="36213"/>
    <cellStyle name="표준 2 114" xfId="36214"/>
    <cellStyle name="표준 2 115" xfId="36215"/>
    <cellStyle name="표준 2 116" xfId="36216"/>
    <cellStyle name="표준 2 117" xfId="36217"/>
    <cellStyle name="표준 2 118" xfId="36218"/>
    <cellStyle name="표준 2 119" xfId="36219"/>
    <cellStyle name="표준 2 12" xfId="36220"/>
    <cellStyle name="표준 2 120" xfId="36221"/>
    <cellStyle name="표준 2 121" xfId="36222"/>
    <cellStyle name="표준 2 122" xfId="36223"/>
    <cellStyle name="표준 2 123" xfId="36224"/>
    <cellStyle name="표준 2 124" xfId="36225"/>
    <cellStyle name="표준 2 125" xfId="36226"/>
    <cellStyle name="표준 2 126" xfId="36227"/>
    <cellStyle name="표준 2 127" xfId="36228"/>
    <cellStyle name="표준 2 128" xfId="36229"/>
    <cellStyle name="표준 2 129" xfId="36230"/>
    <cellStyle name="표준 2 13" xfId="36231"/>
    <cellStyle name="표준 2 130" xfId="36232"/>
    <cellStyle name="표준 2 131" xfId="36233"/>
    <cellStyle name="표준 2 132" xfId="36234"/>
    <cellStyle name="표준 2 133" xfId="36235"/>
    <cellStyle name="표준 2 134" xfId="36236"/>
    <cellStyle name="표준 2 135" xfId="36237"/>
    <cellStyle name="표준 2 136" xfId="36238"/>
    <cellStyle name="표준 2 137" xfId="36239"/>
    <cellStyle name="표준 2 138" xfId="36240"/>
    <cellStyle name="표준 2 139" xfId="36241"/>
    <cellStyle name="표준 2 14" xfId="36242"/>
    <cellStyle name="표준 2 140" xfId="36243"/>
    <cellStyle name="표준 2 141" xfId="36244"/>
    <cellStyle name="표준 2 142" xfId="36245"/>
    <cellStyle name="표준 2 143" xfId="36246"/>
    <cellStyle name="표준 2 144" xfId="36247"/>
    <cellStyle name="표준 2 145" xfId="36248"/>
    <cellStyle name="표준 2 146" xfId="36249"/>
    <cellStyle name="표준 2 147" xfId="36250"/>
    <cellStyle name="표준 2 148" xfId="36251"/>
    <cellStyle name="표준 2 149" xfId="36252"/>
    <cellStyle name="표준 2 15" xfId="36253"/>
    <cellStyle name="표준 2 150" xfId="36254"/>
    <cellStyle name="표준 2 151" xfId="36255"/>
    <cellStyle name="표준 2 152" xfId="36256"/>
    <cellStyle name="표준 2 153" xfId="36257"/>
    <cellStyle name="표준 2 154" xfId="36258"/>
    <cellStyle name="표준 2 155" xfId="36259"/>
    <cellStyle name="표준 2 156" xfId="36260"/>
    <cellStyle name="표준 2 157" xfId="36261"/>
    <cellStyle name="표준 2 158" xfId="36262"/>
    <cellStyle name="표준 2 159" xfId="36263"/>
    <cellStyle name="표준 2 16" xfId="36264"/>
    <cellStyle name="표준 2 16 2" xfId="36265"/>
    <cellStyle name="표준 2 160" xfId="36266"/>
    <cellStyle name="표준 2 161" xfId="36267"/>
    <cellStyle name="표준 2 162" xfId="36268"/>
    <cellStyle name="표준 2 163" xfId="36269"/>
    <cellStyle name="표준 2 164" xfId="36270"/>
    <cellStyle name="표준 2 165" xfId="36271"/>
    <cellStyle name="표준 2 166" xfId="36272"/>
    <cellStyle name="표준 2 167" xfId="36273"/>
    <cellStyle name="표준 2 168" xfId="36274"/>
    <cellStyle name="표준 2 169" xfId="36275"/>
    <cellStyle name="표준 2 17" xfId="36276"/>
    <cellStyle name="표준 2 170" xfId="36277"/>
    <cellStyle name="표준 2 171" xfId="36278"/>
    <cellStyle name="표준 2 172" xfId="36279"/>
    <cellStyle name="표준 2 173" xfId="36280"/>
    <cellStyle name="표준 2 174" xfId="36281"/>
    <cellStyle name="표준 2 175" xfId="36282"/>
    <cellStyle name="표준 2 176" xfId="36283"/>
    <cellStyle name="표준 2 177" xfId="36284"/>
    <cellStyle name="표준 2 178" xfId="37103"/>
    <cellStyle name="표준 2 18" xfId="36285"/>
    <cellStyle name="표준 2 19" xfId="36286"/>
    <cellStyle name="표준 2 2" xfId="36287"/>
    <cellStyle name="標準 2 2" xfId="36288"/>
    <cellStyle name="표준 2 2 2" xfId="36289"/>
    <cellStyle name="표준 2 2 2 2" xfId="36290"/>
    <cellStyle name="표준 2 2 2 2 2" xfId="36291"/>
    <cellStyle name="표준 2 2 2 2 2 2" xfId="36292"/>
    <cellStyle name="표준 2 2 2 2 3" xfId="36293"/>
    <cellStyle name="표준 2 2 2 2 4" xfId="36294"/>
    <cellStyle name="표준 2 2 2 3" xfId="36295"/>
    <cellStyle name="표준 2 2 2 4" xfId="36296"/>
    <cellStyle name="표준 2 2 2 5" xfId="36297"/>
    <cellStyle name="표준 2 2 3" xfId="36298"/>
    <cellStyle name="표준 2 2 3 2" xfId="36299"/>
    <cellStyle name="표준 2 2 3 2 2" xfId="36300"/>
    <cellStyle name="표준 2 2 3 3" xfId="36301"/>
    <cellStyle name="표준 2 2 3 4" xfId="36302"/>
    <cellStyle name="표준 2 2 4" xfId="36303"/>
    <cellStyle name="표준 2 2 4 2" xfId="36304"/>
    <cellStyle name="표준 2 2 4 3" xfId="36305"/>
    <cellStyle name="표준 2 2 4 4" xfId="36306"/>
    <cellStyle name="표준 2 2 5" xfId="36307"/>
    <cellStyle name="표준 2 2 5 2" xfId="36308"/>
    <cellStyle name="표준 2 2 6" xfId="36309"/>
    <cellStyle name="표준 2 2 6 2" xfId="36310"/>
    <cellStyle name="표준 2 2 7" xfId="36311"/>
    <cellStyle name="표준 2 2 8" xfId="36312"/>
    <cellStyle name="표준 2 20" xfId="36313"/>
    <cellStyle name="표준 2 20 10" xfId="36314"/>
    <cellStyle name="표준 2 20 11" xfId="36315"/>
    <cellStyle name="표준 2 20 12" xfId="36316"/>
    <cellStyle name="표준 2 20 13" xfId="36317"/>
    <cellStyle name="표준 2 20 14" xfId="36318"/>
    <cellStyle name="표준 2 20 15" xfId="36319"/>
    <cellStyle name="표준 2 20 16" xfId="36320"/>
    <cellStyle name="표준 2 20 17" xfId="36321"/>
    <cellStyle name="표준 2 20 18" xfId="36322"/>
    <cellStyle name="표준 2 20 19" xfId="36323"/>
    <cellStyle name="표준 2 20 2" xfId="36324"/>
    <cellStyle name="표준 2 20 20" xfId="36325"/>
    <cellStyle name="표준 2 20 21" xfId="36326"/>
    <cellStyle name="표준 2 20 22" xfId="36327"/>
    <cellStyle name="표준 2 20 23" xfId="36328"/>
    <cellStyle name="표준 2 20 24" xfId="36329"/>
    <cellStyle name="표준 2 20 25" xfId="36330"/>
    <cellStyle name="표준 2 20 26" xfId="36331"/>
    <cellStyle name="표준 2 20 27" xfId="36332"/>
    <cellStyle name="표준 2 20 28" xfId="36333"/>
    <cellStyle name="표준 2 20 29" xfId="36334"/>
    <cellStyle name="표준 2 20 3" xfId="36335"/>
    <cellStyle name="표준 2 20 30" xfId="36336"/>
    <cellStyle name="표준 2 20 31" xfId="36337"/>
    <cellStyle name="표준 2 20 32" xfId="36338"/>
    <cellStyle name="표준 2 20 33" xfId="36339"/>
    <cellStyle name="표준 2 20 34" xfId="36340"/>
    <cellStyle name="표준 2 20 35" xfId="36341"/>
    <cellStyle name="표준 2 20 36" xfId="36342"/>
    <cellStyle name="표준 2 20 37" xfId="36343"/>
    <cellStyle name="표준 2 20 38" xfId="36344"/>
    <cellStyle name="표준 2 20 39" xfId="36345"/>
    <cellStyle name="표준 2 20 4" xfId="36346"/>
    <cellStyle name="표준 2 20 40" xfId="36347"/>
    <cellStyle name="표준 2 20 41" xfId="36348"/>
    <cellStyle name="표준 2 20 42" xfId="36349"/>
    <cellStyle name="표준 2 20 43" xfId="36350"/>
    <cellStyle name="표준 2 20 44" xfId="36351"/>
    <cellStyle name="표준 2 20 45" xfId="36352"/>
    <cellStyle name="표준 2 20 46" xfId="36353"/>
    <cellStyle name="표준 2 20 47" xfId="36354"/>
    <cellStyle name="표준 2 20 48" xfId="36355"/>
    <cellStyle name="표준 2 20 49" xfId="36356"/>
    <cellStyle name="표준 2 20 5" xfId="36357"/>
    <cellStyle name="표준 2 20 50" xfId="36358"/>
    <cellStyle name="표준 2 20 51" xfId="36359"/>
    <cellStyle name="표준 2 20 52" xfId="36360"/>
    <cellStyle name="표준 2 20 53" xfId="36361"/>
    <cellStyle name="표준 2 20 54" xfId="36362"/>
    <cellStyle name="표준 2 20 55" xfId="36363"/>
    <cellStyle name="표준 2 20 56" xfId="36364"/>
    <cellStyle name="표준 2 20 57" xfId="36365"/>
    <cellStyle name="표준 2 20 58" xfId="36366"/>
    <cellStyle name="표준 2 20 59" xfId="36367"/>
    <cellStyle name="표준 2 20 6" xfId="36368"/>
    <cellStyle name="표준 2 20 60" xfId="36369"/>
    <cellStyle name="표준 2 20 61" xfId="36370"/>
    <cellStyle name="표준 2 20 62" xfId="36371"/>
    <cellStyle name="표준 2 20 63" xfId="36372"/>
    <cellStyle name="표준 2 20 64" xfId="36373"/>
    <cellStyle name="표준 2 20 65" xfId="36374"/>
    <cellStyle name="표준 2 20 66" xfId="36375"/>
    <cellStyle name="표준 2 20 67" xfId="36376"/>
    <cellStyle name="표준 2 20 68" xfId="36377"/>
    <cellStyle name="표준 2 20 69" xfId="36378"/>
    <cellStyle name="표준 2 20 7" xfId="36379"/>
    <cellStyle name="표준 2 20 70" xfId="36380"/>
    <cellStyle name="표준 2 20 71" xfId="36381"/>
    <cellStyle name="표준 2 20 72" xfId="36382"/>
    <cellStyle name="표준 2 20 8" xfId="36383"/>
    <cellStyle name="표준 2 20 9" xfId="36384"/>
    <cellStyle name="표준 2 21" xfId="36385"/>
    <cellStyle name="표준 2 22" xfId="36386"/>
    <cellStyle name="표준 2 23" xfId="36387"/>
    <cellStyle name="표준 2 24" xfId="36388"/>
    <cellStyle name="표준 2 25" xfId="36389"/>
    <cellStyle name="표준 2 26" xfId="36390"/>
    <cellStyle name="표준 2 27" xfId="36391"/>
    <cellStyle name="표준 2 28" xfId="36392"/>
    <cellStyle name="표준 2 29" xfId="36393"/>
    <cellStyle name="표준 2 3" xfId="36394"/>
    <cellStyle name="표준 2 3 10" xfId="36395"/>
    <cellStyle name="표준 2 3 2" xfId="36396"/>
    <cellStyle name="표준 2 3 2 2" xfId="36397"/>
    <cellStyle name="표준 2 3 2 2 2" xfId="36398"/>
    <cellStyle name="표준 2 3 2 2 3" xfId="36399"/>
    <cellStyle name="표준 2 3 2 2 4" xfId="36400"/>
    <cellStyle name="표준 2 3 2 3" xfId="36401"/>
    <cellStyle name="표준 2 3 2 4" xfId="36402"/>
    <cellStyle name="표준 2 3 2 5" xfId="36403"/>
    <cellStyle name="표준 2 3 2 6" xfId="36404"/>
    <cellStyle name="표준 2 3 3" xfId="36405"/>
    <cellStyle name="표준 2 3 3 2" xfId="36406"/>
    <cellStyle name="표준 2 3 3 3" xfId="36407"/>
    <cellStyle name="표준 2 3 3 4" xfId="36408"/>
    <cellStyle name="표준 2 3 4" xfId="36409"/>
    <cellStyle name="표준 2 3 4 2" xfId="36410"/>
    <cellStyle name="표준 2 3 4 2 2" xfId="36411"/>
    <cellStyle name="표준 2 3 4 3" xfId="36412"/>
    <cellStyle name="표준 2 3 4 4" xfId="36413"/>
    <cellStyle name="표준 2 3 5" xfId="36414"/>
    <cellStyle name="표준 2 3 5 2" xfId="36415"/>
    <cellStyle name="표준 2 3 6" xfId="36416"/>
    <cellStyle name="표준 2 3 6 2" xfId="36417"/>
    <cellStyle name="표준 2 3 7" xfId="36418"/>
    <cellStyle name="표준 2 3 8" xfId="36419"/>
    <cellStyle name="표준 2 3 9" xfId="36420"/>
    <cellStyle name="표준 2 3_F2-4C-IN-ISI-001_ Instrument Index_C01_Boiler_20111004" xfId="36421"/>
    <cellStyle name="표준 2 30" xfId="36422"/>
    <cellStyle name="표준 2 31" xfId="36423"/>
    <cellStyle name="표준 2 32" xfId="36424"/>
    <cellStyle name="표준 2 33" xfId="36425"/>
    <cellStyle name="표준 2 34" xfId="36426"/>
    <cellStyle name="표준 2 35" xfId="36427"/>
    <cellStyle name="표준 2 36" xfId="36428"/>
    <cellStyle name="표준 2 37" xfId="36429"/>
    <cellStyle name="표준 2 38" xfId="36430"/>
    <cellStyle name="표준 2 39" xfId="36431"/>
    <cellStyle name="표준 2 4" xfId="36432"/>
    <cellStyle name="표준 2 4 2" xfId="36433"/>
    <cellStyle name="표준 2 4 2 2" xfId="36434"/>
    <cellStyle name="표준 2 4 2 3" xfId="36435"/>
    <cellStyle name="표준 2 4 2 4" xfId="36436"/>
    <cellStyle name="표준 2 4 3" xfId="36437"/>
    <cellStyle name="표준 2 4 4" xfId="36438"/>
    <cellStyle name="표준 2 4 5" xfId="36439"/>
    <cellStyle name="표준 2 4 6" xfId="36440"/>
    <cellStyle name="표준 2 4 7" xfId="36441"/>
    <cellStyle name="표준 2 40" xfId="36442"/>
    <cellStyle name="표준 2 41" xfId="36443"/>
    <cellStyle name="표준 2 42" xfId="36444"/>
    <cellStyle name="표준 2 43" xfId="36445"/>
    <cellStyle name="표준 2 44" xfId="36446"/>
    <cellStyle name="표준 2 45" xfId="36447"/>
    <cellStyle name="표준 2 46" xfId="36448"/>
    <cellStyle name="표준 2 47" xfId="36449"/>
    <cellStyle name="표준 2 48" xfId="36450"/>
    <cellStyle name="표준 2 49" xfId="36451"/>
    <cellStyle name="표준 2 5" xfId="36452"/>
    <cellStyle name="표준 2 5 2" xfId="36453"/>
    <cellStyle name="표준 2 5 2 2" xfId="36454"/>
    <cellStyle name="표준 2 5 2 3" xfId="36455"/>
    <cellStyle name="표준 2 5 2 4" xfId="36456"/>
    <cellStyle name="표준 2 5 3" xfId="36457"/>
    <cellStyle name="표준 2 5 4" xfId="36458"/>
    <cellStyle name="표준 2 5 5" xfId="36459"/>
    <cellStyle name="표준 2 5 6" xfId="36460"/>
    <cellStyle name="표준 2 50" xfId="36461"/>
    <cellStyle name="표준 2 51" xfId="36462"/>
    <cellStyle name="표준 2 52" xfId="36463"/>
    <cellStyle name="표준 2 53" xfId="36464"/>
    <cellStyle name="표준 2 54" xfId="36465"/>
    <cellStyle name="표준 2 55" xfId="36466"/>
    <cellStyle name="표준 2 56" xfId="36467"/>
    <cellStyle name="표준 2 57" xfId="36468"/>
    <cellStyle name="표준 2 58" xfId="36469"/>
    <cellStyle name="표준 2 59" xfId="36470"/>
    <cellStyle name="표준 2 6" xfId="36471"/>
    <cellStyle name="표준 2 6 2" xfId="36472"/>
    <cellStyle name="표준 2 6 2 2" xfId="36473"/>
    <cellStyle name="표준 2 6 3" xfId="36474"/>
    <cellStyle name="표준 2 6 4" xfId="36475"/>
    <cellStyle name="표준 2 60" xfId="36476"/>
    <cellStyle name="표준 2 61" xfId="36477"/>
    <cellStyle name="표준 2 62" xfId="36478"/>
    <cellStyle name="표준 2 63" xfId="36479"/>
    <cellStyle name="표준 2 64" xfId="36480"/>
    <cellStyle name="표준 2 65" xfId="36481"/>
    <cellStyle name="표준 2 66" xfId="36482"/>
    <cellStyle name="표준 2 67" xfId="36483"/>
    <cellStyle name="표준 2 68" xfId="36484"/>
    <cellStyle name="표준 2 69" xfId="36485"/>
    <cellStyle name="표준 2 7" xfId="36486"/>
    <cellStyle name="표준 2 7 10" xfId="36487"/>
    <cellStyle name="표준 2 7 11" xfId="36488"/>
    <cellStyle name="표준 2 7 12" xfId="36489"/>
    <cellStyle name="표준 2 7 13" xfId="36490"/>
    <cellStyle name="표준 2 7 14" xfId="36491"/>
    <cellStyle name="표준 2 7 15" xfId="36492"/>
    <cellStyle name="표준 2 7 16" xfId="36493"/>
    <cellStyle name="표준 2 7 17" xfId="36494"/>
    <cellStyle name="표준 2 7 18" xfId="36495"/>
    <cellStyle name="표준 2 7 19" xfId="36496"/>
    <cellStyle name="표준 2 7 2" xfId="36497"/>
    <cellStyle name="표준 2 7 20" xfId="36498"/>
    <cellStyle name="표준 2 7 21" xfId="36499"/>
    <cellStyle name="표준 2 7 22" xfId="36500"/>
    <cellStyle name="표준 2 7 23" xfId="36501"/>
    <cellStyle name="표준 2 7 24" xfId="36502"/>
    <cellStyle name="표준 2 7 25" xfId="36503"/>
    <cellStyle name="표준 2 7 26" xfId="36504"/>
    <cellStyle name="표준 2 7 27" xfId="36505"/>
    <cellStyle name="표준 2 7 28" xfId="36506"/>
    <cellStyle name="표준 2 7 29" xfId="36507"/>
    <cellStyle name="표준 2 7 3" xfId="36508"/>
    <cellStyle name="표준 2 7 30" xfId="36509"/>
    <cellStyle name="표준 2 7 31" xfId="36510"/>
    <cellStyle name="표준 2 7 32" xfId="36511"/>
    <cellStyle name="표준 2 7 33" xfId="36512"/>
    <cellStyle name="표준 2 7 34" xfId="36513"/>
    <cellStyle name="표준 2 7 35" xfId="36514"/>
    <cellStyle name="표준 2 7 36" xfId="36515"/>
    <cellStyle name="표준 2 7 37" xfId="36516"/>
    <cellStyle name="표준 2 7 38" xfId="36517"/>
    <cellStyle name="표준 2 7 39" xfId="36518"/>
    <cellStyle name="표준 2 7 4" xfId="36519"/>
    <cellStyle name="표준 2 7 40" xfId="36520"/>
    <cellStyle name="표준 2 7 41" xfId="36521"/>
    <cellStyle name="표준 2 7 42" xfId="36522"/>
    <cellStyle name="표준 2 7 43" xfId="36523"/>
    <cellStyle name="표준 2 7 44" xfId="36524"/>
    <cellStyle name="표준 2 7 45" xfId="36525"/>
    <cellStyle name="표준 2 7 46" xfId="36526"/>
    <cellStyle name="표준 2 7 47" xfId="36527"/>
    <cellStyle name="표준 2 7 48" xfId="36528"/>
    <cellStyle name="표준 2 7 49" xfId="36529"/>
    <cellStyle name="표준 2 7 5" xfId="36530"/>
    <cellStyle name="표준 2 7 50" xfId="36531"/>
    <cellStyle name="표준 2 7 51" xfId="36532"/>
    <cellStyle name="표준 2 7 52" xfId="36533"/>
    <cellStyle name="표준 2 7 53" xfId="36534"/>
    <cellStyle name="표준 2 7 54" xfId="36535"/>
    <cellStyle name="표준 2 7 55" xfId="36536"/>
    <cellStyle name="표준 2 7 56" xfId="36537"/>
    <cellStyle name="표준 2 7 57" xfId="36538"/>
    <cellStyle name="표준 2 7 58" xfId="36539"/>
    <cellStyle name="표준 2 7 59" xfId="36540"/>
    <cellStyle name="표준 2 7 6" xfId="36541"/>
    <cellStyle name="표준 2 7 60" xfId="36542"/>
    <cellStyle name="표준 2 7 61" xfId="36543"/>
    <cellStyle name="표준 2 7 62" xfId="36544"/>
    <cellStyle name="표준 2 7 63" xfId="36545"/>
    <cellStyle name="표준 2 7 64" xfId="36546"/>
    <cellStyle name="표준 2 7 65" xfId="36547"/>
    <cellStyle name="표준 2 7 66" xfId="36548"/>
    <cellStyle name="표준 2 7 67" xfId="36549"/>
    <cellStyle name="표준 2 7 68" xfId="36550"/>
    <cellStyle name="표준 2 7 69" xfId="36551"/>
    <cellStyle name="표준 2 7 7" xfId="36552"/>
    <cellStyle name="표준 2 7 70" xfId="36553"/>
    <cellStyle name="표준 2 7 71" xfId="36554"/>
    <cellStyle name="표준 2 7 72" xfId="36555"/>
    <cellStyle name="표준 2 7 73" xfId="36556"/>
    <cellStyle name="표준 2 7 74" xfId="36557"/>
    <cellStyle name="표준 2 7 8" xfId="36558"/>
    <cellStyle name="표준 2 7 9" xfId="36559"/>
    <cellStyle name="표준 2 70" xfId="36560"/>
    <cellStyle name="표준 2 71" xfId="36561"/>
    <cellStyle name="표준 2 72" xfId="36562"/>
    <cellStyle name="표준 2 73" xfId="36563"/>
    <cellStyle name="표준 2 74" xfId="36564"/>
    <cellStyle name="표준 2 75" xfId="36565"/>
    <cellStyle name="표준 2 76" xfId="36566"/>
    <cellStyle name="표준 2 77" xfId="36567"/>
    <cellStyle name="표준 2 78" xfId="36568"/>
    <cellStyle name="표준 2 79" xfId="36569"/>
    <cellStyle name="표준 2 8" xfId="36570"/>
    <cellStyle name="표준 2 8 2" xfId="36571"/>
    <cellStyle name="표준 2 8 3" xfId="36572"/>
    <cellStyle name="표준 2 80" xfId="36573"/>
    <cellStyle name="표준 2 81" xfId="36574"/>
    <cellStyle name="표준 2 82" xfId="36575"/>
    <cellStyle name="표준 2 83" xfId="36576"/>
    <cellStyle name="표준 2 84" xfId="36577"/>
    <cellStyle name="표준 2 85" xfId="36578"/>
    <cellStyle name="표준 2 86" xfId="36579"/>
    <cellStyle name="표준 2 87" xfId="36580"/>
    <cellStyle name="표준 2 88" xfId="36581"/>
    <cellStyle name="표준 2 89" xfId="36582"/>
    <cellStyle name="표준 2 9" xfId="36583"/>
    <cellStyle name="표준 2 9 2" xfId="36584"/>
    <cellStyle name="표준 2 90" xfId="36585"/>
    <cellStyle name="표준 2 91" xfId="36586"/>
    <cellStyle name="표준 2 92" xfId="36587"/>
    <cellStyle name="표준 2 93" xfId="36588"/>
    <cellStyle name="표준 2 94" xfId="36589"/>
    <cellStyle name="표준 2 95" xfId="36590"/>
    <cellStyle name="표준 2 96" xfId="36591"/>
    <cellStyle name="표준 2 97" xfId="36592"/>
    <cellStyle name="표준 2 98" xfId="36593"/>
    <cellStyle name="표준 2 99" xfId="36594"/>
    <cellStyle name="표준 2_201 &amp; 202, SIEMENS Compressor(20110613 ISSUE)" xfId="36595"/>
    <cellStyle name="표준 20" xfId="36596"/>
    <cellStyle name="표준 20 2" xfId="36597"/>
    <cellStyle name="표준 20 2 2" xfId="36598"/>
    <cellStyle name="표준 20 2 2 2" xfId="36599"/>
    <cellStyle name="표준 20 2 2 3" xfId="36600"/>
    <cellStyle name="표준 20 2 2 4" xfId="36601"/>
    <cellStyle name="표준 20 2 3" xfId="36602"/>
    <cellStyle name="표준 20 2 4" xfId="36603"/>
    <cellStyle name="표준 20 2 5" xfId="36604"/>
    <cellStyle name="표준 20 3" xfId="36605"/>
    <cellStyle name="표준 20 3 2" xfId="36606"/>
    <cellStyle name="표준 20 3 3" xfId="36607"/>
    <cellStyle name="표준 20 3 4" xfId="36608"/>
    <cellStyle name="표준 20 4" xfId="36609"/>
    <cellStyle name="표준 20 5" xfId="36610"/>
    <cellStyle name="표준 20 6" xfId="36611"/>
    <cellStyle name="표준 21" xfId="36612"/>
    <cellStyle name="표준 22" xfId="36613"/>
    <cellStyle name="표준 23" xfId="36614"/>
    <cellStyle name="표준 24" xfId="36615"/>
    <cellStyle name="표준 25" xfId="36616"/>
    <cellStyle name="표준 25 2" xfId="36617"/>
    <cellStyle name="표준 25 2 2" xfId="36618"/>
    <cellStyle name="표준 25 2 2 2" xfId="36619"/>
    <cellStyle name="표준 25 2 2 3" xfId="36620"/>
    <cellStyle name="표준 25 2 2 4" xfId="36621"/>
    <cellStyle name="표준 25 2 3" xfId="36622"/>
    <cellStyle name="표준 25 2 4" xfId="36623"/>
    <cellStyle name="표준 25 2 5" xfId="36624"/>
    <cellStyle name="표준 25 3" xfId="36625"/>
    <cellStyle name="표준 25 3 2" xfId="36626"/>
    <cellStyle name="표준 25 3 3" xfId="36627"/>
    <cellStyle name="표준 25 3 4" xfId="36628"/>
    <cellStyle name="표준 25 4" xfId="36629"/>
    <cellStyle name="표준 25 5" xfId="36630"/>
    <cellStyle name="표준 25 6" xfId="36631"/>
    <cellStyle name="표준 26" xfId="36632"/>
    <cellStyle name="표준 26 2" xfId="36633"/>
    <cellStyle name="표준 26 2 2" xfId="36634"/>
    <cellStyle name="표준 26 2 2 2" xfId="36635"/>
    <cellStyle name="표준 26 2 2 3" xfId="36636"/>
    <cellStyle name="표준 26 2 2 4" xfId="36637"/>
    <cellStyle name="표준 26 2 3" xfId="36638"/>
    <cellStyle name="표준 26 2 4" xfId="36639"/>
    <cellStyle name="표준 26 2 5" xfId="36640"/>
    <cellStyle name="표준 26 3" xfId="36641"/>
    <cellStyle name="표준 26 3 2" xfId="36642"/>
    <cellStyle name="표준 26 3 3" xfId="36643"/>
    <cellStyle name="표준 26 3 4" xfId="36644"/>
    <cellStyle name="표준 26 4" xfId="36645"/>
    <cellStyle name="표준 26 5" xfId="36646"/>
    <cellStyle name="표준 26 6" xfId="36647"/>
    <cellStyle name="표준 27" xfId="36648"/>
    <cellStyle name="표준 27 2" xfId="36649"/>
    <cellStyle name="표준 27 2 2" xfId="36650"/>
    <cellStyle name="표준 27 2 2 2" xfId="36651"/>
    <cellStyle name="표준 27 2 2 3" xfId="36652"/>
    <cellStyle name="표준 27 2 2 4" xfId="36653"/>
    <cellStyle name="표준 27 2 3" xfId="36654"/>
    <cellStyle name="표준 27 2 4" xfId="36655"/>
    <cellStyle name="표준 27 2 5" xfId="36656"/>
    <cellStyle name="표준 27 3" xfId="36657"/>
    <cellStyle name="표준 27 3 2" xfId="36658"/>
    <cellStyle name="표준 27 3 3" xfId="36659"/>
    <cellStyle name="표준 27 3 4" xfId="36660"/>
    <cellStyle name="표준 27 4" xfId="36661"/>
    <cellStyle name="표준 27 5" xfId="36662"/>
    <cellStyle name="표준 27 6" xfId="36663"/>
    <cellStyle name="표준 28" xfId="36664"/>
    <cellStyle name="표준 28 2" xfId="36665"/>
    <cellStyle name="표준 28 2 2" xfId="36666"/>
    <cellStyle name="표준 28 2 2 2" xfId="36667"/>
    <cellStyle name="표준 28 2 2 3" xfId="36668"/>
    <cellStyle name="표준 28 2 2 4" xfId="36669"/>
    <cellStyle name="표준 28 2 3" xfId="36670"/>
    <cellStyle name="표준 28 2 4" xfId="36671"/>
    <cellStyle name="표준 28 2 5" xfId="36672"/>
    <cellStyle name="표준 28 3" xfId="36673"/>
    <cellStyle name="표준 28 3 2" xfId="36674"/>
    <cellStyle name="표준 28 3 3" xfId="36675"/>
    <cellStyle name="표준 28 3 4" xfId="36676"/>
    <cellStyle name="표준 28 4" xfId="36677"/>
    <cellStyle name="표준 28 5" xfId="36678"/>
    <cellStyle name="표준 28 6" xfId="36679"/>
    <cellStyle name="표준 29" xfId="36680"/>
    <cellStyle name="표준 29 2" xfId="36681"/>
    <cellStyle name="표준 29 2 2" xfId="36682"/>
    <cellStyle name="표준 29 2 2 2" xfId="36683"/>
    <cellStyle name="표준 29 2 2 3" xfId="36684"/>
    <cellStyle name="표준 29 2 2 4" xfId="36685"/>
    <cellStyle name="표준 29 2 3" xfId="36686"/>
    <cellStyle name="표준 29 2 4" xfId="36687"/>
    <cellStyle name="표준 29 2 5" xfId="36688"/>
    <cellStyle name="표준 29 3" xfId="36689"/>
    <cellStyle name="표준 29 3 2" xfId="36690"/>
    <cellStyle name="표준 29 3 3" xfId="36691"/>
    <cellStyle name="표준 29 3 4" xfId="36692"/>
    <cellStyle name="표준 29 4" xfId="36693"/>
    <cellStyle name="표준 29 5" xfId="36694"/>
    <cellStyle name="표준 29 6" xfId="36695"/>
    <cellStyle name="표준 3" xfId="36696"/>
    <cellStyle name="標準 3" xfId="36697"/>
    <cellStyle name="표준 3 10" xfId="36698"/>
    <cellStyle name="표준 3 11" xfId="36699"/>
    <cellStyle name="표준 3 2" xfId="36700"/>
    <cellStyle name="標準 3 2" xfId="36701"/>
    <cellStyle name="표준 3 2 2" xfId="36702"/>
    <cellStyle name="표준 3 2 2 2" xfId="36703"/>
    <cellStyle name="표준 3 2 2 3" xfId="36704"/>
    <cellStyle name="표준 3 2 2 4" xfId="36705"/>
    <cellStyle name="표준 3 2 3" xfId="36706"/>
    <cellStyle name="표준 3 2 3 2" xfId="36707"/>
    <cellStyle name="표준 3 2 3 3" xfId="36708"/>
    <cellStyle name="표준 3 2 3 4" xfId="36709"/>
    <cellStyle name="표준 3 2 4" xfId="36710"/>
    <cellStyle name="표준 3 2 4 2" xfId="36711"/>
    <cellStyle name="표준 3 2 5" xfId="36712"/>
    <cellStyle name="표준 3 2 5 2" xfId="36713"/>
    <cellStyle name="표준 3 2 6" xfId="36714"/>
    <cellStyle name="표준 3 2 6 2" xfId="36715"/>
    <cellStyle name="표준 3 2 7" xfId="36716"/>
    <cellStyle name="표준 3 2 8" xfId="36717"/>
    <cellStyle name="표준 3 3" xfId="36718"/>
    <cellStyle name="표준 3 3 2" xfId="36719"/>
    <cellStyle name="표준 3 3 2 2" xfId="36720"/>
    <cellStyle name="표준 3 3 2 3" xfId="36721"/>
    <cellStyle name="표준 3 3 2 4" xfId="36722"/>
    <cellStyle name="표준 3 3 3" xfId="36723"/>
    <cellStyle name="표준 3 3 3 2" xfId="36724"/>
    <cellStyle name="표준 3 3 3 3" xfId="36725"/>
    <cellStyle name="표준 3 3 3 4" xfId="36726"/>
    <cellStyle name="표준 3 3 4" xfId="36727"/>
    <cellStyle name="표준 3 3 4 2" xfId="36728"/>
    <cellStyle name="표준 3 3 5" xfId="36729"/>
    <cellStyle name="표준 3 3 6" xfId="36730"/>
    <cellStyle name="표준 3 3 7" xfId="36731"/>
    <cellStyle name="표준 3 3 8" xfId="36732"/>
    <cellStyle name="표준 3 4" xfId="36733"/>
    <cellStyle name="표준 3 4 2" xfId="36734"/>
    <cellStyle name="표준 3 4 2 2" xfId="36735"/>
    <cellStyle name="표준 3 4 3" xfId="36736"/>
    <cellStyle name="표준 3 4 3 2" xfId="36737"/>
    <cellStyle name="표준 3 4 4" xfId="36738"/>
    <cellStyle name="표준 3 4 5" xfId="36739"/>
    <cellStyle name="표준 3 5" xfId="36740"/>
    <cellStyle name="표준 3 5 2" xfId="36741"/>
    <cellStyle name="표준 3 5 2 2" xfId="36742"/>
    <cellStyle name="표준 3 5 3" xfId="36743"/>
    <cellStyle name="표준 3 5 4" xfId="36744"/>
    <cellStyle name="표준 3 6" xfId="36745"/>
    <cellStyle name="표준 3 6 2" xfId="36746"/>
    <cellStyle name="표준 3 6 3" xfId="36747"/>
    <cellStyle name="표준 3 7" xfId="36748"/>
    <cellStyle name="표준 3 7 2" xfId="36749"/>
    <cellStyle name="표준 3 8" xfId="36750"/>
    <cellStyle name="표준 3 9" xfId="36751"/>
    <cellStyle name="표준 30" xfId="36752"/>
    <cellStyle name="표준 31" xfId="36753"/>
    <cellStyle name="표준 32" xfId="36754"/>
    <cellStyle name="표준 32 2" xfId="36755"/>
    <cellStyle name="표준 32 2 2" xfId="36756"/>
    <cellStyle name="표준 32 2 2 2" xfId="36757"/>
    <cellStyle name="표준 32 2 2 3" xfId="36758"/>
    <cellStyle name="표준 32 2 2 4" xfId="36759"/>
    <cellStyle name="표준 32 2 3" xfId="36760"/>
    <cellStyle name="표준 32 2 4" xfId="36761"/>
    <cellStyle name="표준 32 2 5" xfId="36762"/>
    <cellStyle name="표준 32 3" xfId="36763"/>
    <cellStyle name="표준 32 3 2" xfId="36764"/>
    <cellStyle name="표준 32 3 3" xfId="36765"/>
    <cellStyle name="표준 32 3 4" xfId="36766"/>
    <cellStyle name="표준 32 4" xfId="36767"/>
    <cellStyle name="표준 32 5" xfId="36768"/>
    <cellStyle name="표준 32 6" xfId="36769"/>
    <cellStyle name="표준 33" xfId="36770"/>
    <cellStyle name="표준 34" xfId="36771"/>
    <cellStyle name="표준 35" xfId="36772"/>
    <cellStyle name="표준 35 2" xfId="36773"/>
    <cellStyle name="표준 35 2 2" xfId="36774"/>
    <cellStyle name="표준 35 3" xfId="36775"/>
    <cellStyle name="표준 35 4" xfId="36776"/>
    <cellStyle name="표준 36" xfId="36777"/>
    <cellStyle name="표준 36 2" xfId="36778"/>
    <cellStyle name="표준 36 2 2" xfId="36779"/>
    <cellStyle name="표준 36 3" xfId="36780"/>
    <cellStyle name="표준 36 4" xfId="36781"/>
    <cellStyle name="표준 37" xfId="36782"/>
    <cellStyle name="표준 37 2" xfId="36783"/>
    <cellStyle name="표준 37 2 2" xfId="36784"/>
    <cellStyle name="표준 37 3" xfId="36785"/>
    <cellStyle name="표준 37 4" xfId="36786"/>
    <cellStyle name="표준 38" xfId="36787"/>
    <cellStyle name="표준 38 2" xfId="36788"/>
    <cellStyle name="표준 38 2 2" xfId="36789"/>
    <cellStyle name="표준 38 3" xfId="36790"/>
    <cellStyle name="표준 38 4" xfId="36791"/>
    <cellStyle name="표준 39" xfId="36792"/>
    <cellStyle name="표준 39 2" xfId="36793"/>
    <cellStyle name="표준 39 2 2" xfId="36794"/>
    <cellStyle name="표준 39 3" xfId="36795"/>
    <cellStyle name="표준 39 4" xfId="36796"/>
    <cellStyle name="표준 4" xfId="36797"/>
    <cellStyle name="표준 4 10" xfId="36798"/>
    <cellStyle name="표준 4 11" xfId="36799"/>
    <cellStyle name="표준 4 2" xfId="36800"/>
    <cellStyle name="표준 4 2 2" xfId="36801"/>
    <cellStyle name="표준 4 2 2 2" xfId="36802"/>
    <cellStyle name="표준 4 2 2 2 2" xfId="36803"/>
    <cellStyle name="표준 4 2 2 3" xfId="36804"/>
    <cellStyle name="표준 4 2 2 4" xfId="36805"/>
    <cellStyle name="표준 4 2 3" xfId="36806"/>
    <cellStyle name="표준 4 2 3 2" xfId="36807"/>
    <cellStyle name="표준 4 2 4" xfId="36808"/>
    <cellStyle name="표준 4 2 4 2" xfId="36809"/>
    <cellStyle name="표준 4 2 5" xfId="36810"/>
    <cellStyle name="표준 4 2 6" xfId="36811"/>
    <cellStyle name="표준 4 2 7" xfId="36812"/>
    <cellStyle name="표준 4 2 8" xfId="36813"/>
    <cellStyle name="표준 4 3" xfId="36814"/>
    <cellStyle name="표준 4 3 2" xfId="36815"/>
    <cellStyle name="표준 4 3 2 2" xfId="36816"/>
    <cellStyle name="표준 4 3 3" xfId="36817"/>
    <cellStyle name="표준 4 3 3 2" xfId="36818"/>
    <cellStyle name="표준 4 3 4" xfId="36819"/>
    <cellStyle name="표준 4 3 5" xfId="36820"/>
    <cellStyle name="표준 4 3 6" xfId="36821"/>
    <cellStyle name="표준 4 3 7" xfId="36822"/>
    <cellStyle name="표준 4 4" xfId="36823"/>
    <cellStyle name="표준 4 4 2" xfId="36824"/>
    <cellStyle name="표준 4 4 2 2" xfId="36825"/>
    <cellStyle name="표준 4 4 3" xfId="36826"/>
    <cellStyle name="표준 4 4 3 2" xfId="36827"/>
    <cellStyle name="표준 4 4 4" xfId="36828"/>
    <cellStyle name="표준 4 5" xfId="36829"/>
    <cellStyle name="표준 4 5 2" xfId="36830"/>
    <cellStyle name="표준 4 6" xfId="36831"/>
    <cellStyle name="표준 4 6 2" xfId="36832"/>
    <cellStyle name="표준 4 7" xfId="36833"/>
    <cellStyle name="표준 4 7 2" xfId="36834"/>
    <cellStyle name="표준 4 8" xfId="36835"/>
    <cellStyle name="표준 4 8 2" xfId="36836"/>
    <cellStyle name="표준 4 9" xfId="36837"/>
    <cellStyle name="표준 4 9 2" xfId="36838"/>
    <cellStyle name="표준 4_201 &amp; 202, SIEMENS Compressor(20110613 ISSUE)" xfId="36839"/>
    <cellStyle name="표준 40" xfId="36840"/>
    <cellStyle name="표준 40 2" xfId="36841"/>
    <cellStyle name="표준 40 2 2" xfId="36842"/>
    <cellStyle name="표준 40 3" xfId="36843"/>
    <cellStyle name="표준 40 4" xfId="36844"/>
    <cellStyle name="표준 41" xfId="36845"/>
    <cellStyle name="표준 41 2" xfId="36846"/>
    <cellStyle name="표준 41 2 2" xfId="36847"/>
    <cellStyle name="표준 41 3" xfId="36848"/>
    <cellStyle name="표준 42" xfId="36849"/>
    <cellStyle name="표준 42 2" xfId="36850"/>
    <cellStyle name="표준 42 2 2" xfId="36851"/>
    <cellStyle name="표준 42 3" xfId="36852"/>
    <cellStyle name="표준 43" xfId="36853"/>
    <cellStyle name="표준 43 2" xfId="36854"/>
    <cellStyle name="표준 43 2 2" xfId="36855"/>
    <cellStyle name="표준 43 3" xfId="36856"/>
    <cellStyle name="표준 44" xfId="36857"/>
    <cellStyle name="표준 44 2" xfId="36858"/>
    <cellStyle name="표준 44 2 2" xfId="36859"/>
    <cellStyle name="표준 44 3" xfId="36860"/>
    <cellStyle name="표준 45" xfId="36861"/>
    <cellStyle name="표준 45 2" xfId="36862"/>
    <cellStyle name="표준 45 2 2" xfId="36863"/>
    <cellStyle name="표준 45 3" xfId="36864"/>
    <cellStyle name="표준 46" xfId="36865"/>
    <cellStyle name="표준 46 2" xfId="36866"/>
    <cellStyle name="표준 46 2 2" xfId="36867"/>
    <cellStyle name="표준 46 3" xfId="36868"/>
    <cellStyle name="표준 47" xfId="36869"/>
    <cellStyle name="표준 47 2" xfId="36870"/>
    <cellStyle name="표준 47 2 2" xfId="36871"/>
    <cellStyle name="표준 47 3" xfId="36872"/>
    <cellStyle name="표준 48" xfId="36873"/>
    <cellStyle name="표준 48 2" xfId="36874"/>
    <cellStyle name="표준 48 2 2" xfId="36875"/>
    <cellStyle name="표준 48 3" xfId="36876"/>
    <cellStyle name="표준 49" xfId="36877"/>
    <cellStyle name="표준 49 2" xfId="36878"/>
    <cellStyle name="표준 49 2 2" xfId="36879"/>
    <cellStyle name="표준 49 3" xfId="36880"/>
    <cellStyle name="표준 5" xfId="36881"/>
    <cellStyle name="표준 5 10" xfId="36882"/>
    <cellStyle name="표준 5 11" xfId="37105"/>
    <cellStyle name="표준 5 2" xfId="36883"/>
    <cellStyle name="표준 5 2 2" xfId="36884"/>
    <cellStyle name="표준 5 2 2 2" xfId="36885"/>
    <cellStyle name="표준 5 2 2 2 2" xfId="36886"/>
    <cellStyle name="표준 5 2 2 3" xfId="36887"/>
    <cellStyle name="표준 5 2 2 3 2" xfId="36888"/>
    <cellStyle name="표준 5 2 2 4" xfId="36889"/>
    <cellStyle name="표준 5 2 2 5" xfId="36890"/>
    <cellStyle name="표준 5 2 3" xfId="36891"/>
    <cellStyle name="표준 5 2 3 2" xfId="36892"/>
    <cellStyle name="표준 5 2 4" xfId="36893"/>
    <cellStyle name="표준 5 2 4 2" xfId="36894"/>
    <cellStyle name="표준 5 2 5" xfId="36895"/>
    <cellStyle name="표준 5 3" xfId="36896"/>
    <cellStyle name="표준 5 3 2" xfId="36897"/>
    <cellStyle name="표준 5 3 2 2" xfId="36898"/>
    <cellStyle name="표준 5 3 2 3" xfId="36899"/>
    <cellStyle name="표준 5 3 3" xfId="36900"/>
    <cellStyle name="표준 5 3 3 2" xfId="36901"/>
    <cellStyle name="표준 5 3 4" xfId="36902"/>
    <cellStyle name="표준 5 3 5" xfId="36903"/>
    <cellStyle name="표준 5 4" xfId="36904"/>
    <cellStyle name="표준 5 4 2" xfId="36905"/>
    <cellStyle name="표준 5 4 3" xfId="36906"/>
    <cellStyle name="표준 5 5" xfId="36907"/>
    <cellStyle name="표준 5 5 2" xfId="36908"/>
    <cellStyle name="표준 5 5 3" xfId="36909"/>
    <cellStyle name="표준 5 6" xfId="36910"/>
    <cellStyle name="표준 5 6 2" xfId="36911"/>
    <cellStyle name="표준 5 6 3" xfId="36912"/>
    <cellStyle name="표준 5 7" xfId="36913"/>
    <cellStyle name="표준 5 8" xfId="36914"/>
    <cellStyle name="표준 5 9" xfId="36915"/>
    <cellStyle name="표준 5_201 &amp; 202, SIEMENS Compressor(20110613 ISSUE)" xfId="36916"/>
    <cellStyle name="표준 50" xfId="36917"/>
    <cellStyle name="표준 50 2" xfId="36918"/>
    <cellStyle name="표준 50 2 2" xfId="36919"/>
    <cellStyle name="표준 50 3" xfId="36920"/>
    <cellStyle name="표준 51" xfId="36921"/>
    <cellStyle name="표준 51 2" xfId="36922"/>
    <cellStyle name="표준 51 2 2" xfId="36923"/>
    <cellStyle name="표준 51 3" xfId="36924"/>
    <cellStyle name="표준 52" xfId="36925"/>
    <cellStyle name="표준 52 2" xfId="36926"/>
    <cellStyle name="표준 52 2 2" xfId="36927"/>
    <cellStyle name="표준 52 3" xfId="36928"/>
    <cellStyle name="표준 53" xfId="36929"/>
    <cellStyle name="표준 53 2" xfId="36930"/>
    <cellStyle name="표준 53 2 2" xfId="36931"/>
    <cellStyle name="표준 53 3" xfId="36932"/>
    <cellStyle name="표준 54" xfId="36933"/>
    <cellStyle name="표준 55" xfId="36934"/>
    <cellStyle name="표준 56" xfId="36935"/>
    <cellStyle name="표준 57" xfId="36936"/>
    <cellStyle name="표준 58" xfId="36937"/>
    <cellStyle name="표준 58 2" xfId="37106"/>
    <cellStyle name="표준 59" xfId="36938"/>
    <cellStyle name="표준 6" xfId="36939"/>
    <cellStyle name="표준 6 10" xfId="36940"/>
    <cellStyle name="표준 6 2" xfId="36941"/>
    <cellStyle name="표준 6 2 2" xfId="36942"/>
    <cellStyle name="표준 6 2 2 2" xfId="36943"/>
    <cellStyle name="표준 6 2 2 3" xfId="36944"/>
    <cellStyle name="표준 6 2 3" xfId="36945"/>
    <cellStyle name="표준 6 2 3 2" xfId="36946"/>
    <cellStyle name="표준 6 2 4" xfId="36947"/>
    <cellStyle name="표준 6 2 5" xfId="36948"/>
    <cellStyle name="표준 6 3" xfId="36949"/>
    <cellStyle name="표준 6 3 2" xfId="36950"/>
    <cellStyle name="표준 6 3 3" xfId="36951"/>
    <cellStyle name="표준 6 4" xfId="36952"/>
    <cellStyle name="표준 6 4 2" xfId="36953"/>
    <cellStyle name="표준 6 5" xfId="36954"/>
    <cellStyle name="표준 6 5 2" xfId="36955"/>
    <cellStyle name="표준 6 6" xfId="36956"/>
    <cellStyle name="표준 6 6 2" xfId="36957"/>
    <cellStyle name="표준 6 7" xfId="36958"/>
    <cellStyle name="표준 6 7 2" xfId="36959"/>
    <cellStyle name="표준 6 8" xfId="36960"/>
    <cellStyle name="표준 6 9" xfId="36961"/>
    <cellStyle name="표준 6_201 &amp; 202, SIEMENS Compressor(20110613 ISSUE)" xfId="36962"/>
    <cellStyle name="표준 60" xfId="36963"/>
    <cellStyle name="표준 61" xfId="36964"/>
    <cellStyle name="표준 62" xfId="36965"/>
    <cellStyle name="표준 63" xfId="36966"/>
    <cellStyle name="표준 64" xfId="36967"/>
    <cellStyle name="표준 65" xfId="36968"/>
    <cellStyle name="표준 66" xfId="36969"/>
    <cellStyle name="표준 67" xfId="36970"/>
    <cellStyle name="표준 68" xfId="36971"/>
    <cellStyle name="표준 69" xfId="36972"/>
    <cellStyle name="표준 7" xfId="36973"/>
    <cellStyle name="표준 7 2" xfId="36974"/>
    <cellStyle name="표준 7 2 2" xfId="36975"/>
    <cellStyle name="표준 7 3" xfId="36976"/>
    <cellStyle name="표준 7 4" xfId="36977"/>
    <cellStyle name="표준 7 4 2" xfId="36978"/>
    <cellStyle name="표준 7 5" xfId="36979"/>
    <cellStyle name="표준 7 5 2" xfId="36980"/>
    <cellStyle name="표준 7 6" xfId="36981"/>
    <cellStyle name="표준 7 7" xfId="36982"/>
    <cellStyle name="표준 7 8" xfId="36983"/>
    <cellStyle name="표준 70" xfId="36984"/>
    <cellStyle name="표준 71" xfId="36985"/>
    <cellStyle name="표준 72" xfId="36986"/>
    <cellStyle name="표준 73" xfId="36987"/>
    <cellStyle name="표준 74" xfId="36988"/>
    <cellStyle name="표준 75" xfId="36989"/>
    <cellStyle name="표준 76" xfId="36990"/>
    <cellStyle name="표준 77" xfId="36991"/>
    <cellStyle name="표준 78" xfId="36992"/>
    <cellStyle name="표준 79" xfId="36993"/>
    <cellStyle name="표준 8" xfId="36994"/>
    <cellStyle name="표준 8 2" xfId="36995"/>
    <cellStyle name="표준 8 2 2" xfId="36996"/>
    <cellStyle name="표준 8 2 3" xfId="36997"/>
    <cellStyle name="표준 8 2 4" xfId="36998"/>
    <cellStyle name="표준 8 2 5" xfId="36999"/>
    <cellStyle name="표준 8 3" xfId="37000"/>
    <cellStyle name="표준 8 3 2" xfId="37001"/>
    <cellStyle name="표준 8 4" xfId="37002"/>
    <cellStyle name="표준 8 4 2" xfId="37003"/>
    <cellStyle name="표준 8 5" xfId="37004"/>
    <cellStyle name="표준 8 5 2" xfId="37005"/>
    <cellStyle name="표준 8 6" xfId="37006"/>
    <cellStyle name="표준 8 7" xfId="37007"/>
    <cellStyle name="표준 80" xfId="37008"/>
    <cellStyle name="표준 81" xfId="37009"/>
    <cellStyle name="표준 82" xfId="37010"/>
    <cellStyle name="표준 83" xfId="37011"/>
    <cellStyle name="표준 84" xfId="37012"/>
    <cellStyle name="표준 85" xfId="37013"/>
    <cellStyle name="표준 86" xfId="37014"/>
    <cellStyle name="표준 9" xfId="37015"/>
    <cellStyle name="표준 9 2" xfId="37016"/>
    <cellStyle name="표준 9 2 2" xfId="37017"/>
    <cellStyle name="표준 9 2 3" xfId="37018"/>
    <cellStyle name="표준 9 3" xfId="37019"/>
    <cellStyle name="표준 9 3 2" xfId="37020"/>
    <cellStyle name="표준 9 4" xfId="37021"/>
    <cellStyle name="표준 9 5" xfId="37022"/>
    <cellStyle name="표준 일정표" xfId="37023"/>
    <cellStyle name="표준 일정표 2" xfId="37024"/>
    <cellStyle name="표준 일정표 2 2" xfId="37025"/>
    <cellStyle name="標準_ Att. 1- Cover" xfId="37026"/>
    <cellStyle name="표준_통합 IO LIST_Rev_99" xfId="37102"/>
    <cellStyle name="퓭닉_3(3.1) (3)_2-3 _sidpecreport" xfId="37027"/>
    <cellStyle name="하이퍼링크 2" xfId="37028"/>
    <cellStyle name="하이퍼링크 3" xfId="37029"/>
    <cellStyle name="하이퍼링크이퍼링크潳" xfId="37030"/>
    <cellStyle name="한경훈" xfId="37031"/>
    <cellStyle name="한경훈 2" xfId="37032"/>
    <cellStyle name="한경훈 2 2" xfId="37033"/>
    <cellStyle name="한경훈 2 2 2" xfId="37034"/>
    <cellStyle name="한경훈 2 2 3" xfId="37035"/>
    <cellStyle name="한경훈 2 2 4" xfId="37036"/>
    <cellStyle name="한경훈 2 3" xfId="37037"/>
    <cellStyle name="한경훈 2 4" xfId="37038"/>
    <cellStyle name="한경훈 2 5" xfId="37039"/>
    <cellStyle name="한경훈 3" xfId="37040"/>
    <cellStyle name="한경훈 3 2" xfId="37041"/>
    <cellStyle name="한경훈 3 3" xfId="37042"/>
    <cellStyle name="한경훈 3 4" xfId="37043"/>
    <cellStyle name="한경훈 4" xfId="37044"/>
    <cellStyle name="한경훈 5" xfId="37045"/>
    <cellStyle name="합산" xfId="37046"/>
    <cellStyle name="합산 2" xfId="37047"/>
    <cellStyle name="합산 3" xfId="37048"/>
    <cellStyle name="합산 4" xfId="37049"/>
    <cellStyle name="桁?切り [0.00]_ITEM" xfId="37050"/>
    <cellStyle name="桁?切り_ITEM" xfId="37051"/>
    <cellStyle name="桁区切り [0.00]_10-17 (2)rd) ne (" xfId="37052"/>
    <cellStyle name="桁区切り_10-17 (2)st (stan" xfId="37053"/>
    <cellStyle name="解释性文本" xfId="37054"/>
    <cellStyle name="解释性文本 2" xfId="37055"/>
    <cellStyle name="解释性文本 2 2" xfId="37056"/>
    <cellStyle name="허윤정" xfId="37057"/>
    <cellStyle name="好" xfId="37058"/>
    <cellStyle name="好 2" xfId="37059"/>
    <cellStyle name="好 2 2" xfId="37060"/>
    <cellStyle name="貨幣 [0]_GARMENT STEP FORM HK" xfId="37061"/>
    <cellStyle name="貨幣_GARMENT STEP FORM HK" xfId="37062"/>
    <cellStyle name="화폐기호" xfId="37063"/>
    <cellStyle name="화폐기호 2" xfId="37064"/>
    <cellStyle name="화폐기호 2 2" xfId="37065"/>
    <cellStyle name="화폐기호 2 2 2" xfId="37066"/>
    <cellStyle name="화폐기호 2 2 3" xfId="37067"/>
    <cellStyle name="화폐기호 2 2 4" xfId="37068"/>
    <cellStyle name="화폐기호 2 3" xfId="37069"/>
    <cellStyle name="화폐기호 2 4" xfId="37070"/>
    <cellStyle name="화폐기호 2 5" xfId="37071"/>
    <cellStyle name="화폐기호 2 6" xfId="37072"/>
    <cellStyle name="화폐기호 2 7" xfId="37073"/>
    <cellStyle name="화폐기호 2 8" xfId="37074"/>
    <cellStyle name="화폐기호 3" xfId="37075"/>
    <cellStyle name="화폐기호 3 2" xfId="37076"/>
    <cellStyle name="화폐기호 3 3" xfId="37077"/>
    <cellStyle name="화폐기호 3 4" xfId="37078"/>
    <cellStyle name="화폐기호 4" xfId="37079"/>
    <cellStyle name="화폐기호 5" xfId="37080"/>
    <cellStyle name="화폐기호0" xfId="37081"/>
    <cellStyle name="화폐기호0 2" xfId="37082"/>
    <cellStyle name="화폐기호0 2 2" xfId="37083"/>
    <cellStyle name="화폐기호0 2 2 2" xfId="37084"/>
    <cellStyle name="화폐기호0 2 2 3" xfId="37085"/>
    <cellStyle name="화폐기호0 2 2 4" xfId="37086"/>
    <cellStyle name="화폐기호0 2 3" xfId="37087"/>
    <cellStyle name="화폐기호0 2 4" xfId="37088"/>
    <cellStyle name="화폐기호0 2 5" xfId="37089"/>
    <cellStyle name="화폐기호0 2 6" xfId="37090"/>
    <cellStyle name="화폐기호0 2 7" xfId="37091"/>
    <cellStyle name="화폐기호0 2 8" xfId="37092"/>
    <cellStyle name="화폐기호0 3" xfId="37093"/>
    <cellStyle name="화폐기호0 3 2" xfId="37094"/>
    <cellStyle name="화폐기호0 3 3" xfId="37095"/>
    <cellStyle name="화폐기호0 3 4" xfId="37096"/>
    <cellStyle name="화폐기호0 4" xfId="37097"/>
    <cellStyle name="화폐기호0 5" xfId="37098"/>
    <cellStyle name="汇总" xfId="37099"/>
    <cellStyle name="汇总 2" xfId="37100"/>
    <cellStyle name="汇总 2 2" xfId="37101"/>
  </cellStyles>
  <dxfs count="7">
    <dxf>
      <fill>
        <patternFill>
          <bgColor theme="8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Z719"/>
  <sheetViews>
    <sheetView tabSelected="1" zoomScaleNormal="100" workbookViewId="0">
      <pane ySplit="1" topLeftCell="A2" activePane="bottomLeft" state="frozen"/>
      <selection activeCell="BE1" sqref="BE1"/>
      <selection pane="bottomLeft" activeCell="K515" sqref="K515"/>
    </sheetView>
  </sheetViews>
  <sheetFormatPr defaultColWidth="9" defaultRowHeight="15.95" customHeight="1" outlineLevelCol="1"/>
  <cols>
    <col min="1" max="1" width="6.375" style="6" customWidth="1"/>
    <col min="2" max="4" width="3.25" style="6" customWidth="1"/>
    <col min="5" max="5" width="10" style="6" customWidth="1"/>
    <col min="6" max="6" width="18.25" style="6" customWidth="1"/>
    <col min="7" max="7" width="4.625" style="6" bestFit="1" customWidth="1"/>
    <col min="8" max="8" width="5" style="6" customWidth="1"/>
    <col min="9" max="9" width="10.875" style="6" customWidth="1"/>
    <col min="10" max="10" width="5" style="6" customWidth="1"/>
    <col min="11" max="11" width="5.375" style="6" customWidth="1"/>
    <col min="12" max="16" width="3.25" style="6" customWidth="1"/>
    <col min="17" max="17" width="9.5" style="6" customWidth="1"/>
    <col min="18" max="18" width="14.25" style="6" customWidth="1"/>
    <col min="19" max="23" width="3.25" style="6" hidden="1" customWidth="1" outlineLevel="1"/>
    <col min="24" max="24" width="12.625" style="6" hidden="1" customWidth="1" outlineLevel="1"/>
    <col min="25" max="25" width="15.125" style="6" customWidth="1" collapsed="1"/>
    <col min="26" max="27" width="6.625" style="6" customWidth="1"/>
    <col min="28" max="32" width="3.25" style="6" customWidth="1"/>
    <col min="33" max="33" width="16" style="6" bestFit="1" customWidth="1"/>
    <col min="34" max="34" width="16.5" style="6" customWidth="1"/>
    <col min="35" max="49" width="3.25" style="8" hidden="1" customWidth="1" outlineLevel="1"/>
    <col min="50" max="50" width="3.875" style="8" hidden="1" customWidth="1" outlineLevel="1"/>
    <col min="51" max="51" width="9.75" style="8" customWidth="1" collapsed="1"/>
    <col min="52" max="52" width="8.375" style="8" customWidth="1"/>
    <col min="53" max="53" width="9" style="13" customWidth="1"/>
    <col min="54" max="57" width="3.875" style="13" customWidth="1"/>
    <col min="58" max="63" width="3.875" style="8" customWidth="1"/>
    <col min="64" max="69" width="3.875" style="8" hidden="1" customWidth="1" outlineLevel="1"/>
    <col min="70" max="70" width="3.875" style="8" customWidth="1" collapsed="1"/>
    <col min="71" max="81" width="3.875" style="8" hidden="1" customWidth="1" outlineLevel="1"/>
    <col min="82" max="82" width="3.875" style="8" customWidth="1" collapsed="1"/>
    <col min="83" max="83" width="3.875" style="8" customWidth="1"/>
    <col min="84" max="84" width="7" style="8" hidden="1" customWidth="1" outlineLevel="1"/>
    <col min="85" max="93" width="3.875" style="8" hidden="1" customWidth="1" outlineLevel="1"/>
    <col min="94" max="94" width="3.875" style="6" customWidth="1" collapsed="1"/>
    <col min="95" max="95" width="7" style="6" customWidth="1"/>
    <col min="96" max="105" width="3.875" style="6" hidden="1" customWidth="1" outlineLevel="1"/>
    <col min="106" max="106" width="5.125" style="6" customWidth="1" collapsed="1"/>
    <col min="107" max="107" width="8.125" style="6" customWidth="1"/>
    <col min="108" max="108" width="4.875" style="6" customWidth="1"/>
    <col min="109" max="111" width="3.875" style="6" customWidth="1"/>
    <col min="112" max="112" width="4.625" style="6" customWidth="1"/>
    <col min="113" max="113" width="3.875" style="6" customWidth="1"/>
    <col min="114" max="114" width="4.125" style="6" customWidth="1"/>
    <col min="115" max="117" width="3.875" style="6" customWidth="1"/>
    <col min="118" max="118" width="6.75" style="6" customWidth="1"/>
    <col min="119" max="119" width="13" style="6" customWidth="1"/>
    <col min="120" max="120" width="6.75" style="6" customWidth="1"/>
    <col min="121" max="121" width="8.375" style="6" customWidth="1"/>
    <col min="122" max="123" width="3.875" style="6" customWidth="1"/>
    <col min="124" max="124" width="30.375" style="6" customWidth="1"/>
    <col min="125" max="125" width="29.75" style="6" customWidth="1"/>
    <col min="126" max="128" width="2.625" style="21" customWidth="1"/>
    <col min="129" max="129" width="2.625" style="22" customWidth="1"/>
    <col min="130" max="130" width="2.625" style="23" customWidth="1"/>
    <col min="131" max="131" width="2.625" style="12" customWidth="1"/>
    <col min="132" max="132" width="2.625" style="6" customWidth="1"/>
    <col min="133" max="133" width="9.375" style="6" customWidth="1"/>
    <col min="134" max="134" width="3.875" style="6" customWidth="1"/>
    <col min="135" max="135" width="7.125" style="6" customWidth="1"/>
    <col min="136" max="136" width="7" style="6" customWidth="1"/>
    <col min="137" max="137" width="9.25" style="6" hidden="1" customWidth="1"/>
    <col min="138" max="138" width="9.75" style="6" customWidth="1"/>
    <col min="139" max="139" width="30" style="6" customWidth="1"/>
    <col min="140" max="140" width="4" style="12" customWidth="1" outlineLevel="1"/>
    <col min="141" max="141" width="7" style="6" customWidth="1" outlineLevel="1"/>
    <col min="142" max="142" width="3.125" style="12" customWidth="1" outlineLevel="1"/>
    <col min="143" max="143" width="8.75" style="6" customWidth="1" outlineLevel="1"/>
    <col min="144" max="144" width="6.125" style="12" customWidth="1" outlineLevel="1"/>
    <col min="145" max="145" width="9.625" style="6" customWidth="1" outlineLevel="1"/>
    <col min="146" max="146" width="16.625" style="6" customWidth="1" outlineLevel="1"/>
    <col min="147" max="147" width="5.375" style="6" customWidth="1" outlineLevel="1"/>
    <col min="148" max="149" width="8.5" style="6" customWidth="1" outlineLevel="1"/>
    <col min="150" max="150" width="10.75" style="6" customWidth="1" outlineLevel="1"/>
    <col min="151" max="151" width="4.875" style="12" customWidth="1" outlineLevel="1"/>
    <col min="152" max="155" width="3.875" style="6" customWidth="1" outlineLevel="1"/>
    <col min="156" max="156" width="7.75" style="6" customWidth="1"/>
    <col min="157" max="158" width="10" style="6" customWidth="1" outlineLevel="1"/>
    <col min="159" max="169" width="3" style="6" customWidth="1" outlineLevel="1"/>
    <col min="170" max="170" width="5.75" style="6" customWidth="1" outlineLevel="1"/>
    <col min="171" max="171" width="5.875" style="11" customWidth="1"/>
    <col min="172" max="172" width="5.5" style="6" customWidth="1"/>
    <col min="173" max="174" width="9" style="6" customWidth="1"/>
    <col min="175" max="176" width="2.625" style="6" bestFit="1" customWidth="1"/>
    <col min="177" max="177" width="12" style="6" customWidth="1"/>
    <col min="178" max="178" width="14.25" style="6" customWidth="1"/>
    <col min="179" max="16384" width="9" style="6"/>
  </cols>
  <sheetData>
    <row r="1" spans="1:182" s="1" customFormat="1" ht="51.75" customHeight="1">
      <c r="A1" s="1" t="s">
        <v>0</v>
      </c>
      <c r="B1" s="15" t="s">
        <v>1</v>
      </c>
      <c r="C1" s="2" t="s">
        <v>2</v>
      </c>
      <c r="D1" s="2" t="s">
        <v>3</v>
      </c>
      <c r="E1" s="15" t="s">
        <v>4</v>
      </c>
      <c r="F1" s="2" t="s">
        <v>5</v>
      </c>
      <c r="G1" s="2" t="s">
        <v>1160</v>
      </c>
      <c r="H1" s="15" t="s">
        <v>6</v>
      </c>
      <c r="I1" s="15"/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100" t="s">
        <v>22</v>
      </c>
      <c r="Z1" s="100" t="s">
        <v>23</v>
      </c>
      <c r="AA1" s="100" t="s">
        <v>24</v>
      </c>
      <c r="AB1" s="2" t="s">
        <v>25</v>
      </c>
      <c r="AC1" s="2" t="s">
        <v>26</v>
      </c>
      <c r="AD1" s="100" t="s">
        <v>27</v>
      </c>
      <c r="AE1" s="100" t="s">
        <v>28</v>
      </c>
      <c r="AF1" s="2" t="s">
        <v>29</v>
      </c>
      <c r="AG1" s="100" t="s">
        <v>30</v>
      </c>
      <c r="AH1" s="100" t="s">
        <v>31</v>
      </c>
      <c r="AI1" s="2" t="s">
        <v>32</v>
      </c>
      <c r="AJ1" s="2" t="s">
        <v>33</v>
      </c>
      <c r="AK1" s="2" t="s">
        <v>34</v>
      </c>
      <c r="AL1" s="2" t="s">
        <v>35</v>
      </c>
      <c r="AM1" s="2" t="s">
        <v>36</v>
      </c>
      <c r="AN1" s="2" t="s">
        <v>37</v>
      </c>
      <c r="AO1" s="2" t="s">
        <v>38</v>
      </c>
      <c r="AP1" s="2" t="s">
        <v>39</v>
      </c>
      <c r="AQ1" s="2" t="s">
        <v>40</v>
      </c>
      <c r="AR1" s="2" t="s">
        <v>41</v>
      </c>
      <c r="AS1" s="2" t="s">
        <v>42</v>
      </c>
      <c r="AT1" s="2" t="s">
        <v>43</v>
      </c>
      <c r="AU1" s="2" t="s">
        <v>44</v>
      </c>
      <c r="AV1" s="2" t="s">
        <v>45</v>
      </c>
      <c r="AW1" s="2" t="s">
        <v>46</v>
      </c>
      <c r="AX1" s="2" t="s">
        <v>47</v>
      </c>
      <c r="AY1" s="15" t="s">
        <v>48</v>
      </c>
      <c r="AZ1" s="15" t="s">
        <v>49</v>
      </c>
      <c r="BA1" s="16" t="s">
        <v>194</v>
      </c>
      <c r="BB1" s="16" t="s">
        <v>50</v>
      </c>
      <c r="BC1" s="16" t="s">
        <v>51</v>
      </c>
      <c r="BD1" s="16" t="s">
        <v>52</v>
      </c>
      <c r="BE1" s="2" t="s">
        <v>53</v>
      </c>
      <c r="BF1" s="2" t="s">
        <v>54</v>
      </c>
      <c r="BG1" s="2" t="s">
        <v>55</v>
      </c>
      <c r="BH1" s="2" t="s">
        <v>56</v>
      </c>
      <c r="BI1" s="2" t="s">
        <v>57</v>
      </c>
      <c r="BJ1" s="2" t="s">
        <v>58</v>
      </c>
      <c r="BK1" s="2" t="s">
        <v>59</v>
      </c>
      <c r="BL1" s="2" t="s">
        <v>60</v>
      </c>
      <c r="BM1" s="2" t="s">
        <v>61</v>
      </c>
      <c r="BN1" s="2" t="s">
        <v>62</v>
      </c>
      <c r="BO1" s="2" t="s">
        <v>63</v>
      </c>
      <c r="BP1" s="2" t="s">
        <v>64</v>
      </c>
      <c r="BQ1" s="2" t="s">
        <v>65</v>
      </c>
      <c r="BR1" s="2" t="s">
        <v>66</v>
      </c>
      <c r="BS1" s="2" t="s">
        <v>67</v>
      </c>
      <c r="BT1" s="2" t="s">
        <v>68</v>
      </c>
      <c r="BU1" s="2" t="s">
        <v>69</v>
      </c>
      <c r="BV1" s="2" t="s">
        <v>70</v>
      </c>
      <c r="BW1" s="2" t="s">
        <v>71</v>
      </c>
      <c r="BX1" s="2" t="s">
        <v>72</v>
      </c>
      <c r="BY1" s="2" t="s">
        <v>73</v>
      </c>
      <c r="BZ1" s="2" t="s">
        <v>74</v>
      </c>
      <c r="CA1" s="2" t="s">
        <v>75</v>
      </c>
      <c r="CB1" s="2" t="s">
        <v>76</v>
      </c>
      <c r="CC1" s="2" t="s">
        <v>77</v>
      </c>
      <c r="CD1" s="2" t="s">
        <v>78</v>
      </c>
      <c r="CE1" s="2" t="s">
        <v>79</v>
      </c>
      <c r="CF1" s="16" t="s">
        <v>80</v>
      </c>
      <c r="CG1" s="2" t="s">
        <v>81</v>
      </c>
      <c r="CH1" s="2" t="s">
        <v>82</v>
      </c>
      <c r="CI1" s="2" t="s">
        <v>83</v>
      </c>
      <c r="CJ1" s="2" t="s">
        <v>84</v>
      </c>
      <c r="CK1" s="2" t="s">
        <v>85</v>
      </c>
      <c r="CL1" s="2" t="s">
        <v>86</v>
      </c>
      <c r="CM1" s="2" t="s">
        <v>87</v>
      </c>
      <c r="CN1" s="2" t="s">
        <v>88</v>
      </c>
      <c r="CO1" s="2" t="s">
        <v>89</v>
      </c>
      <c r="CP1" s="2" t="s">
        <v>90</v>
      </c>
      <c r="CQ1" s="2" t="s">
        <v>91</v>
      </c>
      <c r="CR1" s="2" t="s">
        <v>92</v>
      </c>
      <c r="CS1" s="2" t="s">
        <v>93</v>
      </c>
      <c r="CT1" s="2" t="s">
        <v>94</v>
      </c>
      <c r="CU1" s="2" t="s">
        <v>95</v>
      </c>
      <c r="CV1" s="2" t="s">
        <v>96</v>
      </c>
      <c r="CW1" s="2" t="s">
        <v>97</v>
      </c>
      <c r="CX1" s="2" t="s">
        <v>98</v>
      </c>
      <c r="CY1" s="2" t="s">
        <v>99</v>
      </c>
      <c r="CZ1" s="2" t="s">
        <v>100</v>
      </c>
      <c r="DA1" s="2" t="s">
        <v>101</v>
      </c>
      <c r="DB1" s="2" t="s">
        <v>102</v>
      </c>
      <c r="DC1" s="16" t="s">
        <v>103</v>
      </c>
      <c r="DD1" s="16" t="s">
        <v>104</v>
      </c>
      <c r="DE1" s="2" t="s">
        <v>105</v>
      </c>
      <c r="DF1" s="2" t="s">
        <v>106</v>
      </c>
      <c r="DG1" s="2" t="s">
        <v>107</v>
      </c>
      <c r="DH1" s="16" t="s">
        <v>108</v>
      </c>
      <c r="DI1" s="16" t="s">
        <v>109</v>
      </c>
      <c r="DJ1" s="2" t="s">
        <v>110</v>
      </c>
      <c r="DK1" s="16" t="s">
        <v>111</v>
      </c>
      <c r="DL1" s="16" t="s">
        <v>112</v>
      </c>
      <c r="DM1" s="2" t="s">
        <v>113</v>
      </c>
      <c r="DN1" s="2" t="s">
        <v>114</v>
      </c>
      <c r="DO1" s="16" t="s">
        <v>115</v>
      </c>
      <c r="DP1" s="16" t="s">
        <v>116</v>
      </c>
      <c r="DQ1" s="16" t="s">
        <v>193</v>
      </c>
      <c r="DR1" s="2" t="s">
        <v>117</v>
      </c>
      <c r="DS1" s="16" t="s">
        <v>118</v>
      </c>
      <c r="DT1" s="16" t="s">
        <v>119</v>
      </c>
      <c r="DU1" s="16" t="s">
        <v>120</v>
      </c>
      <c r="DV1" s="17" t="s">
        <v>121</v>
      </c>
      <c r="DW1" s="17" t="s">
        <v>122</v>
      </c>
      <c r="DX1" s="17" t="s">
        <v>123</v>
      </c>
      <c r="DY1" s="17" t="s">
        <v>124</v>
      </c>
      <c r="DZ1" s="18" t="s">
        <v>125</v>
      </c>
      <c r="EA1" s="18" t="s">
        <v>126</v>
      </c>
      <c r="EB1" s="2"/>
      <c r="EC1" s="2"/>
      <c r="ED1" s="16" t="s">
        <v>127</v>
      </c>
      <c r="EE1" s="2" t="s">
        <v>128</v>
      </c>
      <c r="EF1" s="16" t="s">
        <v>129</v>
      </c>
      <c r="EG1" s="2" t="s">
        <v>130</v>
      </c>
      <c r="EH1" s="16" t="s">
        <v>131</v>
      </c>
      <c r="EI1" s="16" t="s">
        <v>132</v>
      </c>
      <c r="EJ1" s="3" t="s">
        <v>133</v>
      </c>
      <c r="EK1" s="2" t="s">
        <v>134</v>
      </c>
      <c r="EL1" s="3" t="s">
        <v>135</v>
      </c>
      <c r="EM1" s="2" t="s">
        <v>136</v>
      </c>
      <c r="EN1" s="3" t="s">
        <v>137</v>
      </c>
      <c r="EO1" s="2" t="s">
        <v>138</v>
      </c>
      <c r="EP1" s="2" t="s">
        <v>139</v>
      </c>
      <c r="EQ1" s="2" t="s">
        <v>1143</v>
      </c>
      <c r="ER1" s="1" t="s">
        <v>1140</v>
      </c>
      <c r="ES1" s="1" t="s">
        <v>1144</v>
      </c>
      <c r="ET1" s="2"/>
      <c r="EU1" s="3" t="s">
        <v>140</v>
      </c>
      <c r="EV1" s="2" t="s">
        <v>141</v>
      </c>
      <c r="EW1" s="2"/>
      <c r="EX1" s="2" t="s">
        <v>142</v>
      </c>
      <c r="EY1" s="2" t="s">
        <v>143</v>
      </c>
      <c r="EZ1" s="2" t="s">
        <v>144</v>
      </c>
      <c r="FA1" s="2" t="s">
        <v>145</v>
      </c>
      <c r="FB1" s="99" t="s">
        <v>1198</v>
      </c>
      <c r="FC1" s="4" t="s">
        <v>146</v>
      </c>
      <c r="FD1" s="4" t="s">
        <v>147</v>
      </c>
      <c r="FE1" s="4" t="s">
        <v>148</v>
      </c>
      <c r="FF1" s="4" t="s">
        <v>149</v>
      </c>
      <c r="FG1" s="4" t="s">
        <v>150</v>
      </c>
      <c r="FH1" s="4" t="s">
        <v>151</v>
      </c>
      <c r="FI1" s="4" t="s">
        <v>152</v>
      </c>
      <c r="FJ1" s="4" t="s">
        <v>153</v>
      </c>
      <c r="FK1" s="4" t="s">
        <v>154</v>
      </c>
      <c r="FL1" s="4" t="s">
        <v>155</v>
      </c>
      <c r="FM1" s="4" t="s">
        <v>156</v>
      </c>
      <c r="FN1" s="2" t="s">
        <v>145</v>
      </c>
      <c r="FO1" s="5" t="s">
        <v>157</v>
      </c>
      <c r="FP1" s="14" t="s">
        <v>158</v>
      </c>
      <c r="FQ1" s="14" t="s">
        <v>159</v>
      </c>
      <c r="FR1" s="14" t="s">
        <v>160</v>
      </c>
      <c r="FS1" s="14" t="s">
        <v>161</v>
      </c>
      <c r="FT1" s="14" t="s">
        <v>162</v>
      </c>
      <c r="FU1" s="14" t="s">
        <v>163</v>
      </c>
      <c r="FV1" s="14" t="s">
        <v>164</v>
      </c>
      <c r="FW1" s="14" t="s">
        <v>165</v>
      </c>
      <c r="FX1" s="14" t="s">
        <v>166</v>
      </c>
      <c r="FY1" s="14" t="s">
        <v>167</v>
      </c>
      <c r="FZ1" s="14" t="s">
        <v>168</v>
      </c>
    </row>
    <row r="2" spans="1:182" ht="15.95" customHeight="1">
      <c r="A2" s="6">
        <v>1</v>
      </c>
      <c r="B2" s="6" t="s">
        <v>175</v>
      </c>
      <c r="E2" s="6" t="s">
        <v>468</v>
      </c>
      <c r="F2" s="6" t="s">
        <v>1217</v>
      </c>
      <c r="G2" s="6" t="s">
        <v>1218</v>
      </c>
      <c r="H2" s="7" t="s">
        <v>1219</v>
      </c>
      <c r="I2" s="7"/>
      <c r="J2" s="6" t="s">
        <v>1200</v>
      </c>
      <c r="K2" s="6" t="s">
        <v>1202</v>
      </c>
      <c r="N2" s="6" t="s">
        <v>1204</v>
      </c>
      <c r="O2" s="6" t="s">
        <v>1206</v>
      </c>
      <c r="R2" s="101" t="s">
        <v>1220</v>
      </c>
      <c r="Y2" s="6" t="s">
        <v>1221</v>
      </c>
      <c r="Z2" s="6">
        <v>7</v>
      </c>
      <c r="AA2" s="6">
        <v>8</v>
      </c>
      <c r="AD2" s="6" t="s">
        <v>1203</v>
      </c>
      <c r="AE2" s="6" t="s">
        <v>1205</v>
      </c>
      <c r="AG2" s="6" t="s">
        <v>1222</v>
      </c>
      <c r="AY2" s="8" t="s">
        <v>176</v>
      </c>
      <c r="AZ2" s="8" t="s">
        <v>195</v>
      </c>
      <c r="BA2" s="8" t="s">
        <v>197</v>
      </c>
      <c r="BB2" s="13" t="s">
        <v>7</v>
      </c>
      <c r="BC2" s="13">
        <v>115</v>
      </c>
      <c r="BD2" s="13">
        <v>116</v>
      </c>
      <c r="DC2" s="6" t="s">
        <v>169</v>
      </c>
      <c r="DD2" s="6" t="s">
        <v>177</v>
      </c>
      <c r="DH2" s="6" t="str">
        <f>"A"&amp;EA2</f>
        <v>A1</v>
      </c>
      <c r="DI2" s="6" t="str">
        <f>"B"&amp;EA2</f>
        <v>B1</v>
      </c>
      <c r="DK2" s="6" t="s">
        <v>173</v>
      </c>
      <c r="DL2" s="6" t="str">
        <f>IF(DZ2&lt;&gt;"","CN2","")</f>
        <v>CN2</v>
      </c>
      <c r="DO2" s="9" t="s">
        <v>170</v>
      </c>
      <c r="DP2" s="6" t="s">
        <v>171</v>
      </c>
      <c r="DQ2" s="6" t="s">
        <v>645</v>
      </c>
      <c r="DS2" s="6" t="str">
        <f t="shared" ref="DS2:DS49" si="0">IF(MID(EF2,2,1)="A","KS1","AKB331")</f>
        <v>KS1</v>
      </c>
      <c r="DT2" s="10" t="str">
        <f t="shared" ref="DT2:DT49" si="1">DQ2&amp;"-"&amp;DX2&amp;"-"&amp;DY2&amp;"/"&amp;BA2&amp;"-"&amp;DD2&amp;"-"&amp;DK2</f>
        <v>FCS0111-1-1/1S–MC–107-F1-CN1</v>
      </c>
      <c r="DU2" s="6" t="str">
        <f t="shared" ref="DU2:DU49" si="2">IF(DL2="","",DQ2&amp;"-"&amp;DX2&amp;"-"&amp;DY2&amp;"/"&amp;BA2&amp;"-"&amp;DD2&amp;"-"&amp;DL2)</f>
        <v>FCS0111-1-1/1S–MC–107-F1-CN2</v>
      </c>
      <c r="DV2" s="19">
        <v>1</v>
      </c>
      <c r="DW2" s="20" t="str">
        <f t="shared" ref="DW2:DW49" si="3">RIGHT(DQ2,2)</f>
        <v>11</v>
      </c>
      <c r="DX2" s="21">
        <v>1</v>
      </c>
      <c r="DY2" s="22">
        <v>1</v>
      </c>
      <c r="DZ2" s="23">
        <v>2</v>
      </c>
      <c r="EA2" s="23">
        <v>1</v>
      </c>
      <c r="EB2" s="6">
        <v>1</v>
      </c>
      <c r="ED2" s="9" t="str">
        <f t="shared" ref="ED2:ED49" si="4">IF(DX2="1","AFV30D","ANB10D")</f>
        <v>ANB10D</v>
      </c>
      <c r="EF2" s="6" t="s">
        <v>172</v>
      </c>
      <c r="EH2" s="6" t="s">
        <v>205</v>
      </c>
      <c r="EI2" s="6" t="s">
        <v>368</v>
      </c>
      <c r="EJ2" s="12">
        <v>6</v>
      </c>
      <c r="EK2" s="12"/>
      <c r="EM2" s="12"/>
      <c r="EN2" s="12" t="s">
        <v>1100</v>
      </c>
      <c r="EO2" s="6" t="s">
        <v>1099</v>
      </c>
      <c r="EP2" s="6" t="s">
        <v>1145</v>
      </c>
      <c r="ER2" s="6" t="s">
        <v>1101</v>
      </c>
      <c r="ET2" s="6" t="str">
        <f>IF(MOD(EU2,2) = 0, "짝수", "홀수")</f>
        <v>홀수</v>
      </c>
      <c r="EU2" s="45">
        <v>1</v>
      </c>
      <c r="EV2" s="45" t="str">
        <f>CHAR(65)</f>
        <v>A</v>
      </c>
      <c r="EW2" s="6">
        <f>IF(EV2="A",65,IF(EV2="B",66,IF(EV2="C",67,68)))</f>
        <v>65</v>
      </c>
      <c r="FR2" s="6">
        <v>1</v>
      </c>
      <c r="FS2" s="6">
        <v>1</v>
      </c>
      <c r="FT2" s="6">
        <v>1</v>
      </c>
      <c r="FU2" s="6">
        <v>1</v>
      </c>
      <c r="FV2" s="6">
        <v>1</v>
      </c>
      <c r="FW2" s="6">
        <v>1</v>
      </c>
      <c r="FX2" s="6">
        <v>1</v>
      </c>
      <c r="FY2" s="6">
        <v>1</v>
      </c>
      <c r="FZ2" s="6">
        <v>1</v>
      </c>
    </row>
    <row r="3" spans="1:182" ht="15.95" customHeight="1">
      <c r="A3" s="6">
        <v>443</v>
      </c>
      <c r="B3" s="6" t="s">
        <v>175</v>
      </c>
      <c r="E3" s="6" t="s">
        <v>552</v>
      </c>
      <c r="F3" s="6" t="s">
        <v>1223</v>
      </c>
      <c r="G3" s="6" t="s">
        <v>1218</v>
      </c>
      <c r="H3" s="7" t="s">
        <v>1219</v>
      </c>
      <c r="I3" s="7"/>
      <c r="J3" s="6" t="s">
        <v>1199</v>
      </c>
      <c r="K3" s="6" t="s">
        <v>1201</v>
      </c>
      <c r="N3" s="6" t="s">
        <v>1203</v>
      </c>
      <c r="O3" s="6" t="s">
        <v>1205</v>
      </c>
      <c r="R3" s="101" t="s">
        <v>1220</v>
      </c>
      <c r="Y3" s="6" t="s">
        <v>1221</v>
      </c>
      <c r="Z3" s="6">
        <v>9</v>
      </c>
      <c r="AA3" s="6">
        <v>10</v>
      </c>
      <c r="AD3" s="6" t="s">
        <v>1203</v>
      </c>
      <c r="AE3" s="6" t="s">
        <v>1205</v>
      </c>
      <c r="AG3" s="6" t="s">
        <v>1222</v>
      </c>
      <c r="AY3" s="8" t="s">
        <v>176</v>
      </c>
      <c r="AZ3" s="8" t="s">
        <v>195</v>
      </c>
      <c r="BA3" s="13" t="s">
        <v>197</v>
      </c>
      <c r="BB3" s="13" t="s">
        <v>7</v>
      </c>
      <c r="BC3" s="13">
        <v>117</v>
      </c>
      <c r="BD3" s="13">
        <v>118</v>
      </c>
      <c r="DC3" s="6" t="s">
        <v>169</v>
      </c>
      <c r="DD3" s="6" t="s">
        <v>182</v>
      </c>
      <c r="DH3" s="6" t="str">
        <f>"A"&amp;EA3</f>
        <v>A11</v>
      </c>
      <c r="DI3" s="6" t="str">
        <f>"B"&amp;EA3</f>
        <v>B11</v>
      </c>
      <c r="DK3" s="6" t="s">
        <v>173</v>
      </c>
      <c r="DL3" s="6" t="str">
        <f>IF(DZ3&lt;&gt;"","CN2","")</f>
        <v/>
      </c>
      <c r="DO3" s="9" t="s">
        <v>170</v>
      </c>
      <c r="DP3" s="6" t="s">
        <v>171</v>
      </c>
      <c r="DQ3" s="6" t="s">
        <v>645</v>
      </c>
      <c r="DS3" s="6" t="str">
        <f>IF(MID(EF3,2,1)="A","KS1","AKB331")</f>
        <v>KS1</v>
      </c>
      <c r="DT3" s="10" t="str">
        <f>DQ3&amp;"-"&amp;DX3&amp;"-"&amp;DY3&amp;"/"&amp;BA3&amp;"-"&amp;DD3&amp;"-"&amp;DK3</f>
        <v>FCS0111-5-1/1S–MC–107-F11-CN1</v>
      </c>
      <c r="DU3" s="6" t="str">
        <f>IF(DL3="","",DQ3&amp;"-"&amp;DX3&amp;"-"&amp;DY3&amp;"/"&amp;BA3&amp;"-"&amp;DD3&amp;"-"&amp;DL3)</f>
        <v/>
      </c>
      <c r="DV3" s="19">
        <v>1</v>
      </c>
      <c r="DW3" s="20" t="str">
        <f>RIGHT(DQ3,2)</f>
        <v>11</v>
      </c>
      <c r="DX3" s="21">
        <v>5</v>
      </c>
      <c r="DY3" s="22">
        <v>1</v>
      </c>
      <c r="DZ3" s="23" t="s">
        <v>204</v>
      </c>
      <c r="EA3" s="23">
        <v>11</v>
      </c>
      <c r="ED3" s="9" t="str">
        <f>IF(DX3="1","AFV30D","ANB10D")</f>
        <v>ANB10D</v>
      </c>
      <c r="EF3" s="6" t="s">
        <v>172</v>
      </c>
      <c r="EH3" s="6" t="s">
        <v>284</v>
      </c>
      <c r="EI3" s="6" t="s">
        <v>368</v>
      </c>
      <c r="EJ3" s="12">
        <v>6</v>
      </c>
      <c r="EK3" s="12"/>
      <c r="EM3" s="12"/>
      <c r="EN3" s="12" t="s">
        <v>1100</v>
      </c>
      <c r="EP3" s="6" t="s">
        <v>1146</v>
      </c>
      <c r="ET3" s="6" t="str">
        <f t="shared" ref="ET3:ET65" si="5">IF(MOD(EU3,2) = 0, "짝수", "홀수")</f>
        <v>홀수</v>
      </c>
      <c r="EU3" s="12">
        <v>1</v>
      </c>
      <c r="EV3" s="45" t="str">
        <f ca="1">IF(EU3=OFFSET(EU3,-1,0),CHAR(EW2+1),EV2)</f>
        <v>B</v>
      </c>
      <c r="EW3" s="6">
        <f t="shared" ref="EW3:EW65" ca="1" si="6">IF(EV3="A",65,IF(EV3="B",66,IF(EV3="C",67,68)))</f>
        <v>66</v>
      </c>
      <c r="FR3" s="6">
        <v>1</v>
      </c>
      <c r="FS3" s="6" t="str">
        <f t="shared" ref="FS3:FS66" si="7">IF(OR(DC3="A1BA4D",DC3="A1BD5D"),"",1)</f>
        <v/>
      </c>
      <c r="FT3" s="6" t="str">
        <f t="shared" ref="FT3:FT66" si="8">IF(OR(DC3="A1BA4D",DC3="ARM55D"),"",1)</f>
        <v/>
      </c>
      <c r="FU3" s="6" t="str">
        <f ca="1">IF(AND(FS3="",OFFSET(FS3,0,1)="",DC3="A1BA4D"),"",IF(DC3="A1BD5D","",DD3&amp;"-11"))</f>
        <v/>
      </c>
      <c r="FV3" s="6" t="str">
        <f t="shared" ref="FV3:FV66" ca="1" si="9">IF(AND(FS3="",OFFSET(FS3,0,1)="",DC3="A1BA4D"),"",IF(DC3="A1BD5D","",DD3&amp;"-12"))</f>
        <v/>
      </c>
      <c r="FW3" s="6" t="str">
        <f t="shared" ref="FW3:FW34" ca="1" si="10">IF(AND(FT3=1,FU3=""),DD3&amp;"-11",IF(AND(FT3=1,FU3&lt;&gt;""),DD3&amp;"-21",""))</f>
        <v/>
      </c>
      <c r="FX3" s="6" t="str">
        <f t="shared" ref="FX3:FX34" ca="1" si="11">IF(AND(FT3=1,FU3=""),DD3&amp;"-12",IF(AND(FT3=1,FU3&lt;&gt;""),DD3&amp;"-22",""))</f>
        <v/>
      </c>
      <c r="FY3" s="6" t="str">
        <f t="shared" ref="FY3:FY34" ca="1" si="12">IF(AND(FS3="",OFFSET(FS3,0,1)="",DC3="A1BA4D"),"",IF(DC3="A1BD5D",LEFT(FW3,3)&amp;"21",FW3))</f>
        <v/>
      </c>
      <c r="FZ3" s="6" t="str">
        <f t="shared" ref="FZ3:FZ34" ca="1" si="13" xml:space="preserve">
IF(AND(FS3="",OFFSET(FS3,0,1)="",DC3="A1BA4D"),"",IF(DC3="A1BD5D",LEFT(FW3,3)&amp;"22",FW3))</f>
        <v/>
      </c>
    </row>
    <row r="4" spans="1:182" ht="15.95" customHeight="1">
      <c r="A4" s="6">
        <v>2</v>
      </c>
      <c r="B4" s="6" t="s">
        <v>175</v>
      </c>
      <c r="E4" s="6" t="s">
        <v>469</v>
      </c>
      <c r="F4" s="6" t="s">
        <v>1224</v>
      </c>
      <c r="G4" s="6" t="s">
        <v>1218</v>
      </c>
      <c r="H4" s="7" t="s">
        <v>1219</v>
      </c>
      <c r="I4" s="7"/>
      <c r="J4" s="6" t="s">
        <v>1199</v>
      </c>
      <c r="K4" s="6" t="s">
        <v>1201</v>
      </c>
      <c r="N4" s="6" t="s">
        <v>1203</v>
      </c>
      <c r="O4" s="6" t="s">
        <v>1205</v>
      </c>
      <c r="R4" s="101" t="s">
        <v>1220</v>
      </c>
      <c r="Y4" s="6" t="s">
        <v>1221</v>
      </c>
      <c r="Z4" s="6">
        <v>11</v>
      </c>
      <c r="AA4" s="6">
        <v>12</v>
      </c>
      <c r="AD4" s="6" t="s">
        <v>1203</v>
      </c>
      <c r="AE4" s="6" t="s">
        <v>1205</v>
      </c>
      <c r="AG4" s="6" t="s">
        <v>1222</v>
      </c>
      <c r="AY4" s="8" t="s">
        <v>176</v>
      </c>
      <c r="AZ4" s="8" t="s">
        <v>195</v>
      </c>
      <c r="BA4" s="13" t="s">
        <v>197</v>
      </c>
      <c r="BB4" s="13" t="s">
        <v>7</v>
      </c>
      <c r="BC4" s="13">
        <v>119</v>
      </c>
      <c r="BD4" s="13">
        <v>120</v>
      </c>
      <c r="DC4" s="6" t="s">
        <v>169</v>
      </c>
      <c r="DD4" s="6" t="s">
        <v>177</v>
      </c>
      <c r="DH4" s="6" t="str">
        <f>"A"&amp;EA4</f>
        <v>A2</v>
      </c>
      <c r="DI4" s="6" t="str">
        <f>"B"&amp;EA4</f>
        <v>B2</v>
      </c>
      <c r="DK4" s="6" t="s">
        <v>173</v>
      </c>
      <c r="DL4" s="6" t="str">
        <f>IF(DZ4&lt;&gt;"","CN2","")</f>
        <v>CN2</v>
      </c>
      <c r="DO4" s="9" t="s">
        <v>170</v>
      </c>
      <c r="DP4" s="6" t="s">
        <v>171</v>
      </c>
      <c r="DQ4" s="6" t="s">
        <v>645</v>
      </c>
      <c r="DS4" s="6" t="str">
        <f>IF(MID(EF4,2,1)="A","KS1","AKB331")</f>
        <v>KS1</v>
      </c>
      <c r="DT4" s="10" t="str">
        <f>DQ4&amp;"-"&amp;DX4&amp;"-"&amp;DY4&amp;"/"&amp;BA4&amp;"-"&amp;DD4&amp;"-"&amp;DK4</f>
        <v>FCS0111-1-1/1S–MC–107-F1-CN1</v>
      </c>
      <c r="DU4" s="6" t="str">
        <f>IF(DL4="","",DQ4&amp;"-"&amp;DX4&amp;"-"&amp;DY4&amp;"/"&amp;BA4&amp;"-"&amp;DD4&amp;"-"&amp;DL4)</f>
        <v>FCS0111-1-1/1S–MC–107-F1-CN2</v>
      </c>
      <c r="DV4" s="19">
        <v>1</v>
      </c>
      <c r="DW4" s="20" t="str">
        <f>RIGHT(DQ4,2)</f>
        <v>11</v>
      </c>
      <c r="DX4" s="21">
        <v>1</v>
      </c>
      <c r="DY4" s="22">
        <v>1</v>
      </c>
      <c r="DZ4" s="23">
        <v>2</v>
      </c>
      <c r="EA4" s="23">
        <v>2</v>
      </c>
      <c r="ED4" s="9" t="str">
        <f>IF(DX4="1","AFV30D","ANB10D")</f>
        <v>ANB10D</v>
      </c>
      <c r="EF4" s="6" t="s">
        <v>172</v>
      </c>
      <c r="EH4" s="6" t="s">
        <v>206</v>
      </c>
      <c r="EI4" s="6" t="s">
        <v>369</v>
      </c>
      <c r="EJ4" s="12">
        <v>300</v>
      </c>
      <c r="EK4" s="12"/>
      <c r="EM4" s="12"/>
      <c r="EN4" s="12" t="s">
        <v>1103</v>
      </c>
      <c r="EP4" s="6" t="s">
        <v>1147</v>
      </c>
      <c r="ET4" s="6" t="str">
        <f t="shared" si="5"/>
        <v>홀수</v>
      </c>
      <c r="EU4" s="12">
        <v>1</v>
      </c>
      <c r="EV4" s="45" t="str">
        <f t="shared" ref="EV4:EV5" ca="1" si="14">IF(EU4=OFFSET(EU4,-1,0),CHAR(EW3+1),EV3)</f>
        <v>C</v>
      </c>
      <c r="EW4" s="6">
        <f t="shared" ca="1" si="6"/>
        <v>67</v>
      </c>
      <c r="FR4" s="6">
        <v>1</v>
      </c>
      <c r="FS4" s="6" t="str">
        <f t="shared" si="7"/>
        <v/>
      </c>
      <c r="FT4" s="6" t="str">
        <f t="shared" si="8"/>
        <v/>
      </c>
      <c r="FU4" s="6" t="str">
        <f ca="1">IF(AND(FS4="",OFFSET(FS4,0,1)="",DC4="A1BA4D"),"",IF(DC4="A1BD5D","",DD4&amp;"-11"))</f>
        <v/>
      </c>
      <c r="FV4" s="6" t="str">
        <f t="shared" ca="1" si="9"/>
        <v/>
      </c>
      <c r="FW4" s="6" t="str">
        <f t="shared" ca="1" si="10"/>
        <v/>
      </c>
      <c r="FX4" s="6" t="str">
        <f t="shared" ca="1" si="11"/>
        <v/>
      </c>
      <c r="FY4" s="6" t="str">
        <f t="shared" ca="1" si="12"/>
        <v/>
      </c>
      <c r="FZ4" s="6" t="str">
        <f t="shared" ca="1" si="13"/>
        <v/>
      </c>
    </row>
    <row r="5" spans="1:182" ht="15.95" customHeight="1">
      <c r="A5" s="6">
        <v>17</v>
      </c>
      <c r="B5" s="6" t="s">
        <v>175</v>
      </c>
      <c r="E5" s="6" t="s">
        <v>483</v>
      </c>
      <c r="F5" s="6" t="s">
        <v>1225</v>
      </c>
      <c r="G5" s="6" t="s">
        <v>1226</v>
      </c>
      <c r="H5" s="7" t="s">
        <v>1227</v>
      </c>
      <c r="I5" s="7"/>
      <c r="J5" s="6" t="s">
        <v>1199</v>
      </c>
      <c r="K5" s="6" t="s">
        <v>1201</v>
      </c>
      <c r="N5" s="6" t="s">
        <v>1203</v>
      </c>
      <c r="O5" s="6" t="s">
        <v>1205</v>
      </c>
      <c r="R5" s="101" t="s">
        <v>1220</v>
      </c>
      <c r="Y5" s="6" t="s">
        <v>1228</v>
      </c>
      <c r="Z5" s="6">
        <v>5</v>
      </c>
      <c r="AA5" s="6">
        <v>6</v>
      </c>
      <c r="AD5" s="6" t="s">
        <v>1203</v>
      </c>
      <c r="AE5" s="6" t="s">
        <v>1205</v>
      </c>
      <c r="AG5" s="6" t="s">
        <v>1229</v>
      </c>
      <c r="AY5" s="8" t="s">
        <v>176</v>
      </c>
      <c r="AZ5" s="8" t="s">
        <v>195</v>
      </c>
      <c r="BA5" s="13" t="s">
        <v>197</v>
      </c>
      <c r="BB5" s="13" t="s">
        <v>8</v>
      </c>
      <c r="BC5" s="13">
        <v>101</v>
      </c>
      <c r="BD5" s="13">
        <v>102</v>
      </c>
      <c r="DC5" s="6" t="s">
        <v>169</v>
      </c>
      <c r="DD5" s="6" t="s">
        <v>201</v>
      </c>
      <c r="DH5" s="6" t="str">
        <f>"A"&amp;EA5</f>
        <v>A1</v>
      </c>
      <c r="DI5" s="6" t="str">
        <f>"B"&amp;EA5</f>
        <v>B1</v>
      </c>
      <c r="DK5" s="6" t="s">
        <v>173</v>
      </c>
      <c r="DL5" s="6" t="str">
        <f>IF(DZ5&lt;&gt;"","CN2","")</f>
        <v>CN2</v>
      </c>
      <c r="DO5" s="9" t="s">
        <v>170</v>
      </c>
      <c r="DP5" s="6" t="s">
        <v>171</v>
      </c>
      <c r="DQ5" s="6" t="s">
        <v>645</v>
      </c>
      <c r="DS5" s="6" t="str">
        <f>IF(MID(EF5,2,1)="A","KS1","AKB331")</f>
        <v>KS1</v>
      </c>
      <c r="DT5" s="10" t="str">
        <f>DQ5&amp;"-"&amp;DX5&amp;"-"&amp;DY5&amp;"/"&amp;BA5&amp;"-"&amp;DD5&amp;"-"&amp;DK5</f>
        <v>FCS0111-1-3/1S–MC–107-F2-CN1</v>
      </c>
      <c r="DU5" s="6" t="str">
        <f>IF(DL5="","",DQ5&amp;"-"&amp;DX5&amp;"-"&amp;DY5&amp;"/"&amp;BA5&amp;"-"&amp;DD5&amp;"-"&amp;DL5)</f>
        <v>FCS0111-1-3/1S–MC–107-F2-CN2</v>
      </c>
      <c r="DV5" s="19">
        <v>1</v>
      </c>
      <c r="DW5" s="20" t="str">
        <f>RIGHT(DQ5,2)</f>
        <v>11</v>
      </c>
      <c r="DX5" s="21">
        <v>1</v>
      </c>
      <c r="DY5" s="22">
        <v>3</v>
      </c>
      <c r="DZ5" s="23">
        <v>4</v>
      </c>
      <c r="EA5" s="23">
        <v>1</v>
      </c>
      <c r="ED5" s="9" t="str">
        <f>IF(DX5="1","AFV30D","ANB10D")</f>
        <v>ANB10D</v>
      </c>
      <c r="EF5" s="6" t="s">
        <v>174</v>
      </c>
      <c r="EH5" s="6" t="s">
        <v>206</v>
      </c>
      <c r="EI5" s="6" t="s">
        <v>382</v>
      </c>
      <c r="EJ5" s="12">
        <v>300</v>
      </c>
      <c r="EN5" s="12" t="s">
        <v>1103</v>
      </c>
      <c r="ET5" s="6" t="str">
        <f t="shared" si="5"/>
        <v>홀수</v>
      </c>
      <c r="EU5" s="12">
        <v>1</v>
      </c>
      <c r="EV5" s="45" t="str">
        <f t="shared" ca="1" si="14"/>
        <v>D</v>
      </c>
      <c r="EW5" s="6">
        <f t="shared" ca="1" si="6"/>
        <v>68</v>
      </c>
      <c r="FR5" s="6">
        <v>1</v>
      </c>
      <c r="FS5" s="6" t="str">
        <f t="shared" si="7"/>
        <v/>
      </c>
      <c r="FT5" s="6" t="str">
        <f t="shared" si="8"/>
        <v/>
      </c>
      <c r="FU5" s="6" t="str">
        <f ca="1">IF(AND(FS5="",OFFSET(FS5,0,1)="",DC5="A1BA4D"),"",IF(DC5="A1BD5D","",DD5&amp;"-11"))</f>
        <v/>
      </c>
      <c r="FV5" s="6" t="str">
        <f t="shared" ca="1" si="9"/>
        <v/>
      </c>
      <c r="FW5" s="6" t="str">
        <f t="shared" ca="1" si="10"/>
        <v/>
      </c>
      <c r="FX5" s="6" t="str">
        <f t="shared" ca="1" si="11"/>
        <v/>
      </c>
      <c r="FY5" s="6" t="str">
        <f t="shared" ca="1" si="12"/>
        <v/>
      </c>
      <c r="FZ5" s="6" t="str">
        <f t="shared" ca="1" si="13"/>
        <v/>
      </c>
    </row>
    <row r="6" spans="1:182" ht="15.95" customHeight="1">
      <c r="A6" s="6">
        <v>3</v>
      </c>
      <c r="B6" s="6" t="s">
        <v>175</v>
      </c>
      <c r="E6" s="6" t="s">
        <v>470</v>
      </c>
      <c r="F6" s="6" t="s">
        <v>1230</v>
      </c>
      <c r="G6" s="6" t="s">
        <v>1218</v>
      </c>
      <c r="H6" s="7" t="s">
        <v>1219</v>
      </c>
      <c r="I6" s="7"/>
      <c r="J6" s="6" t="s">
        <v>1199</v>
      </c>
      <c r="K6" s="6" t="s">
        <v>1201</v>
      </c>
      <c r="N6" s="6" t="s">
        <v>1203</v>
      </c>
      <c r="O6" s="6" t="s">
        <v>1205</v>
      </c>
      <c r="R6" s="101" t="s">
        <v>1220</v>
      </c>
      <c r="Y6" s="6" t="s">
        <v>1228</v>
      </c>
      <c r="Z6" s="6">
        <v>7</v>
      </c>
      <c r="AA6" s="6">
        <v>8</v>
      </c>
      <c r="AD6" s="6" t="s">
        <v>1203</v>
      </c>
      <c r="AE6" s="6" t="s">
        <v>1205</v>
      </c>
      <c r="AG6" s="6" t="s">
        <v>1229</v>
      </c>
      <c r="AY6" s="8" t="s">
        <v>176</v>
      </c>
      <c r="AZ6" s="8" t="s">
        <v>195</v>
      </c>
      <c r="BA6" s="13" t="s">
        <v>197</v>
      </c>
      <c r="BB6" s="13" t="s">
        <v>8</v>
      </c>
      <c r="BC6" s="13">
        <v>103</v>
      </c>
      <c r="BD6" s="13">
        <v>104</v>
      </c>
      <c r="DC6" s="6" t="s">
        <v>169</v>
      </c>
      <c r="DD6" s="6" t="s">
        <v>177</v>
      </c>
      <c r="DH6" s="6" t="str">
        <f t="shared" ref="DH6:DH49" si="15">"A"&amp;EA6</f>
        <v>A3</v>
      </c>
      <c r="DI6" s="6" t="str">
        <f t="shared" ref="DI6:DI49" si="16">"B"&amp;EA6</f>
        <v>B3</v>
      </c>
      <c r="DK6" s="6" t="s">
        <v>173</v>
      </c>
      <c r="DL6" s="6" t="str">
        <f t="shared" ref="DL6:DL49" si="17">IF(DZ6&lt;&gt;"","CN2","")</f>
        <v>CN2</v>
      </c>
      <c r="DO6" s="9" t="s">
        <v>170</v>
      </c>
      <c r="DP6" s="6" t="s">
        <v>171</v>
      </c>
      <c r="DQ6" s="6" t="s">
        <v>645</v>
      </c>
      <c r="DS6" s="6" t="str">
        <f t="shared" si="0"/>
        <v>KS1</v>
      </c>
      <c r="DT6" s="10" t="str">
        <f t="shared" si="1"/>
        <v>FCS0111-1-1/1S–MC–107-F1-CN1</v>
      </c>
      <c r="DU6" s="6" t="str">
        <f t="shared" si="2"/>
        <v>FCS0111-1-1/1S–MC–107-F1-CN2</v>
      </c>
      <c r="DV6" s="19">
        <v>1</v>
      </c>
      <c r="DW6" s="20" t="str">
        <f t="shared" si="3"/>
        <v>11</v>
      </c>
      <c r="DX6" s="21">
        <v>1</v>
      </c>
      <c r="DY6" s="22">
        <v>1</v>
      </c>
      <c r="DZ6" s="23">
        <v>2</v>
      </c>
      <c r="EA6" s="23">
        <v>3</v>
      </c>
      <c r="ED6" s="9" t="str">
        <f t="shared" si="4"/>
        <v>ANB10D</v>
      </c>
      <c r="EF6" s="6" t="s">
        <v>172</v>
      </c>
      <c r="EH6" s="6" t="s">
        <v>207</v>
      </c>
      <c r="EI6" s="6" t="s">
        <v>370</v>
      </c>
      <c r="EJ6" s="12">
        <v>100</v>
      </c>
      <c r="EN6" s="12" t="s">
        <v>1100</v>
      </c>
      <c r="EP6" s="6" t="s">
        <v>1148</v>
      </c>
      <c r="ET6" s="6" t="str">
        <f t="shared" si="5"/>
        <v>짝수</v>
      </c>
      <c r="EU6" s="12">
        <v>2</v>
      </c>
      <c r="EV6" s="45" t="str">
        <f ca="1">IF(EU6=OFFSET(EU6,-1,0),CHAR(EW5+1),"A")</f>
        <v>A</v>
      </c>
      <c r="EW6" s="6">
        <f t="shared" ca="1" si="6"/>
        <v>65</v>
      </c>
      <c r="FR6" s="6">
        <v>1</v>
      </c>
      <c r="FS6" s="6" t="str">
        <f t="shared" si="7"/>
        <v/>
      </c>
      <c r="FT6" s="6" t="str">
        <f t="shared" si="8"/>
        <v/>
      </c>
      <c r="FU6" s="6" t="str">
        <f ca="1">IF(AND(FS6="",OFFSET(FS6,0,1)="",DC6="A1BA4D"),"",IF(DC6="A1BD5D","",DD6&amp;"-11"))</f>
        <v/>
      </c>
      <c r="FV6" s="6" t="str">
        <f t="shared" ca="1" si="9"/>
        <v/>
      </c>
      <c r="FW6" s="6" t="str">
        <f t="shared" ca="1" si="10"/>
        <v/>
      </c>
      <c r="FX6" s="6" t="str">
        <f t="shared" ca="1" si="11"/>
        <v/>
      </c>
      <c r="FY6" s="6" t="str">
        <f t="shared" ca="1" si="12"/>
        <v/>
      </c>
      <c r="FZ6" s="6" t="str">
        <f t="shared" ca="1" si="13"/>
        <v/>
      </c>
    </row>
    <row r="7" spans="1:182" ht="15.95" customHeight="1">
      <c r="A7" s="6">
        <v>4</v>
      </c>
      <c r="B7" s="6" t="s">
        <v>175</v>
      </c>
      <c r="E7" s="6" t="s">
        <v>471</v>
      </c>
      <c r="F7" s="6" t="s">
        <v>1231</v>
      </c>
      <c r="G7" s="6" t="s">
        <v>1218</v>
      </c>
      <c r="H7" s="7" t="s">
        <v>1219</v>
      </c>
      <c r="I7" s="7"/>
      <c r="J7" s="6" t="s">
        <v>1199</v>
      </c>
      <c r="K7" s="6" t="s">
        <v>1201</v>
      </c>
      <c r="N7" s="6" t="s">
        <v>1203</v>
      </c>
      <c r="O7" s="6" t="s">
        <v>1205</v>
      </c>
      <c r="R7" s="101" t="s">
        <v>1220</v>
      </c>
      <c r="Y7" s="6" t="s">
        <v>1232</v>
      </c>
      <c r="Z7" s="6">
        <v>1</v>
      </c>
      <c r="AA7" s="6">
        <v>2</v>
      </c>
      <c r="AD7" s="6" t="s">
        <v>1203</v>
      </c>
      <c r="AE7" s="6" t="s">
        <v>1205</v>
      </c>
      <c r="AG7" s="6" t="s">
        <v>1233</v>
      </c>
      <c r="AY7" s="8" t="s">
        <v>176</v>
      </c>
      <c r="AZ7" s="8" t="s">
        <v>195</v>
      </c>
      <c r="BA7" s="13" t="s">
        <v>197</v>
      </c>
      <c r="BB7" s="13" t="s">
        <v>8</v>
      </c>
      <c r="BC7" s="13">
        <v>123</v>
      </c>
      <c r="BD7" s="13">
        <v>124</v>
      </c>
      <c r="DC7" s="6" t="s">
        <v>169</v>
      </c>
      <c r="DD7" s="6" t="s">
        <v>177</v>
      </c>
      <c r="DH7" s="6" t="str">
        <f>"A"&amp;EA7</f>
        <v>A4</v>
      </c>
      <c r="DI7" s="6" t="str">
        <f>"B"&amp;EA7</f>
        <v>B4</v>
      </c>
      <c r="DK7" s="6" t="s">
        <v>173</v>
      </c>
      <c r="DL7" s="6" t="str">
        <f>IF(DZ7&lt;&gt;"","CN2","")</f>
        <v>CN2</v>
      </c>
      <c r="DO7" s="9" t="s">
        <v>170</v>
      </c>
      <c r="DP7" s="6" t="s">
        <v>171</v>
      </c>
      <c r="DQ7" s="6" t="s">
        <v>645</v>
      </c>
      <c r="DS7" s="6" t="str">
        <f>IF(MID(EF7,2,1)="A","KS1","AKB331")</f>
        <v>KS1</v>
      </c>
      <c r="DT7" s="10" t="str">
        <f>DQ7&amp;"-"&amp;DX7&amp;"-"&amp;DY7&amp;"/"&amp;BA7&amp;"-"&amp;DD7&amp;"-"&amp;DK7</f>
        <v>FCS0111-1-1/1S–MC–107-F1-CN1</v>
      </c>
      <c r="DU7" s="6" t="str">
        <f>IF(DL7="","",DQ7&amp;"-"&amp;DX7&amp;"-"&amp;DY7&amp;"/"&amp;BA7&amp;"-"&amp;DD7&amp;"-"&amp;DL7)</f>
        <v>FCS0111-1-1/1S–MC–107-F1-CN2</v>
      </c>
      <c r="DV7" s="19">
        <v>1</v>
      </c>
      <c r="DW7" s="20" t="str">
        <f>RIGHT(DQ7,2)</f>
        <v>11</v>
      </c>
      <c r="DX7" s="21">
        <v>1</v>
      </c>
      <c r="DY7" s="22">
        <v>1</v>
      </c>
      <c r="DZ7" s="23">
        <v>2</v>
      </c>
      <c r="EA7" s="23">
        <v>4</v>
      </c>
      <c r="ED7" s="9" t="str">
        <f>IF(DX7="1","AFV30D","ANB10D")</f>
        <v>ANB10D</v>
      </c>
      <c r="EF7" s="6" t="s">
        <v>172</v>
      </c>
      <c r="EH7" s="6" t="s">
        <v>1104</v>
      </c>
      <c r="EI7" s="6" t="s">
        <v>1050</v>
      </c>
      <c r="EJ7" s="12">
        <v>300</v>
      </c>
      <c r="EN7" s="12" t="s">
        <v>1103</v>
      </c>
      <c r="EP7" s="6" t="s">
        <v>1147</v>
      </c>
      <c r="ET7" s="6" t="str">
        <f t="shared" si="5"/>
        <v>짝수</v>
      </c>
      <c r="EU7" s="12">
        <v>2</v>
      </c>
      <c r="EV7" s="45" t="str">
        <f t="shared" ref="EV7:EV70" ca="1" si="18">IF(EU7=OFFSET(EU7,-1,0),CHAR(EW6+1),"A")</f>
        <v>B</v>
      </c>
      <c r="EW7" s="6">
        <f t="shared" ca="1" si="6"/>
        <v>66</v>
      </c>
      <c r="FR7" s="6">
        <v>1</v>
      </c>
      <c r="FS7" s="6" t="str">
        <f t="shared" si="7"/>
        <v/>
      </c>
      <c r="FT7" s="6" t="str">
        <f t="shared" si="8"/>
        <v/>
      </c>
      <c r="FV7" s="6" t="str">
        <f t="shared" ca="1" si="9"/>
        <v/>
      </c>
      <c r="FW7" s="6" t="str">
        <f t="shared" si="10"/>
        <v/>
      </c>
      <c r="FX7" s="6" t="str">
        <f t="shared" si="11"/>
        <v/>
      </c>
      <c r="FY7" s="6" t="str">
        <f t="shared" ca="1" si="12"/>
        <v/>
      </c>
      <c r="FZ7" s="6" t="str">
        <f t="shared" ca="1" si="13"/>
        <v/>
      </c>
    </row>
    <row r="8" spans="1:182" ht="15.95" customHeight="1">
      <c r="A8" s="6">
        <v>18</v>
      </c>
      <c r="B8" s="6" t="s">
        <v>175</v>
      </c>
      <c r="E8" s="6" t="s">
        <v>484</v>
      </c>
      <c r="F8" s="6" t="s">
        <v>1234</v>
      </c>
      <c r="G8" s="6" t="s">
        <v>1226</v>
      </c>
      <c r="H8" s="7" t="s">
        <v>1227</v>
      </c>
      <c r="I8" s="7"/>
      <c r="J8" s="6" t="s">
        <v>1199</v>
      </c>
      <c r="K8" s="6" t="s">
        <v>1201</v>
      </c>
      <c r="N8" s="6" t="s">
        <v>1203</v>
      </c>
      <c r="O8" s="6" t="s">
        <v>1205</v>
      </c>
      <c r="R8" s="101" t="s">
        <v>1220</v>
      </c>
      <c r="Y8" s="6" t="s">
        <v>1232</v>
      </c>
      <c r="Z8" s="6">
        <v>3</v>
      </c>
      <c r="AA8" s="6">
        <v>4</v>
      </c>
      <c r="AD8" s="6" t="s">
        <v>1203</v>
      </c>
      <c r="AE8" s="6" t="s">
        <v>1205</v>
      </c>
      <c r="AG8" s="6" t="s">
        <v>1233</v>
      </c>
      <c r="AY8" s="8" t="s">
        <v>176</v>
      </c>
      <c r="AZ8" s="8" t="s">
        <v>195</v>
      </c>
      <c r="BA8" s="13" t="s">
        <v>197</v>
      </c>
      <c r="BB8" s="13" t="s">
        <v>8</v>
      </c>
      <c r="BC8" s="13">
        <v>125</v>
      </c>
      <c r="BD8" s="13">
        <v>126</v>
      </c>
      <c r="DC8" s="6" t="s">
        <v>169</v>
      </c>
      <c r="DD8" s="6" t="s">
        <v>201</v>
      </c>
      <c r="DH8" s="6" t="str">
        <f>"A"&amp;EA8</f>
        <v>A2</v>
      </c>
      <c r="DI8" s="6" t="str">
        <f>"B"&amp;EA8</f>
        <v>B2</v>
      </c>
      <c r="DK8" s="6" t="s">
        <v>173</v>
      </c>
      <c r="DL8" s="6" t="str">
        <f>IF(DZ8&lt;&gt;"","CN2","")</f>
        <v>CN2</v>
      </c>
      <c r="DO8" s="9" t="s">
        <v>170</v>
      </c>
      <c r="DP8" s="6" t="s">
        <v>171</v>
      </c>
      <c r="DQ8" s="6" t="s">
        <v>645</v>
      </c>
      <c r="DS8" s="6" t="str">
        <f>IF(MID(EF8,2,1)="A","KS1","AKB331")</f>
        <v>KS1</v>
      </c>
      <c r="DT8" s="10" t="str">
        <f>DQ8&amp;"-"&amp;DX8&amp;"-"&amp;DY8&amp;"/"&amp;BA8&amp;"-"&amp;DD8&amp;"-"&amp;DK8</f>
        <v>FCS0111-1-3/1S–MC–107-F2-CN1</v>
      </c>
      <c r="DU8" s="6" t="str">
        <f>IF(DL8="","",DQ8&amp;"-"&amp;DX8&amp;"-"&amp;DY8&amp;"/"&amp;BA8&amp;"-"&amp;DD8&amp;"-"&amp;DL8)</f>
        <v>FCS0111-1-3/1S–MC–107-F2-CN2</v>
      </c>
      <c r="DV8" s="19">
        <v>1</v>
      </c>
      <c r="DW8" s="20" t="str">
        <f>RIGHT(DQ8,2)</f>
        <v>11</v>
      </c>
      <c r="DX8" s="21">
        <v>1</v>
      </c>
      <c r="DY8" s="22">
        <v>3</v>
      </c>
      <c r="DZ8" s="23">
        <v>4</v>
      </c>
      <c r="EA8" s="23">
        <v>2</v>
      </c>
      <c r="ED8" s="9" t="str">
        <f>IF(DX8="1","AFV30D","ANB10D")</f>
        <v>ANB10D</v>
      </c>
      <c r="EF8" s="6" t="s">
        <v>174</v>
      </c>
      <c r="EH8" s="6" t="s">
        <v>208</v>
      </c>
      <c r="EI8" s="6" t="s">
        <v>1050</v>
      </c>
      <c r="EJ8" s="12">
        <v>300</v>
      </c>
      <c r="EN8" s="12" t="s">
        <v>1103</v>
      </c>
      <c r="ET8" s="6" t="str">
        <f t="shared" si="5"/>
        <v>짝수</v>
      </c>
      <c r="EU8" s="12">
        <v>2</v>
      </c>
      <c r="EV8" s="45" t="str">
        <f t="shared" ca="1" si="18"/>
        <v>C</v>
      </c>
      <c r="EW8" s="6">
        <f t="shared" ca="1" si="6"/>
        <v>67</v>
      </c>
      <c r="FR8" s="6">
        <v>1</v>
      </c>
      <c r="FS8" s="6" t="str">
        <f t="shared" si="7"/>
        <v/>
      </c>
      <c r="FT8" s="6" t="str">
        <f t="shared" si="8"/>
        <v/>
      </c>
      <c r="FV8" s="6" t="str">
        <f t="shared" ca="1" si="9"/>
        <v/>
      </c>
      <c r="FW8" s="6" t="str">
        <f t="shared" si="10"/>
        <v/>
      </c>
      <c r="FX8" s="6" t="str">
        <f t="shared" si="11"/>
        <v/>
      </c>
      <c r="FY8" s="6" t="str">
        <f t="shared" ca="1" si="12"/>
        <v/>
      </c>
      <c r="FZ8" s="6" t="str">
        <f t="shared" ca="1" si="13"/>
        <v/>
      </c>
    </row>
    <row r="9" spans="1:182" ht="15.95" customHeight="1">
      <c r="A9" s="6">
        <v>449</v>
      </c>
      <c r="B9" s="6" t="s">
        <v>175</v>
      </c>
      <c r="E9" s="6" t="s">
        <v>555</v>
      </c>
      <c r="F9" s="6" t="s">
        <v>1235</v>
      </c>
      <c r="G9" s="6" t="s">
        <v>1218</v>
      </c>
      <c r="H9" s="7" t="s">
        <v>1219</v>
      </c>
      <c r="I9" s="7"/>
      <c r="J9" s="6" t="s">
        <v>1199</v>
      </c>
      <c r="K9" s="6" t="s">
        <v>1201</v>
      </c>
      <c r="N9" s="6" t="s">
        <v>1203</v>
      </c>
      <c r="O9" s="6" t="s">
        <v>1205</v>
      </c>
      <c r="R9" s="101" t="s">
        <v>1220</v>
      </c>
      <c r="Y9" s="6" t="s">
        <v>1236</v>
      </c>
      <c r="Z9" s="6">
        <v>1</v>
      </c>
      <c r="AA9" s="6">
        <v>2</v>
      </c>
      <c r="AD9" s="6" t="s">
        <v>1203</v>
      </c>
      <c r="AE9" s="6" t="s">
        <v>1205</v>
      </c>
      <c r="AG9" s="6" t="s">
        <v>1237</v>
      </c>
      <c r="AY9" s="8" t="s">
        <v>176</v>
      </c>
      <c r="AZ9" s="8" t="s">
        <v>195</v>
      </c>
      <c r="BA9" s="13" t="s">
        <v>197</v>
      </c>
      <c r="BB9" s="13" t="s">
        <v>7</v>
      </c>
      <c r="BC9" s="13">
        <v>39</v>
      </c>
      <c r="BD9" s="13">
        <v>40</v>
      </c>
      <c r="DC9" s="6" t="s">
        <v>169</v>
      </c>
      <c r="DD9" s="6" t="s">
        <v>183</v>
      </c>
      <c r="DH9" s="6" t="str">
        <f>"A"&amp;EA9</f>
        <v>A1</v>
      </c>
      <c r="DI9" s="6" t="str">
        <f>"B"&amp;EA9</f>
        <v>B1</v>
      </c>
      <c r="DK9" s="6" t="s">
        <v>173</v>
      </c>
      <c r="DL9" s="6" t="str">
        <f>IF(DZ9&lt;&gt;"","CN2","")</f>
        <v/>
      </c>
      <c r="DO9" s="9" t="s">
        <v>170</v>
      </c>
      <c r="DP9" s="6" t="s">
        <v>171</v>
      </c>
      <c r="DQ9" s="6" t="s">
        <v>645</v>
      </c>
      <c r="DS9" s="6" t="str">
        <f>IF(MID(EF9,2,1)="A","KS1","AKB331")</f>
        <v>KS1</v>
      </c>
      <c r="DT9" s="10" t="str">
        <f>DQ9&amp;"-"&amp;DX9&amp;"-"&amp;DY9&amp;"/"&amp;BA9&amp;"-"&amp;DD9&amp;"-"&amp;DK9</f>
        <v>FCS0111-5-2/1S–MC–107-F12-CN1</v>
      </c>
      <c r="DU9" s="6" t="str">
        <f>IF(DL9="","",DQ9&amp;"-"&amp;DX9&amp;"-"&amp;DY9&amp;"/"&amp;BA9&amp;"-"&amp;DD9&amp;"-"&amp;DL9)</f>
        <v/>
      </c>
      <c r="DV9" s="19">
        <v>1</v>
      </c>
      <c r="DW9" s="20" t="str">
        <f>RIGHT(DQ9,2)</f>
        <v>11</v>
      </c>
      <c r="DX9" s="21">
        <v>5</v>
      </c>
      <c r="DY9" s="22">
        <v>2</v>
      </c>
      <c r="DZ9" s="23" t="s">
        <v>204</v>
      </c>
      <c r="EA9" s="23">
        <v>1</v>
      </c>
      <c r="ED9" s="9" t="str">
        <f>IF(DX9="1","AFV30D","ANB10D")</f>
        <v>ANB10D</v>
      </c>
      <c r="EF9" s="6" t="s">
        <v>172</v>
      </c>
      <c r="EH9" s="6" t="s">
        <v>287</v>
      </c>
      <c r="EI9" s="6" t="s">
        <v>371</v>
      </c>
      <c r="EJ9" s="12">
        <v>6</v>
      </c>
      <c r="EK9" s="12"/>
      <c r="EM9" s="12"/>
      <c r="EN9" s="12" t="s">
        <v>1100</v>
      </c>
      <c r="EO9" s="6" t="s">
        <v>1099</v>
      </c>
      <c r="EP9" s="6" t="s">
        <v>1145</v>
      </c>
      <c r="ER9" s="6" t="s">
        <v>1105</v>
      </c>
      <c r="ET9" s="6" t="str">
        <f t="shared" si="5"/>
        <v>홀수</v>
      </c>
      <c r="EU9" s="12">
        <v>3</v>
      </c>
      <c r="EV9" s="45" t="str">
        <f t="shared" ca="1" si="18"/>
        <v>A</v>
      </c>
      <c r="EW9" s="6">
        <f t="shared" ca="1" si="6"/>
        <v>65</v>
      </c>
      <c r="FR9" s="6">
        <v>1</v>
      </c>
      <c r="FS9" s="6" t="str">
        <f t="shared" si="7"/>
        <v/>
      </c>
      <c r="FT9" s="6" t="str">
        <f t="shared" si="8"/>
        <v/>
      </c>
      <c r="FU9" s="6" t="str">
        <f ca="1">IF(AND(FS9="",OFFSET(FS9,0,1)="",DC9="A1BA4D"),"",IF(DC9="A1BD5D","",DD9&amp;"-11"))</f>
        <v/>
      </c>
      <c r="FV9" s="6" t="str">
        <f t="shared" ca="1" si="9"/>
        <v/>
      </c>
      <c r="FW9" s="6" t="str">
        <f t="shared" ca="1" si="10"/>
        <v/>
      </c>
      <c r="FX9" s="6" t="str">
        <f t="shared" ca="1" si="11"/>
        <v/>
      </c>
      <c r="FY9" s="6" t="str">
        <f t="shared" ca="1" si="12"/>
        <v/>
      </c>
      <c r="FZ9" s="6" t="str">
        <f t="shared" ca="1" si="13"/>
        <v/>
      </c>
    </row>
    <row r="10" spans="1:182" ht="15.95" customHeight="1">
      <c r="A10" s="6">
        <v>5</v>
      </c>
      <c r="B10" s="6" t="s">
        <v>175</v>
      </c>
      <c r="E10" s="6" t="s">
        <v>472</v>
      </c>
      <c r="F10" s="6" t="s">
        <v>1238</v>
      </c>
      <c r="G10" s="6" t="s">
        <v>1218</v>
      </c>
      <c r="H10" s="7" t="s">
        <v>1219</v>
      </c>
      <c r="I10" s="7"/>
      <c r="J10" s="6" t="s">
        <v>1199</v>
      </c>
      <c r="K10" s="6" t="s">
        <v>1201</v>
      </c>
      <c r="N10" s="6" t="s">
        <v>1203</v>
      </c>
      <c r="O10" s="6" t="s">
        <v>1205</v>
      </c>
      <c r="R10" s="101" t="s">
        <v>1220</v>
      </c>
      <c r="Y10" s="6" t="s">
        <v>1236</v>
      </c>
      <c r="Z10" s="6">
        <v>3</v>
      </c>
      <c r="AA10" s="6">
        <v>4</v>
      </c>
      <c r="AD10" s="6" t="s">
        <v>1203</v>
      </c>
      <c r="AE10" s="6" t="s">
        <v>1205</v>
      </c>
      <c r="AG10" s="6" t="s">
        <v>1237</v>
      </c>
      <c r="AY10" s="8" t="s">
        <v>176</v>
      </c>
      <c r="AZ10" s="8" t="s">
        <v>195</v>
      </c>
      <c r="BA10" s="13" t="s">
        <v>197</v>
      </c>
      <c r="BB10" s="13" t="s">
        <v>7</v>
      </c>
      <c r="BC10" s="13">
        <v>41</v>
      </c>
      <c r="BD10" s="13">
        <v>42</v>
      </c>
      <c r="DC10" s="6" t="s">
        <v>169</v>
      </c>
      <c r="DD10" s="6" t="s">
        <v>177</v>
      </c>
      <c r="DH10" s="6" t="str">
        <f t="shared" si="15"/>
        <v>A5</v>
      </c>
      <c r="DI10" s="6" t="str">
        <f t="shared" si="16"/>
        <v>B5</v>
      </c>
      <c r="DK10" s="6" t="s">
        <v>173</v>
      </c>
      <c r="DL10" s="6" t="str">
        <f t="shared" si="17"/>
        <v>CN2</v>
      </c>
      <c r="DO10" s="9" t="s">
        <v>170</v>
      </c>
      <c r="DP10" s="6" t="s">
        <v>171</v>
      </c>
      <c r="DQ10" s="6" t="s">
        <v>645</v>
      </c>
      <c r="DS10" s="6" t="str">
        <f t="shared" si="0"/>
        <v>KS1</v>
      </c>
      <c r="DT10" s="10" t="str">
        <f t="shared" si="1"/>
        <v>FCS0111-1-1/1S–MC–107-F1-CN1</v>
      </c>
      <c r="DU10" s="6" t="str">
        <f t="shared" si="2"/>
        <v>FCS0111-1-1/1S–MC–107-F1-CN2</v>
      </c>
      <c r="DV10" s="19">
        <v>1</v>
      </c>
      <c r="DW10" s="20" t="str">
        <f t="shared" si="3"/>
        <v>11</v>
      </c>
      <c r="DX10" s="21">
        <v>1</v>
      </c>
      <c r="DY10" s="22">
        <v>1</v>
      </c>
      <c r="DZ10" s="23">
        <v>2</v>
      </c>
      <c r="EA10" s="23">
        <v>5</v>
      </c>
      <c r="ED10" s="9" t="str">
        <f t="shared" si="4"/>
        <v>ANB10D</v>
      </c>
      <c r="EF10" s="6" t="s">
        <v>172</v>
      </c>
      <c r="EH10" s="6" t="s">
        <v>209</v>
      </c>
      <c r="EI10" s="6" t="s">
        <v>371</v>
      </c>
      <c r="EJ10" s="12">
        <v>6</v>
      </c>
      <c r="EK10" s="12"/>
      <c r="EM10" s="12"/>
      <c r="EN10" s="12" t="s">
        <v>1100</v>
      </c>
      <c r="EP10" s="6" t="s">
        <v>1146</v>
      </c>
      <c r="ET10" s="6" t="str">
        <f t="shared" si="5"/>
        <v>홀수</v>
      </c>
      <c r="EU10" s="12">
        <v>3</v>
      </c>
      <c r="EV10" s="45" t="str">
        <f t="shared" ca="1" si="18"/>
        <v>B</v>
      </c>
      <c r="EW10" s="6">
        <f t="shared" ca="1" si="6"/>
        <v>66</v>
      </c>
      <c r="FR10" s="6">
        <v>1</v>
      </c>
      <c r="FS10" s="6" t="str">
        <f t="shared" si="7"/>
        <v/>
      </c>
      <c r="FT10" s="6" t="str">
        <f t="shared" si="8"/>
        <v/>
      </c>
      <c r="FV10" s="6" t="str">
        <f t="shared" ca="1" si="9"/>
        <v/>
      </c>
      <c r="FW10" s="6" t="str">
        <f t="shared" si="10"/>
        <v/>
      </c>
      <c r="FX10" s="6" t="str">
        <f t="shared" si="11"/>
        <v/>
      </c>
      <c r="FY10" s="6" t="str">
        <f t="shared" ca="1" si="12"/>
        <v/>
      </c>
      <c r="FZ10" s="6" t="str">
        <f t="shared" ca="1" si="13"/>
        <v/>
      </c>
    </row>
    <row r="11" spans="1:182" ht="15.95" customHeight="1">
      <c r="A11" s="6">
        <v>6</v>
      </c>
      <c r="B11" s="6" t="s">
        <v>175</v>
      </c>
      <c r="E11" s="6" t="s">
        <v>473</v>
      </c>
      <c r="F11" s="6" t="s">
        <v>1239</v>
      </c>
      <c r="G11" s="6" t="s">
        <v>1218</v>
      </c>
      <c r="H11" s="7" t="s">
        <v>1219</v>
      </c>
      <c r="I11" s="7"/>
      <c r="J11" s="6" t="s">
        <v>1199</v>
      </c>
      <c r="K11" s="6" t="s">
        <v>1201</v>
      </c>
      <c r="N11" s="6" t="s">
        <v>1203</v>
      </c>
      <c r="O11" s="6" t="s">
        <v>1205</v>
      </c>
      <c r="R11" s="101" t="s">
        <v>1220</v>
      </c>
      <c r="Y11" s="6" t="s">
        <v>1236</v>
      </c>
      <c r="Z11" s="6">
        <v>7</v>
      </c>
      <c r="AA11" s="6">
        <v>8</v>
      </c>
      <c r="AD11" s="6" t="s">
        <v>1203</v>
      </c>
      <c r="AE11" s="6" t="s">
        <v>1205</v>
      </c>
      <c r="AG11" s="6" t="s">
        <v>1237</v>
      </c>
      <c r="AY11" s="8" t="s">
        <v>176</v>
      </c>
      <c r="AZ11" s="8" t="s">
        <v>195</v>
      </c>
      <c r="BA11" s="13" t="s">
        <v>197</v>
      </c>
      <c r="BB11" s="13" t="s">
        <v>7</v>
      </c>
      <c r="BC11" s="13">
        <v>45</v>
      </c>
      <c r="BD11" s="13">
        <v>46</v>
      </c>
      <c r="DC11" s="6" t="s">
        <v>169</v>
      </c>
      <c r="DD11" s="6" t="s">
        <v>177</v>
      </c>
      <c r="DH11" s="6" t="str">
        <f>"A"&amp;EA11</f>
        <v>A6</v>
      </c>
      <c r="DI11" s="6" t="str">
        <f>"B"&amp;EA11</f>
        <v>B6</v>
      </c>
      <c r="DK11" s="6" t="s">
        <v>173</v>
      </c>
      <c r="DL11" s="6" t="str">
        <f>IF(DZ11&lt;&gt;"","CN2","")</f>
        <v>CN2</v>
      </c>
      <c r="DO11" s="9" t="s">
        <v>170</v>
      </c>
      <c r="DP11" s="6" t="s">
        <v>171</v>
      </c>
      <c r="DQ11" s="6" t="s">
        <v>645</v>
      </c>
      <c r="DS11" s="6" t="str">
        <f>IF(MID(EF11,2,1)="A","KS1","AKB331")</f>
        <v>KS1</v>
      </c>
      <c r="DT11" s="10" t="str">
        <f>DQ11&amp;"-"&amp;DX11&amp;"-"&amp;DY11&amp;"/"&amp;BA11&amp;"-"&amp;DD11&amp;"-"&amp;DK11</f>
        <v>FCS0111-1-1/1S–MC–107-F1-CN1</v>
      </c>
      <c r="DU11" s="6" t="str">
        <f>IF(DL11="","",DQ11&amp;"-"&amp;DX11&amp;"-"&amp;DY11&amp;"/"&amp;BA11&amp;"-"&amp;DD11&amp;"-"&amp;DL11)</f>
        <v>FCS0111-1-1/1S–MC–107-F1-CN2</v>
      </c>
      <c r="DV11" s="19">
        <v>1</v>
      </c>
      <c r="DW11" s="20" t="str">
        <f>RIGHT(DQ11,2)</f>
        <v>11</v>
      </c>
      <c r="DX11" s="21">
        <v>1</v>
      </c>
      <c r="DY11" s="22">
        <v>1</v>
      </c>
      <c r="DZ11" s="23">
        <v>2</v>
      </c>
      <c r="EA11" s="23">
        <v>6</v>
      </c>
      <c r="ED11" s="9" t="str">
        <f>IF(DX11="1","AFV30D","ANB10D")</f>
        <v>ANB10D</v>
      </c>
      <c r="EF11" s="6" t="s">
        <v>172</v>
      </c>
      <c r="EH11" s="6" t="s">
        <v>210</v>
      </c>
      <c r="EI11" s="6" t="s">
        <v>372</v>
      </c>
      <c r="EJ11" s="12">
        <v>300</v>
      </c>
      <c r="EN11" s="12" t="s">
        <v>1103</v>
      </c>
      <c r="EP11" s="6" t="s">
        <v>1147</v>
      </c>
      <c r="ET11" s="6" t="str">
        <f t="shared" si="5"/>
        <v>홀수</v>
      </c>
      <c r="EU11" s="12">
        <v>3</v>
      </c>
      <c r="EV11" s="45" t="str">
        <f t="shared" ca="1" si="18"/>
        <v>C</v>
      </c>
      <c r="EW11" s="6">
        <f t="shared" ca="1" si="6"/>
        <v>67</v>
      </c>
      <c r="FR11" s="6">
        <v>1</v>
      </c>
      <c r="FS11" s="6" t="str">
        <f t="shared" si="7"/>
        <v/>
      </c>
      <c r="FT11" s="6" t="str">
        <f t="shared" si="8"/>
        <v/>
      </c>
      <c r="FU11" s="6" t="str">
        <f t="shared" ref="FU11:FU74" ca="1" si="19">IF(AND(FS11="",OFFSET(FS11,0,1)="",DC11="A1BA4D"),"",IF(DC11="A1BD5D","",DD11&amp;"-11"))</f>
        <v/>
      </c>
      <c r="FV11" s="6" t="str">
        <f t="shared" ca="1" si="9"/>
        <v/>
      </c>
      <c r="FW11" s="6" t="str">
        <f t="shared" ca="1" si="10"/>
        <v/>
      </c>
      <c r="FX11" s="6" t="str">
        <f t="shared" ca="1" si="11"/>
        <v/>
      </c>
      <c r="FY11" s="6" t="str">
        <f t="shared" ca="1" si="12"/>
        <v/>
      </c>
      <c r="FZ11" s="6" t="str">
        <f t="shared" ca="1" si="13"/>
        <v/>
      </c>
    </row>
    <row r="12" spans="1:182" ht="15.95" customHeight="1">
      <c r="A12" s="6">
        <v>19</v>
      </c>
      <c r="B12" s="6" t="s">
        <v>175</v>
      </c>
      <c r="E12" s="6" t="s">
        <v>485</v>
      </c>
      <c r="F12" s="6" t="s">
        <v>1240</v>
      </c>
      <c r="G12" s="6" t="s">
        <v>1226</v>
      </c>
      <c r="H12" s="7" t="s">
        <v>1227</v>
      </c>
      <c r="I12" s="7"/>
      <c r="J12" s="6" t="s">
        <v>1199</v>
      </c>
      <c r="K12" s="6" t="s">
        <v>1201</v>
      </c>
      <c r="N12" s="6" t="s">
        <v>1203</v>
      </c>
      <c r="O12" s="6" t="s">
        <v>1205</v>
      </c>
      <c r="R12" s="101" t="s">
        <v>1220</v>
      </c>
      <c r="Y12" s="6" t="s">
        <v>1241</v>
      </c>
      <c r="Z12" s="6">
        <v>1</v>
      </c>
      <c r="AA12" s="6">
        <v>2</v>
      </c>
      <c r="AD12" s="6" t="s">
        <v>1203</v>
      </c>
      <c r="AE12" s="6" t="s">
        <v>1205</v>
      </c>
      <c r="AG12" s="6" t="s">
        <v>1242</v>
      </c>
      <c r="AY12" s="8" t="s">
        <v>176</v>
      </c>
      <c r="AZ12" s="8" t="s">
        <v>195</v>
      </c>
      <c r="BA12" s="13" t="s">
        <v>197</v>
      </c>
      <c r="BB12" s="13" t="s">
        <v>7</v>
      </c>
      <c r="BC12" s="13">
        <v>63</v>
      </c>
      <c r="BD12" s="13">
        <v>64</v>
      </c>
      <c r="DC12" s="6" t="s">
        <v>169</v>
      </c>
      <c r="DD12" s="6" t="s">
        <v>201</v>
      </c>
      <c r="DH12" s="6" t="str">
        <f>"A"&amp;EA12</f>
        <v>A3</v>
      </c>
      <c r="DI12" s="6" t="str">
        <f>"B"&amp;EA12</f>
        <v>B3</v>
      </c>
      <c r="DK12" s="6" t="s">
        <v>173</v>
      </c>
      <c r="DL12" s="6" t="str">
        <f>IF(DZ12&lt;&gt;"","CN2","")</f>
        <v>CN2</v>
      </c>
      <c r="DO12" s="9" t="s">
        <v>170</v>
      </c>
      <c r="DP12" s="6" t="s">
        <v>171</v>
      </c>
      <c r="DQ12" s="6" t="s">
        <v>645</v>
      </c>
      <c r="DS12" s="6" t="str">
        <f>IF(MID(EF12,2,1)="A","KS1","AKB331")</f>
        <v>KS1</v>
      </c>
      <c r="DT12" s="10" t="str">
        <f>DQ12&amp;"-"&amp;DX12&amp;"-"&amp;DY12&amp;"/"&amp;BA12&amp;"-"&amp;DD12&amp;"-"&amp;DK12</f>
        <v>FCS0111-1-3/1S–MC–107-F2-CN1</v>
      </c>
      <c r="DU12" s="6" t="str">
        <f>IF(DL12="","",DQ12&amp;"-"&amp;DX12&amp;"-"&amp;DY12&amp;"/"&amp;BA12&amp;"-"&amp;DD12&amp;"-"&amp;DL12)</f>
        <v>FCS0111-1-3/1S–MC–107-F2-CN2</v>
      </c>
      <c r="DV12" s="19">
        <v>1</v>
      </c>
      <c r="DW12" s="20" t="str">
        <f>RIGHT(DQ12,2)</f>
        <v>11</v>
      </c>
      <c r="DX12" s="21">
        <v>1</v>
      </c>
      <c r="DY12" s="22">
        <v>3</v>
      </c>
      <c r="DZ12" s="23">
        <v>4</v>
      </c>
      <c r="EA12" s="23">
        <v>3</v>
      </c>
      <c r="ED12" s="9" t="str">
        <f>IF(DX12="1","AFV30D","ANB10D")</f>
        <v>ANB10D</v>
      </c>
      <c r="EF12" s="6" t="s">
        <v>174</v>
      </c>
      <c r="EH12" s="6" t="s">
        <v>210</v>
      </c>
      <c r="EI12" s="6" t="s">
        <v>383</v>
      </c>
      <c r="EJ12" s="12">
        <v>300</v>
      </c>
      <c r="EN12" s="12" t="s">
        <v>1103</v>
      </c>
      <c r="ET12" s="6" t="str">
        <f t="shared" si="5"/>
        <v>홀수</v>
      </c>
      <c r="EU12" s="12">
        <v>3</v>
      </c>
      <c r="EV12" s="45" t="str">
        <f t="shared" ca="1" si="18"/>
        <v>D</v>
      </c>
      <c r="EW12" s="6">
        <f t="shared" ca="1" si="6"/>
        <v>68</v>
      </c>
      <c r="FR12" s="6">
        <v>1</v>
      </c>
      <c r="FS12" s="6" t="str">
        <f t="shared" si="7"/>
        <v/>
      </c>
      <c r="FT12" s="6" t="str">
        <f t="shared" si="8"/>
        <v/>
      </c>
      <c r="FU12" s="6" t="str">
        <f t="shared" ca="1" si="19"/>
        <v/>
      </c>
      <c r="FV12" s="6" t="str">
        <f t="shared" ca="1" si="9"/>
        <v/>
      </c>
      <c r="FW12" s="6" t="str">
        <f t="shared" ca="1" si="10"/>
        <v/>
      </c>
      <c r="FX12" s="6" t="str">
        <f t="shared" ca="1" si="11"/>
        <v/>
      </c>
      <c r="FY12" s="6" t="str">
        <f t="shared" ca="1" si="12"/>
        <v/>
      </c>
      <c r="FZ12" s="6" t="str">
        <f t="shared" ca="1" si="13"/>
        <v/>
      </c>
    </row>
    <row r="13" spans="1:182" ht="15.95" customHeight="1">
      <c r="A13" s="6">
        <v>7</v>
      </c>
      <c r="B13" s="6" t="s">
        <v>175</v>
      </c>
      <c r="E13" s="6" t="s">
        <v>474</v>
      </c>
      <c r="F13" s="6" t="s">
        <v>1243</v>
      </c>
      <c r="G13" s="6" t="s">
        <v>1218</v>
      </c>
      <c r="H13" s="7" t="s">
        <v>1219</v>
      </c>
      <c r="I13" s="7"/>
      <c r="J13" s="6" t="s">
        <v>1199</v>
      </c>
      <c r="K13" s="6" t="s">
        <v>1201</v>
      </c>
      <c r="N13" s="6" t="s">
        <v>1203</v>
      </c>
      <c r="O13" s="6" t="s">
        <v>1205</v>
      </c>
      <c r="R13" s="101" t="s">
        <v>1220</v>
      </c>
      <c r="Y13" s="6" t="s">
        <v>1241</v>
      </c>
      <c r="Z13" s="6">
        <v>3</v>
      </c>
      <c r="AA13" s="6">
        <v>4</v>
      </c>
      <c r="AD13" s="6" t="s">
        <v>1203</v>
      </c>
      <c r="AE13" s="6" t="s">
        <v>1205</v>
      </c>
      <c r="AG13" s="6" t="s">
        <v>1242</v>
      </c>
      <c r="AY13" s="8" t="s">
        <v>176</v>
      </c>
      <c r="AZ13" s="8" t="s">
        <v>195</v>
      </c>
      <c r="BA13" s="13" t="s">
        <v>197</v>
      </c>
      <c r="BB13" s="13" t="s">
        <v>7</v>
      </c>
      <c r="BC13" s="13">
        <v>65</v>
      </c>
      <c r="BD13" s="13">
        <v>66</v>
      </c>
      <c r="DC13" s="6" t="s">
        <v>169</v>
      </c>
      <c r="DD13" s="6" t="s">
        <v>177</v>
      </c>
      <c r="DH13" s="6" t="str">
        <f t="shared" si="15"/>
        <v>A7</v>
      </c>
      <c r="DI13" s="6" t="str">
        <f t="shared" si="16"/>
        <v>B7</v>
      </c>
      <c r="DK13" s="6" t="s">
        <v>173</v>
      </c>
      <c r="DL13" s="6" t="str">
        <f t="shared" si="17"/>
        <v>CN2</v>
      </c>
      <c r="DO13" s="9" t="s">
        <v>170</v>
      </c>
      <c r="DP13" s="6" t="s">
        <v>171</v>
      </c>
      <c r="DQ13" s="6" t="s">
        <v>645</v>
      </c>
      <c r="DS13" s="6" t="str">
        <f t="shared" si="0"/>
        <v>KS1</v>
      </c>
      <c r="DT13" s="10" t="str">
        <f t="shared" si="1"/>
        <v>FCS0111-1-1/1S–MC–107-F1-CN1</v>
      </c>
      <c r="DU13" s="6" t="str">
        <f t="shared" si="2"/>
        <v>FCS0111-1-1/1S–MC–107-F1-CN2</v>
      </c>
      <c r="DV13" s="19">
        <v>1</v>
      </c>
      <c r="DW13" s="20" t="str">
        <f t="shared" si="3"/>
        <v>11</v>
      </c>
      <c r="DX13" s="21">
        <v>1</v>
      </c>
      <c r="DY13" s="22">
        <v>1</v>
      </c>
      <c r="DZ13" s="23">
        <v>2</v>
      </c>
      <c r="EA13" s="23">
        <v>7</v>
      </c>
      <c r="ED13" s="9" t="str">
        <f t="shared" si="4"/>
        <v>ANB10D</v>
      </c>
      <c r="EF13" s="6" t="s">
        <v>172</v>
      </c>
      <c r="EH13" s="6" t="s">
        <v>211</v>
      </c>
      <c r="EI13" s="6" t="s">
        <v>373</v>
      </c>
      <c r="EJ13" s="12">
        <v>100</v>
      </c>
      <c r="EN13" s="12" t="s">
        <v>1100</v>
      </c>
      <c r="EP13" s="6" t="s">
        <v>1148</v>
      </c>
      <c r="ET13" s="6" t="str">
        <f t="shared" si="5"/>
        <v>짝수</v>
      </c>
      <c r="EU13" s="12">
        <v>4</v>
      </c>
      <c r="EV13" s="45" t="str">
        <f t="shared" ca="1" si="18"/>
        <v>A</v>
      </c>
      <c r="EW13" s="6">
        <f t="shared" ca="1" si="6"/>
        <v>65</v>
      </c>
      <c r="FR13" s="6">
        <v>1</v>
      </c>
      <c r="FS13" s="6" t="str">
        <f t="shared" si="7"/>
        <v/>
      </c>
      <c r="FT13" s="6" t="str">
        <f t="shared" si="8"/>
        <v/>
      </c>
      <c r="FU13" s="6" t="str">
        <f t="shared" ca="1" si="19"/>
        <v/>
      </c>
      <c r="FV13" s="6" t="str">
        <f t="shared" ca="1" si="9"/>
        <v/>
      </c>
      <c r="FW13" s="6" t="str">
        <f t="shared" ca="1" si="10"/>
        <v/>
      </c>
      <c r="FX13" s="6" t="str">
        <f t="shared" ca="1" si="11"/>
        <v/>
      </c>
      <c r="FY13" s="6" t="str">
        <f t="shared" ca="1" si="12"/>
        <v/>
      </c>
      <c r="FZ13" s="6" t="str">
        <f t="shared" ca="1" si="13"/>
        <v/>
      </c>
    </row>
    <row r="14" spans="1:182" ht="15.95" customHeight="1">
      <c r="A14" s="6">
        <v>11</v>
      </c>
      <c r="B14" s="6" t="s">
        <v>175</v>
      </c>
      <c r="E14" s="6" t="s">
        <v>478</v>
      </c>
      <c r="F14" s="6" t="s">
        <v>1244</v>
      </c>
      <c r="G14" s="6" t="s">
        <v>1218</v>
      </c>
      <c r="H14" s="7" t="s">
        <v>1219</v>
      </c>
      <c r="I14" s="7"/>
      <c r="J14" s="6" t="s">
        <v>1199</v>
      </c>
      <c r="K14" s="6" t="s">
        <v>1201</v>
      </c>
      <c r="N14" s="6" t="s">
        <v>1203</v>
      </c>
      <c r="O14" s="6" t="s">
        <v>1205</v>
      </c>
      <c r="R14" s="101" t="s">
        <v>1220</v>
      </c>
      <c r="Y14" s="6" t="s">
        <v>1241</v>
      </c>
      <c r="Z14" s="6">
        <v>15</v>
      </c>
      <c r="AA14" s="6">
        <v>16</v>
      </c>
      <c r="AD14" s="6" t="s">
        <v>1203</v>
      </c>
      <c r="AE14" s="6" t="s">
        <v>1205</v>
      </c>
      <c r="AG14" s="6" t="s">
        <v>1242</v>
      </c>
      <c r="AY14" s="8" t="s">
        <v>176</v>
      </c>
      <c r="AZ14" s="8" t="s">
        <v>195</v>
      </c>
      <c r="BA14" s="13" t="s">
        <v>197</v>
      </c>
      <c r="BB14" s="13" t="s">
        <v>7</v>
      </c>
      <c r="BC14" s="13">
        <v>77</v>
      </c>
      <c r="BD14" s="13">
        <v>78</v>
      </c>
      <c r="DC14" s="6" t="s">
        <v>169</v>
      </c>
      <c r="DD14" s="6" t="s">
        <v>177</v>
      </c>
      <c r="DH14" s="6" t="str">
        <f t="shared" ref="DH14:DH27" si="20">"A"&amp;EA14</f>
        <v>A11</v>
      </c>
      <c r="DI14" s="6" t="str">
        <f t="shared" ref="DI14:DI27" si="21">"B"&amp;EA14</f>
        <v>B11</v>
      </c>
      <c r="DK14" s="6" t="s">
        <v>173</v>
      </c>
      <c r="DL14" s="6" t="str">
        <f t="shared" ref="DL14:DL27" si="22">IF(DZ14&lt;&gt;"","CN2","")</f>
        <v>CN2</v>
      </c>
      <c r="DO14" s="9" t="s">
        <v>170</v>
      </c>
      <c r="DP14" s="6" t="s">
        <v>171</v>
      </c>
      <c r="DQ14" s="6" t="s">
        <v>645</v>
      </c>
      <c r="DS14" s="6" t="str">
        <f t="shared" ref="DS14:DS27" si="23">IF(MID(EF14,2,1)="A","KS1","AKB331")</f>
        <v>KS1</v>
      </c>
      <c r="DT14" s="10" t="str">
        <f t="shared" ref="DT14:DT27" si="24">DQ14&amp;"-"&amp;DX14&amp;"-"&amp;DY14&amp;"/"&amp;BA14&amp;"-"&amp;DD14&amp;"-"&amp;DK14</f>
        <v>FCS0111-1-1/1S–MC–107-F1-CN1</v>
      </c>
      <c r="DU14" s="6" t="str">
        <f t="shared" ref="DU14:DU27" si="25">IF(DL14="","",DQ14&amp;"-"&amp;DX14&amp;"-"&amp;DY14&amp;"/"&amp;BA14&amp;"-"&amp;DD14&amp;"-"&amp;DL14)</f>
        <v>FCS0111-1-1/1S–MC–107-F1-CN2</v>
      </c>
      <c r="DV14" s="19">
        <v>1</v>
      </c>
      <c r="DW14" s="20" t="str">
        <f t="shared" ref="DW14:DW27" si="26">RIGHT(DQ14,2)</f>
        <v>11</v>
      </c>
      <c r="DX14" s="21">
        <v>1</v>
      </c>
      <c r="DY14" s="22">
        <v>1</v>
      </c>
      <c r="DZ14" s="23">
        <v>2</v>
      </c>
      <c r="EA14" s="23">
        <v>11</v>
      </c>
      <c r="ED14" s="9" t="str">
        <f t="shared" ref="ED14:ED27" si="27">IF(DX14="1","AFV30D","ANB10D")</f>
        <v>ANB10D</v>
      </c>
      <c r="EF14" s="6" t="s">
        <v>172</v>
      </c>
      <c r="EH14" s="6" t="s">
        <v>215</v>
      </c>
      <c r="EI14" s="6" t="s">
        <v>377</v>
      </c>
      <c r="EJ14" s="12">
        <v>100</v>
      </c>
      <c r="EN14" s="12" t="s">
        <v>1100</v>
      </c>
      <c r="EP14" s="6" t="s">
        <v>1148</v>
      </c>
      <c r="ET14" s="6" t="str">
        <f t="shared" si="5"/>
        <v>짝수</v>
      </c>
      <c r="EU14" s="12">
        <v>4</v>
      </c>
      <c r="EV14" s="45" t="str">
        <f t="shared" ca="1" si="18"/>
        <v>B</v>
      </c>
      <c r="EW14" s="6">
        <f t="shared" ca="1" si="6"/>
        <v>66</v>
      </c>
      <c r="FR14" s="6">
        <v>1</v>
      </c>
      <c r="FS14" s="6" t="str">
        <f t="shared" si="7"/>
        <v/>
      </c>
      <c r="FT14" s="6" t="str">
        <f t="shared" si="8"/>
        <v/>
      </c>
      <c r="FU14" s="6" t="str">
        <f t="shared" ca="1" si="19"/>
        <v/>
      </c>
      <c r="FV14" s="6" t="str">
        <f t="shared" ca="1" si="9"/>
        <v/>
      </c>
      <c r="FW14" s="6" t="str">
        <f t="shared" ca="1" si="10"/>
        <v/>
      </c>
      <c r="FX14" s="6" t="str">
        <f t="shared" ca="1" si="11"/>
        <v/>
      </c>
      <c r="FY14" s="6" t="str">
        <f t="shared" ca="1" si="12"/>
        <v/>
      </c>
      <c r="FZ14" s="6" t="str">
        <f t="shared" ca="1" si="13"/>
        <v/>
      </c>
    </row>
    <row r="15" spans="1:182" ht="15.95" customHeight="1">
      <c r="A15" s="6">
        <v>66</v>
      </c>
      <c r="B15" s="6" t="s">
        <v>175</v>
      </c>
      <c r="E15" s="6" t="s">
        <v>497</v>
      </c>
      <c r="F15" s="6" t="s">
        <v>1245</v>
      </c>
      <c r="G15" s="6" t="s">
        <v>1218</v>
      </c>
      <c r="H15" s="7" t="s">
        <v>1219</v>
      </c>
      <c r="I15" s="7"/>
      <c r="J15" s="6" t="s">
        <v>1199</v>
      </c>
      <c r="K15" s="6" t="s">
        <v>1201</v>
      </c>
      <c r="N15" s="6" t="s">
        <v>1203</v>
      </c>
      <c r="O15" s="6" t="s">
        <v>1205</v>
      </c>
      <c r="R15" s="101" t="s">
        <v>1220</v>
      </c>
      <c r="Y15" s="6" t="s">
        <v>1241</v>
      </c>
      <c r="Z15" s="6">
        <v>19</v>
      </c>
      <c r="AA15" s="6">
        <v>20</v>
      </c>
      <c r="AD15" s="6" t="s">
        <v>1203</v>
      </c>
      <c r="AE15" s="6" t="s">
        <v>1205</v>
      </c>
      <c r="AG15" s="6" t="s">
        <v>1242</v>
      </c>
      <c r="AY15" s="8" t="s">
        <v>176</v>
      </c>
      <c r="AZ15" s="8" t="s">
        <v>195</v>
      </c>
      <c r="BA15" s="13" t="s">
        <v>197</v>
      </c>
      <c r="BB15" s="13" t="s">
        <v>7</v>
      </c>
      <c r="BC15" s="13">
        <v>81</v>
      </c>
      <c r="BD15" s="13">
        <v>82</v>
      </c>
      <c r="DC15" s="6" t="s">
        <v>169</v>
      </c>
      <c r="DD15" s="6" t="s">
        <v>202</v>
      </c>
      <c r="DH15" s="6" t="str">
        <f t="shared" si="20"/>
        <v>A2</v>
      </c>
      <c r="DI15" s="6" t="str">
        <f t="shared" si="21"/>
        <v>B2</v>
      </c>
      <c r="DK15" s="6" t="s">
        <v>173</v>
      </c>
      <c r="DL15" s="6" t="str">
        <f t="shared" si="22"/>
        <v>CN2</v>
      </c>
      <c r="DO15" s="9" t="s">
        <v>170</v>
      </c>
      <c r="DP15" s="6" t="s">
        <v>171</v>
      </c>
      <c r="DQ15" s="6" t="s">
        <v>645</v>
      </c>
      <c r="DS15" s="6" t="str">
        <f t="shared" si="23"/>
        <v>KS1</v>
      </c>
      <c r="DT15" s="10" t="str">
        <f t="shared" si="24"/>
        <v>FCS0111-2-1/1S–MC–107-F3-CN1</v>
      </c>
      <c r="DU15" s="6" t="str">
        <f t="shared" si="25"/>
        <v>FCS0111-2-1/1S–MC–107-F3-CN2</v>
      </c>
      <c r="DV15" s="19">
        <v>1</v>
      </c>
      <c r="DW15" s="20" t="str">
        <f t="shared" si="26"/>
        <v>11</v>
      </c>
      <c r="DX15" s="21">
        <v>2</v>
      </c>
      <c r="DY15" s="22">
        <v>1</v>
      </c>
      <c r="DZ15" s="23">
        <v>2</v>
      </c>
      <c r="EA15" s="23">
        <v>2</v>
      </c>
      <c r="ED15" s="9" t="str">
        <f t="shared" si="27"/>
        <v>ANB10D</v>
      </c>
      <c r="EF15" s="6" t="s">
        <v>172</v>
      </c>
      <c r="EH15" s="6" t="s">
        <v>227</v>
      </c>
      <c r="EI15" s="6" t="s">
        <v>393</v>
      </c>
      <c r="EJ15" s="12">
        <v>100</v>
      </c>
      <c r="EN15" s="12" t="s">
        <v>1100</v>
      </c>
      <c r="EP15" s="6" t="s">
        <v>1148</v>
      </c>
      <c r="ET15" s="6" t="str">
        <f t="shared" si="5"/>
        <v>짝수</v>
      </c>
      <c r="EU15" s="12">
        <v>4</v>
      </c>
      <c r="EV15" s="45" t="str">
        <f t="shared" ca="1" si="18"/>
        <v>C</v>
      </c>
      <c r="EW15" s="6">
        <f t="shared" ca="1" si="6"/>
        <v>67</v>
      </c>
      <c r="FR15" s="6">
        <v>1</v>
      </c>
      <c r="FS15" s="6" t="str">
        <f t="shared" si="7"/>
        <v/>
      </c>
      <c r="FT15" s="6" t="str">
        <f t="shared" si="8"/>
        <v/>
      </c>
      <c r="FU15" s="6" t="str">
        <f t="shared" ca="1" si="19"/>
        <v/>
      </c>
      <c r="FV15" s="6" t="str">
        <f t="shared" ca="1" si="9"/>
        <v/>
      </c>
      <c r="FW15" s="6" t="str">
        <f t="shared" ca="1" si="10"/>
        <v/>
      </c>
      <c r="FX15" s="6" t="str">
        <f t="shared" ca="1" si="11"/>
        <v/>
      </c>
      <c r="FY15" s="6" t="str">
        <f t="shared" ca="1" si="12"/>
        <v/>
      </c>
      <c r="FZ15" s="6" t="str">
        <f t="shared" ca="1" si="13"/>
        <v/>
      </c>
    </row>
    <row r="16" spans="1:182" ht="15.95" customHeight="1">
      <c r="A16" s="6">
        <v>296</v>
      </c>
      <c r="B16" s="6" t="s">
        <v>175</v>
      </c>
      <c r="E16" s="6" t="s">
        <v>539</v>
      </c>
      <c r="F16" s="6" t="s">
        <v>1246</v>
      </c>
      <c r="G16" s="6" t="s">
        <v>1218</v>
      </c>
      <c r="H16" s="7" t="s">
        <v>1219</v>
      </c>
      <c r="I16" s="7"/>
      <c r="J16" s="6" t="s">
        <v>1199</v>
      </c>
      <c r="K16" s="6" t="s">
        <v>1201</v>
      </c>
      <c r="N16" s="6" t="s">
        <v>1203</v>
      </c>
      <c r="O16" s="6" t="s">
        <v>1205</v>
      </c>
      <c r="R16" s="101" t="s">
        <v>1220</v>
      </c>
      <c r="Y16" s="6" t="s">
        <v>1228</v>
      </c>
      <c r="Z16" s="6">
        <v>17</v>
      </c>
      <c r="AA16" s="6">
        <v>18</v>
      </c>
      <c r="AD16" s="6" t="s">
        <v>1203</v>
      </c>
      <c r="AE16" s="6" t="s">
        <v>1205</v>
      </c>
      <c r="AG16" s="6" t="s">
        <v>1229</v>
      </c>
      <c r="AY16" s="8" t="s">
        <v>176</v>
      </c>
      <c r="AZ16" s="8" t="s">
        <v>195</v>
      </c>
      <c r="BA16" s="13" t="s">
        <v>197</v>
      </c>
      <c r="BB16" s="13" t="s">
        <v>8</v>
      </c>
      <c r="BC16" s="13">
        <v>113</v>
      </c>
      <c r="BD16" s="13">
        <v>114</v>
      </c>
      <c r="DC16" s="6" t="s">
        <v>169</v>
      </c>
      <c r="DD16" s="6" t="s">
        <v>181</v>
      </c>
      <c r="DH16" s="6" t="str">
        <f t="shared" si="20"/>
        <v>A8</v>
      </c>
      <c r="DI16" s="6" t="str">
        <f t="shared" si="21"/>
        <v>B8</v>
      </c>
      <c r="DK16" s="6" t="s">
        <v>173</v>
      </c>
      <c r="DL16" s="6" t="str">
        <f t="shared" si="22"/>
        <v>CN2</v>
      </c>
      <c r="DO16" s="9" t="s">
        <v>170</v>
      </c>
      <c r="DP16" s="6" t="s">
        <v>171</v>
      </c>
      <c r="DQ16" s="6" t="s">
        <v>645</v>
      </c>
      <c r="DS16" s="6" t="str">
        <f t="shared" si="23"/>
        <v>KS1</v>
      </c>
      <c r="DT16" s="10" t="str">
        <f t="shared" si="24"/>
        <v>FCS0111-4-1/1S–MC–107-F7-CN1</v>
      </c>
      <c r="DU16" s="6" t="str">
        <f t="shared" si="25"/>
        <v>FCS0111-4-1/1S–MC–107-F7-CN2</v>
      </c>
      <c r="DV16" s="19">
        <v>1</v>
      </c>
      <c r="DW16" s="20" t="str">
        <f t="shared" si="26"/>
        <v>11</v>
      </c>
      <c r="DX16" s="21">
        <v>4</v>
      </c>
      <c r="DY16" s="22">
        <v>1</v>
      </c>
      <c r="DZ16" s="23">
        <v>2</v>
      </c>
      <c r="EA16" s="23">
        <v>8</v>
      </c>
      <c r="ED16" s="9" t="str">
        <f t="shared" si="27"/>
        <v>ANB10D</v>
      </c>
      <c r="EF16" s="6" t="s">
        <v>172</v>
      </c>
      <c r="EH16" s="6" t="s">
        <v>268</v>
      </c>
      <c r="EI16" s="6" t="s">
        <v>199</v>
      </c>
      <c r="EJ16" s="12">
        <v>100</v>
      </c>
      <c r="EN16" s="12" t="s">
        <v>1100</v>
      </c>
      <c r="EP16" s="6" t="s">
        <v>1148</v>
      </c>
      <c r="ET16" s="6" t="str">
        <f t="shared" si="5"/>
        <v>짝수</v>
      </c>
      <c r="EU16" s="12">
        <v>4</v>
      </c>
      <c r="EV16" s="45" t="str">
        <f t="shared" ca="1" si="18"/>
        <v>D</v>
      </c>
      <c r="EW16" s="6">
        <f t="shared" ca="1" si="6"/>
        <v>68</v>
      </c>
      <c r="FR16" s="6">
        <v>1</v>
      </c>
      <c r="FS16" s="6" t="str">
        <f t="shared" si="7"/>
        <v/>
      </c>
      <c r="FT16" s="6" t="str">
        <f t="shared" si="8"/>
        <v/>
      </c>
      <c r="FU16" s="6" t="str">
        <f t="shared" ca="1" si="19"/>
        <v/>
      </c>
      <c r="FV16" s="6" t="str">
        <f t="shared" ca="1" si="9"/>
        <v/>
      </c>
      <c r="FW16" s="6" t="str">
        <f t="shared" ca="1" si="10"/>
        <v/>
      </c>
      <c r="FX16" s="6" t="str">
        <f t="shared" ca="1" si="11"/>
        <v/>
      </c>
      <c r="FY16" s="6" t="str">
        <f t="shared" ca="1" si="12"/>
        <v/>
      </c>
      <c r="FZ16" s="6" t="str">
        <f t="shared" ca="1" si="13"/>
        <v/>
      </c>
    </row>
    <row r="17" spans="1:182" ht="15.95" customHeight="1">
      <c r="A17" s="6">
        <v>433</v>
      </c>
      <c r="B17" s="6" t="s">
        <v>175</v>
      </c>
      <c r="E17" s="6" t="s">
        <v>542</v>
      </c>
      <c r="F17" s="6" t="s">
        <v>1247</v>
      </c>
      <c r="G17" s="6" t="s">
        <v>1218</v>
      </c>
      <c r="H17" s="7" t="s">
        <v>1219</v>
      </c>
      <c r="I17" s="7"/>
      <c r="J17" s="6" t="s">
        <v>1199</v>
      </c>
      <c r="K17" s="6" t="s">
        <v>1201</v>
      </c>
      <c r="N17" s="6" t="s">
        <v>1203</v>
      </c>
      <c r="O17" s="6" t="s">
        <v>1205</v>
      </c>
      <c r="R17" s="101" t="s">
        <v>1220</v>
      </c>
      <c r="Y17" s="6" t="s">
        <v>1221</v>
      </c>
      <c r="Z17" s="6">
        <v>1</v>
      </c>
      <c r="AA17" s="6">
        <v>2</v>
      </c>
      <c r="AD17" s="6" t="s">
        <v>1203</v>
      </c>
      <c r="AE17" s="6" t="s">
        <v>1205</v>
      </c>
      <c r="AG17" s="6" t="s">
        <v>1222</v>
      </c>
      <c r="AY17" s="8" t="s">
        <v>176</v>
      </c>
      <c r="AZ17" s="8" t="s">
        <v>195</v>
      </c>
      <c r="BA17" s="13" t="s">
        <v>197</v>
      </c>
      <c r="BB17" s="13" t="s">
        <v>7</v>
      </c>
      <c r="BC17" s="13">
        <v>109</v>
      </c>
      <c r="BD17" s="13">
        <v>110</v>
      </c>
      <c r="DC17" s="6" t="s">
        <v>169</v>
      </c>
      <c r="DD17" s="6" t="s">
        <v>182</v>
      </c>
      <c r="DH17" s="6" t="str">
        <f t="shared" si="20"/>
        <v>A1</v>
      </c>
      <c r="DI17" s="6" t="str">
        <f t="shared" si="21"/>
        <v>B1</v>
      </c>
      <c r="DK17" s="6" t="s">
        <v>173</v>
      </c>
      <c r="DL17" s="6" t="str">
        <f t="shared" si="22"/>
        <v/>
      </c>
      <c r="DO17" s="9" t="s">
        <v>170</v>
      </c>
      <c r="DP17" s="6" t="s">
        <v>171</v>
      </c>
      <c r="DQ17" s="6" t="s">
        <v>645</v>
      </c>
      <c r="DS17" s="6" t="str">
        <f t="shared" si="23"/>
        <v>KS1</v>
      </c>
      <c r="DT17" s="10" t="str">
        <f t="shared" si="24"/>
        <v>FCS0111-5-1/1S–MC–107-F11-CN1</v>
      </c>
      <c r="DU17" s="6" t="str">
        <f t="shared" si="25"/>
        <v/>
      </c>
      <c r="DV17" s="19">
        <v>1</v>
      </c>
      <c r="DW17" s="20" t="str">
        <f t="shared" si="26"/>
        <v>11</v>
      </c>
      <c r="DX17" s="21">
        <v>5</v>
      </c>
      <c r="DY17" s="22">
        <v>1</v>
      </c>
      <c r="DZ17" s="23" t="s">
        <v>204</v>
      </c>
      <c r="EA17" s="23">
        <v>1</v>
      </c>
      <c r="ED17" s="9" t="str">
        <f t="shared" si="27"/>
        <v>ANB10D</v>
      </c>
      <c r="EF17" s="6" t="s">
        <v>172</v>
      </c>
      <c r="EH17" s="6" t="s">
        <v>274</v>
      </c>
      <c r="EI17" s="6" t="s">
        <v>430</v>
      </c>
      <c r="EJ17" s="12">
        <v>100</v>
      </c>
      <c r="EN17" s="12" t="s">
        <v>1100</v>
      </c>
      <c r="EP17" s="6" t="s">
        <v>1148</v>
      </c>
      <c r="ET17" s="6" t="str">
        <f t="shared" si="5"/>
        <v>홀수</v>
      </c>
      <c r="EU17" s="12">
        <v>5</v>
      </c>
      <c r="EV17" s="45" t="str">
        <f t="shared" ca="1" si="18"/>
        <v>A</v>
      </c>
      <c r="EW17" s="6">
        <f t="shared" ca="1" si="6"/>
        <v>65</v>
      </c>
      <c r="FR17" s="6">
        <v>1</v>
      </c>
      <c r="FS17" s="6" t="str">
        <f t="shared" si="7"/>
        <v/>
      </c>
      <c r="FT17" s="6" t="str">
        <f t="shared" si="8"/>
        <v/>
      </c>
      <c r="FU17" s="6" t="str">
        <f t="shared" ca="1" si="19"/>
        <v/>
      </c>
      <c r="FV17" s="6" t="str">
        <f t="shared" ca="1" si="9"/>
        <v/>
      </c>
      <c r="FW17" s="6" t="str">
        <f t="shared" ca="1" si="10"/>
        <v/>
      </c>
      <c r="FX17" s="6" t="str">
        <f t="shared" ca="1" si="11"/>
        <v/>
      </c>
      <c r="FY17" s="6" t="str">
        <f t="shared" ca="1" si="12"/>
        <v/>
      </c>
      <c r="FZ17" s="6" t="str">
        <f t="shared" ca="1" si="13"/>
        <v/>
      </c>
    </row>
    <row r="18" spans="1:182" ht="15.95" customHeight="1">
      <c r="A18" s="6">
        <v>434</v>
      </c>
      <c r="B18" s="6" t="s">
        <v>175</v>
      </c>
      <c r="E18" s="6" t="s">
        <v>543</v>
      </c>
      <c r="F18" s="6" t="s">
        <v>1248</v>
      </c>
      <c r="G18" s="6" t="s">
        <v>1218</v>
      </c>
      <c r="H18" s="7" t="s">
        <v>1219</v>
      </c>
      <c r="I18" s="7"/>
      <c r="J18" s="6" t="s">
        <v>1199</v>
      </c>
      <c r="K18" s="6" t="s">
        <v>1201</v>
      </c>
      <c r="N18" s="6" t="s">
        <v>1203</v>
      </c>
      <c r="O18" s="6" t="s">
        <v>1205</v>
      </c>
      <c r="R18" s="101" t="s">
        <v>1220</v>
      </c>
      <c r="Y18" s="6" t="s">
        <v>1249</v>
      </c>
      <c r="Z18" s="6">
        <v>1</v>
      </c>
      <c r="AA18" s="6">
        <v>2</v>
      </c>
      <c r="AD18" s="6" t="s">
        <v>1203</v>
      </c>
      <c r="AE18" s="6" t="s">
        <v>1205</v>
      </c>
      <c r="AG18" s="6" t="s">
        <v>1250</v>
      </c>
      <c r="AY18" s="8" t="s">
        <v>176</v>
      </c>
      <c r="AZ18" s="8" t="s">
        <v>195</v>
      </c>
      <c r="BA18" s="13" t="s">
        <v>197</v>
      </c>
      <c r="BB18" s="13" t="s">
        <v>8</v>
      </c>
      <c r="BC18" s="13">
        <v>25</v>
      </c>
      <c r="BD18" s="13">
        <v>26</v>
      </c>
      <c r="DC18" s="6" t="s">
        <v>169</v>
      </c>
      <c r="DD18" s="6" t="s">
        <v>182</v>
      </c>
      <c r="DH18" s="6" t="str">
        <f t="shared" si="20"/>
        <v>A2</v>
      </c>
      <c r="DI18" s="6" t="str">
        <f t="shared" si="21"/>
        <v>B2</v>
      </c>
      <c r="DK18" s="6" t="s">
        <v>173</v>
      </c>
      <c r="DL18" s="6" t="str">
        <f t="shared" si="22"/>
        <v/>
      </c>
      <c r="DO18" s="9" t="s">
        <v>170</v>
      </c>
      <c r="DP18" s="6" t="s">
        <v>171</v>
      </c>
      <c r="DQ18" s="6" t="s">
        <v>645</v>
      </c>
      <c r="DS18" s="6" t="str">
        <f t="shared" si="23"/>
        <v>KS1</v>
      </c>
      <c r="DT18" s="10" t="str">
        <f t="shared" si="24"/>
        <v>FCS0111-5-1/1S–MC–107-F11-CN1</v>
      </c>
      <c r="DU18" s="6" t="str">
        <f t="shared" si="25"/>
        <v/>
      </c>
      <c r="DV18" s="19">
        <v>1</v>
      </c>
      <c r="DW18" s="20" t="str">
        <f t="shared" si="26"/>
        <v>11</v>
      </c>
      <c r="DX18" s="21">
        <v>5</v>
      </c>
      <c r="DY18" s="22">
        <v>1</v>
      </c>
      <c r="DZ18" s="23" t="s">
        <v>204</v>
      </c>
      <c r="EA18" s="23">
        <v>2</v>
      </c>
      <c r="ED18" s="9" t="str">
        <f t="shared" si="27"/>
        <v>ANB10D</v>
      </c>
      <c r="EF18" s="6" t="s">
        <v>172</v>
      </c>
      <c r="EH18" s="6" t="s">
        <v>275</v>
      </c>
      <c r="EI18" s="6" t="s">
        <v>430</v>
      </c>
      <c r="EJ18" s="12">
        <v>100</v>
      </c>
      <c r="EN18" s="12" t="s">
        <v>1100</v>
      </c>
      <c r="EP18" s="6" t="s">
        <v>1148</v>
      </c>
      <c r="ET18" s="6" t="str">
        <f t="shared" si="5"/>
        <v>홀수</v>
      </c>
      <c r="EU18" s="12">
        <v>5</v>
      </c>
      <c r="EV18" s="45" t="str">
        <f t="shared" ca="1" si="18"/>
        <v>B</v>
      </c>
      <c r="EW18" s="6">
        <f t="shared" ca="1" si="6"/>
        <v>66</v>
      </c>
      <c r="FR18" s="6">
        <v>1</v>
      </c>
      <c r="FS18" s="6" t="str">
        <f t="shared" si="7"/>
        <v/>
      </c>
      <c r="FT18" s="6" t="str">
        <f t="shared" si="8"/>
        <v/>
      </c>
      <c r="FU18" s="6" t="str">
        <f t="shared" ca="1" si="19"/>
        <v/>
      </c>
      <c r="FV18" s="6" t="str">
        <f t="shared" ca="1" si="9"/>
        <v/>
      </c>
      <c r="FW18" s="6" t="str">
        <f t="shared" ca="1" si="10"/>
        <v/>
      </c>
      <c r="FX18" s="6" t="str">
        <f t="shared" ca="1" si="11"/>
        <v/>
      </c>
      <c r="FY18" s="6" t="str">
        <f t="shared" ca="1" si="12"/>
        <v/>
      </c>
      <c r="FZ18" s="6" t="str">
        <f t="shared" ca="1" si="13"/>
        <v/>
      </c>
    </row>
    <row r="19" spans="1:182" ht="15.95" customHeight="1">
      <c r="A19" s="6">
        <v>435</v>
      </c>
      <c r="B19" s="6" t="s">
        <v>175</v>
      </c>
      <c r="E19" s="6" t="s">
        <v>544</v>
      </c>
      <c r="F19" s="6" t="s">
        <v>1251</v>
      </c>
      <c r="G19" s="6" t="s">
        <v>1218</v>
      </c>
      <c r="H19" s="7" t="s">
        <v>1219</v>
      </c>
      <c r="I19" s="7"/>
      <c r="J19" s="6" t="s">
        <v>1199</v>
      </c>
      <c r="K19" s="6" t="s">
        <v>1201</v>
      </c>
      <c r="N19" s="6" t="s">
        <v>1203</v>
      </c>
      <c r="O19" s="6" t="s">
        <v>1205</v>
      </c>
      <c r="R19" s="101" t="s">
        <v>1220</v>
      </c>
      <c r="Y19" s="6" t="s">
        <v>1252</v>
      </c>
      <c r="Z19" s="6">
        <v>1</v>
      </c>
      <c r="AA19" s="6">
        <v>2</v>
      </c>
      <c r="AD19" s="6" t="s">
        <v>1203</v>
      </c>
      <c r="AE19" s="6" t="s">
        <v>1205</v>
      </c>
      <c r="AG19" s="6" t="s">
        <v>1253</v>
      </c>
      <c r="AY19" s="8" t="s">
        <v>176</v>
      </c>
      <c r="AZ19" s="8" t="s">
        <v>195</v>
      </c>
      <c r="BA19" s="13" t="s">
        <v>197</v>
      </c>
      <c r="BB19" s="13" t="s">
        <v>8</v>
      </c>
      <c r="BC19" s="13">
        <v>73</v>
      </c>
      <c r="BD19" s="13">
        <v>74</v>
      </c>
      <c r="DC19" s="6" t="s">
        <v>169</v>
      </c>
      <c r="DD19" s="6" t="s">
        <v>182</v>
      </c>
      <c r="DH19" s="6" t="str">
        <f t="shared" si="20"/>
        <v>A3</v>
      </c>
      <c r="DI19" s="6" t="str">
        <f t="shared" si="21"/>
        <v>B3</v>
      </c>
      <c r="DK19" s="6" t="s">
        <v>173</v>
      </c>
      <c r="DL19" s="6" t="str">
        <f t="shared" si="22"/>
        <v/>
      </c>
      <c r="DO19" s="9" t="s">
        <v>170</v>
      </c>
      <c r="DP19" s="6" t="s">
        <v>171</v>
      </c>
      <c r="DQ19" s="6" t="s">
        <v>645</v>
      </c>
      <c r="DS19" s="6" t="str">
        <f t="shared" si="23"/>
        <v>KS1</v>
      </c>
      <c r="DT19" s="10" t="str">
        <f t="shared" si="24"/>
        <v>FCS0111-5-1/1S–MC–107-F11-CN1</v>
      </c>
      <c r="DU19" s="6" t="str">
        <f t="shared" si="25"/>
        <v/>
      </c>
      <c r="DV19" s="19">
        <v>1</v>
      </c>
      <c r="DW19" s="20" t="str">
        <f t="shared" si="26"/>
        <v>11</v>
      </c>
      <c r="DX19" s="21">
        <v>5</v>
      </c>
      <c r="DY19" s="22">
        <v>1</v>
      </c>
      <c r="DZ19" s="23" t="s">
        <v>204</v>
      </c>
      <c r="EA19" s="23">
        <v>3</v>
      </c>
      <c r="ED19" s="9" t="str">
        <f t="shared" si="27"/>
        <v>ANB10D</v>
      </c>
      <c r="EF19" s="6" t="s">
        <v>172</v>
      </c>
      <c r="EH19" s="6" t="s">
        <v>276</v>
      </c>
      <c r="EI19" s="6" t="s">
        <v>430</v>
      </c>
      <c r="EJ19" s="12">
        <v>100</v>
      </c>
      <c r="EN19" s="12" t="s">
        <v>1100</v>
      </c>
      <c r="EP19" s="6" t="s">
        <v>1148</v>
      </c>
      <c r="ET19" s="6" t="str">
        <f t="shared" si="5"/>
        <v>홀수</v>
      </c>
      <c r="EU19" s="12">
        <v>5</v>
      </c>
      <c r="EV19" s="45" t="str">
        <f t="shared" ca="1" si="18"/>
        <v>C</v>
      </c>
      <c r="EW19" s="6">
        <f t="shared" ca="1" si="6"/>
        <v>67</v>
      </c>
      <c r="FR19" s="6">
        <v>1</v>
      </c>
      <c r="FS19" s="6" t="str">
        <f t="shared" si="7"/>
        <v/>
      </c>
      <c r="FT19" s="6" t="str">
        <f t="shared" si="8"/>
        <v/>
      </c>
      <c r="FU19" s="6" t="str">
        <f t="shared" ca="1" si="19"/>
        <v/>
      </c>
      <c r="FV19" s="6" t="str">
        <f t="shared" ca="1" si="9"/>
        <v/>
      </c>
      <c r="FW19" s="6" t="str">
        <f t="shared" ca="1" si="10"/>
        <v/>
      </c>
      <c r="FX19" s="6" t="str">
        <f t="shared" ca="1" si="11"/>
        <v/>
      </c>
      <c r="FY19" s="6" t="str">
        <f t="shared" ca="1" si="12"/>
        <v/>
      </c>
      <c r="FZ19" s="6" t="str">
        <f t="shared" ca="1" si="13"/>
        <v/>
      </c>
    </row>
    <row r="20" spans="1:182" ht="15.95" customHeight="1">
      <c r="A20" s="6">
        <v>436</v>
      </c>
      <c r="B20" s="6" t="s">
        <v>175</v>
      </c>
      <c r="E20" s="6" t="s">
        <v>545</v>
      </c>
      <c r="F20" s="6" t="s">
        <v>1254</v>
      </c>
      <c r="G20" s="6" t="s">
        <v>1218</v>
      </c>
      <c r="H20" s="7" t="s">
        <v>1219</v>
      </c>
      <c r="I20" s="7"/>
      <c r="J20" s="6" t="s">
        <v>1199</v>
      </c>
      <c r="K20" s="6" t="s">
        <v>1201</v>
      </c>
      <c r="N20" s="6" t="s">
        <v>1203</v>
      </c>
      <c r="O20" s="6" t="s">
        <v>1205</v>
      </c>
      <c r="R20" s="101" t="s">
        <v>1220</v>
      </c>
      <c r="Y20" s="6" t="s">
        <v>1252</v>
      </c>
      <c r="Z20" s="6">
        <v>3</v>
      </c>
      <c r="AA20" s="6">
        <v>4</v>
      </c>
      <c r="AD20" s="6" t="s">
        <v>1203</v>
      </c>
      <c r="AE20" s="6" t="s">
        <v>1205</v>
      </c>
      <c r="AG20" s="6" t="s">
        <v>1253</v>
      </c>
      <c r="AY20" s="8" t="s">
        <v>176</v>
      </c>
      <c r="AZ20" s="8" t="s">
        <v>195</v>
      </c>
      <c r="BA20" s="13" t="s">
        <v>197</v>
      </c>
      <c r="BB20" s="13" t="s">
        <v>8</v>
      </c>
      <c r="BC20" s="13">
        <v>75</v>
      </c>
      <c r="BD20" s="13">
        <v>76</v>
      </c>
      <c r="DC20" s="6" t="s">
        <v>169</v>
      </c>
      <c r="DD20" s="6" t="s">
        <v>182</v>
      </c>
      <c r="DH20" s="6" t="str">
        <f t="shared" si="20"/>
        <v>A4</v>
      </c>
      <c r="DI20" s="6" t="str">
        <f t="shared" si="21"/>
        <v>B4</v>
      </c>
      <c r="DK20" s="6" t="s">
        <v>173</v>
      </c>
      <c r="DL20" s="6" t="str">
        <f t="shared" si="22"/>
        <v/>
      </c>
      <c r="DO20" s="9" t="s">
        <v>170</v>
      </c>
      <c r="DP20" s="6" t="s">
        <v>171</v>
      </c>
      <c r="DQ20" s="6" t="s">
        <v>645</v>
      </c>
      <c r="DS20" s="6" t="str">
        <f t="shared" si="23"/>
        <v>KS1</v>
      </c>
      <c r="DT20" s="10" t="str">
        <f t="shared" si="24"/>
        <v>FCS0111-5-1/1S–MC–107-F11-CN1</v>
      </c>
      <c r="DU20" s="6" t="str">
        <f t="shared" si="25"/>
        <v/>
      </c>
      <c r="DV20" s="19">
        <v>1</v>
      </c>
      <c r="DW20" s="20" t="str">
        <f t="shared" si="26"/>
        <v>11</v>
      </c>
      <c r="DX20" s="21">
        <v>5</v>
      </c>
      <c r="DY20" s="22">
        <v>1</v>
      </c>
      <c r="DZ20" s="23" t="s">
        <v>204</v>
      </c>
      <c r="EA20" s="23">
        <v>4</v>
      </c>
      <c r="ED20" s="9" t="str">
        <f t="shared" si="27"/>
        <v>ANB10D</v>
      </c>
      <c r="EF20" s="6" t="s">
        <v>172</v>
      </c>
      <c r="EH20" s="6" t="s">
        <v>277</v>
      </c>
      <c r="EI20" s="6" t="s">
        <v>430</v>
      </c>
      <c r="EJ20" s="12">
        <v>100</v>
      </c>
      <c r="EN20" s="12" t="s">
        <v>1100</v>
      </c>
      <c r="EP20" s="6" t="s">
        <v>1148</v>
      </c>
      <c r="ET20" s="6" t="str">
        <f t="shared" si="5"/>
        <v>홀수</v>
      </c>
      <c r="EU20" s="12">
        <v>5</v>
      </c>
      <c r="EV20" s="45" t="str">
        <f t="shared" ca="1" si="18"/>
        <v>D</v>
      </c>
      <c r="EW20" s="6">
        <f t="shared" ca="1" si="6"/>
        <v>68</v>
      </c>
      <c r="FR20" s="6">
        <v>1</v>
      </c>
      <c r="FS20" s="6" t="str">
        <f t="shared" si="7"/>
        <v/>
      </c>
      <c r="FT20" s="6" t="str">
        <f t="shared" si="8"/>
        <v/>
      </c>
      <c r="FU20" s="6" t="str">
        <f t="shared" ca="1" si="19"/>
        <v/>
      </c>
      <c r="FV20" s="6" t="str">
        <f t="shared" ca="1" si="9"/>
        <v/>
      </c>
      <c r="FW20" s="6" t="str">
        <f t="shared" ca="1" si="10"/>
        <v/>
      </c>
      <c r="FX20" s="6" t="str">
        <f t="shared" ca="1" si="11"/>
        <v/>
      </c>
      <c r="FY20" s="6" t="str">
        <f t="shared" ca="1" si="12"/>
        <v/>
      </c>
      <c r="FZ20" s="6" t="str">
        <f t="shared" ca="1" si="13"/>
        <v/>
      </c>
    </row>
    <row r="21" spans="1:182" ht="15.95" customHeight="1">
      <c r="A21" s="6">
        <v>437</v>
      </c>
      <c r="B21" s="6" t="s">
        <v>175</v>
      </c>
      <c r="E21" s="6" t="s">
        <v>546</v>
      </c>
      <c r="F21" s="6" t="s">
        <v>1255</v>
      </c>
      <c r="G21" s="6" t="s">
        <v>1218</v>
      </c>
      <c r="H21" s="7" t="s">
        <v>1219</v>
      </c>
      <c r="I21" s="7"/>
      <c r="J21" s="6" t="s">
        <v>1199</v>
      </c>
      <c r="K21" s="6" t="s">
        <v>1201</v>
      </c>
      <c r="N21" s="6" t="s">
        <v>1203</v>
      </c>
      <c r="O21" s="6" t="s">
        <v>1205</v>
      </c>
      <c r="R21" s="101" t="s">
        <v>1220</v>
      </c>
      <c r="Y21" s="6" t="s">
        <v>1249</v>
      </c>
      <c r="Z21" s="6">
        <v>3</v>
      </c>
      <c r="AA21" s="6">
        <v>4</v>
      </c>
      <c r="AD21" s="6" t="s">
        <v>1203</v>
      </c>
      <c r="AE21" s="6" t="s">
        <v>1205</v>
      </c>
      <c r="AG21" s="6" t="s">
        <v>1250</v>
      </c>
      <c r="AY21" s="8" t="s">
        <v>176</v>
      </c>
      <c r="AZ21" s="8" t="s">
        <v>195</v>
      </c>
      <c r="BA21" s="13" t="s">
        <v>197</v>
      </c>
      <c r="BB21" s="13" t="s">
        <v>8</v>
      </c>
      <c r="BC21" s="13">
        <v>27</v>
      </c>
      <c r="BD21" s="13">
        <v>28</v>
      </c>
      <c r="DC21" s="6" t="s">
        <v>169</v>
      </c>
      <c r="DD21" s="6" t="s">
        <v>182</v>
      </c>
      <c r="DH21" s="6" t="str">
        <f t="shared" si="20"/>
        <v>A5</v>
      </c>
      <c r="DI21" s="6" t="str">
        <f t="shared" si="21"/>
        <v>B5</v>
      </c>
      <c r="DK21" s="6" t="s">
        <v>173</v>
      </c>
      <c r="DL21" s="6" t="str">
        <f t="shared" si="22"/>
        <v/>
      </c>
      <c r="DO21" s="9" t="s">
        <v>170</v>
      </c>
      <c r="DP21" s="6" t="s">
        <v>171</v>
      </c>
      <c r="DQ21" s="6" t="s">
        <v>645</v>
      </c>
      <c r="DS21" s="6" t="str">
        <f t="shared" si="23"/>
        <v>KS1</v>
      </c>
      <c r="DT21" s="10" t="str">
        <f t="shared" si="24"/>
        <v>FCS0111-5-1/1S–MC–107-F11-CN1</v>
      </c>
      <c r="DU21" s="6" t="str">
        <f t="shared" si="25"/>
        <v/>
      </c>
      <c r="DV21" s="19">
        <v>1</v>
      </c>
      <c r="DW21" s="20" t="str">
        <f t="shared" si="26"/>
        <v>11</v>
      </c>
      <c r="DX21" s="21">
        <v>5</v>
      </c>
      <c r="DY21" s="22">
        <v>1</v>
      </c>
      <c r="DZ21" s="23" t="s">
        <v>204</v>
      </c>
      <c r="EA21" s="23">
        <v>5</v>
      </c>
      <c r="ED21" s="9" t="str">
        <f t="shared" si="27"/>
        <v>ANB10D</v>
      </c>
      <c r="EF21" s="6" t="s">
        <v>172</v>
      </c>
      <c r="EH21" s="6" t="s">
        <v>278</v>
      </c>
      <c r="EI21" s="6" t="s">
        <v>430</v>
      </c>
      <c r="EJ21" s="12">
        <v>100</v>
      </c>
      <c r="EN21" s="12" t="s">
        <v>1100</v>
      </c>
      <c r="EP21" s="6" t="s">
        <v>1148</v>
      </c>
      <c r="ET21" s="6" t="str">
        <f t="shared" si="5"/>
        <v>짝수</v>
      </c>
      <c r="EU21" s="12">
        <v>6</v>
      </c>
      <c r="EV21" s="45" t="str">
        <f t="shared" ca="1" si="18"/>
        <v>A</v>
      </c>
      <c r="EW21" s="6">
        <f t="shared" ca="1" si="6"/>
        <v>65</v>
      </c>
      <c r="FR21" s="6">
        <v>1</v>
      </c>
      <c r="FS21" s="6" t="str">
        <f t="shared" si="7"/>
        <v/>
      </c>
      <c r="FT21" s="6" t="str">
        <f t="shared" si="8"/>
        <v/>
      </c>
      <c r="FU21" s="6" t="str">
        <f t="shared" ca="1" si="19"/>
        <v/>
      </c>
      <c r="FV21" s="6" t="str">
        <f t="shared" ca="1" si="9"/>
        <v/>
      </c>
      <c r="FW21" s="6" t="str">
        <f t="shared" ca="1" si="10"/>
        <v/>
      </c>
      <c r="FX21" s="6" t="str">
        <f t="shared" ca="1" si="11"/>
        <v/>
      </c>
      <c r="FY21" s="6" t="str">
        <f t="shared" ca="1" si="12"/>
        <v/>
      </c>
      <c r="FZ21" s="6" t="str">
        <f t="shared" ca="1" si="13"/>
        <v/>
      </c>
    </row>
    <row r="22" spans="1:182" ht="15.95" customHeight="1">
      <c r="A22" s="6">
        <v>438</v>
      </c>
      <c r="B22" s="6" t="s">
        <v>175</v>
      </c>
      <c r="E22" s="6" t="s">
        <v>547</v>
      </c>
      <c r="F22" s="6" t="s">
        <v>1256</v>
      </c>
      <c r="G22" s="6" t="s">
        <v>1218</v>
      </c>
      <c r="H22" s="7" t="s">
        <v>1219</v>
      </c>
      <c r="I22" s="7"/>
      <c r="J22" s="6" t="s">
        <v>1199</v>
      </c>
      <c r="K22" s="6" t="s">
        <v>1201</v>
      </c>
      <c r="N22" s="6" t="s">
        <v>1203</v>
      </c>
      <c r="O22" s="6" t="s">
        <v>1205</v>
      </c>
      <c r="R22" s="101" t="s">
        <v>1220</v>
      </c>
      <c r="Y22" s="6" t="s">
        <v>1228</v>
      </c>
      <c r="Z22" s="6">
        <v>1</v>
      </c>
      <c r="AA22" s="6">
        <v>2</v>
      </c>
      <c r="AD22" s="6" t="s">
        <v>1203</v>
      </c>
      <c r="AE22" s="6" t="s">
        <v>1205</v>
      </c>
      <c r="AG22" s="6" t="s">
        <v>1229</v>
      </c>
      <c r="AY22" s="8" t="s">
        <v>176</v>
      </c>
      <c r="AZ22" s="8" t="s">
        <v>195</v>
      </c>
      <c r="BA22" s="13" t="s">
        <v>197</v>
      </c>
      <c r="BB22" s="13" t="s">
        <v>8</v>
      </c>
      <c r="BC22" s="13">
        <v>97</v>
      </c>
      <c r="BD22" s="13">
        <v>98</v>
      </c>
      <c r="DC22" s="6" t="s">
        <v>169</v>
      </c>
      <c r="DD22" s="6" t="s">
        <v>182</v>
      </c>
      <c r="DH22" s="6" t="str">
        <f t="shared" si="20"/>
        <v>A6</v>
      </c>
      <c r="DI22" s="6" t="str">
        <f t="shared" si="21"/>
        <v>B6</v>
      </c>
      <c r="DK22" s="6" t="s">
        <v>173</v>
      </c>
      <c r="DL22" s="6" t="str">
        <f t="shared" si="22"/>
        <v/>
      </c>
      <c r="DO22" s="9" t="s">
        <v>170</v>
      </c>
      <c r="DP22" s="6" t="s">
        <v>171</v>
      </c>
      <c r="DQ22" s="6" t="s">
        <v>645</v>
      </c>
      <c r="DS22" s="6" t="str">
        <f t="shared" si="23"/>
        <v>KS1</v>
      </c>
      <c r="DT22" s="10" t="str">
        <f t="shared" si="24"/>
        <v>FCS0111-5-1/1S–MC–107-F11-CN1</v>
      </c>
      <c r="DU22" s="6" t="str">
        <f t="shared" si="25"/>
        <v/>
      </c>
      <c r="DV22" s="19">
        <v>1</v>
      </c>
      <c r="DW22" s="20" t="str">
        <f t="shared" si="26"/>
        <v>11</v>
      </c>
      <c r="DX22" s="21">
        <v>5</v>
      </c>
      <c r="DY22" s="22">
        <v>1</v>
      </c>
      <c r="DZ22" s="23" t="s">
        <v>204</v>
      </c>
      <c r="EA22" s="23">
        <v>6</v>
      </c>
      <c r="ED22" s="9" t="str">
        <f t="shared" si="27"/>
        <v>ANB10D</v>
      </c>
      <c r="EF22" s="6" t="s">
        <v>172</v>
      </c>
      <c r="EH22" s="6" t="s">
        <v>279</v>
      </c>
      <c r="EI22" s="6" t="s">
        <v>430</v>
      </c>
      <c r="EJ22" s="12">
        <v>100</v>
      </c>
      <c r="EN22" s="12" t="s">
        <v>1100</v>
      </c>
      <c r="EP22" s="6" t="s">
        <v>1148</v>
      </c>
      <c r="ET22" s="6" t="str">
        <f t="shared" si="5"/>
        <v>짝수</v>
      </c>
      <c r="EU22" s="12">
        <v>6</v>
      </c>
      <c r="EV22" s="45" t="str">
        <f t="shared" ca="1" si="18"/>
        <v>B</v>
      </c>
      <c r="EW22" s="6">
        <f t="shared" ca="1" si="6"/>
        <v>66</v>
      </c>
      <c r="FR22" s="6">
        <v>1</v>
      </c>
      <c r="FS22" s="6" t="str">
        <f t="shared" si="7"/>
        <v/>
      </c>
      <c r="FT22" s="6" t="str">
        <f t="shared" si="8"/>
        <v/>
      </c>
      <c r="FU22" s="6" t="str">
        <f t="shared" ca="1" si="19"/>
        <v/>
      </c>
      <c r="FV22" s="6" t="str">
        <f t="shared" ca="1" si="9"/>
        <v/>
      </c>
      <c r="FW22" s="6" t="str">
        <f t="shared" ca="1" si="10"/>
        <v/>
      </c>
      <c r="FX22" s="6" t="str">
        <f t="shared" ca="1" si="11"/>
        <v/>
      </c>
      <c r="FY22" s="6" t="str">
        <f t="shared" ca="1" si="12"/>
        <v/>
      </c>
      <c r="FZ22" s="6" t="str">
        <f t="shared" ca="1" si="13"/>
        <v/>
      </c>
    </row>
    <row r="23" spans="1:182" ht="15.95" customHeight="1">
      <c r="A23" s="6">
        <v>439</v>
      </c>
      <c r="B23" s="6" t="s">
        <v>175</v>
      </c>
      <c r="E23" s="6" t="s">
        <v>548</v>
      </c>
      <c r="F23" s="6" t="s">
        <v>1257</v>
      </c>
      <c r="G23" s="6" t="s">
        <v>1218</v>
      </c>
      <c r="H23" s="7" t="s">
        <v>1219</v>
      </c>
      <c r="I23" s="7"/>
      <c r="J23" s="6" t="s">
        <v>1199</v>
      </c>
      <c r="K23" s="6" t="s">
        <v>1201</v>
      </c>
      <c r="N23" s="6" t="s">
        <v>1203</v>
      </c>
      <c r="O23" s="6" t="s">
        <v>1205</v>
      </c>
      <c r="R23" s="101" t="s">
        <v>1220</v>
      </c>
      <c r="Y23" s="6" t="s">
        <v>1228</v>
      </c>
      <c r="Z23" s="6">
        <v>3</v>
      </c>
      <c r="AA23" s="6">
        <v>4</v>
      </c>
      <c r="AD23" s="6" t="s">
        <v>1203</v>
      </c>
      <c r="AE23" s="6" t="s">
        <v>1205</v>
      </c>
      <c r="AG23" s="6" t="s">
        <v>1229</v>
      </c>
      <c r="AY23" s="8" t="s">
        <v>176</v>
      </c>
      <c r="AZ23" s="8" t="s">
        <v>195</v>
      </c>
      <c r="BA23" s="13" t="s">
        <v>197</v>
      </c>
      <c r="BB23" s="13" t="s">
        <v>8</v>
      </c>
      <c r="BC23" s="13">
        <v>99</v>
      </c>
      <c r="BD23" s="13">
        <v>100</v>
      </c>
      <c r="DC23" s="6" t="s">
        <v>169</v>
      </c>
      <c r="DD23" s="6" t="s">
        <v>182</v>
      </c>
      <c r="DH23" s="6" t="str">
        <f t="shared" si="20"/>
        <v>A7</v>
      </c>
      <c r="DI23" s="6" t="str">
        <f t="shared" si="21"/>
        <v>B7</v>
      </c>
      <c r="DK23" s="6" t="s">
        <v>173</v>
      </c>
      <c r="DL23" s="6" t="str">
        <f t="shared" si="22"/>
        <v/>
      </c>
      <c r="DO23" s="9" t="s">
        <v>170</v>
      </c>
      <c r="DP23" s="6" t="s">
        <v>171</v>
      </c>
      <c r="DQ23" s="6" t="s">
        <v>645</v>
      </c>
      <c r="DS23" s="6" t="str">
        <f t="shared" si="23"/>
        <v>KS1</v>
      </c>
      <c r="DT23" s="10" t="str">
        <f t="shared" si="24"/>
        <v>FCS0111-5-1/1S–MC–107-F11-CN1</v>
      </c>
      <c r="DU23" s="6" t="str">
        <f t="shared" si="25"/>
        <v/>
      </c>
      <c r="DV23" s="19">
        <v>1</v>
      </c>
      <c r="DW23" s="20" t="str">
        <f t="shared" si="26"/>
        <v>11</v>
      </c>
      <c r="DX23" s="21">
        <v>5</v>
      </c>
      <c r="DY23" s="22">
        <v>1</v>
      </c>
      <c r="DZ23" s="23" t="s">
        <v>204</v>
      </c>
      <c r="EA23" s="23">
        <v>7</v>
      </c>
      <c r="ED23" s="9" t="str">
        <f t="shared" si="27"/>
        <v>ANB10D</v>
      </c>
      <c r="EF23" s="6" t="s">
        <v>172</v>
      </c>
      <c r="EH23" s="6" t="s">
        <v>280</v>
      </c>
      <c r="EI23" s="6" t="s">
        <v>430</v>
      </c>
      <c r="EJ23" s="12">
        <v>100</v>
      </c>
      <c r="EN23" s="12" t="s">
        <v>1100</v>
      </c>
      <c r="EP23" s="6" t="s">
        <v>1148</v>
      </c>
      <c r="ET23" s="6" t="str">
        <f t="shared" si="5"/>
        <v>짝수</v>
      </c>
      <c r="EU23" s="12">
        <v>6</v>
      </c>
      <c r="EV23" s="45" t="str">
        <f t="shared" ca="1" si="18"/>
        <v>C</v>
      </c>
      <c r="EW23" s="6">
        <f t="shared" ca="1" si="6"/>
        <v>67</v>
      </c>
      <c r="FR23" s="6">
        <v>1</v>
      </c>
      <c r="FS23" s="6" t="str">
        <f t="shared" si="7"/>
        <v/>
      </c>
      <c r="FT23" s="6" t="str">
        <f t="shared" si="8"/>
        <v/>
      </c>
      <c r="FU23" s="6" t="str">
        <f t="shared" ca="1" si="19"/>
        <v/>
      </c>
      <c r="FV23" s="6" t="str">
        <f t="shared" ca="1" si="9"/>
        <v/>
      </c>
      <c r="FW23" s="6" t="str">
        <f t="shared" ca="1" si="10"/>
        <v/>
      </c>
      <c r="FX23" s="6" t="str">
        <f t="shared" ca="1" si="11"/>
        <v/>
      </c>
      <c r="FY23" s="6" t="str">
        <f t="shared" ca="1" si="12"/>
        <v/>
      </c>
      <c r="FZ23" s="6" t="str">
        <f t="shared" ca="1" si="13"/>
        <v/>
      </c>
    </row>
    <row r="24" spans="1:182" ht="15.95" customHeight="1">
      <c r="A24" s="6">
        <v>440</v>
      </c>
      <c r="B24" s="6" t="s">
        <v>175</v>
      </c>
      <c r="E24" s="6" t="s">
        <v>549</v>
      </c>
      <c r="F24" s="6" t="s">
        <v>1258</v>
      </c>
      <c r="G24" s="6" t="s">
        <v>1218</v>
      </c>
      <c r="H24" s="7" t="s">
        <v>1219</v>
      </c>
      <c r="I24" s="7"/>
      <c r="J24" s="6" t="s">
        <v>1199</v>
      </c>
      <c r="K24" s="6" t="s">
        <v>1201</v>
      </c>
      <c r="N24" s="6" t="s">
        <v>1203</v>
      </c>
      <c r="O24" s="6" t="s">
        <v>1205</v>
      </c>
      <c r="R24" s="101" t="s">
        <v>1220</v>
      </c>
      <c r="Y24" s="6" t="s">
        <v>1252</v>
      </c>
      <c r="Z24" s="6">
        <v>5</v>
      </c>
      <c r="AA24" s="6">
        <v>6</v>
      </c>
      <c r="AD24" s="6" t="s">
        <v>1203</v>
      </c>
      <c r="AE24" s="6" t="s">
        <v>1205</v>
      </c>
      <c r="AG24" s="6" t="s">
        <v>1253</v>
      </c>
      <c r="AY24" s="8" t="s">
        <v>176</v>
      </c>
      <c r="AZ24" s="8" t="s">
        <v>195</v>
      </c>
      <c r="BA24" s="13" t="s">
        <v>197</v>
      </c>
      <c r="BB24" s="13" t="s">
        <v>8</v>
      </c>
      <c r="BC24" s="13">
        <v>77</v>
      </c>
      <c r="BD24" s="13">
        <v>78</v>
      </c>
      <c r="DC24" s="6" t="s">
        <v>169</v>
      </c>
      <c r="DD24" s="6" t="s">
        <v>182</v>
      </c>
      <c r="DH24" s="6" t="str">
        <f t="shared" si="20"/>
        <v>A8</v>
      </c>
      <c r="DI24" s="6" t="str">
        <f t="shared" si="21"/>
        <v>B8</v>
      </c>
      <c r="DK24" s="6" t="s">
        <v>173</v>
      </c>
      <c r="DL24" s="6" t="str">
        <f t="shared" si="22"/>
        <v/>
      </c>
      <c r="DO24" s="9" t="s">
        <v>170</v>
      </c>
      <c r="DP24" s="6" t="s">
        <v>171</v>
      </c>
      <c r="DQ24" s="6" t="s">
        <v>645</v>
      </c>
      <c r="DS24" s="6" t="str">
        <f t="shared" si="23"/>
        <v>KS1</v>
      </c>
      <c r="DT24" s="10" t="str">
        <f t="shared" si="24"/>
        <v>FCS0111-5-1/1S–MC–107-F11-CN1</v>
      </c>
      <c r="DU24" s="6" t="str">
        <f t="shared" si="25"/>
        <v/>
      </c>
      <c r="DV24" s="19">
        <v>1</v>
      </c>
      <c r="DW24" s="20" t="str">
        <f t="shared" si="26"/>
        <v>11</v>
      </c>
      <c r="DX24" s="21">
        <v>5</v>
      </c>
      <c r="DY24" s="22">
        <v>1</v>
      </c>
      <c r="DZ24" s="23" t="s">
        <v>204</v>
      </c>
      <c r="EA24" s="23">
        <v>8</v>
      </c>
      <c r="ED24" s="9" t="str">
        <f t="shared" si="27"/>
        <v>ANB10D</v>
      </c>
      <c r="EF24" s="6" t="s">
        <v>172</v>
      </c>
      <c r="EH24" s="6" t="s">
        <v>281</v>
      </c>
      <c r="EI24" s="6" t="s">
        <v>430</v>
      </c>
      <c r="EJ24" s="12">
        <v>100</v>
      </c>
      <c r="EN24" s="12" t="s">
        <v>1100</v>
      </c>
      <c r="EP24" s="6" t="s">
        <v>1148</v>
      </c>
      <c r="ET24" s="6" t="str">
        <f t="shared" si="5"/>
        <v>짝수</v>
      </c>
      <c r="EU24" s="12">
        <v>6</v>
      </c>
      <c r="EV24" s="45" t="str">
        <f t="shared" ca="1" si="18"/>
        <v>D</v>
      </c>
      <c r="EW24" s="6">
        <f t="shared" ca="1" si="6"/>
        <v>68</v>
      </c>
      <c r="FR24" s="6">
        <v>1</v>
      </c>
      <c r="FS24" s="6" t="str">
        <f t="shared" si="7"/>
        <v/>
      </c>
      <c r="FT24" s="6" t="str">
        <f t="shared" si="8"/>
        <v/>
      </c>
      <c r="FU24" s="6" t="str">
        <f t="shared" ca="1" si="19"/>
        <v/>
      </c>
      <c r="FV24" s="6" t="str">
        <f t="shared" ca="1" si="9"/>
        <v/>
      </c>
      <c r="FW24" s="6" t="str">
        <f t="shared" ca="1" si="10"/>
        <v/>
      </c>
      <c r="FX24" s="6" t="str">
        <f t="shared" ca="1" si="11"/>
        <v/>
      </c>
      <c r="FY24" s="6" t="str">
        <f t="shared" ca="1" si="12"/>
        <v/>
      </c>
      <c r="FZ24" s="6" t="str">
        <f t="shared" ca="1" si="13"/>
        <v/>
      </c>
    </row>
    <row r="25" spans="1:182" ht="15.95" customHeight="1">
      <c r="A25" s="6">
        <v>8</v>
      </c>
      <c r="B25" s="6" t="s">
        <v>175</v>
      </c>
      <c r="E25" s="6" t="s">
        <v>475</v>
      </c>
      <c r="F25" s="6" t="s">
        <v>1259</v>
      </c>
      <c r="G25" s="6" t="s">
        <v>1218</v>
      </c>
      <c r="H25" s="7" t="s">
        <v>1219</v>
      </c>
      <c r="I25" s="7"/>
      <c r="J25" s="6" t="s">
        <v>1199</v>
      </c>
      <c r="K25" s="6" t="s">
        <v>1201</v>
      </c>
      <c r="N25" s="6" t="s">
        <v>1203</v>
      </c>
      <c r="O25" s="6" t="s">
        <v>1205</v>
      </c>
      <c r="R25" s="101" t="s">
        <v>1220</v>
      </c>
      <c r="Y25" s="6" t="s">
        <v>1232</v>
      </c>
      <c r="Z25" s="6">
        <v>5</v>
      </c>
      <c r="AA25" s="6">
        <v>6</v>
      </c>
      <c r="AD25" s="6" t="s">
        <v>1203</v>
      </c>
      <c r="AE25" s="6" t="s">
        <v>1205</v>
      </c>
      <c r="AG25" s="6" t="s">
        <v>1233</v>
      </c>
      <c r="AY25" s="8" t="s">
        <v>176</v>
      </c>
      <c r="AZ25" s="8" t="s">
        <v>195</v>
      </c>
      <c r="BA25" s="13" t="s">
        <v>197</v>
      </c>
      <c r="BB25" s="13" t="s">
        <v>8</v>
      </c>
      <c r="BC25" s="13">
        <v>127</v>
      </c>
      <c r="BD25" s="13">
        <v>128</v>
      </c>
      <c r="DC25" s="6" t="s">
        <v>169</v>
      </c>
      <c r="DD25" s="6" t="s">
        <v>177</v>
      </c>
      <c r="DH25" s="6" t="str">
        <f t="shared" si="20"/>
        <v>A8</v>
      </c>
      <c r="DI25" s="6" t="str">
        <f t="shared" si="21"/>
        <v>B8</v>
      </c>
      <c r="DK25" s="6" t="s">
        <v>173</v>
      </c>
      <c r="DL25" s="6" t="str">
        <f t="shared" si="22"/>
        <v>CN2</v>
      </c>
      <c r="DO25" s="9" t="s">
        <v>170</v>
      </c>
      <c r="DP25" s="6" t="s">
        <v>171</v>
      </c>
      <c r="DQ25" s="6" t="s">
        <v>645</v>
      </c>
      <c r="DS25" s="6" t="str">
        <f t="shared" si="23"/>
        <v>KS1</v>
      </c>
      <c r="DT25" s="10" t="str">
        <f t="shared" si="24"/>
        <v>FCS0111-1-1/1S–MC–107-F1-CN1</v>
      </c>
      <c r="DU25" s="6" t="str">
        <f t="shared" si="25"/>
        <v>FCS0111-1-1/1S–MC–107-F1-CN2</v>
      </c>
      <c r="DV25" s="19">
        <v>1</v>
      </c>
      <c r="DW25" s="20" t="str">
        <f t="shared" si="26"/>
        <v>11</v>
      </c>
      <c r="DX25" s="21">
        <v>1</v>
      </c>
      <c r="DY25" s="22">
        <v>1</v>
      </c>
      <c r="DZ25" s="23">
        <v>2</v>
      </c>
      <c r="EA25" s="23">
        <v>8</v>
      </c>
      <c r="ED25" s="9" t="str">
        <f t="shared" si="27"/>
        <v>ANB10D</v>
      </c>
      <c r="EF25" s="6" t="s">
        <v>172</v>
      </c>
      <c r="EH25" s="6" t="s">
        <v>212</v>
      </c>
      <c r="EI25" s="6" t="s">
        <v>374</v>
      </c>
      <c r="EJ25" s="12">
        <v>300</v>
      </c>
      <c r="EN25" s="12" t="s">
        <v>1106</v>
      </c>
      <c r="EP25" s="6" t="s">
        <v>1147</v>
      </c>
      <c r="ET25" s="6" t="str">
        <f t="shared" si="5"/>
        <v>홀수</v>
      </c>
      <c r="EU25" s="12">
        <v>7</v>
      </c>
      <c r="EV25" s="45" t="str">
        <f t="shared" ca="1" si="18"/>
        <v>A</v>
      </c>
      <c r="EW25" s="6">
        <f t="shared" ca="1" si="6"/>
        <v>65</v>
      </c>
      <c r="FR25" s="6">
        <v>1</v>
      </c>
      <c r="FS25" s="6" t="str">
        <f t="shared" si="7"/>
        <v/>
      </c>
      <c r="FT25" s="6" t="str">
        <f t="shared" si="8"/>
        <v/>
      </c>
      <c r="FU25" s="6" t="str">
        <f t="shared" ca="1" si="19"/>
        <v/>
      </c>
      <c r="FV25" s="6" t="str">
        <f t="shared" ca="1" si="9"/>
        <v/>
      </c>
      <c r="FW25" s="6" t="str">
        <f t="shared" ca="1" si="10"/>
        <v/>
      </c>
      <c r="FX25" s="6" t="str">
        <f t="shared" ca="1" si="11"/>
        <v/>
      </c>
      <c r="FY25" s="6" t="str">
        <f t="shared" ca="1" si="12"/>
        <v/>
      </c>
      <c r="FZ25" s="6" t="str">
        <f t="shared" ca="1" si="13"/>
        <v/>
      </c>
    </row>
    <row r="26" spans="1:182" ht="15.95" customHeight="1">
      <c r="A26" s="6">
        <v>20</v>
      </c>
      <c r="B26" s="6" t="s">
        <v>175</v>
      </c>
      <c r="E26" s="6" t="s">
        <v>486</v>
      </c>
      <c r="F26" s="6" t="s">
        <v>1260</v>
      </c>
      <c r="G26" s="6" t="s">
        <v>1226</v>
      </c>
      <c r="H26" s="7" t="s">
        <v>1227</v>
      </c>
      <c r="I26" s="7"/>
      <c r="J26" s="6" t="s">
        <v>1199</v>
      </c>
      <c r="K26" s="6" t="s">
        <v>1201</v>
      </c>
      <c r="N26" s="6" t="s">
        <v>1203</v>
      </c>
      <c r="O26" s="6" t="s">
        <v>1205</v>
      </c>
      <c r="R26" s="101" t="s">
        <v>1220</v>
      </c>
      <c r="Y26" s="6" t="s">
        <v>1232</v>
      </c>
      <c r="Z26" s="6">
        <v>7</v>
      </c>
      <c r="AA26" s="6">
        <v>8</v>
      </c>
      <c r="AD26" s="6" t="s">
        <v>1203</v>
      </c>
      <c r="AE26" s="6" t="s">
        <v>1205</v>
      </c>
      <c r="AG26" s="6" t="s">
        <v>1233</v>
      </c>
      <c r="AY26" s="8" t="s">
        <v>176</v>
      </c>
      <c r="AZ26" s="8" t="s">
        <v>195</v>
      </c>
      <c r="BA26" s="13" t="s">
        <v>197</v>
      </c>
      <c r="BB26" s="13" t="s">
        <v>8</v>
      </c>
      <c r="BC26" s="13">
        <v>129</v>
      </c>
      <c r="BD26" s="13">
        <v>130</v>
      </c>
      <c r="DC26" s="6" t="s">
        <v>169</v>
      </c>
      <c r="DD26" s="6" t="s">
        <v>201</v>
      </c>
      <c r="DH26" s="6" t="str">
        <f t="shared" si="20"/>
        <v>A4</v>
      </c>
      <c r="DI26" s="6" t="str">
        <f t="shared" si="21"/>
        <v>B4</v>
      </c>
      <c r="DK26" s="6" t="s">
        <v>173</v>
      </c>
      <c r="DL26" s="6" t="str">
        <f t="shared" si="22"/>
        <v>CN2</v>
      </c>
      <c r="DO26" s="9" t="s">
        <v>170</v>
      </c>
      <c r="DP26" s="6" t="s">
        <v>171</v>
      </c>
      <c r="DQ26" s="6" t="s">
        <v>645</v>
      </c>
      <c r="DS26" s="6" t="str">
        <f t="shared" si="23"/>
        <v>KS1</v>
      </c>
      <c r="DT26" s="10" t="str">
        <f t="shared" si="24"/>
        <v>FCS0111-1-3/1S–MC–107-F2-CN1</v>
      </c>
      <c r="DU26" s="6" t="str">
        <f t="shared" si="25"/>
        <v>FCS0111-1-3/1S–MC–107-F2-CN2</v>
      </c>
      <c r="DV26" s="19">
        <v>1</v>
      </c>
      <c r="DW26" s="20" t="str">
        <f t="shared" si="26"/>
        <v>11</v>
      </c>
      <c r="DX26" s="21">
        <v>1</v>
      </c>
      <c r="DY26" s="22">
        <v>3</v>
      </c>
      <c r="DZ26" s="23">
        <v>4</v>
      </c>
      <c r="EA26" s="23">
        <v>4</v>
      </c>
      <c r="ED26" s="9" t="str">
        <f t="shared" si="27"/>
        <v>ANB10D</v>
      </c>
      <c r="EF26" s="6" t="s">
        <v>174</v>
      </c>
      <c r="EH26" s="6" t="s">
        <v>212</v>
      </c>
      <c r="EI26" s="6" t="s">
        <v>374</v>
      </c>
      <c r="EJ26" s="12">
        <v>300</v>
      </c>
      <c r="EN26" s="12" t="s">
        <v>1106</v>
      </c>
      <c r="ET26" s="6" t="str">
        <f t="shared" si="5"/>
        <v>홀수</v>
      </c>
      <c r="EU26" s="12">
        <v>7</v>
      </c>
      <c r="EV26" s="45" t="str">
        <f t="shared" ca="1" si="18"/>
        <v>B</v>
      </c>
      <c r="EW26" s="6">
        <f t="shared" ca="1" si="6"/>
        <v>66</v>
      </c>
      <c r="FR26" s="6">
        <v>1</v>
      </c>
      <c r="FS26" s="6" t="str">
        <f t="shared" si="7"/>
        <v/>
      </c>
      <c r="FT26" s="6" t="str">
        <f t="shared" si="8"/>
        <v/>
      </c>
      <c r="FU26" s="6" t="str">
        <f t="shared" ca="1" si="19"/>
        <v/>
      </c>
      <c r="FV26" s="6" t="str">
        <f t="shared" ca="1" si="9"/>
        <v/>
      </c>
      <c r="FW26" s="6" t="str">
        <f t="shared" ca="1" si="10"/>
        <v/>
      </c>
      <c r="FX26" s="6" t="str">
        <f t="shared" ca="1" si="11"/>
        <v/>
      </c>
      <c r="FY26" s="6" t="str">
        <f t="shared" ca="1" si="12"/>
        <v/>
      </c>
      <c r="FZ26" s="6" t="str">
        <f t="shared" ca="1" si="13"/>
        <v/>
      </c>
    </row>
    <row r="27" spans="1:182" ht="15.95" customHeight="1">
      <c r="A27" s="6">
        <v>454</v>
      </c>
      <c r="B27" s="6" t="s">
        <v>175</v>
      </c>
      <c r="E27" s="6" t="s">
        <v>560</v>
      </c>
      <c r="F27" s="6" t="s">
        <v>1261</v>
      </c>
      <c r="G27" s="6" t="s">
        <v>1218</v>
      </c>
      <c r="H27" s="7" t="s">
        <v>1219</v>
      </c>
      <c r="I27" s="7"/>
      <c r="J27" s="6" t="s">
        <v>1199</v>
      </c>
      <c r="K27" s="6" t="s">
        <v>1201</v>
      </c>
      <c r="N27" s="6" t="s">
        <v>1203</v>
      </c>
      <c r="O27" s="6" t="s">
        <v>1205</v>
      </c>
      <c r="R27" s="101" t="s">
        <v>1220</v>
      </c>
      <c r="Y27" s="6" t="s">
        <v>1241</v>
      </c>
      <c r="Z27" s="6">
        <v>7</v>
      </c>
      <c r="AA27" s="6">
        <v>8</v>
      </c>
      <c r="AD27" s="6" t="s">
        <v>1203</v>
      </c>
      <c r="AE27" s="6" t="s">
        <v>1205</v>
      </c>
      <c r="AG27" s="6" t="s">
        <v>1242</v>
      </c>
      <c r="AY27" s="8" t="s">
        <v>176</v>
      </c>
      <c r="AZ27" s="8" t="s">
        <v>195</v>
      </c>
      <c r="BA27" s="13" t="s">
        <v>197</v>
      </c>
      <c r="BB27" s="13" t="s">
        <v>7</v>
      </c>
      <c r="BC27" s="13">
        <v>69</v>
      </c>
      <c r="BD27" s="13">
        <v>70</v>
      </c>
      <c r="DC27" s="6" t="s">
        <v>169</v>
      </c>
      <c r="DD27" s="6" t="s">
        <v>183</v>
      </c>
      <c r="DH27" s="6" t="str">
        <f t="shared" si="20"/>
        <v>A6</v>
      </c>
      <c r="DI27" s="6" t="str">
        <f t="shared" si="21"/>
        <v>B6</v>
      </c>
      <c r="DK27" s="6" t="s">
        <v>173</v>
      </c>
      <c r="DL27" s="6" t="str">
        <f t="shared" si="22"/>
        <v/>
      </c>
      <c r="DO27" s="9" t="s">
        <v>170</v>
      </c>
      <c r="DP27" s="6" t="s">
        <v>171</v>
      </c>
      <c r="DQ27" s="6" t="s">
        <v>645</v>
      </c>
      <c r="DS27" s="6" t="str">
        <f t="shared" si="23"/>
        <v>KS1</v>
      </c>
      <c r="DT27" s="10" t="str">
        <f t="shared" si="24"/>
        <v>FCS0111-5-2/1S–MC–107-F12-CN1</v>
      </c>
      <c r="DU27" s="6" t="str">
        <f t="shared" si="25"/>
        <v/>
      </c>
      <c r="DV27" s="19">
        <v>1</v>
      </c>
      <c r="DW27" s="20" t="str">
        <f t="shared" si="26"/>
        <v>11</v>
      </c>
      <c r="DX27" s="21">
        <v>5</v>
      </c>
      <c r="DY27" s="22">
        <v>2</v>
      </c>
      <c r="DZ27" s="23" t="s">
        <v>204</v>
      </c>
      <c r="EA27" s="23">
        <v>6</v>
      </c>
      <c r="ED27" s="9" t="str">
        <f t="shared" si="27"/>
        <v>ANB10D</v>
      </c>
      <c r="EF27" s="6" t="s">
        <v>172</v>
      </c>
      <c r="EH27" s="6" t="s">
        <v>292</v>
      </c>
      <c r="EI27" s="6" t="s">
        <v>375</v>
      </c>
      <c r="EJ27" s="12">
        <v>6</v>
      </c>
      <c r="EK27" s="12"/>
      <c r="EM27" s="12"/>
      <c r="EN27" s="12" t="s">
        <v>1100</v>
      </c>
      <c r="EO27" s="6" t="s">
        <v>1099</v>
      </c>
      <c r="EP27" s="6" t="s">
        <v>1145</v>
      </c>
      <c r="ER27" s="6" t="s">
        <v>1107</v>
      </c>
      <c r="ET27" s="6" t="str">
        <f t="shared" si="5"/>
        <v>홀수</v>
      </c>
      <c r="EU27" s="12">
        <v>7</v>
      </c>
      <c r="EV27" s="45" t="str">
        <f t="shared" ca="1" si="18"/>
        <v>C</v>
      </c>
      <c r="EW27" s="6">
        <f t="shared" ca="1" si="6"/>
        <v>67</v>
      </c>
      <c r="FR27" s="6">
        <v>1</v>
      </c>
      <c r="FS27" s="6" t="str">
        <f t="shared" si="7"/>
        <v/>
      </c>
      <c r="FT27" s="6" t="str">
        <f t="shared" si="8"/>
        <v/>
      </c>
      <c r="FU27" s="6" t="str">
        <f t="shared" ca="1" si="19"/>
        <v/>
      </c>
      <c r="FV27" s="6" t="str">
        <f t="shared" ca="1" si="9"/>
        <v/>
      </c>
      <c r="FW27" s="6" t="str">
        <f t="shared" ca="1" si="10"/>
        <v/>
      </c>
      <c r="FX27" s="6" t="str">
        <f t="shared" ca="1" si="11"/>
        <v/>
      </c>
      <c r="FY27" s="6" t="str">
        <f t="shared" ca="1" si="12"/>
        <v/>
      </c>
      <c r="FZ27" s="6" t="str">
        <f t="shared" ca="1" si="13"/>
        <v/>
      </c>
    </row>
    <row r="28" spans="1:182" ht="15.95" customHeight="1">
      <c r="A28" s="6">
        <v>9</v>
      </c>
      <c r="B28" s="6" t="s">
        <v>175</v>
      </c>
      <c r="E28" s="6" t="s">
        <v>476</v>
      </c>
      <c r="F28" s="6" t="s">
        <v>1262</v>
      </c>
      <c r="G28" s="6" t="s">
        <v>1218</v>
      </c>
      <c r="H28" s="7" t="s">
        <v>1219</v>
      </c>
      <c r="I28" s="7"/>
      <c r="J28" s="6" t="s">
        <v>1199</v>
      </c>
      <c r="K28" s="6" t="s">
        <v>1201</v>
      </c>
      <c r="N28" s="6" t="s">
        <v>1203</v>
      </c>
      <c r="O28" s="6" t="s">
        <v>1205</v>
      </c>
      <c r="R28" s="101" t="s">
        <v>1220</v>
      </c>
      <c r="Y28" s="6" t="s">
        <v>1241</v>
      </c>
      <c r="Z28" s="6">
        <v>9</v>
      </c>
      <c r="AA28" s="6">
        <v>10</v>
      </c>
      <c r="AD28" s="6" t="s">
        <v>1203</v>
      </c>
      <c r="AE28" s="6" t="s">
        <v>1205</v>
      </c>
      <c r="AG28" s="6" t="s">
        <v>1242</v>
      </c>
      <c r="AY28" s="8" t="s">
        <v>176</v>
      </c>
      <c r="AZ28" s="8" t="s">
        <v>195</v>
      </c>
      <c r="BA28" s="13" t="s">
        <v>197</v>
      </c>
      <c r="BB28" s="13" t="s">
        <v>7</v>
      </c>
      <c r="BC28" s="13">
        <v>71</v>
      </c>
      <c r="BD28" s="13">
        <v>72</v>
      </c>
      <c r="DC28" s="6" t="s">
        <v>169</v>
      </c>
      <c r="DD28" s="6" t="s">
        <v>177</v>
      </c>
      <c r="DH28" s="6" t="str">
        <f t="shared" si="15"/>
        <v>A9</v>
      </c>
      <c r="DI28" s="6" t="str">
        <f t="shared" si="16"/>
        <v>B9</v>
      </c>
      <c r="DK28" s="6" t="s">
        <v>173</v>
      </c>
      <c r="DL28" s="6" t="str">
        <f t="shared" si="17"/>
        <v>CN2</v>
      </c>
      <c r="DO28" s="9" t="s">
        <v>170</v>
      </c>
      <c r="DP28" s="6" t="s">
        <v>171</v>
      </c>
      <c r="DQ28" s="6" t="s">
        <v>645</v>
      </c>
      <c r="DS28" s="6" t="str">
        <f t="shared" si="0"/>
        <v>KS1</v>
      </c>
      <c r="DT28" s="10" t="str">
        <f t="shared" si="1"/>
        <v>FCS0111-1-1/1S–MC–107-F1-CN1</v>
      </c>
      <c r="DU28" s="6" t="str">
        <f t="shared" si="2"/>
        <v>FCS0111-1-1/1S–MC–107-F1-CN2</v>
      </c>
      <c r="DV28" s="19">
        <v>1</v>
      </c>
      <c r="DW28" s="20" t="str">
        <f t="shared" si="3"/>
        <v>11</v>
      </c>
      <c r="DX28" s="21">
        <v>1</v>
      </c>
      <c r="DY28" s="22">
        <v>1</v>
      </c>
      <c r="DZ28" s="23">
        <v>2</v>
      </c>
      <c r="EA28" s="23">
        <v>9</v>
      </c>
      <c r="ED28" s="9" t="str">
        <f t="shared" si="4"/>
        <v>ANB10D</v>
      </c>
      <c r="EF28" s="6" t="s">
        <v>172</v>
      </c>
      <c r="EH28" s="6" t="s">
        <v>213</v>
      </c>
      <c r="EI28" s="6" t="s">
        <v>375</v>
      </c>
      <c r="EJ28" s="12">
        <v>6</v>
      </c>
      <c r="EK28" s="12"/>
      <c r="EM28" s="12"/>
      <c r="EN28" s="12" t="s">
        <v>1100</v>
      </c>
      <c r="EP28" s="6" t="s">
        <v>1146</v>
      </c>
      <c r="ET28" s="6" t="str">
        <f t="shared" si="5"/>
        <v>홀수</v>
      </c>
      <c r="EU28" s="12">
        <v>7</v>
      </c>
      <c r="EV28" s="45" t="str">
        <f t="shared" ca="1" si="18"/>
        <v>D</v>
      </c>
      <c r="EW28" s="6">
        <f t="shared" ca="1" si="6"/>
        <v>68</v>
      </c>
      <c r="FR28" s="6">
        <v>1</v>
      </c>
      <c r="FS28" s="6" t="str">
        <f t="shared" si="7"/>
        <v/>
      </c>
      <c r="FT28" s="6" t="str">
        <f t="shared" si="8"/>
        <v/>
      </c>
      <c r="FU28" s="6" t="str">
        <f t="shared" ca="1" si="19"/>
        <v/>
      </c>
      <c r="FV28" s="6" t="str">
        <f t="shared" ca="1" si="9"/>
        <v/>
      </c>
      <c r="FW28" s="6" t="str">
        <f t="shared" ca="1" si="10"/>
        <v/>
      </c>
      <c r="FX28" s="6" t="str">
        <f t="shared" ca="1" si="11"/>
        <v/>
      </c>
      <c r="FY28" s="6" t="str">
        <f t="shared" ca="1" si="12"/>
        <v/>
      </c>
      <c r="FZ28" s="6" t="str">
        <f t="shared" ca="1" si="13"/>
        <v/>
      </c>
    </row>
    <row r="29" spans="1:182" ht="15.95" customHeight="1">
      <c r="A29" s="6">
        <v>10</v>
      </c>
      <c r="B29" s="6" t="s">
        <v>175</v>
      </c>
      <c r="E29" s="6" t="s">
        <v>477</v>
      </c>
      <c r="F29" s="6" t="s">
        <v>1263</v>
      </c>
      <c r="G29" s="6" t="s">
        <v>1218</v>
      </c>
      <c r="H29" s="7" t="s">
        <v>1219</v>
      </c>
      <c r="I29" s="7"/>
      <c r="J29" s="6" t="s">
        <v>1199</v>
      </c>
      <c r="K29" s="6" t="s">
        <v>1201</v>
      </c>
      <c r="N29" s="6" t="s">
        <v>1203</v>
      </c>
      <c r="O29" s="6" t="s">
        <v>1205</v>
      </c>
      <c r="R29" s="101" t="s">
        <v>1220</v>
      </c>
      <c r="Y29" s="6" t="s">
        <v>1241</v>
      </c>
      <c r="Z29" s="6">
        <v>11</v>
      </c>
      <c r="AA29" s="6">
        <v>12</v>
      </c>
      <c r="AD29" s="6" t="s">
        <v>1203</v>
      </c>
      <c r="AE29" s="6" t="s">
        <v>1205</v>
      </c>
      <c r="AG29" s="6" t="s">
        <v>1242</v>
      </c>
      <c r="AY29" s="8" t="s">
        <v>176</v>
      </c>
      <c r="AZ29" s="8" t="s">
        <v>195</v>
      </c>
      <c r="BA29" s="13" t="s">
        <v>197</v>
      </c>
      <c r="BB29" s="13" t="s">
        <v>7</v>
      </c>
      <c r="BC29" s="13">
        <v>73</v>
      </c>
      <c r="BD29" s="13">
        <v>74</v>
      </c>
      <c r="DC29" s="6" t="s">
        <v>169</v>
      </c>
      <c r="DD29" s="6" t="s">
        <v>177</v>
      </c>
      <c r="DH29" s="6" t="str">
        <f>"A"&amp;EA29</f>
        <v>A10</v>
      </c>
      <c r="DI29" s="6" t="str">
        <f>"B"&amp;EA29</f>
        <v>B10</v>
      </c>
      <c r="DK29" s="6" t="s">
        <v>173</v>
      </c>
      <c r="DL29" s="6" t="str">
        <f>IF(DZ29&lt;&gt;"","CN2","")</f>
        <v>CN2</v>
      </c>
      <c r="DO29" s="9" t="s">
        <v>170</v>
      </c>
      <c r="DP29" s="6" t="s">
        <v>171</v>
      </c>
      <c r="DQ29" s="6" t="s">
        <v>645</v>
      </c>
      <c r="DS29" s="6" t="str">
        <f>IF(MID(EF29,2,1)="A","KS1","AKB331")</f>
        <v>KS1</v>
      </c>
      <c r="DT29" s="10" t="str">
        <f>DQ29&amp;"-"&amp;DX29&amp;"-"&amp;DY29&amp;"/"&amp;BA29&amp;"-"&amp;DD29&amp;"-"&amp;DK29</f>
        <v>FCS0111-1-1/1S–MC–107-F1-CN1</v>
      </c>
      <c r="DU29" s="6" t="str">
        <f>IF(DL29="","",DQ29&amp;"-"&amp;DX29&amp;"-"&amp;DY29&amp;"/"&amp;BA29&amp;"-"&amp;DD29&amp;"-"&amp;DL29)</f>
        <v>FCS0111-1-1/1S–MC–107-F1-CN2</v>
      </c>
      <c r="DV29" s="19">
        <v>1</v>
      </c>
      <c r="DW29" s="20" t="str">
        <f>RIGHT(DQ29,2)</f>
        <v>11</v>
      </c>
      <c r="DX29" s="21">
        <v>1</v>
      </c>
      <c r="DY29" s="22">
        <v>1</v>
      </c>
      <c r="DZ29" s="23">
        <v>2</v>
      </c>
      <c r="EA29" s="23">
        <v>10</v>
      </c>
      <c r="ED29" s="9" t="str">
        <f>IF(DX29="1","AFV30D","ANB10D")</f>
        <v>ANB10D</v>
      </c>
      <c r="EF29" s="6" t="s">
        <v>172</v>
      </c>
      <c r="EH29" s="6" t="s">
        <v>214</v>
      </c>
      <c r="EI29" s="6" t="s">
        <v>376</v>
      </c>
      <c r="EJ29" s="12">
        <v>300</v>
      </c>
      <c r="EN29" s="12" t="s">
        <v>1106</v>
      </c>
      <c r="EP29" s="6" t="s">
        <v>1147</v>
      </c>
      <c r="ET29" s="6" t="str">
        <f t="shared" si="5"/>
        <v>짝수</v>
      </c>
      <c r="EU29" s="12">
        <v>8</v>
      </c>
      <c r="EV29" s="45" t="str">
        <f t="shared" ca="1" si="18"/>
        <v>A</v>
      </c>
      <c r="EW29" s="6">
        <f t="shared" ca="1" si="6"/>
        <v>65</v>
      </c>
      <c r="FR29" s="6">
        <v>1</v>
      </c>
      <c r="FS29" s="6" t="str">
        <f t="shared" si="7"/>
        <v/>
      </c>
      <c r="FT29" s="6" t="str">
        <f t="shared" si="8"/>
        <v/>
      </c>
      <c r="FU29" s="6" t="str">
        <f t="shared" ca="1" si="19"/>
        <v/>
      </c>
      <c r="FV29" s="6" t="str">
        <f t="shared" ca="1" si="9"/>
        <v/>
      </c>
      <c r="FW29" s="6" t="str">
        <f t="shared" ca="1" si="10"/>
        <v/>
      </c>
      <c r="FX29" s="6" t="str">
        <f t="shared" ca="1" si="11"/>
        <v/>
      </c>
      <c r="FY29" s="6" t="str">
        <f t="shared" ca="1" si="12"/>
        <v/>
      </c>
      <c r="FZ29" s="6" t="str">
        <f t="shared" ca="1" si="13"/>
        <v/>
      </c>
    </row>
    <row r="30" spans="1:182" ht="15.95" customHeight="1">
      <c r="A30" s="6">
        <v>21</v>
      </c>
      <c r="B30" s="6" t="s">
        <v>175</v>
      </c>
      <c r="E30" s="6" t="s">
        <v>487</v>
      </c>
      <c r="F30" s="6" t="s">
        <v>1264</v>
      </c>
      <c r="G30" s="6" t="s">
        <v>1226</v>
      </c>
      <c r="H30" s="7" t="s">
        <v>1227</v>
      </c>
      <c r="I30" s="7"/>
      <c r="J30" s="6" t="s">
        <v>1199</v>
      </c>
      <c r="K30" s="6" t="s">
        <v>1201</v>
      </c>
      <c r="N30" s="6" t="s">
        <v>1203</v>
      </c>
      <c r="O30" s="6" t="s">
        <v>1205</v>
      </c>
      <c r="R30" s="101" t="s">
        <v>1220</v>
      </c>
      <c r="Y30" s="6" t="s">
        <v>1241</v>
      </c>
      <c r="Z30" s="6">
        <v>13</v>
      </c>
      <c r="AA30" s="6">
        <v>14</v>
      </c>
      <c r="AD30" s="6" t="s">
        <v>1203</v>
      </c>
      <c r="AE30" s="6" t="s">
        <v>1205</v>
      </c>
      <c r="AG30" s="6" t="s">
        <v>1242</v>
      </c>
      <c r="AY30" s="8" t="s">
        <v>176</v>
      </c>
      <c r="AZ30" s="8" t="s">
        <v>195</v>
      </c>
      <c r="BA30" s="13" t="s">
        <v>197</v>
      </c>
      <c r="BB30" s="13" t="s">
        <v>7</v>
      </c>
      <c r="BC30" s="13">
        <v>75</v>
      </c>
      <c r="BD30" s="13">
        <v>76</v>
      </c>
      <c r="DC30" s="6" t="s">
        <v>169</v>
      </c>
      <c r="DD30" s="6" t="s">
        <v>201</v>
      </c>
      <c r="DH30" s="6" t="str">
        <f>"A"&amp;EA30</f>
        <v>A5</v>
      </c>
      <c r="DI30" s="6" t="str">
        <f>"B"&amp;EA30</f>
        <v>B5</v>
      </c>
      <c r="DK30" s="6" t="s">
        <v>173</v>
      </c>
      <c r="DL30" s="6" t="str">
        <f>IF(DZ30&lt;&gt;"","CN2","")</f>
        <v>CN2</v>
      </c>
      <c r="DO30" s="9" t="s">
        <v>170</v>
      </c>
      <c r="DP30" s="6" t="s">
        <v>171</v>
      </c>
      <c r="DQ30" s="6" t="s">
        <v>645</v>
      </c>
      <c r="DS30" s="6" t="str">
        <f>IF(MID(EF30,2,1)="A","KS1","AKB331")</f>
        <v>KS1</v>
      </c>
      <c r="DT30" s="10" t="str">
        <f>DQ30&amp;"-"&amp;DX30&amp;"-"&amp;DY30&amp;"/"&amp;BA30&amp;"-"&amp;DD30&amp;"-"&amp;DK30</f>
        <v>FCS0111-1-3/1S–MC–107-F2-CN1</v>
      </c>
      <c r="DU30" s="6" t="str">
        <f>IF(DL30="","",DQ30&amp;"-"&amp;DX30&amp;"-"&amp;DY30&amp;"/"&amp;BA30&amp;"-"&amp;DD30&amp;"-"&amp;DL30)</f>
        <v>FCS0111-1-3/1S–MC–107-F2-CN2</v>
      </c>
      <c r="DV30" s="19">
        <v>1</v>
      </c>
      <c r="DW30" s="20" t="str">
        <f>RIGHT(DQ30,2)</f>
        <v>11</v>
      </c>
      <c r="DX30" s="21">
        <v>1</v>
      </c>
      <c r="DY30" s="22">
        <v>3</v>
      </c>
      <c r="DZ30" s="23">
        <v>4</v>
      </c>
      <c r="EA30" s="23">
        <v>5</v>
      </c>
      <c r="ED30" s="9" t="str">
        <f>IF(DX30="1","AFV30D","ANB10D")</f>
        <v>ANB10D</v>
      </c>
      <c r="EF30" s="6" t="s">
        <v>174</v>
      </c>
      <c r="EH30" s="6" t="s">
        <v>214</v>
      </c>
      <c r="EI30" s="6" t="s">
        <v>384</v>
      </c>
      <c r="EJ30" s="12">
        <v>300</v>
      </c>
      <c r="EN30" s="12" t="s">
        <v>1106</v>
      </c>
      <c r="ET30" s="6" t="str">
        <f t="shared" si="5"/>
        <v>짝수</v>
      </c>
      <c r="EU30" s="12">
        <v>8</v>
      </c>
      <c r="EV30" s="45" t="str">
        <f t="shared" ca="1" si="18"/>
        <v>B</v>
      </c>
      <c r="EW30" s="6">
        <f t="shared" ca="1" si="6"/>
        <v>66</v>
      </c>
      <c r="FR30" s="6">
        <v>1</v>
      </c>
      <c r="FS30" s="6" t="str">
        <f t="shared" si="7"/>
        <v/>
      </c>
      <c r="FT30" s="6" t="str">
        <f t="shared" si="8"/>
        <v/>
      </c>
      <c r="FU30" s="6" t="str">
        <f t="shared" ca="1" si="19"/>
        <v/>
      </c>
      <c r="FV30" s="6" t="str">
        <f t="shared" ca="1" si="9"/>
        <v/>
      </c>
      <c r="FW30" s="6" t="str">
        <f t="shared" ca="1" si="10"/>
        <v/>
      </c>
      <c r="FX30" s="6" t="str">
        <f t="shared" ca="1" si="11"/>
        <v/>
      </c>
      <c r="FY30" s="6" t="str">
        <f t="shared" ca="1" si="12"/>
        <v/>
      </c>
      <c r="FZ30" s="6" t="str">
        <f t="shared" ca="1" si="13"/>
        <v/>
      </c>
    </row>
    <row r="31" spans="1:182" ht="15.95" customHeight="1">
      <c r="A31" s="6">
        <v>12</v>
      </c>
      <c r="B31" s="6" t="s">
        <v>175</v>
      </c>
      <c r="E31" s="6" t="s">
        <v>479</v>
      </c>
      <c r="F31" s="6" t="s">
        <v>1265</v>
      </c>
      <c r="G31" s="6" t="s">
        <v>1218</v>
      </c>
      <c r="H31" s="7" t="s">
        <v>1219</v>
      </c>
      <c r="I31" s="7"/>
      <c r="J31" s="6" t="s">
        <v>1199</v>
      </c>
      <c r="K31" s="6" t="s">
        <v>1201</v>
      </c>
      <c r="N31" s="6" t="s">
        <v>1203</v>
      </c>
      <c r="O31" s="6" t="s">
        <v>1205</v>
      </c>
      <c r="R31" s="101" t="s">
        <v>1220</v>
      </c>
      <c r="Y31" s="6" t="s">
        <v>1266</v>
      </c>
      <c r="Z31" s="6">
        <v>1</v>
      </c>
      <c r="AA31" s="6">
        <v>2</v>
      </c>
      <c r="AD31" s="6" t="s">
        <v>1203</v>
      </c>
      <c r="AE31" s="6" t="s">
        <v>1205</v>
      </c>
      <c r="AG31" s="6" t="s">
        <v>1267</v>
      </c>
      <c r="AY31" s="8" t="s">
        <v>176</v>
      </c>
      <c r="AZ31" s="8" t="s">
        <v>195</v>
      </c>
      <c r="BA31" s="13" t="s">
        <v>197</v>
      </c>
      <c r="BB31" s="13" t="s">
        <v>8</v>
      </c>
      <c r="BC31" s="13">
        <v>131</v>
      </c>
      <c r="BD31" s="13">
        <v>132</v>
      </c>
      <c r="DC31" s="6" t="s">
        <v>169</v>
      </c>
      <c r="DD31" s="6" t="s">
        <v>177</v>
      </c>
      <c r="DH31" s="6" t="str">
        <f>"A"&amp;EA31</f>
        <v>A12</v>
      </c>
      <c r="DI31" s="6" t="str">
        <f>"B"&amp;EA31</f>
        <v>B12</v>
      </c>
      <c r="DK31" s="6" t="s">
        <v>173</v>
      </c>
      <c r="DL31" s="6" t="str">
        <f>IF(DZ31&lt;&gt;"","CN2","")</f>
        <v>CN2</v>
      </c>
      <c r="DO31" s="9" t="s">
        <v>170</v>
      </c>
      <c r="DP31" s="6" t="s">
        <v>171</v>
      </c>
      <c r="DQ31" s="6" t="s">
        <v>645</v>
      </c>
      <c r="DS31" s="6" t="str">
        <f>IF(MID(EF31,2,1)="A","KS1","AKB331")</f>
        <v>KS1</v>
      </c>
      <c r="DT31" s="10" t="str">
        <f>DQ31&amp;"-"&amp;DX31&amp;"-"&amp;DY31&amp;"/"&amp;BA31&amp;"-"&amp;DD31&amp;"-"&amp;DK31</f>
        <v>FCS0111-1-1/1S–MC–107-F1-CN1</v>
      </c>
      <c r="DU31" s="6" t="str">
        <f>IF(DL31="","",DQ31&amp;"-"&amp;DX31&amp;"-"&amp;DY31&amp;"/"&amp;BA31&amp;"-"&amp;DD31&amp;"-"&amp;DL31)</f>
        <v>FCS0111-1-1/1S–MC–107-F1-CN2</v>
      </c>
      <c r="DV31" s="19">
        <v>1</v>
      </c>
      <c r="DW31" s="20" t="str">
        <f>RIGHT(DQ31,2)</f>
        <v>11</v>
      </c>
      <c r="DX31" s="21">
        <v>1</v>
      </c>
      <c r="DY31" s="22">
        <v>1</v>
      </c>
      <c r="DZ31" s="23">
        <v>2</v>
      </c>
      <c r="EA31" s="23">
        <v>12</v>
      </c>
      <c r="ED31" s="9" t="str">
        <f>IF(DX31="1","AFV30D","ANB10D")</f>
        <v>ANB10D</v>
      </c>
      <c r="EF31" s="6" t="s">
        <v>172</v>
      </c>
      <c r="EH31" s="6" t="s">
        <v>216</v>
      </c>
      <c r="EI31" s="6" t="s">
        <v>378</v>
      </c>
      <c r="EJ31" s="12">
        <v>300</v>
      </c>
      <c r="EN31" s="12" t="s">
        <v>1106</v>
      </c>
      <c r="EP31" s="6" t="s">
        <v>1147</v>
      </c>
      <c r="ET31" s="6" t="str">
        <f t="shared" si="5"/>
        <v>짝수</v>
      </c>
      <c r="EU31" s="12">
        <v>8</v>
      </c>
      <c r="EV31" s="45" t="str">
        <f t="shared" ca="1" si="18"/>
        <v>C</v>
      </c>
      <c r="EW31" s="6">
        <f t="shared" ca="1" si="6"/>
        <v>67</v>
      </c>
      <c r="FR31" s="6">
        <v>1</v>
      </c>
      <c r="FS31" s="6" t="str">
        <f t="shared" si="7"/>
        <v/>
      </c>
      <c r="FT31" s="6" t="str">
        <f t="shared" si="8"/>
        <v/>
      </c>
      <c r="FU31" s="6" t="str">
        <f t="shared" ca="1" si="19"/>
        <v/>
      </c>
      <c r="FV31" s="6" t="str">
        <f t="shared" ca="1" si="9"/>
        <v/>
      </c>
      <c r="FW31" s="6" t="str">
        <f t="shared" ca="1" si="10"/>
        <v/>
      </c>
      <c r="FX31" s="6" t="str">
        <f t="shared" ca="1" si="11"/>
        <v/>
      </c>
      <c r="FY31" s="6" t="str">
        <f t="shared" ca="1" si="12"/>
        <v/>
      </c>
      <c r="FZ31" s="6" t="str">
        <f t="shared" ca="1" si="13"/>
        <v/>
      </c>
    </row>
    <row r="32" spans="1:182" ht="15.95" customHeight="1">
      <c r="A32" s="6">
        <v>22</v>
      </c>
      <c r="B32" s="6" t="s">
        <v>175</v>
      </c>
      <c r="E32" s="6" t="s">
        <v>488</v>
      </c>
      <c r="F32" s="6" t="s">
        <v>1268</v>
      </c>
      <c r="G32" s="6" t="s">
        <v>1226</v>
      </c>
      <c r="H32" s="7" t="s">
        <v>1227</v>
      </c>
      <c r="I32" s="7"/>
      <c r="J32" s="6" t="s">
        <v>1199</v>
      </c>
      <c r="K32" s="6" t="s">
        <v>1201</v>
      </c>
      <c r="N32" s="6" t="s">
        <v>1203</v>
      </c>
      <c r="O32" s="6" t="s">
        <v>1205</v>
      </c>
      <c r="R32" s="101" t="s">
        <v>1220</v>
      </c>
      <c r="Y32" s="6" t="s">
        <v>1266</v>
      </c>
      <c r="Z32" s="6">
        <v>3</v>
      </c>
      <c r="AA32" s="6">
        <v>4</v>
      </c>
      <c r="AD32" s="6" t="s">
        <v>1203</v>
      </c>
      <c r="AE32" s="6" t="s">
        <v>1205</v>
      </c>
      <c r="AG32" s="6" t="s">
        <v>1267</v>
      </c>
      <c r="AY32" s="8" t="s">
        <v>176</v>
      </c>
      <c r="AZ32" s="8" t="s">
        <v>195</v>
      </c>
      <c r="BA32" s="13" t="s">
        <v>197</v>
      </c>
      <c r="BB32" s="13" t="s">
        <v>8</v>
      </c>
      <c r="BC32" s="13">
        <v>133</v>
      </c>
      <c r="BD32" s="13">
        <v>134</v>
      </c>
      <c r="DC32" s="6" t="s">
        <v>169</v>
      </c>
      <c r="DD32" s="6" t="s">
        <v>201</v>
      </c>
      <c r="DH32" s="6" t="str">
        <f>"A"&amp;EA32</f>
        <v>A6</v>
      </c>
      <c r="DI32" s="6" t="str">
        <f>"B"&amp;EA32</f>
        <v>B6</v>
      </c>
      <c r="DK32" s="6" t="s">
        <v>173</v>
      </c>
      <c r="DL32" s="6" t="str">
        <f>IF(DZ32&lt;&gt;"","CN2","")</f>
        <v>CN2</v>
      </c>
      <c r="DO32" s="9" t="s">
        <v>170</v>
      </c>
      <c r="DP32" s="6" t="s">
        <v>171</v>
      </c>
      <c r="DQ32" s="6" t="s">
        <v>645</v>
      </c>
      <c r="DS32" s="6" t="str">
        <f>IF(MID(EF32,2,1)="A","KS1","AKB331")</f>
        <v>KS1</v>
      </c>
      <c r="DT32" s="10" t="str">
        <f>DQ32&amp;"-"&amp;DX32&amp;"-"&amp;DY32&amp;"/"&amp;BA32&amp;"-"&amp;DD32&amp;"-"&amp;DK32</f>
        <v>FCS0111-1-3/1S–MC–107-F2-CN1</v>
      </c>
      <c r="DU32" s="6" t="str">
        <f>IF(DL32="","",DQ32&amp;"-"&amp;DX32&amp;"-"&amp;DY32&amp;"/"&amp;BA32&amp;"-"&amp;DD32&amp;"-"&amp;DL32)</f>
        <v>FCS0111-1-3/1S–MC–107-F2-CN2</v>
      </c>
      <c r="DV32" s="19">
        <v>1</v>
      </c>
      <c r="DW32" s="20" t="str">
        <f>RIGHT(DQ32,2)</f>
        <v>11</v>
      </c>
      <c r="DX32" s="21">
        <v>1</v>
      </c>
      <c r="DY32" s="22">
        <v>3</v>
      </c>
      <c r="DZ32" s="23">
        <v>4</v>
      </c>
      <c r="EA32" s="23">
        <v>6</v>
      </c>
      <c r="ED32" s="9" t="str">
        <f>IF(DX32="1","AFV30D","ANB10D")</f>
        <v>ANB10D</v>
      </c>
      <c r="EF32" s="6" t="s">
        <v>174</v>
      </c>
      <c r="EH32" s="6" t="s">
        <v>216</v>
      </c>
      <c r="EI32" s="6" t="s">
        <v>378</v>
      </c>
      <c r="EJ32" s="12">
        <v>300</v>
      </c>
      <c r="EN32" s="12" t="s">
        <v>1106</v>
      </c>
      <c r="ET32" s="6" t="str">
        <f t="shared" si="5"/>
        <v>짝수</v>
      </c>
      <c r="EU32" s="12">
        <v>8</v>
      </c>
      <c r="EV32" s="45" t="str">
        <f t="shared" ca="1" si="18"/>
        <v>D</v>
      </c>
      <c r="EW32" s="6">
        <f t="shared" ca="1" si="6"/>
        <v>68</v>
      </c>
      <c r="FR32" s="6">
        <v>1</v>
      </c>
      <c r="FS32" s="6" t="str">
        <f t="shared" si="7"/>
        <v/>
      </c>
      <c r="FT32" s="6" t="str">
        <f t="shared" si="8"/>
        <v/>
      </c>
      <c r="FU32" s="6" t="str">
        <f t="shared" ca="1" si="19"/>
        <v/>
      </c>
      <c r="FV32" s="6" t="str">
        <f t="shared" ca="1" si="9"/>
        <v/>
      </c>
      <c r="FW32" s="6" t="str">
        <f t="shared" ca="1" si="10"/>
        <v/>
      </c>
      <c r="FX32" s="6" t="str">
        <f t="shared" ca="1" si="11"/>
        <v/>
      </c>
      <c r="FY32" s="6" t="str">
        <f t="shared" ca="1" si="12"/>
        <v/>
      </c>
      <c r="FZ32" s="6" t="str">
        <f t="shared" ca="1" si="13"/>
        <v/>
      </c>
    </row>
    <row r="33" spans="1:182" ht="15.95" customHeight="1">
      <c r="A33" s="6">
        <v>13</v>
      </c>
      <c r="B33" s="6" t="s">
        <v>175</v>
      </c>
      <c r="E33" s="6" t="s">
        <v>480</v>
      </c>
      <c r="F33" s="6" t="s">
        <v>1269</v>
      </c>
      <c r="G33" s="6" t="s">
        <v>1218</v>
      </c>
      <c r="H33" s="7" t="s">
        <v>1219</v>
      </c>
      <c r="I33" s="7"/>
      <c r="J33" s="6" t="s">
        <v>1199</v>
      </c>
      <c r="K33" s="6" t="s">
        <v>1201</v>
      </c>
      <c r="N33" s="6" t="s">
        <v>1203</v>
      </c>
      <c r="O33" s="6" t="s">
        <v>1205</v>
      </c>
      <c r="R33" s="101" t="s">
        <v>1220</v>
      </c>
      <c r="Y33" s="6" t="s">
        <v>1236</v>
      </c>
      <c r="Z33" s="6">
        <v>19</v>
      </c>
      <c r="AA33" s="6">
        <v>20</v>
      </c>
      <c r="AD33" s="6" t="s">
        <v>1203</v>
      </c>
      <c r="AE33" s="6" t="s">
        <v>1205</v>
      </c>
      <c r="AG33" s="6" t="s">
        <v>1237</v>
      </c>
      <c r="AY33" s="8" t="s">
        <v>176</v>
      </c>
      <c r="AZ33" s="8" t="s">
        <v>195</v>
      </c>
      <c r="BA33" s="13" t="s">
        <v>197</v>
      </c>
      <c r="BB33" s="13" t="s">
        <v>7</v>
      </c>
      <c r="BC33" s="13">
        <v>57</v>
      </c>
      <c r="BD33" s="13">
        <v>58</v>
      </c>
      <c r="DC33" s="6" t="s">
        <v>169</v>
      </c>
      <c r="DD33" s="6" t="s">
        <v>177</v>
      </c>
      <c r="DH33" s="6" t="str">
        <f t="shared" si="15"/>
        <v>A13</v>
      </c>
      <c r="DI33" s="6" t="str">
        <f t="shared" si="16"/>
        <v>B13</v>
      </c>
      <c r="DK33" s="6" t="s">
        <v>173</v>
      </c>
      <c r="DL33" s="6" t="str">
        <f t="shared" si="17"/>
        <v>CN2</v>
      </c>
      <c r="DO33" s="9" t="s">
        <v>170</v>
      </c>
      <c r="DP33" s="6" t="s">
        <v>171</v>
      </c>
      <c r="DQ33" s="6" t="s">
        <v>645</v>
      </c>
      <c r="DS33" s="6" t="str">
        <f t="shared" si="0"/>
        <v>KS1</v>
      </c>
      <c r="DT33" s="10" t="str">
        <f t="shared" si="1"/>
        <v>FCS0111-1-1/1S–MC–107-F1-CN1</v>
      </c>
      <c r="DU33" s="6" t="str">
        <f t="shared" si="2"/>
        <v>FCS0111-1-1/1S–MC–107-F1-CN2</v>
      </c>
      <c r="DV33" s="19">
        <v>1</v>
      </c>
      <c r="DW33" s="20" t="str">
        <f t="shared" si="3"/>
        <v>11</v>
      </c>
      <c r="DX33" s="21">
        <v>1</v>
      </c>
      <c r="DY33" s="22">
        <v>1</v>
      </c>
      <c r="DZ33" s="23">
        <v>2</v>
      </c>
      <c r="EA33" s="23">
        <v>13</v>
      </c>
      <c r="ED33" s="9" t="str">
        <f t="shared" si="4"/>
        <v>ANB10D</v>
      </c>
      <c r="EF33" s="6" t="s">
        <v>172</v>
      </c>
      <c r="EH33" s="6" t="s">
        <v>217</v>
      </c>
      <c r="EI33" s="6" t="s">
        <v>379</v>
      </c>
      <c r="EJ33" s="12">
        <v>6</v>
      </c>
      <c r="EK33" s="12"/>
      <c r="EM33" s="12"/>
      <c r="EN33" s="12" t="s">
        <v>1100</v>
      </c>
      <c r="EO33" s="6" t="s">
        <v>1099</v>
      </c>
      <c r="EP33" s="6" t="s">
        <v>1145</v>
      </c>
      <c r="ER33" s="6" t="s">
        <v>1107</v>
      </c>
      <c r="ET33" s="6" t="str">
        <f t="shared" si="5"/>
        <v>홀수</v>
      </c>
      <c r="EU33" s="12">
        <v>9</v>
      </c>
      <c r="EV33" s="45" t="str">
        <f t="shared" ca="1" si="18"/>
        <v>A</v>
      </c>
      <c r="EW33" s="6">
        <f t="shared" ca="1" si="6"/>
        <v>65</v>
      </c>
      <c r="FR33" s="6">
        <v>1</v>
      </c>
      <c r="FS33" s="6" t="str">
        <f t="shared" si="7"/>
        <v/>
      </c>
      <c r="FT33" s="6" t="str">
        <f t="shared" si="8"/>
        <v/>
      </c>
      <c r="FU33" s="6" t="str">
        <f t="shared" ca="1" si="19"/>
        <v/>
      </c>
      <c r="FV33" s="6" t="str">
        <f t="shared" ca="1" si="9"/>
        <v/>
      </c>
      <c r="FW33" s="6" t="str">
        <f t="shared" ca="1" si="10"/>
        <v/>
      </c>
      <c r="FX33" s="6" t="str">
        <f t="shared" ca="1" si="11"/>
        <v/>
      </c>
      <c r="FY33" s="6" t="str">
        <f t="shared" ca="1" si="12"/>
        <v/>
      </c>
      <c r="FZ33" s="6" t="str">
        <f t="shared" ca="1" si="13"/>
        <v/>
      </c>
    </row>
    <row r="34" spans="1:182" ht="15.95" customHeight="1">
      <c r="A34" s="6">
        <v>459</v>
      </c>
      <c r="B34" s="6" t="s">
        <v>175</v>
      </c>
      <c r="E34" s="6" t="s">
        <v>565</v>
      </c>
      <c r="F34" s="6" t="s">
        <v>1270</v>
      </c>
      <c r="G34" s="6" t="s">
        <v>1218</v>
      </c>
      <c r="H34" s="7" t="s">
        <v>1219</v>
      </c>
      <c r="I34" s="7"/>
      <c r="J34" s="6" t="s">
        <v>1199</v>
      </c>
      <c r="K34" s="6" t="s">
        <v>1201</v>
      </c>
      <c r="N34" s="6" t="s">
        <v>1203</v>
      </c>
      <c r="O34" s="6" t="s">
        <v>1205</v>
      </c>
      <c r="R34" s="101" t="s">
        <v>1220</v>
      </c>
      <c r="Y34" s="6" t="s">
        <v>1236</v>
      </c>
      <c r="Z34" s="6">
        <v>21</v>
      </c>
      <c r="AA34" s="6">
        <v>22</v>
      </c>
      <c r="AD34" s="6" t="s">
        <v>1203</v>
      </c>
      <c r="AE34" s="6" t="s">
        <v>1205</v>
      </c>
      <c r="AG34" s="6" t="s">
        <v>1237</v>
      </c>
      <c r="AY34" s="8" t="s">
        <v>176</v>
      </c>
      <c r="AZ34" s="8" t="s">
        <v>195</v>
      </c>
      <c r="BA34" s="13" t="s">
        <v>197</v>
      </c>
      <c r="BB34" s="13" t="s">
        <v>7</v>
      </c>
      <c r="BC34" s="13">
        <v>59</v>
      </c>
      <c r="BD34" s="13">
        <v>60</v>
      </c>
      <c r="DC34" s="6" t="s">
        <v>169</v>
      </c>
      <c r="DD34" s="6" t="s">
        <v>183</v>
      </c>
      <c r="DH34" s="6" t="str">
        <f>"A"&amp;EA34</f>
        <v>A11</v>
      </c>
      <c r="DI34" s="6" t="str">
        <f>"B"&amp;EA34</f>
        <v>B11</v>
      </c>
      <c r="DK34" s="6" t="s">
        <v>173</v>
      </c>
      <c r="DL34" s="6" t="str">
        <f>IF(DZ34&lt;&gt;"","CN2","")</f>
        <v/>
      </c>
      <c r="DO34" s="9" t="s">
        <v>170</v>
      </c>
      <c r="DP34" s="6" t="s">
        <v>171</v>
      </c>
      <c r="DQ34" s="6" t="s">
        <v>645</v>
      </c>
      <c r="DS34" s="6" t="str">
        <f>IF(MID(EF34,2,1)="A","KS1","AKB331")</f>
        <v>KS1</v>
      </c>
      <c r="DT34" s="10" t="str">
        <f>DQ34&amp;"-"&amp;DX34&amp;"-"&amp;DY34&amp;"/"&amp;BA34&amp;"-"&amp;DD34&amp;"-"&amp;DK34</f>
        <v>FCS0111-5-2/1S–MC–107-F12-CN1</v>
      </c>
      <c r="DU34" s="6" t="str">
        <f>IF(DL34="","",DQ34&amp;"-"&amp;DX34&amp;"-"&amp;DY34&amp;"/"&amp;BA34&amp;"-"&amp;DD34&amp;"-"&amp;DL34)</f>
        <v/>
      </c>
      <c r="DV34" s="19">
        <v>1</v>
      </c>
      <c r="DW34" s="20" t="str">
        <f>RIGHT(DQ34,2)</f>
        <v>11</v>
      </c>
      <c r="DX34" s="21">
        <v>5</v>
      </c>
      <c r="DY34" s="22">
        <v>2</v>
      </c>
      <c r="DZ34" s="23" t="s">
        <v>204</v>
      </c>
      <c r="EA34" s="23">
        <v>11</v>
      </c>
      <c r="ED34" s="9" t="str">
        <f>IF(DX34="1","AFV30D","ANB10D")</f>
        <v>ANB10D</v>
      </c>
      <c r="EF34" s="6" t="s">
        <v>172</v>
      </c>
      <c r="EH34" s="6" t="s">
        <v>297</v>
      </c>
      <c r="EI34" s="6" t="s">
        <v>379</v>
      </c>
      <c r="EJ34" s="12">
        <v>6</v>
      </c>
      <c r="EK34" s="12"/>
      <c r="EM34" s="12"/>
      <c r="EN34" s="12" t="s">
        <v>1100</v>
      </c>
      <c r="EP34" s="6" t="s">
        <v>1146</v>
      </c>
      <c r="ET34" s="6" t="str">
        <f t="shared" si="5"/>
        <v>홀수</v>
      </c>
      <c r="EU34" s="12">
        <v>9</v>
      </c>
      <c r="EV34" s="45" t="str">
        <f t="shared" ca="1" si="18"/>
        <v>B</v>
      </c>
      <c r="EW34" s="6">
        <f t="shared" ca="1" si="6"/>
        <v>66</v>
      </c>
      <c r="FR34" s="6">
        <v>1</v>
      </c>
      <c r="FS34" s="6" t="str">
        <f t="shared" si="7"/>
        <v/>
      </c>
      <c r="FT34" s="6" t="str">
        <f t="shared" si="8"/>
        <v/>
      </c>
      <c r="FU34" s="6" t="str">
        <f t="shared" ca="1" si="19"/>
        <v/>
      </c>
      <c r="FV34" s="6" t="str">
        <f t="shared" ca="1" si="9"/>
        <v/>
      </c>
      <c r="FW34" s="6" t="str">
        <f t="shared" ca="1" si="10"/>
        <v/>
      </c>
      <c r="FX34" s="6" t="str">
        <f t="shared" ca="1" si="11"/>
        <v/>
      </c>
      <c r="FY34" s="6" t="str">
        <f t="shared" ca="1" si="12"/>
        <v/>
      </c>
      <c r="FZ34" s="6" t="str">
        <f t="shared" ca="1" si="13"/>
        <v/>
      </c>
    </row>
    <row r="35" spans="1:182" ht="15.95" customHeight="1">
      <c r="A35" s="6">
        <v>14</v>
      </c>
      <c r="B35" s="6" t="s">
        <v>175</v>
      </c>
      <c r="E35" s="6" t="s">
        <v>481</v>
      </c>
      <c r="F35" s="6" t="s">
        <v>1271</v>
      </c>
      <c r="G35" s="6" t="s">
        <v>1218</v>
      </c>
      <c r="H35" s="7" t="s">
        <v>1219</v>
      </c>
      <c r="I35" s="7"/>
      <c r="J35" s="6" t="s">
        <v>1199</v>
      </c>
      <c r="K35" s="6" t="s">
        <v>1201</v>
      </c>
      <c r="N35" s="6" t="s">
        <v>1203</v>
      </c>
      <c r="O35" s="6" t="s">
        <v>1205</v>
      </c>
      <c r="R35" s="101" t="s">
        <v>1220</v>
      </c>
      <c r="Y35" s="6" t="s">
        <v>1266</v>
      </c>
      <c r="Z35" s="6">
        <v>13</v>
      </c>
      <c r="AA35" s="6">
        <v>14</v>
      </c>
      <c r="AD35" s="6" t="s">
        <v>1203</v>
      </c>
      <c r="AE35" s="6" t="s">
        <v>1205</v>
      </c>
      <c r="AG35" s="6" t="s">
        <v>1267</v>
      </c>
      <c r="AY35" s="8" t="s">
        <v>176</v>
      </c>
      <c r="AZ35" s="8" t="s">
        <v>195</v>
      </c>
      <c r="BA35" s="13" t="s">
        <v>197</v>
      </c>
      <c r="BB35" s="13" t="s">
        <v>8</v>
      </c>
      <c r="BC35" s="13">
        <v>143</v>
      </c>
      <c r="BD35" s="13">
        <v>144</v>
      </c>
      <c r="DC35" s="6" t="s">
        <v>169</v>
      </c>
      <c r="DD35" s="6" t="s">
        <v>177</v>
      </c>
      <c r="DH35" s="6" t="str">
        <f t="shared" si="15"/>
        <v>A14</v>
      </c>
      <c r="DI35" s="6" t="str">
        <f t="shared" si="16"/>
        <v>B14</v>
      </c>
      <c r="DK35" s="6" t="s">
        <v>173</v>
      </c>
      <c r="DL35" s="6" t="str">
        <f t="shared" si="17"/>
        <v>CN2</v>
      </c>
      <c r="DO35" s="9" t="s">
        <v>170</v>
      </c>
      <c r="DP35" s="6" t="s">
        <v>171</v>
      </c>
      <c r="DQ35" s="6" t="s">
        <v>645</v>
      </c>
      <c r="DS35" s="6" t="str">
        <f t="shared" si="0"/>
        <v>KS1</v>
      </c>
      <c r="DT35" s="10" t="str">
        <f t="shared" si="1"/>
        <v>FCS0111-1-1/1S–MC–107-F1-CN1</v>
      </c>
      <c r="DU35" s="6" t="str">
        <f t="shared" si="2"/>
        <v>FCS0111-1-1/1S–MC–107-F1-CN2</v>
      </c>
      <c r="DV35" s="19">
        <v>1</v>
      </c>
      <c r="DW35" s="20" t="str">
        <f t="shared" si="3"/>
        <v>11</v>
      </c>
      <c r="DX35" s="21">
        <v>1</v>
      </c>
      <c r="DY35" s="22">
        <v>1</v>
      </c>
      <c r="DZ35" s="23">
        <v>2</v>
      </c>
      <c r="EA35" s="23">
        <v>14</v>
      </c>
      <c r="ED35" s="9" t="str">
        <f t="shared" si="4"/>
        <v>ANB10D</v>
      </c>
      <c r="EF35" s="6" t="s">
        <v>172</v>
      </c>
      <c r="EH35" s="6" t="s">
        <v>218</v>
      </c>
      <c r="EI35" s="6" t="s">
        <v>380</v>
      </c>
      <c r="EJ35" s="12">
        <v>100</v>
      </c>
      <c r="EL35" s="6"/>
      <c r="EN35" s="12" t="s">
        <v>1100</v>
      </c>
      <c r="EP35" s="6" t="s">
        <v>1148</v>
      </c>
      <c r="ET35" s="6" t="str">
        <f t="shared" si="5"/>
        <v>홀수</v>
      </c>
      <c r="EU35" s="12">
        <v>9</v>
      </c>
      <c r="EV35" s="45" t="str">
        <f t="shared" ca="1" si="18"/>
        <v>C</v>
      </c>
      <c r="EW35" s="6">
        <f t="shared" ca="1" si="6"/>
        <v>67</v>
      </c>
      <c r="FR35" s="6">
        <v>1</v>
      </c>
      <c r="FS35" s="6" t="str">
        <f t="shared" si="7"/>
        <v/>
      </c>
      <c r="FT35" s="6" t="str">
        <f t="shared" si="8"/>
        <v/>
      </c>
      <c r="FU35" s="6" t="str">
        <f t="shared" ca="1" si="19"/>
        <v/>
      </c>
      <c r="FV35" s="6" t="str">
        <f t="shared" ca="1" si="9"/>
        <v/>
      </c>
      <c r="FW35" s="6" t="str">
        <f t="shared" ref="FW35:FW66" ca="1" si="28">IF(AND(FT35=1,FU35=""),DD35&amp;"-11",IF(AND(FT35=1,FU35&lt;&gt;""),DD35&amp;"-21",""))</f>
        <v/>
      </c>
      <c r="FX35" s="6" t="str">
        <f t="shared" ref="FX35:FX66" ca="1" si="29">IF(AND(FT35=1,FU35=""),DD35&amp;"-12",IF(AND(FT35=1,FU35&lt;&gt;""),DD35&amp;"-22",""))</f>
        <v/>
      </c>
      <c r="FY35" s="6" t="str">
        <f t="shared" ref="FY35:FY66" ca="1" si="30">IF(AND(FS35="",OFFSET(FS35,0,1)="",DC35="A1BA4D"),"",IF(DC35="A1BD5D",LEFT(FW35,3)&amp;"21",FW35))</f>
        <v/>
      </c>
      <c r="FZ35" s="6" t="str">
        <f t="shared" ref="FZ35:FZ66" ca="1" si="31" xml:space="preserve">
IF(AND(FS35="",OFFSET(FS35,0,1)="",DC35="A1BA4D"),"",IF(DC35="A1BD5D",LEFT(FW35,3)&amp;"22",FW35))</f>
        <v/>
      </c>
    </row>
    <row r="36" spans="1:182" ht="15.95" customHeight="1">
      <c r="A36" s="6">
        <v>15</v>
      </c>
      <c r="B36" s="6" t="s">
        <v>175</v>
      </c>
      <c r="E36" s="13" t="s">
        <v>482</v>
      </c>
      <c r="F36" s="6" t="s">
        <v>1272</v>
      </c>
      <c r="G36" s="6" t="s">
        <v>1218</v>
      </c>
      <c r="H36" s="7" t="s">
        <v>1219</v>
      </c>
      <c r="I36" s="7"/>
      <c r="J36" s="6" t="s">
        <v>1199</v>
      </c>
      <c r="K36" s="6" t="s">
        <v>1201</v>
      </c>
      <c r="N36" s="6" t="s">
        <v>1203</v>
      </c>
      <c r="O36" s="6" t="s">
        <v>1205</v>
      </c>
      <c r="R36" s="101" t="s">
        <v>1220</v>
      </c>
      <c r="Y36" s="6" t="s">
        <v>1266</v>
      </c>
      <c r="Z36" s="6">
        <v>15</v>
      </c>
      <c r="AA36" s="6">
        <v>16</v>
      </c>
      <c r="AD36" s="6" t="s">
        <v>1203</v>
      </c>
      <c r="AE36" s="6" t="s">
        <v>1205</v>
      </c>
      <c r="AG36" s="6" t="s">
        <v>1267</v>
      </c>
      <c r="AY36" s="8" t="s">
        <v>176</v>
      </c>
      <c r="AZ36" s="8" t="s">
        <v>195</v>
      </c>
      <c r="BA36" s="13" t="s">
        <v>197</v>
      </c>
      <c r="BB36" s="13" t="s">
        <v>8</v>
      </c>
      <c r="BC36" s="13">
        <v>145</v>
      </c>
      <c r="BD36" s="13">
        <v>146</v>
      </c>
      <c r="DC36" s="6" t="s">
        <v>169</v>
      </c>
      <c r="DD36" s="6" t="s">
        <v>177</v>
      </c>
      <c r="DH36" s="6" t="str">
        <f t="shared" si="15"/>
        <v>A15</v>
      </c>
      <c r="DI36" s="6" t="str">
        <f t="shared" si="16"/>
        <v>B15</v>
      </c>
      <c r="DK36" s="6" t="s">
        <v>173</v>
      </c>
      <c r="DL36" s="6" t="str">
        <f t="shared" si="17"/>
        <v>CN2</v>
      </c>
      <c r="DO36" s="9" t="s">
        <v>170</v>
      </c>
      <c r="DP36" s="6" t="s">
        <v>171</v>
      </c>
      <c r="DQ36" s="6" t="s">
        <v>645</v>
      </c>
      <c r="DS36" s="6" t="str">
        <f t="shared" si="0"/>
        <v>KS1</v>
      </c>
      <c r="DT36" s="10" t="str">
        <f t="shared" si="1"/>
        <v>FCS0111-1-1/1S–MC–107-F1-CN1</v>
      </c>
      <c r="DU36" s="6" t="str">
        <f t="shared" si="2"/>
        <v>FCS0111-1-1/1S–MC–107-F1-CN2</v>
      </c>
      <c r="DV36" s="19">
        <v>1</v>
      </c>
      <c r="DW36" s="20" t="str">
        <f t="shared" si="3"/>
        <v>11</v>
      </c>
      <c r="DX36" s="21">
        <v>1</v>
      </c>
      <c r="DY36" s="22">
        <v>1</v>
      </c>
      <c r="DZ36" s="23">
        <v>2</v>
      </c>
      <c r="EA36" s="23">
        <v>15</v>
      </c>
      <c r="ED36" s="9" t="str">
        <f t="shared" si="4"/>
        <v>ANB10D</v>
      </c>
      <c r="EF36" s="6" t="s">
        <v>172</v>
      </c>
      <c r="EH36" s="6" t="s">
        <v>219</v>
      </c>
      <c r="EI36" s="6" t="s">
        <v>381</v>
      </c>
      <c r="EJ36" s="12">
        <v>100</v>
      </c>
      <c r="EN36" s="12" t="s">
        <v>1100</v>
      </c>
      <c r="EP36" s="6" t="s">
        <v>1148</v>
      </c>
      <c r="ET36" s="6" t="str">
        <f t="shared" si="5"/>
        <v>홀수</v>
      </c>
      <c r="EU36" s="12">
        <v>9</v>
      </c>
      <c r="EV36" s="45" t="str">
        <f t="shared" ca="1" si="18"/>
        <v>D</v>
      </c>
      <c r="EW36" s="6">
        <f t="shared" ca="1" si="6"/>
        <v>68</v>
      </c>
      <c r="FR36" s="6">
        <v>1</v>
      </c>
      <c r="FS36" s="6" t="str">
        <f t="shared" si="7"/>
        <v/>
      </c>
      <c r="FT36" s="6" t="str">
        <f t="shared" si="8"/>
        <v/>
      </c>
      <c r="FU36" s="6" t="str">
        <f t="shared" ca="1" si="19"/>
        <v/>
      </c>
      <c r="FV36" s="6" t="str">
        <f t="shared" ca="1" si="9"/>
        <v/>
      </c>
      <c r="FW36" s="6" t="str">
        <f t="shared" ca="1" si="28"/>
        <v/>
      </c>
      <c r="FX36" s="6" t="str">
        <f t="shared" ca="1" si="29"/>
        <v/>
      </c>
      <c r="FY36" s="6" t="str">
        <f t="shared" ca="1" si="30"/>
        <v/>
      </c>
      <c r="FZ36" s="6" t="str">
        <f t="shared" ca="1" si="31"/>
        <v/>
      </c>
    </row>
    <row r="37" spans="1:182" ht="15.95" customHeight="1">
      <c r="A37" s="6">
        <v>65</v>
      </c>
      <c r="B37" s="6" t="s">
        <v>175</v>
      </c>
      <c r="E37" s="6" t="s">
        <v>496</v>
      </c>
      <c r="F37" s="6" t="s">
        <v>1273</v>
      </c>
      <c r="G37" s="6" t="s">
        <v>1218</v>
      </c>
      <c r="H37" s="7" t="s">
        <v>1219</v>
      </c>
      <c r="I37" s="7"/>
      <c r="J37" s="6" t="s">
        <v>1199</v>
      </c>
      <c r="K37" s="6" t="s">
        <v>1201</v>
      </c>
      <c r="N37" s="6" t="s">
        <v>1203</v>
      </c>
      <c r="O37" s="6" t="s">
        <v>1205</v>
      </c>
      <c r="R37" s="101" t="s">
        <v>1220</v>
      </c>
      <c r="Y37" s="6" t="s">
        <v>1236</v>
      </c>
      <c r="Z37" s="6">
        <v>23</v>
      </c>
      <c r="AA37" s="6">
        <v>24</v>
      </c>
      <c r="AD37" s="6" t="s">
        <v>1203</v>
      </c>
      <c r="AE37" s="6" t="s">
        <v>1205</v>
      </c>
      <c r="AG37" s="6" t="s">
        <v>1237</v>
      </c>
      <c r="AY37" s="8" t="s">
        <v>176</v>
      </c>
      <c r="AZ37" s="8" t="s">
        <v>195</v>
      </c>
      <c r="BA37" s="13" t="s">
        <v>197</v>
      </c>
      <c r="BB37" s="13" t="s">
        <v>7</v>
      </c>
      <c r="BC37" s="13">
        <v>61</v>
      </c>
      <c r="BD37" s="13">
        <v>62</v>
      </c>
      <c r="DC37" s="6" t="s">
        <v>169</v>
      </c>
      <c r="DD37" s="6" t="s">
        <v>202</v>
      </c>
      <c r="DH37" s="6" t="str">
        <f>"A"&amp;EA37</f>
        <v>A1</v>
      </c>
      <c r="DI37" s="6" t="str">
        <f>"B"&amp;EA37</f>
        <v>B1</v>
      </c>
      <c r="DK37" s="6" t="s">
        <v>173</v>
      </c>
      <c r="DL37" s="6" t="str">
        <f>IF(DZ37&lt;&gt;"","CN2","")</f>
        <v>CN2</v>
      </c>
      <c r="DO37" s="9" t="s">
        <v>170</v>
      </c>
      <c r="DP37" s="6" t="s">
        <v>171</v>
      </c>
      <c r="DQ37" s="6" t="s">
        <v>645</v>
      </c>
      <c r="DS37" s="6" t="str">
        <f>IF(MID(EF37,2,1)="A","KS1","AKB331")</f>
        <v>KS1</v>
      </c>
      <c r="DT37" s="10" t="str">
        <f>DQ37&amp;"-"&amp;DX37&amp;"-"&amp;DY37&amp;"/"&amp;BA37&amp;"-"&amp;DD37&amp;"-"&amp;DK37</f>
        <v>FCS0111-2-1/1S–MC–107-F3-CN1</v>
      </c>
      <c r="DU37" s="6" t="str">
        <f>IF(DL37="","",DQ37&amp;"-"&amp;DX37&amp;"-"&amp;DY37&amp;"/"&amp;BA37&amp;"-"&amp;DD37&amp;"-"&amp;DL37)</f>
        <v>FCS0111-2-1/1S–MC–107-F3-CN2</v>
      </c>
      <c r="DV37" s="19">
        <v>1</v>
      </c>
      <c r="DW37" s="20" t="str">
        <f>RIGHT(DQ37,2)</f>
        <v>11</v>
      </c>
      <c r="DX37" s="21">
        <v>2</v>
      </c>
      <c r="DY37" s="22">
        <v>1</v>
      </c>
      <c r="DZ37" s="23">
        <v>2</v>
      </c>
      <c r="EA37" s="23">
        <v>1</v>
      </c>
      <c r="ED37" s="9" t="str">
        <f>IF(DX37="1","AFV30D","ANB10D")</f>
        <v>ANB10D</v>
      </c>
      <c r="EF37" s="6" t="s">
        <v>172</v>
      </c>
      <c r="EH37" s="6" t="s">
        <v>220</v>
      </c>
      <c r="EI37" s="6" t="s">
        <v>392</v>
      </c>
      <c r="EJ37" s="12">
        <v>300</v>
      </c>
      <c r="EN37" s="12" t="s">
        <v>1106</v>
      </c>
      <c r="EP37" s="6" t="s">
        <v>1147</v>
      </c>
      <c r="ET37" s="6" t="str">
        <f t="shared" si="5"/>
        <v>짝수</v>
      </c>
      <c r="EU37" s="12">
        <v>10</v>
      </c>
      <c r="EV37" s="45" t="str">
        <f t="shared" ca="1" si="18"/>
        <v>A</v>
      </c>
      <c r="EW37" s="6">
        <f t="shared" ca="1" si="6"/>
        <v>65</v>
      </c>
      <c r="FR37" s="6">
        <v>1</v>
      </c>
      <c r="FS37" s="6" t="str">
        <f t="shared" si="7"/>
        <v/>
      </c>
      <c r="FT37" s="6" t="str">
        <f t="shared" si="8"/>
        <v/>
      </c>
      <c r="FU37" s="6" t="str">
        <f t="shared" ca="1" si="19"/>
        <v/>
      </c>
      <c r="FV37" s="6" t="str">
        <f t="shared" ca="1" si="9"/>
        <v/>
      </c>
      <c r="FW37" s="6" t="str">
        <f t="shared" ca="1" si="28"/>
        <v/>
      </c>
      <c r="FX37" s="6" t="str">
        <f t="shared" ca="1" si="29"/>
        <v/>
      </c>
      <c r="FY37" s="6" t="str">
        <f t="shared" ca="1" si="30"/>
        <v/>
      </c>
      <c r="FZ37" s="6" t="str">
        <f t="shared" ca="1" si="31"/>
        <v/>
      </c>
    </row>
    <row r="38" spans="1:182" ht="15.95" customHeight="1">
      <c r="A38" s="6">
        <v>23</v>
      </c>
      <c r="B38" s="6" t="s">
        <v>175</v>
      </c>
      <c r="E38" s="6" t="s">
        <v>489</v>
      </c>
      <c r="F38" s="6" t="s">
        <v>1274</v>
      </c>
      <c r="G38" s="6" t="s">
        <v>1226</v>
      </c>
      <c r="H38" s="7" t="s">
        <v>1227</v>
      </c>
      <c r="I38" s="7"/>
      <c r="J38" s="6" t="s">
        <v>1199</v>
      </c>
      <c r="K38" s="6" t="s">
        <v>1201</v>
      </c>
      <c r="N38" s="6" t="s">
        <v>1203</v>
      </c>
      <c r="O38" s="6" t="s">
        <v>1205</v>
      </c>
      <c r="R38" s="101" t="s">
        <v>1220</v>
      </c>
      <c r="Y38" s="6" t="s">
        <v>1241</v>
      </c>
      <c r="Z38" s="6">
        <v>17</v>
      </c>
      <c r="AA38" s="6">
        <v>18</v>
      </c>
      <c r="AD38" s="6" t="s">
        <v>1203</v>
      </c>
      <c r="AE38" s="6" t="s">
        <v>1205</v>
      </c>
      <c r="AG38" s="6" t="s">
        <v>1242</v>
      </c>
      <c r="AY38" s="8" t="s">
        <v>176</v>
      </c>
      <c r="AZ38" s="8" t="s">
        <v>195</v>
      </c>
      <c r="BA38" s="13" t="s">
        <v>197</v>
      </c>
      <c r="BB38" s="13" t="s">
        <v>7</v>
      </c>
      <c r="BC38" s="13">
        <v>79</v>
      </c>
      <c r="BD38" s="13">
        <v>80</v>
      </c>
      <c r="DC38" s="6" t="s">
        <v>169</v>
      </c>
      <c r="DD38" s="6" t="s">
        <v>201</v>
      </c>
      <c r="DH38" s="6" t="str">
        <f>"A"&amp;EA38</f>
        <v>A7</v>
      </c>
      <c r="DI38" s="6" t="str">
        <f>"B"&amp;EA38</f>
        <v>B7</v>
      </c>
      <c r="DK38" s="6" t="s">
        <v>173</v>
      </c>
      <c r="DL38" s="6" t="str">
        <f>IF(DZ38&lt;&gt;"","CN2","")</f>
        <v>CN2</v>
      </c>
      <c r="DO38" s="9" t="s">
        <v>170</v>
      </c>
      <c r="DP38" s="6" t="s">
        <v>171</v>
      </c>
      <c r="DQ38" s="6" t="s">
        <v>645</v>
      </c>
      <c r="DS38" s="6" t="str">
        <f>IF(MID(EF38,2,1)="A","KS1","AKB331")</f>
        <v>KS1</v>
      </c>
      <c r="DT38" s="10" t="str">
        <f>DQ38&amp;"-"&amp;DX38&amp;"-"&amp;DY38&amp;"/"&amp;BA38&amp;"-"&amp;DD38&amp;"-"&amp;DK38</f>
        <v>FCS0111-1-3/1S–MC–107-F2-CN1</v>
      </c>
      <c r="DU38" s="6" t="str">
        <f>IF(DL38="","",DQ38&amp;"-"&amp;DX38&amp;"-"&amp;DY38&amp;"/"&amp;BA38&amp;"-"&amp;DD38&amp;"-"&amp;DL38)</f>
        <v>FCS0111-1-3/1S–MC–107-F2-CN2</v>
      </c>
      <c r="DV38" s="19">
        <v>1</v>
      </c>
      <c r="DW38" s="20" t="str">
        <f>RIGHT(DQ38,2)</f>
        <v>11</v>
      </c>
      <c r="DX38" s="21">
        <v>1</v>
      </c>
      <c r="DY38" s="22">
        <v>3</v>
      </c>
      <c r="DZ38" s="23">
        <v>4</v>
      </c>
      <c r="EA38" s="23">
        <v>7</v>
      </c>
      <c r="ED38" s="9" t="str">
        <f>IF(DX38="1","AFV30D","ANB10D")</f>
        <v>ANB10D</v>
      </c>
      <c r="EF38" s="6" t="s">
        <v>174</v>
      </c>
      <c r="EH38" s="6" t="s">
        <v>220</v>
      </c>
      <c r="EI38" s="6" t="s">
        <v>385</v>
      </c>
      <c r="EJ38" s="12">
        <v>300</v>
      </c>
      <c r="EN38" s="12" t="s">
        <v>1106</v>
      </c>
      <c r="ET38" s="6" t="str">
        <f t="shared" si="5"/>
        <v>짝수</v>
      </c>
      <c r="EU38" s="12">
        <v>10</v>
      </c>
      <c r="EV38" s="45" t="str">
        <f t="shared" ca="1" si="18"/>
        <v>B</v>
      </c>
      <c r="EW38" s="6">
        <f t="shared" ca="1" si="6"/>
        <v>66</v>
      </c>
      <c r="FR38" s="6">
        <v>1</v>
      </c>
      <c r="FS38" s="6" t="str">
        <f t="shared" si="7"/>
        <v/>
      </c>
      <c r="FT38" s="6" t="str">
        <f t="shared" si="8"/>
        <v/>
      </c>
      <c r="FU38" s="6" t="str">
        <f t="shared" ca="1" si="19"/>
        <v/>
      </c>
      <c r="FV38" s="6" t="str">
        <f t="shared" ca="1" si="9"/>
        <v/>
      </c>
      <c r="FW38" s="6" t="str">
        <f t="shared" ca="1" si="28"/>
        <v/>
      </c>
      <c r="FX38" s="6" t="str">
        <f t="shared" ca="1" si="29"/>
        <v/>
      </c>
      <c r="FY38" s="6" t="str">
        <f t="shared" ca="1" si="30"/>
        <v/>
      </c>
      <c r="FZ38" s="6" t="str">
        <f t="shared" ca="1" si="31"/>
        <v/>
      </c>
    </row>
    <row r="39" spans="1:182" ht="15.95" customHeight="1">
      <c r="A39" s="6">
        <v>67</v>
      </c>
      <c r="B39" s="6" t="s">
        <v>175</v>
      </c>
      <c r="E39" s="6" t="s">
        <v>498</v>
      </c>
      <c r="F39" s="6" t="s">
        <v>1275</v>
      </c>
      <c r="G39" s="6" t="s">
        <v>1218</v>
      </c>
      <c r="H39" s="7" t="s">
        <v>1219</v>
      </c>
      <c r="I39" s="7"/>
      <c r="J39" s="6" t="s">
        <v>1199</v>
      </c>
      <c r="K39" s="6" t="s">
        <v>1201</v>
      </c>
      <c r="N39" s="6" t="s">
        <v>1203</v>
      </c>
      <c r="O39" s="6" t="s">
        <v>1205</v>
      </c>
      <c r="R39" s="101" t="s">
        <v>1220</v>
      </c>
      <c r="Y39" s="6" t="s">
        <v>1266</v>
      </c>
      <c r="Z39" s="6">
        <v>7</v>
      </c>
      <c r="AA39" s="6">
        <v>8</v>
      </c>
      <c r="AD39" s="6" t="s">
        <v>1203</v>
      </c>
      <c r="AE39" s="6" t="s">
        <v>1205</v>
      </c>
      <c r="AG39" s="6" t="s">
        <v>1267</v>
      </c>
      <c r="AY39" s="8" t="s">
        <v>176</v>
      </c>
      <c r="AZ39" s="8" t="s">
        <v>195</v>
      </c>
      <c r="BA39" s="13" t="s">
        <v>197</v>
      </c>
      <c r="BB39" s="13" t="s">
        <v>8</v>
      </c>
      <c r="BC39" s="13">
        <v>137</v>
      </c>
      <c r="BD39" s="13">
        <v>138</v>
      </c>
      <c r="DC39" s="6" t="s">
        <v>169</v>
      </c>
      <c r="DD39" s="6" t="s">
        <v>202</v>
      </c>
      <c r="DH39" s="6" t="str">
        <f>"A"&amp;EA39</f>
        <v>A3</v>
      </c>
      <c r="DI39" s="6" t="str">
        <f>"B"&amp;EA39</f>
        <v>B3</v>
      </c>
      <c r="DK39" s="6" t="s">
        <v>173</v>
      </c>
      <c r="DL39" s="6" t="str">
        <f>IF(DZ39&lt;&gt;"","CN2","")</f>
        <v>CN2</v>
      </c>
      <c r="DO39" s="9" t="s">
        <v>170</v>
      </c>
      <c r="DP39" s="6" t="s">
        <v>171</v>
      </c>
      <c r="DQ39" s="6" t="s">
        <v>645</v>
      </c>
      <c r="DS39" s="6" t="str">
        <f>IF(MID(EF39,2,1)="A","KS1","AKB331")</f>
        <v>KS1</v>
      </c>
      <c r="DT39" s="10" t="str">
        <f>DQ39&amp;"-"&amp;DX39&amp;"-"&amp;DY39&amp;"/"&amp;BA39&amp;"-"&amp;DD39&amp;"-"&amp;DK39</f>
        <v>FCS0111-2-1/1S–MC–107-F3-CN1</v>
      </c>
      <c r="DU39" s="6" t="str">
        <f>IF(DL39="","",DQ39&amp;"-"&amp;DX39&amp;"-"&amp;DY39&amp;"/"&amp;BA39&amp;"-"&amp;DD39&amp;"-"&amp;DL39)</f>
        <v>FCS0111-2-1/1S–MC–107-F3-CN2</v>
      </c>
      <c r="DV39" s="19">
        <v>1</v>
      </c>
      <c r="DW39" s="20" t="str">
        <f>RIGHT(DQ39,2)</f>
        <v>11</v>
      </c>
      <c r="DX39" s="21">
        <v>2</v>
      </c>
      <c r="DY39" s="22">
        <v>1</v>
      </c>
      <c r="DZ39" s="23">
        <v>2</v>
      </c>
      <c r="EA39" s="23">
        <v>3</v>
      </c>
      <c r="ED39" s="9" t="str">
        <f>IF(DX39="1","AFV30D","ANB10D")</f>
        <v>ANB10D</v>
      </c>
      <c r="EF39" s="6" t="s">
        <v>172</v>
      </c>
      <c r="EH39" s="6" t="s">
        <v>221</v>
      </c>
      <c r="EI39" s="6" t="s">
        <v>386</v>
      </c>
      <c r="EJ39" s="12">
        <v>300</v>
      </c>
      <c r="EN39" s="12" t="s">
        <v>1106</v>
      </c>
      <c r="EP39" s="6" t="s">
        <v>1147</v>
      </c>
      <c r="ET39" s="6" t="str">
        <f t="shared" si="5"/>
        <v>짝수</v>
      </c>
      <c r="EU39" s="12">
        <v>10</v>
      </c>
      <c r="EV39" s="45" t="str">
        <f t="shared" ca="1" si="18"/>
        <v>C</v>
      </c>
      <c r="EW39" s="6">
        <f t="shared" ca="1" si="6"/>
        <v>67</v>
      </c>
      <c r="FR39" s="6">
        <v>1</v>
      </c>
      <c r="FS39" s="6" t="str">
        <f t="shared" si="7"/>
        <v/>
      </c>
      <c r="FT39" s="6" t="str">
        <f t="shared" si="8"/>
        <v/>
      </c>
      <c r="FU39" s="6" t="str">
        <f t="shared" ca="1" si="19"/>
        <v/>
      </c>
      <c r="FV39" s="6" t="str">
        <f t="shared" ca="1" si="9"/>
        <v/>
      </c>
      <c r="FW39" s="6" t="str">
        <f t="shared" ca="1" si="28"/>
        <v/>
      </c>
      <c r="FX39" s="6" t="str">
        <f t="shared" ca="1" si="29"/>
        <v/>
      </c>
      <c r="FY39" s="6" t="str">
        <f t="shared" ca="1" si="30"/>
        <v/>
      </c>
      <c r="FZ39" s="6" t="str">
        <f t="shared" ca="1" si="31"/>
        <v/>
      </c>
    </row>
    <row r="40" spans="1:182" ht="15.95" customHeight="1">
      <c r="A40" s="6">
        <v>24</v>
      </c>
      <c r="B40" s="6" t="s">
        <v>175</v>
      </c>
      <c r="E40" s="6" t="s">
        <v>490</v>
      </c>
      <c r="F40" s="6" t="s">
        <v>1276</v>
      </c>
      <c r="G40" s="6" t="s">
        <v>1226</v>
      </c>
      <c r="H40" s="7" t="s">
        <v>1227</v>
      </c>
      <c r="I40" s="7"/>
      <c r="J40" s="6" t="s">
        <v>1199</v>
      </c>
      <c r="K40" s="6" t="s">
        <v>1201</v>
      </c>
      <c r="N40" s="6" t="s">
        <v>1203</v>
      </c>
      <c r="O40" s="6" t="s">
        <v>1205</v>
      </c>
      <c r="R40" s="101" t="s">
        <v>1220</v>
      </c>
      <c r="Y40" s="6" t="s">
        <v>1266</v>
      </c>
      <c r="Z40" s="6">
        <v>9</v>
      </c>
      <c r="AA40" s="6">
        <v>10</v>
      </c>
      <c r="AD40" s="6" t="s">
        <v>1203</v>
      </c>
      <c r="AE40" s="6" t="s">
        <v>1205</v>
      </c>
      <c r="AG40" s="6" t="s">
        <v>1267</v>
      </c>
      <c r="AY40" s="8" t="s">
        <v>176</v>
      </c>
      <c r="AZ40" s="8" t="s">
        <v>195</v>
      </c>
      <c r="BA40" s="13" t="s">
        <v>197</v>
      </c>
      <c r="BB40" s="13" t="s">
        <v>8</v>
      </c>
      <c r="BC40" s="13">
        <v>139</v>
      </c>
      <c r="BD40" s="13">
        <v>140</v>
      </c>
      <c r="DC40" s="6" t="s">
        <v>169</v>
      </c>
      <c r="DD40" s="6" t="s">
        <v>201</v>
      </c>
      <c r="DH40" s="6" t="str">
        <f>"A"&amp;EA40</f>
        <v>A8</v>
      </c>
      <c r="DI40" s="6" t="str">
        <f>"B"&amp;EA40</f>
        <v>B8</v>
      </c>
      <c r="DK40" s="6" t="s">
        <v>173</v>
      </c>
      <c r="DL40" s="6" t="str">
        <f>IF(DZ40&lt;&gt;"","CN2","")</f>
        <v>CN2</v>
      </c>
      <c r="DO40" s="9" t="s">
        <v>170</v>
      </c>
      <c r="DP40" s="6" t="s">
        <v>171</v>
      </c>
      <c r="DQ40" s="6" t="s">
        <v>645</v>
      </c>
      <c r="DS40" s="6" t="str">
        <f>IF(MID(EF40,2,1)="A","KS1","AKB331")</f>
        <v>KS1</v>
      </c>
      <c r="DT40" s="10" t="str">
        <f>DQ40&amp;"-"&amp;DX40&amp;"-"&amp;DY40&amp;"/"&amp;BA40&amp;"-"&amp;DD40&amp;"-"&amp;DK40</f>
        <v>FCS0111-1-3/1S–MC–107-F2-CN1</v>
      </c>
      <c r="DU40" s="6" t="str">
        <f>IF(DL40="","",DQ40&amp;"-"&amp;DX40&amp;"-"&amp;DY40&amp;"/"&amp;BA40&amp;"-"&amp;DD40&amp;"-"&amp;DL40)</f>
        <v>FCS0111-1-3/1S–MC–107-F2-CN2</v>
      </c>
      <c r="DV40" s="19">
        <v>1</v>
      </c>
      <c r="DW40" s="20" t="str">
        <f>RIGHT(DQ40,2)</f>
        <v>11</v>
      </c>
      <c r="DX40" s="21">
        <v>1</v>
      </c>
      <c r="DY40" s="22">
        <v>3</v>
      </c>
      <c r="DZ40" s="23">
        <v>4</v>
      </c>
      <c r="EA40" s="23">
        <v>8</v>
      </c>
      <c r="ED40" s="9" t="str">
        <f>IF(DX40="1","AFV30D","ANB10D")</f>
        <v>ANB10D</v>
      </c>
      <c r="EF40" s="6" t="s">
        <v>174</v>
      </c>
      <c r="EH40" s="6" t="s">
        <v>221</v>
      </c>
      <c r="EI40" s="6" t="s">
        <v>386</v>
      </c>
      <c r="EJ40" s="12">
        <v>300</v>
      </c>
      <c r="EN40" s="12" t="s">
        <v>1106</v>
      </c>
      <c r="ET40" s="6" t="str">
        <f t="shared" si="5"/>
        <v>짝수</v>
      </c>
      <c r="EU40" s="12">
        <v>10</v>
      </c>
      <c r="EV40" s="45" t="str">
        <f t="shared" ca="1" si="18"/>
        <v>D</v>
      </c>
      <c r="EW40" s="6">
        <f t="shared" ca="1" si="6"/>
        <v>68</v>
      </c>
      <c r="FR40" s="6">
        <v>1</v>
      </c>
      <c r="FS40" s="6" t="str">
        <f t="shared" si="7"/>
        <v/>
      </c>
      <c r="FT40" s="6" t="str">
        <f t="shared" si="8"/>
        <v/>
      </c>
      <c r="FU40" s="6" t="str">
        <f t="shared" ca="1" si="19"/>
        <v/>
      </c>
      <c r="FV40" s="6" t="str">
        <f t="shared" ca="1" si="9"/>
        <v/>
      </c>
      <c r="FW40" s="6" t="str">
        <f t="shared" ca="1" si="28"/>
        <v/>
      </c>
      <c r="FX40" s="6" t="str">
        <f t="shared" ca="1" si="29"/>
        <v/>
      </c>
      <c r="FY40" s="6" t="str">
        <f t="shared" ca="1" si="30"/>
        <v/>
      </c>
      <c r="FZ40" s="6" t="str">
        <f t="shared" ca="1" si="31"/>
        <v/>
      </c>
    </row>
    <row r="41" spans="1:182" ht="15.95" customHeight="1">
      <c r="A41" s="6">
        <v>25</v>
      </c>
      <c r="B41" s="6" t="s">
        <v>175</v>
      </c>
      <c r="E41" s="6" t="s">
        <v>491</v>
      </c>
      <c r="F41" s="6" t="s">
        <v>1277</v>
      </c>
      <c r="G41" s="6" t="s">
        <v>1226</v>
      </c>
      <c r="H41" s="7" t="s">
        <v>1227</v>
      </c>
      <c r="I41" s="7"/>
      <c r="J41" s="6" t="s">
        <v>1199</v>
      </c>
      <c r="K41" s="6" t="s">
        <v>1201</v>
      </c>
      <c r="N41" s="6" t="s">
        <v>1203</v>
      </c>
      <c r="O41" s="6" t="s">
        <v>1205</v>
      </c>
      <c r="R41" s="101" t="s">
        <v>1220</v>
      </c>
      <c r="Y41" s="6" t="s">
        <v>1278</v>
      </c>
      <c r="Z41" s="6">
        <v>11</v>
      </c>
      <c r="AA41" s="6">
        <v>12</v>
      </c>
      <c r="AD41" s="6" t="s">
        <v>1203</v>
      </c>
      <c r="AE41" s="6" t="s">
        <v>1205</v>
      </c>
      <c r="AG41" s="6" t="s">
        <v>1279</v>
      </c>
      <c r="AY41" s="8" t="s">
        <v>176</v>
      </c>
      <c r="AZ41" s="8" t="s">
        <v>195</v>
      </c>
      <c r="BA41" s="13" t="s">
        <v>197</v>
      </c>
      <c r="BB41" s="13" t="s">
        <v>8</v>
      </c>
      <c r="BC41" s="13">
        <v>65</v>
      </c>
      <c r="BD41" s="13">
        <v>66</v>
      </c>
      <c r="DC41" s="6" t="s">
        <v>169</v>
      </c>
      <c r="DD41" s="6" t="s">
        <v>201</v>
      </c>
      <c r="DH41" s="6" t="str">
        <f t="shared" si="15"/>
        <v>A9</v>
      </c>
      <c r="DI41" s="6" t="str">
        <f t="shared" si="16"/>
        <v>B9</v>
      </c>
      <c r="DK41" s="6" t="s">
        <v>173</v>
      </c>
      <c r="DL41" s="6" t="str">
        <f t="shared" si="17"/>
        <v>CN2</v>
      </c>
      <c r="DO41" s="9" t="s">
        <v>170</v>
      </c>
      <c r="DP41" s="6" t="s">
        <v>171</v>
      </c>
      <c r="DQ41" s="6" t="s">
        <v>645</v>
      </c>
      <c r="DS41" s="6" t="str">
        <f t="shared" si="0"/>
        <v>KS1</v>
      </c>
      <c r="DT41" s="10" t="str">
        <f t="shared" si="1"/>
        <v>FCS0111-1-3/1S–MC–107-F2-CN1</v>
      </c>
      <c r="DU41" s="6" t="str">
        <f t="shared" si="2"/>
        <v>FCS0111-1-3/1S–MC–107-F2-CN2</v>
      </c>
      <c r="DV41" s="19">
        <v>1</v>
      </c>
      <c r="DW41" s="20" t="str">
        <f t="shared" si="3"/>
        <v>11</v>
      </c>
      <c r="DX41" s="21">
        <v>1</v>
      </c>
      <c r="DY41" s="22">
        <v>3</v>
      </c>
      <c r="DZ41" s="23">
        <v>4</v>
      </c>
      <c r="EA41" s="23">
        <v>9</v>
      </c>
      <c r="ED41" s="9" t="str">
        <f t="shared" si="4"/>
        <v>ANB10D</v>
      </c>
      <c r="EF41" s="6" t="s">
        <v>174</v>
      </c>
      <c r="EH41" s="6" t="s">
        <v>222</v>
      </c>
      <c r="EI41" s="6" t="s">
        <v>387</v>
      </c>
      <c r="EJ41" s="12">
        <v>1</v>
      </c>
      <c r="EN41" s="12" t="s">
        <v>1102</v>
      </c>
      <c r="EP41" s="6" t="s">
        <v>1149</v>
      </c>
      <c r="ET41" s="6" t="str">
        <f t="shared" si="5"/>
        <v>홀수</v>
      </c>
      <c r="EU41" s="12">
        <v>11</v>
      </c>
      <c r="EV41" s="45" t="str">
        <f t="shared" ca="1" si="18"/>
        <v>A</v>
      </c>
      <c r="EW41" s="6">
        <f t="shared" ca="1" si="6"/>
        <v>65</v>
      </c>
      <c r="FR41" s="6">
        <v>1</v>
      </c>
      <c r="FS41" s="6" t="str">
        <f t="shared" si="7"/>
        <v/>
      </c>
      <c r="FT41" s="6" t="str">
        <f t="shared" si="8"/>
        <v/>
      </c>
      <c r="FU41" s="6" t="str">
        <f t="shared" ca="1" si="19"/>
        <v/>
      </c>
      <c r="FV41" s="6" t="str">
        <f t="shared" ca="1" si="9"/>
        <v/>
      </c>
      <c r="FW41" s="6" t="str">
        <f t="shared" ca="1" si="28"/>
        <v/>
      </c>
      <c r="FX41" s="6" t="str">
        <f t="shared" ca="1" si="29"/>
        <v/>
      </c>
      <c r="FY41" s="6" t="str">
        <f t="shared" ca="1" si="30"/>
        <v/>
      </c>
      <c r="FZ41" s="6" t="str">
        <f t="shared" ca="1" si="31"/>
        <v/>
      </c>
    </row>
    <row r="42" spans="1:182" ht="15.95" customHeight="1">
      <c r="A42" s="6">
        <v>70</v>
      </c>
      <c r="B42" s="6" t="s">
        <v>175</v>
      </c>
      <c r="E42" s="6" t="s">
        <v>501</v>
      </c>
      <c r="F42" s="6" t="s">
        <v>1280</v>
      </c>
      <c r="G42" s="6" t="s">
        <v>1218</v>
      </c>
      <c r="H42" s="7" t="s">
        <v>1219</v>
      </c>
      <c r="I42" s="7"/>
      <c r="J42" s="6" t="s">
        <v>1199</v>
      </c>
      <c r="K42" s="6" t="s">
        <v>1201</v>
      </c>
      <c r="N42" s="6" t="s">
        <v>1203</v>
      </c>
      <c r="O42" s="6" t="s">
        <v>1205</v>
      </c>
      <c r="R42" s="101" t="s">
        <v>1220</v>
      </c>
      <c r="Y42" s="6" t="s">
        <v>1278</v>
      </c>
      <c r="Z42" s="6">
        <v>9</v>
      </c>
      <c r="AA42" s="6">
        <v>10</v>
      </c>
      <c r="AD42" s="6" t="s">
        <v>1203</v>
      </c>
      <c r="AE42" s="6" t="s">
        <v>1205</v>
      </c>
      <c r="AG42" s="6" t="s">
        <v>1279</v>
      </c>
      <c r="AY42" s="8" t="s">
        <v>176</v>
      </c>
      <c r="AZ42" s="8" t="s">
        <v>195</v>
      </c>
      <c r="BA42" s="13" t="s">
        <v>197</v>
      </c>
      <c r="BB42" s="13" t="s">
        <v>8</v>
      </c>
      <c r="BC42" s="13">
        <v>63</v>
      </c>
      <c r="BD42" s="13">
        <v>64</v>
      </c>
      <c r="DC42" s="6" t="s">
        <v>169</v>
      </c>
      <c r="DD42" s="6" t="s">
        <v>202</v>
      </c>
      <c r="DH42" s="6" t="str">
        <f>"A"&amp;EA42</f>
        <v>A6</v>
      </c>
      <c r="DI42" s="6" t="str">
        <f>"B"&amp;EA42</f>
        <v>B6</v>
      </c>
      <c r="DK42" s="6" t="s">
        <v>173</v>
      </c>
      <c r="DL42" s="6" t="str">
        <f>IF(DZ42&lt;&gt;"","CN2","")</f>
        <v>CN2</v>
      </c>
      <c r="DO42" s="9" t="s">
        <v>170</v>
      </c>
      <c r="DP42" s="6" t="s">
        <v>171</v>
      </c>
      <c r="DQ42" s="6" t="s">
        <v>645</v>
      </c>
      <c r="DS42" s="6" t="str">
        <f>IF(MID(EF42,2,1)="A","KS1","AKB331")</f>
        <v>KS1</v>
      </c>
      <c r="DT42" s="10" t="str">
        <f>DQ42&amp;"-"&amp;DX42&amp;"-"&amp;DY42&amp;"/"&amp;BA42&amp;"-"&amp;DD42&amp;"-"&amp;DK42</f>
        <v>FCS0111-2-1/1S–MC–107-F3-CN1</v>
      </c>
      <c r="DU42" s="6" t="str">
        <f>IF(DL42="","",DQ42&amp;"-"&amp;DX42&amp;"-"&amp;DY42&amp;"/"&amp;BA42&amp;"-"&amp;DD42&amp;"-"&amp;DL42)</f>
        <v>FCS0111-2-1/1S–MC–107-F3-CN2</v>
      </c>
      <c r="DV42" s="19">
        <v>1</v>
      </c>
      <c r="DW42" s="20" t="str">
        <f>RIGHT(DQ42,2)</f>
        <v>11</v>
      </c>
      <c r="DX42" s="21">
        <v>2</v>
      </c>
      <c r="DY42" s="22">
        <v>1</v>
      </c>
      <c r="DZ42" s="23">
        <v>2</v>
      </c>
      <c r="EA42" s="23">
        <v>6</v>
      </c>
      <c r="ED42" s="9" t="str">
        <f>IF(DX42="1","AFV30D","ANB10D")</f>
        <v>ANB10D</v>
      </c>
      <c r="EF42" s="6" t="s">
        <v>172</v>
      </c>
      <c r="EH42" s="6" t="s">
        <v>230</v>
      </c>
      <c r="EI42" s="6" t="s">
        <v>395</v>
      </c>
      <c r="EJ42" s="12">
        <v>1</v>
      </c>
      <c r="EN42" s="12" t="s">
        <v>1100</v>
      </c>
      <c r="EP42" s="6" t="s">
        <v>1150</v>
      </c>
      <c r="ET42" s="6" t="str">
        <f t="shared" si="5"/>
        <v>홀수</v>
      </c>
      <c r="EU42" s="12">
        <v>11</v>
      </c>
      <c r="EV42" s="45" t="str">
        <f t="shared" ca="1" si="18"/>
        <v>B</v>
      </c>
      <c r="EW42" s="6">
        <f t="shared" ca="1" si="6"/>
        <v>66</v>
      </c>
      <c r="FR42" s="6">
        <v>1</v>
      </c>
      <c r="FS42" s="6" t="str">
        <f t="shared" si="7"/>
        <v/>
      </c>
      <c r="FT42" s="6" t="str">
        <f t="shared" si="8"/>
        <v/>
      </c>
      <c r="FU42" s="6" t="str">
        <f t="shared" ca="1" si="19"/>
        <v/>
      </c>
      <c r="FV42" s="6" t="str">
        <f t="shared" ca="1" si="9"/>
        <v/>
      </c>
      <c r="FW42" s="6" t="str">
        <f t="shared" ca="1" si="28"/>
        <v/>
      </c>
      <c r="FX42" s="6" t="str">
        <f t="shared" ca="1" si="29"/>
        <v/>
      </c>
      <c r="FY42" s="6" t="str">
        <f t="shared" ca="1" si="30"/>
        <v/>
      </c>
      <c r="FZ42" s="6" t="str">
        <f t="shared" ca="1" si="31"/>
        <v/>
      </c>
    </row>
    <row r="43" spans="1:182" ht="15.95" customHeight="1">
      <c r="A43" s="6">
        <v>26</v>
      </c>
      <c r="B43" s="6" t="s">
        <v>175</v>
      </c>
      <c r="E43" s="6" t="s">
        <v>492</v>
      </c>
      <c r="F43" s="6" t="s">
        <v>1281</v>
      </c>
      <c r="G43" s="6" t="s">
        <v>1226</v>
      </c>
      <c r="H43" s="7" t="s">
        <v>1227</v>
      </c>
      <c r="I43" s="7"/>
      <c r="J43" s="6" t="s">
        <v>1199</v>
      </c>
      <c r="K43" s="6" t="s">
        <v>1201</v>
      </c>
      <c r="N43" s="6" t="s">
        <v>1203</v>
      </c>
      <c r="O43" s="6" t="s">
        <v>1205</v>
      </c>
      <c r="R43" s="101" t="s">
        <v>1220</v>
      </c>
      <c r="Y43" s="6" t="s">
        <v>1278</v>
      </c>
      <c r="Z43" s="6">
        <v>13</v>
      </c>
      <c r="AA43" s="6">
        <v>14</v>
      </c>
      <c r="AD43" s="6" t="s">
        <v>1203</v>
      </c>
      <c r="AE43" s="6" t="s">
        <v>1205</v>
      </c>
      <c r="AG43" s="6" t="s">
        <v>1279</v>
      </c>
      <c r="AY43" s="8" t="s">
        <v>176</v>
      </c>
      <c r="AZ43" s="8" t="s">
        <v>195</v>
      </c>
      <c r="BA43" s="13" t="s">
        <v>197</v>
      </c>
      <c r="BB43" s="13" t="s">
        <v>8</v>
      </c>
      <c r="BC43" s="13">
        <v>67</v>
      </c>
      <c r="BD43" s="13">
        <v>68</v>
      </c>
      <c r="DC43" s="6" t="s">
        <v>169</v>
      </c>
      <c r="DD43" s="6" t="s">
        <v>201</v>
      </c>
      <c r="DH43" s="6" t="str">
        <f t="shared" si="15"/>
        <v>A10</v>
      </c>
      <c r="DI43" s="6" t="str">
        <f t="shared" si="16"/>
        <v>B10</v>
      </c>
      <c r="DK43" s="6" t="s">
        <v>173</v>
      </c>
      <c r="DL43" s="6" t="str">
        <f t="shared" si="17"/>
        <v>CN2</v>
      </c>
      <c r="DO43" s="9" t="s">
        <v>170</v>
      </c>
      <c r="DP43" s="6" t="s">
        <v>171</v>
      </c>
      <c r="DQ43" s="6" t="s">
        <v>645</v>
      </c>
      <c r="DS43" s="6" t="str">
        <f t="shared" si="0"/>
        <v>KS1</v>
      </c>
      <c r="DT43" s="10" t="str">
        <f t="shared" si="1"/>
        <v>FCS0111-1-3/1S–MC–107-F2-CN1</v>
      </c>
      <c r="DU43" s="6" t="str">
        <f t="shared" si="2"/>
        <v>FCS0111-1-3/1S–MC–107-F2-CN2</v>
      </c>
      <c r="DV43" s="19">
        <v>1</v>
      </c>
      <c r="DW43" s="20" t="str">
        <f t="shared" si="3"/>
        <v>11</v>
      </c>
      <c r="DX43" s="21">
        <v>1</v>
      </c>
      <c r="DY43" s="22">
        <v>3</v>
      </c>
      <c r="DZ43" s="23">
        <v>4</v>
      </c>
      <c r="EA43" s="23">
        <v>10</v>
      </c>
      <c r="ED43" s="9" t="str">
        <f t="shared" si="4"/>
        <v>ANB10D</v>
      </c>
      <c r="EF43" s="6" t="s">
        <v>174</v>
      </c>
      <c r="EH43" s="6" t="s">
        <v>223</v>
      </c>
      <c r="EI43" s="6" t="s">
        <v>388</v>
      </c>
      <c r="EJ43" s="12">
        <v>1</v>
      </c>
      <c r="EN43" s="12" t="s">
        <v>1102</v>
      </c>
      <c r="EP43" s="6" t="s">
        <v>1151</v>
      </c>
      <c r="ET43" s="6" t="str">
        <f t="shared" si="5"/>
        <v>홀수</v>
      </c>
      <c r="EU43" s="12">
        <v>11</v>
      </c>
      <c r="EV43" s="45" t="str">
        <f t="shared" ca="1" si="18"/>
        <v>C</v>
      </c>
      <c r="EW43" s="6">
        <f t="shared" ca="1" si="6"/>
        <v>67</v>
      </c>
      <c r="FR43" s="6">
        <v>1</v>
      </c>
      <c r="FS43" s="6" t="str">
        <f t="shared" si="7"/>
        <v/>
      </c>
      <c r="FT43" s="6" t="str">
        <f t="shared" si="8"/>
        <v/>
      </c>
      <c r="FU43" s="6" t="str">
        <f t="shared" ca="1" si="19"/>
        <v/>
      </c>
      <c r="FV43" s="6" t="str">
        <f t="shared" ca="1" si="9"/>
        <v/>
      </c>
      <c r="FW43" s="6" t="str">
        <f t="shared" ca="1" si="28"/>
        <v/>
      </c>
      <c r="FX43" s="6" t="str">
        <f t="shared" ca="1" si="29"/>
        <v/>
      </c>
      <c r="FY43" s="6" t="str">
        <f t="shared" ca="1" si="30"/>
        <v/>
      </c>
      <c r="FZ43" s="6" t="str">
        <f t="shared" ca="1" si="31"/>
        <v/>
      </c>
    </row>
    <row r="44" spans="1:182" ht="15.95" customHeight="1">
      <c r="A44" s="6">
        <v>71</v>
      </c>
      <c r="B44" s="6" t="s">
        <v>175</v>
      </c>
      <c r="E44" s="6" t="s">
        <v>502</v>
      </c>
      <c r="F44" s="6" t="s">
        <v>1282</v>
      </c>
      <c r="G44" s="6" t="s">
        <v>1218</v>
      </c>
      <c r="H44" s="7" t="s">
        <v>1219</v>
      </c>
      <c r="I44" s="7"/>
      <c r="J44" s="6" t="s">
        <v>1199</v>
      </c>
      <c r="K44" s="6" t="s">
        <v>1201</v>
      </c>
      <c r="N44" s="6" t="s">
        <v>1203</v>
      </c>
      <c r="O44" s="6" t="s">
        <v>1205</v>
      </c>
      <c r="R44" s="101" t="s">
        <v>1220</v>
      </c>
      <c r="Y44" s="6" t="s">
        <v>1283</v>
      </c>
      <c r="Z44" s="6">
        <v>1</v>
      </c>
      <c r="AA44" s="6">
        <v>2</v>
      </c>
      <c r="AD44" s="6" t="s">
        <v>1203</v>
      </c>
      <c r="AE44" s="6" t="s">
        <v>1205</v>
      </c>
      <c r="AG44" s="6" t="s">
        <v>1284</v>
      </c>
      <c r="AY44" s="8" t="s">
        <v>176</v>
      </c>
      <c r="AZ44" s="8" t="s">
        <v>195</v>
      </c>
      <c r="BA44" s="13" t="s">
        <v>197</v>
      </c>
      <c r="BB44" s="13" t="s">
        <v>7</v>
      </c>
      <c r="BC44" s="13">
        <v>9</v>
      </c>
      <c r="BD44" s="13">
        <v>10</v>
      </c>
      <c r="DC44" s="6" t="s">
        <v>169</v>
      </c>
      <c r="DD44" s="6" t="s">
        <v>202</v>
      </c>
      <c r="DH44" s="6" t="str">
        <f>"A"&amp;EA44</f>
        <v>A7</v>
      </c>
      <c r="DI44" s="6" t="str">
        <f>"B"&amp;EA44</f>
        <v>B7</v>
      </c>
      <c r="DK44" s="6" t="s">
        <v>173</v>
      </c>
      <c r="DL44" s="6" t="str">
        <f>IF(DZ44&lt;&gt;"","CN2","")</f>
        <v>CN2</v>
      </c>
      <c r="DO44" s="9" t="s">
        <v>170</v>
      </c>
      <c r="DP44" s="6" t="s">
        <v>171</v>
      </c>
      <c r="DQ44" s="6" t="s">
        <v>645</v>
      </c>
      <c r="DS44" s="6" t="str">
        <f>IF(MID(EF44,2,1)="A","KS1","AKB331")</f>
        <v>KS1</v>
      </c>
      <c r="DT44" s="10" t="str">
        <f>DQ44&amp;"-"&amp;DX44&amp;"-"&amp;DY44&amp;"/"&amp;BA44&amp;"-"&amp;DD44&amp;"-"&amp;DK44</f>
        <v>FCS0111-2-1/1S–MC–107-F3-CN1</v>
      </c>
      <c r="DU44" s="6" t="str">
        <f>IF(DL44="","",DQ44&amp;"-"&amp;DX44&amp;"-"&amp;DY44&amp;"/"&amp;BA44&amp;"-"&amp;DD44&amp;"-"&amp;DL44)</f>
        <v>FCS0111-2-1/1S–MC–107-F3-CN2</v>
      </c>
      <c r="DV44" s="19">
        <v>1</v>
      </c>
      <c r="DW44" s="20" t="str">
        <f>RIGHT(DQ44,2)</f>
        <v>11</v>
      </c>
      <c r="DX44" s="21">
        <v>2</v>
      </c>
      <c r="DY44" s="22">
        <v>1</v>
      </c>
      <c r="DZ44" s="23">
        <v>2</v>
      </c>
      <c r="EA44" s="23">
        <v>7</v>
      </c>
      <c r="ED44" s="9" t="str">
        <f>IF(DX44="1","AFV30D","ANB10D")</f>
        <v>ANB10D</v>
      </c>
      <c r="EF44" s="6" t="s">
        <v>172</v>
      </c>
      <c r="EH44" s="6" t="s">
        <v>224</v>
      </c>
      <c r="EI44" s="6" t="s">
        <v>199</v>
      </c>
      <c r="EJ44" s="12">
        <v>300</v>
      </c>
      <c r="EN44" s="12" t="s">
        <v>1106</v>
      </c>
      <c r="EP44" s="6" t="s">
        <v>1147</v>
      </c>
      <c r="ET44" s="6" t="str">
        <f t="shared" si="5"/>
        <v>짝수</v>
      </c>
      <c r="EU44" s="12">
        <v>12</v>
      </c>
      <c r="EV44" s="45" t="str">
        <f t="shared" ca="1" si="18"/>
        <v>A</v>
      </c>
      <c r="EW44" s="6">
        <f t="shared" ca="1" si="6"/>
        <v>65</v>
      </c>
      <c r="FR44" s="6">
        <v>1</v>
      </c>
      <c r="FS44" s="6" t="str">
        <f t="shared" si="7"/>
        <v/>
      </c>
      <c r="FT44" s="6" t="str">
        <f t="shared" si="8"/>
        <v/>
      </c>
      <c r="FU44" s="6" t="str">
        <f t="shared" ca="1" si="19"/>
        <v/>
      </c>
      <c r="FV44" s="6" t="str">
        <f t="shared" ca="1" si="9"/>
        <v/>
      </c>
      <c r="FW44" s="6" t="str">
        <f t="shared" ca="1" si="28"/>
        <v/>
      </c>
      <c r="FX44" s="6" t="str">
        <f t="shared" ca="1" si="29"/>
        <v/>
      </c>
      <c r="FY44" s="6" t="str">
        <f t="shared" ca="1" si="30"/>
        <v/>
      </c>
      <c r="FZ44" s="6" t="str">
        <f t="shared" ca="1" si="31"/>
        <v/>
      </c>
    </row>
    <row r="45" spans="1:182" ht="15.95" customHeight="1">
      <c r="A45" s="6">
        <v>27</v>
      </c>
      <c r="B45" s="6" t="s">
        <v>175</v>
      </c>
      <c r="E45" s="6" t="s">
        <v>493</v>
      </c>
      <c r="F45" s="6" t="s">
        <v>1285</v>
      </c>
      <c r="G45" s="6" t="s">
        <v>1226</v>
      </c>
      <c r="H45" s="7" t="s">
        <v>1227</v>
      </c>
      <c r="I45" s="7"/>
      <c r="J45" s="6" t="s">
        <v>1199</v>
      </c>
      <c r="K45" s="6" t="s">
        <v>1201</v>
      </c>
      <c r="N45" s="6" t="s">
        <v>1203</v>
      </c>
      <c r="O45" s="6" t="s">
        <v>1205</v>
      </c>
      <c r="R45" s="101" t="s">
        <v>1220</v>
      </c>
      <c r="Y45" s="6" t="s">
        <v>1283</v>
      </c>
      <c r="Z45" s="6">
        <v>3</v>
      </c>
      <c r="AA45" s="6">
        <v>4</v>
      </c>
      <c r="AD45" s="6" t="s">
        <v>1203</v>
      </c>
      <c r="AE45" s="6" t="s">
        <v>1205</v>
      </c>
      <c r="AG45" s="6" t="s">
        <v>1284</v>
      </c>
      <c r="AY45" s="8" t="s">
        <v>176</v>
      </c>
      <c r="AZ45" s="8" t="s">
        <v>195</v>
      </c>
      <c r="BA45" s="13" t="s">
        <v>197</v>
      </c>
      <c r="BB45" s="13" t="s">
        <v>7</v>
      </c>
      <c r="BC45" s="13">
        <v>11</v>
      </c>
      <c r="BD45" s="13">
        <v>12</v>
      </c>
      <c r="DC45" s="6" t="s">
        <v>169</v>
      </c>
      <c r="DD45" s="6" t="s">
        <v>201</v>
      </c>
      <c r="DH45" s="6" t="str">
        <f>"A"&amp;EA45</f>
        <v>A11</v>
      </c>
      <c r="DI45" s="6" t="str">
        <f>"B"&amp;EA45</f>
        <v>B11</v>
      </c>
      <c r="DK45" s="6" t="s">
        <v>173</v>
      </c>
      <c r="DL45" s="6" t="str">
        <f>IF(DZ45&lt;&gt;"","CN2","")</f>
        <v>CN2</v>
      </c>
      <c r="DO45" s="9" t="s">
        <v>170</v>
      </c>
      <c r="DP45" s="6" t="s">
        <v>171</v>
      </c>
      <c r="DQ45" s="6" t="s">
        <v>645</v>
      </c>
      <c r="DS45" s="6" t="str">
        <f>IF(MID(EF45,2,1)="A","KS1","AKB331")</f>
        <v>KS1</v>
      </c>
      <c r="DT45" s="10" t="str">
        <f>DQ45&amp;"-"&amp;DX45&amp;"-"&amp;DY45&amp;"/"&amp;BA45&amp;"-"&amp;DD45&amp;"-"&amp;DK45</f>
        <v>FCS0111-1-3/1S–MC–107-F2-CN1</v>
      </c>
      <c r="DU45" s="6" t="str">
        <f>IF(DL45="","",DQ45&amp;"-"&amp;DX45&amp;"-"&amp;DY45&amp;"/"&amp;BA45&amp;"-"&amp;DD45&amp;"-"&amp;DL45)</f>
        <v>FCS0111-1-3/1S–MC–107-F2-CN2</v>
      </c>
      <c r="DV45" s="19">
        <v>1</v>
      </c>
      <c r="DW45" s="20" t="str">
        <f>RIGHT(DQ45,2)</f>
        <v>11</v>
      </c>
      <c r="DX45" s="21">
        <v>1</v>
      </c>
      <c r="DY45" s="22">
        <v>3</v>
      </c>
      <c r="DZ45" s="23">
        <v>4</v>
      </c>
      <c r="EA45" s="23">
        <v>11</v>
      </c>
      <c r="ED45" s="9" t="str">
        <f>IF(DX45="1","AFV30D","ANB10D")</f>
        <v>ANB10D</v>
      </c>
      <c r="EF45" s="6" t="s">
        <v>174</v>
      </c>
      <c r="EH45" s="6" t="s">
        <v>224</v>
      </c>
      <c r="EI45" s="6" t="s">
        <v>389</v>
      </c>
      <c r="EJ45" s="12">
        <v>300</v>
      </c>
      <c r="EN45" s="12" t="s">
        <v>1106</v>
      </c>
      <c r="ET45" s="6" t="str">
        <f t="shared" si="5"/>
        <v>짝수</v>
      </c>
      <c r="EU45" s="12">
        <v>12</v>
      </c>
      <c r="EV45" s="45" t="str">
        <f t="shared" ca="1" si="18"/>
        <v>B</v>
      </c>
      <c r="EW45" s="6">
        <f t="shared" ca="1" si="6"/>
        <v>66</v>
      </c>
      <c r="FR45" s="6">
        <v>1</v>
      </c>
      <c r="FS45" s="6" t="str">
        <f t="shared" si="7"/>
        <v/>
      </c>
      <c r="FT45" s="6" t="str">
        <f t="shared" si="8"/>
        <v/>
      </c>
      <c r="FU45" s="6" t="str">
        <f t="shared" ca="1" si="19"/>
        <v/>
      </c>
      <c r="FV45" s="6" t="str">
        <f t="shared" ca="1" si="9"/>
        <v/>
      </c>
      <c r="FW45" s="6" t="str">
        <f t="shared" ca="1" si="28"/>
        <v/>
      </c>
      <c r="FX45" s="6" t="str">
        <f t="shared" ca="1" si="29"/>
        <v/>
      </c>
      <c r="FY45" s="6" t="str">
        <f t="shared" ca="1" si="30"/>
        <v/>
      </c>
      <c r="FZ45" s="6" t="str">
        <f t="shared" ca="1" si="31"/>
        <v/>
      </c>
    </row>
    <row r="46" spans="1:182" ht="15.95" customHeight="1">
      <c r="A46" s="6">
        <v>28</v>
      </c>
      <c r="B46" s="6" t="s">
        <v>175</v>
      </c>
      <c r="E46" s="6" t="s">
        <v>494</v>
      </c>
      <c r="F46" s="6" t="s">
        <v>1286</v>
      </c>
      <c r="G46" s="6" t="s">
        <v>1226</v>
      </c>
      <c r="H46" s="7" t="s">
        <v>1227</v>
      </c>
      <c r="I46" s="7"/>
      <c r="J46" s="6" t="s">
        <v>1199</v>
      </c>
      <c r="K46" s="6" t="s">
        <v>1201</v>
      </c>
      <c r="N46" s="6" t="s">
        <v>1203</v>
      </c>
      <c r="O46" s="6" t="s">
        <v>1205</v>
      </c>
      <c r="R46" s="101" t="s">
        <v>1220</v>
      </c>
      <c r="Y46" s="6" t="s">
        <v>1283</v>
      </c>
      <c r="Z46" s="6">
        <v>15</v>
      </c>
      <c r="AA46" s="6">
        <v>16</v>
      </c>
      <c r="AD46" s="6" t="s">
        <v>1203</v>
      </c>
      <c r="AE46" s="6" t="s">
        <v>1205</v>
      </c>
      <c r="AG46" s="6" t="s">
        <v>1284</v>
      </c>
      <c r="AY46" s="8" t="s">
        <v>176</v>
      </c>
      <c r="AZ46" s="8" t="s">
        <v>195</v>
      </c>
      <c r="BA46" s="13" t="s">
        <v>197</v>
      </c>
      <c r="BB46" s="13" t="s">
        <v>7</v>
      </c>
      <c r="BC46" s="13">
        <v>23</v>
      </c>
      <c r="BD46" s="13">
        <v>24</v>
      </c>
      <c r="DC46" s="6" t="s">
        <v>169</v>
      </c>
      <c r="DD46" s="6" t="s">
        <v>201</v>
      </c>
      <c r="DH46" s="6" t="str">
        <f t="shared" si="15"/>
        <v>A12</v>
      </c>
      <c r="DI46" s="6" t="str">
        <f t="shared" si="16"/>
        <v>B12</v>
      </c>
      <c r="DK46" s="6" t="s">
        <v>173</v>
      </c>
      <c r="DL46" s="6" t="str">
        <f t="shared" si="17"/>
        <v>CN2</v>
      </c>
      <c r="DO46" s="9" t="s">
        <v>170</v>
      </c>
      <c r="DP46" s="6" t="s">
        <v>171</v>
      </c>
      <c r="DQ46" s="6" t="s">
        <v>645</v>
      </c>
      <c r="DS46" s="6" t="str">
        <f t="shared" si="0"/>
        <v>KS1</v>
      </c>
      <c r="DT46" s="10" t="str">
        <f t="shared" si="1"/>
        <v>FCS0111-1-3/1S–MC–107-F2-CN1</v>
      </c>
      <c r="DU46" s="6" t="str">
        <f t="shared" si="2"/>
        <v>FCS0111-1-3/1S–MC–107-F2-CN2</v>
      </c>
      <c r="DV46" s="19">
        <v>1</v>
      </c>
      <c r="DW46" s="20" t="str">
        <f t="shared" si="3"/>
        <v>11</v>
      </c>
      <c r="DX46" s="21">
        <v>1</v>
      </c>
      <c r="DY46" s="22">
        <v>3</v>
      </c>
      <c r="DZ46" s="23">
        <v>4</v>
      </c>
      <c r="EA46" s="23">
        <v>12</v>
      </c>
      <c r="ED46" s="9" t="str">
        <f t="shared" si="4"/>
        <v>ANB10D</v>
      </c>
      <c r="EF46" s="6" t="s">
        <v>174</v>
      </c>
      <c r="EH46" s="6" t="s">
        <v>225</v>
      </c>
      <c r="EI46" s="6" t="s">
        <v>390</v>
      </c>
      <c r="EJ46" s="12">
        <v>1</v>
      </c>
      <c r="EN46" s="12" t="s">
        <v>1102</v>
      </c>
      <c r="EP46" s="6" t="s">
        <v>1149</v>
      </c>
      <c r="ET46" s="6" t="str">
        <f t="shared" si="5"/>
        <v>홀수</v>
      </c>
      <c r="EU46" s="12">
        <v>13</v>
      </c>
      <c r="EV46" s="45" t="str">
        <f t="shared" ca="1" si="18"/>
        <v>A</v>
      </c>
      <c r="EW46" s="6">
        <f t="shared" ca="1" si="6"/>
        <v>65</v>
      </c>
      <c r="FR46" s="6">
        <v>1</v>
      </c>
      <c r="FS46" s="6" t="str">
        <f t="shared" si="7"/>
        <v/>
      </c>
      <c r="FT46" s="6" t="str">
        <f t="shared" si="8"/>
        <v/>
      </c>
      <c r="FU46" s="6" t="str">
        <f t="shared" ca="1" si="19"/>
        <v/>
      </c>
      <c r="FV46" s="6" t="str">
        <f t="shared" ca="1" si="9"/>
        <v/>
      </c>
      <c r="FW46" s="6" t="str">
        <f t="shared" ca="1" si="28"/>
        <v/>
      </c>
      <c r="FX46" s="6" t="str">
        <f t="shared" ca="1" si="29"/>
        <v/>
      </c>
      <c r="FY46" s="6" t="str">
        <f t="shared" ca="1" si="30"/>
        <v/>
      </c>
      <c r="FZ46" s="6" t="str">
        <f t="shared" ca="1" si="31"/>
        <v/>
      </c>
    </row>
    <row r="47" spans="1:182" ht="15.95" customHeight="1">
      <c r="A47" s="6">
        <v>74</v>
      </c>
      <c r="B47" s="6" t="s">
        <v>175</v>
      </c>
      <c r="E47" s="6" t="s">
        <v>505</v>
      </c>
      <c r="F47" s="6" t="s">
        <v>1287</v>
      </c>
      <c r="G47" s="6" t="s">
        <v>1218</v>
      </c>
      <c r="H47" s="7" t="s">
        <v>1219</v>
      </c>
      <c r="I47" s="7"/>
      <c r="J47" s="6" t="s">
        <v>1199</v>
      </c>
      <c r="K47" s="6" t="s">
        <v>1201</v>
      </c>
      <c r="N47" s="6" t="s">
        <v>1203</v>
      </c>
      <c r="O47" s="6" t="s">
        <v>1205</v>
      </c>
      <c r="R47" s="101" t="s">
        <v>1220</v>
      </c>
      <c r="Y47" s="6" t="s">
        <v>1283</v>
      </c>
      <c r="Z47" s="6">
        <v>13</v>
      </c>
      <c r="AA47" s="6">
        <v>14</v>
      </c>
      <c r="AD47" s="6" t="s">
        <v>1203</v>
      </c>
      <c r="AE47" s="6" t="s">
        <v>1205</v>
      </c>
      <c r="AG47" s="6" t="s">
        <v>1284</v>
      </c>
      <c r="AY47" s="8" t="s">
        <v>176</v>
      </c>
      <c r="AZ47" s="8" t="s">
        <v>195</v>
      </c>
      <c r="BA47" s="13" t="s">
        <v>197</v>
      </c>
      <c r="BB47" s="13" t="s">
        <v>7</v>
      </c>
      <c r="BC47" s="13">
        <v>21</v>
      </c>
      <c r="BD47" s="13">
        <v>22</v>
      </c>
      <c r="DC47" s="6" t="s">
        <v>169</v>
      </c>
      <c r="DD47" s="6" t="s">
        <v>202</v>
      </c>
      <c r="DH47" s="6" t="str">
        <f>"A"&amp;EA47</f>
        <v>A10</v>
      </c>
      <c r="DI47" s="6" t="str">
        <f>"B"&amp;EA47</f>
        <v>B10</v>
      </c>
      <c r="DK47" s="6" t="s">
        <v>173</v>
      </c>
      <c r="DL47" s="6" t="str">
        <f>IF(DZ47&lt;&gt;"","CN2","")</f>
        <v>CN2</v>
      </c>
      <c r="DO47" s="9" t="s">
        <v>170</v>
      </c>
      <c r="DP47" s="6" t="s">
        <v>171</v>
      </c>
      <c r="DQ47" s="6" t="s">
        <v>645</v>
      </c>
      <c r="DS47" s="6" t="str">
        <f>IF(MID(EF47,2,1)="A","KS1","AKB331")</f>
        <v>KS1</v>
      </c>
      <c r="DT47" s="10" t="str">
        <f>DQ47&amp;"-"&amp;DX47&amp;"-"&amp;DY47&amp;"/"&amp;BA47&amp;"-"&amp;DD47&amp;"-"&amp;DK47</f>
        <v>FCS0111-2-1/1S–MC–107-F3-CN1</v>
      </c>
      <c r="DU47" s="6" t="str">
        <f>IF(DL47="","",DQ47&amp;"-"&amp;DX47&amp;"-"&amp;DY47&amp;"/"&amp;BA47&amp;"-"&amp;DD47&amp;"-"&amp;DL47)</f>
        <v>FCS0111-2-1/1S–MC–107-F3-CN2</v>
      </c>
      <c r="DV47" s="19">
        <v>1</v>
      </c>
      <c r="DW47" s="20" t="str">
        <f>RIGHT(DQ47,2)</f>
        <v>11</v>
      </c>
      <c r="DX47" s="21">
        <v>2</v>
      </c>
      <c r="DY47" s="22">
        <v>1</v>
      </c>
      <c r="DZ47" s="23">
        <v>2</v>
      </c>
      <c r="EA47" s="23">
        <v>10</v>
      </c>
      <c r="ED47" s="9" t="str">
        <f>IF(DX47="1","AFV30D","ANB10D")</f>
        <v>ANB10D</v>
      </c>
      <c r="EF47" s="6" t="s">
        <v>172</v>
      </c>
      <c r="EH47" s="6" t="s">
        <v>233</v>
      </c>
      <c r="EI47" s="6" t="s">
        <v>397</v>
      </c>
      <c r="EJ47" s="12">
        <v>1</v>
      </c>
      <c r="EN47" s="12" t="s">
        <v>1100</v>
      </c>
      <c r="EP47" s="6" t="s">
        <v>1150</v>
      </c>
      <c r="ET47" s="6" t="str">
        <f t="shared" si="5"/>
        <v>홀수</v>
      </c>
      <c r="EU47" s="12">
        <v>13</v>
      </c>
      <c r="EV47" s="45" t="str">
        <f t="shared" ca="1" si="18"/>
        <v>B</v>
      </c>
      <c r="EW47" s="6">
        <f t="shared" ca="1" si="6"/>
        <v>66</v>
      </c>
      <c r="FR47" s="6">
        <v>1</v>
      </c>
      <c r="FS47" s="6" t="str">
        <f t="shared" si="7"/>
        <v/>
      </c>
      <c r="FT47" s="6" t="str">
        <f t="shared" si="8"/>
        <v/>
      </c>
      <c r="FU47" s="6" t="str">
        <f t="shared" ca="1" si="19"/>
        <v/>
      </c>
      <c r="FV47" s="6" t="str">
        <f t="shared" ca="1" si="9"/>
        <v/>
      </c>
      <c r="FW47" s="6" t="str">
        <f t="shared" ca="1" si="28"/>
        <v/>
      </c>
      <c r="FX47" s="6" t="str">
        <f t="shared" ca="1" si="29"/>
        <v/>
      </c>
      <c r="FY47" s="6" t="str">
        <f t="shared" ca="1" si="30"/>
        <v/>
      </c>
      <c r="FZ47" s="6" t="str">
        <f t="shared" ca="1" si="31"/>
        <v/>
      </c>
    </row>
    <row r="48" spans="1:182" ht="15.95" customHeight="1">
      <c r="A48" s="6">
        <v>29</v>
      </c>
      <c r="B48" s="6" t="s">
        <v>175</v>
      </c>
      <c r="E48" s="6" t="s">
        <v>495</v>
      </c>
      <c r="F48" s="6" t="s">
        <v>1288</v>
      </c>
      <c r="G48" s="6" t="s">
        <v>1226</v>
      </c>
      <c r="H48" s="7" t="s">
        <v>1227</v>
      </c>
      <c r="I48" s="7"/>
      <c r="J48" s="6" t="s">
        <v>1199</v>
      </c>
      <c r="K48" s="6" t="s">
        <v>1201</v>
      </c>
      <c r="N48" s="6" t="s">
        <v>1203</v>
      </c>
      <c r="O48" s="6" t="s">
        <v>1205</v>
      </c>
      <c r="R48" s="101" t="s">
        <v>1220</v>
      </c>
      <c r="Y48" s="6" t="s">
        <v>1283</v>
      </c>
      <c r="Z48" s="6">
        <v>17</v>
      </c>
      <c r="AA48" s="6">
        <v>18</v>
      </c>
      <c r="AD48" s="6" t="s">
        <v>1203</v>
      </c>
      <c r="AE48" s="6" t="s">
        <v>1205</v>
      </c>
      <c r="AG48" s="6" t="s">
        <v>1284</v>
      </c>
      <c r="AY48" s="8" t="s">
        <v>176</v>
      </c>
      <c r="AZ48" s="8" t="s">
        <v>195</v>
      </c>
      <c r="BA48" s="13" t="s">
        <v>197</v>
      </c>
      <c r="BB48" s="13" t="s">
        <v>7</v>
      </c>
      <c r="BC48" s="13">
        <v>25</v>
      </c>
      <c r="BD48" s="13">
        <v>26</v>
      </c>
      <c r="DC48" s="6" t="s">
        <v>169</v>
      </c>
      <c r="DD48" s="6" t="s">
        <v>201</v>
      </c>
      <c r="DH48" s="6" t="str">
        <f t="shared" si="15"/>
        <v>A13</v>
      </c>
      <c r="DI48" s="6" t="str">
        <f t="shared" si="16"/>
        <v>B13</v>
      </c>
      <c r="DK48" s="6" t="s">
        <v>173</v>
      </c>
      <c r="DL48" s="6" t="str">
        <f t="shared" si="17"/>
        <v>CN2</v>
      </c>
      <c r="DO48" s="9" t="s">
        <v>170</v>
      </c>
      <c r="DP48" s="6" t="s">
        <v>171</v>
      </c>
      <c r="DQ48" s="6" t="s">
        <v>645</v>
      </c>
      <c r="DS48" s="6" t="str">
        <f t="shared" si="0"/>
        <v>KS1</v>
      </c>
      <c r="DT48" s="10" t="str">
        <f t="shared" si="1"/>
        <v>FCS0111-1-3/1S–MC–107-F2-CN1</v>
      </c>
      <c r="DU48" s="6" t="str">
        <f t="shared" si="2"/>
        <v>FCS0111-1-3/1S–MC–107-F2-CN2</v>
      </c>
      <c r="DV48" s="19">
        <v>1</v>
      </c>
      <c r="DW48" s="20" t="str">
        <f t="shared" si="3"/>
        <v>11</v>
      </c>
      <c r="DX48" s="21">
        <v>1</v>
      </c>
      <c r="DY48" s="22">
        <v>3</v>
      </c>
      <c r="DZ48" s="23">
        <v>4</v>
      </c>
      <c r="EA48" s="23">
        <v>13</v>
      </c>
      <c r="ED48" s="9" t="str">
        <f t="shared" si="4"/>
        <v>ANB10D</v>
      </c>
      <c r="EF48" s="6" t="s">
        <v>174</v>
      </c>
      <c r="EH48" s="6" t="s">
        <v>226</v>
      </c>
      <c r="EI48" s="6" t="s">
        <v>391</v>
      </c>
      <c r="EJ48" s="12">
        <v>1</v>
      </c>
      <c r="EN48" s="12" t="s">
        <v>1102</v>
      </c>
      <c r="EP48" s="6" t="s">
        <v>1151</v>
      </c>
      <c r="ET48" s="6" t="str">
        <f t="shared" si="5"/>
        <v>홀수</v>
      </c>
      <c r="EU48" s="12">
        <v>13</v>
      </c>
      <c r="EV48" s="45" t="str">
        <f t="shared" ca="1" si="18"/>
        <v>C</v>
      </c>
      <c r="EW48" s="6">
        <f t="shared" ca="1" si="6"/>
        <v>67</v>
      </c>
      <c r="FR48" s="6">
        <v>1</v>
      </c>
      <c r="FS48" s="6" t="str">
        <f t="shared" si="7"/>
        <v/>
      </c>
      <c r="FT48" s="6" t="str">
        <f t="shared" si="8"/>
        <v/>
      </c>
      <c r="FU48" s="6" t="str">
        <f t="shared" ca="1" si="19"/>
        <v/>
      </c>
      <c r="FV48" s="6" t="str">
        <f t="shared" ca="1" si="9"/>
        <v/>
      </c>
      <c r="FW48" s="6" t="str">
        <f t="shared" ca="1" si="28"/>
        <v/>
      </c>
      <c r="FX48" s="6" t="str">
        <f t="shared" ca="1" si="29"/>
        <v/>
      </c>
      <c r="FY48" s="6" t="str">
        <f t="shared" ca="1" si="30"/>
        <v/>
      </c>
      <c r="FZ48" s="6" t="str">
        <f t="shared" ca="1" si="31"/>
        <v/>
      </c>
    </row>
    <row r="49" spans="1:182" ht="15.95" customHeight="1">
      <c r="A49" s="6">
        <v>33</v>
      </c>
      <c r="B49" s="6" t="s">
        <v>175</v>
      </c>
      <c r="E49" s="6" t="s">
        <v>642</v>
      </c>
      <c r="F49" s="6" t="s">
        <v>1289</v>
      </c>
      <c r="G49" s="6" t="s">
        <v>1290</v>
      </c>
      <c r="H49" s="7" t="s">
        <v>1291</v>
      </c>
      <c r="I49" s="7"/>
      <c r="J49" s="6" t="s">
        <v>1199</v>
      </c>
      <c r="K49" s="6" t="s">
        <v>1201</v>
      </c>
      <c r="N49" s="6" t="s">
        <v>1203</v>
      </c>
      <c r="O49" s="6" t="s">
        <v>1205</v>
      </c>
      <c r="R49" s="101" t="s">
        <v>1220</v>
      </c>
      <c r="Y49" s="6" t="s">
        <v>1292</v>
      </c>
      <c r="Z49" s="6">
        <v>31</v>
      </c>
      <c r="AA49" s="6">
        <v>32</v>
      </c>
      <c r="AD49" s="6" t="s">
        <v>1203</v>
      </c>
      <c r="AE49" s="6" t="s">
        <v>1205</v>
      </c>
      <c r="AG49" s="6" t="s">
        <v>1293</v>
      </c>
      <c r="AY49" s="8" t="s">
        <v>176</v>
      </c>
      <c r="AZ49" s="8" t="s">
        <v>195</v>
      </c>
      <c r="BA49" s="13" t="s">
        <v>643</v>
      </c>
      <c r="BB49" s="13" t="s">
        <v>200</v>
      </c>
      <c r="BC49" s="13">
        <v>47</v>
      </c>
      <c r="BD49" s="13">
        <v>48</v>
      </c>
      <c r="DC49" s="6" t="s">
        <v>644</v>
      </c>
      <c r="DD49" s="6" t="s">
        <v>187</v>
      </c>
      <c r="DH49" s="6" t="str">
        <f t="shared" si="15"/>
        <v>A1</v>
      </c>
      <c r="DI49" s="6" t="str">
        <f t="shared" si="16"/>
        <v>B1</v>
      </c>
      <c r="DK49" s="6" t="s">
        <v>173</v>
      </c>
      <c r="DL49" s="6" t="str">
        <f t="shared" si="17"/>
        <v>CN2</v>
      </c>
      <c r="DO49" s="9" t="s">
        <v>170</v>
      </c>
      <c r="DP49" s="6" t="s">
        <v>171</v>
      </c>
      <c r="DQ49" s="6" t="s">
        <v>645</v>
      </c>
      <c r="DS49" s="6" t="str">
        <f t="shared" si="0"/>
        <v>AKB331</v>
      </c>
      <c r="DT49" s="10" t="str">
        <f t="shared" si="1"/>
        <v>FCS0111-1-5/1S–MC–118-R1-CN1</v>
      </c>
      <c r="DU49" s="6" t="str">
        <f t="shared" si="2"/>
        <v>FCS0111-1-5/1S–MC–118-R1-CN2</v>
      </c>
      <c r="DV49" s="19">
        <v>1</v>
      </c>
      <c r="DW49" s="20" t="str">
        <f t="shared" si="3"/>
        <v>11</v>
      </c>
      <c r="DX49" s="21">
        <v>1</v>
      </c>
      <c r="DY49" s="22">
        <v>5</v>
      </c>
      <c r="DZ49" s="23">
        <v>6</v>
      </c>
      <c r="EA49" s="23">
        <v>1</v>
      </c>
      <c r="ED49" s="9" t="str">
        <f t="shared" si="4"/>
        <v>ANB10D</v>
      </c>
      <c r="EF49" s="6" t="s">
        <v>647</v>
      </c>
      <c r="EH49" s="6" t="s">
        <v>642</v>
      </c>
      <c r="EI49" s="6" t="s">
        <v>648</v>
      </c>
      <c r="EJ49" s="12">
        <v>100</v>
      </c>
      <c r="EN49" s="12" t="s">
        <v>1109</v>
      </c>
      <c r="EP49" s="6" t="s">
        <v>1148</v>
      </c>
      <c r="ET49" s="6" t="str">
        <f t="shared" si="5"/>
        <v>홀수</v>
      </c>
      <c r="EU49" s="12">
        <v>13</v>
      </c>
      <c r="EV49" s="45" t="str">
        <f t="shared" ca="1" si="18"/>
        <v>D</v>
      </c>
      <c r="EW49" s="6">
        <f t="shared" ca="1" si="6"/>
        <v>68</v>
      </c>
      <c r="FR49" s="6">
        <v>1</v>
      </c>
      <c r="FS49" s="6" t="str">
        <f t="shared" si="7"/>
        <v/>
      </c>
      <c r="FT49" s="6">
        <f t="shared" si="8"/>
        <v>1</v>
      </c>
      <c r="FU49" s="6" t="str">
        <f t="shared" ca="1" si="19"/>
        <v/>
      </c>
      <c r="FV49" s="6" t="str">
        <f t="shared" ca="1" si="9"/>
        <v/>
      </c>
      <c r="FW49" s="6" t="str">
        <f t="shared" ca="1" si="28"/>
        <v>R1-11</v>
      </c>
      <c r="FX49" s="6" t="str">
        <f t="shared" ca="1" si="29"/>
        <v>R1-12</v>
      </c>
      <c r="FY49" s="6" t="str">
        <f t="shared" ca="1" si="30"/>
        <v>R1-21</v>
      </c>
      <c r="FZ49" s="6" t="str">
        <f t="shared" ca="1" si="31"/>
        <v>R1-22</v>
      </c>
    </row>
    <row r="50" spans="1:182" ht="15.95" customHeight="1">
      <c r="A50" s="6">
        <v>68</v>
      </c>
      <c r="B50" s="6" t="s">
        <v>175</v>
      </c>
      <c r="E50" s="6" t="s">
        <v>499</v>
      </c>
      <c r="F50" s="6" t="s">
        <v>1294</v>
      </c>
      <c r="G50" s="6" t="s">
        <v>1218</v>
      </c>
      <c r="H50" s="7" t="s">
        <v>1219</v>
      </c>
      <c r="I50" s="7"/>
      <c r="J50" s="6" t="s">
        <v>1199</v>
      </c>
      <c r="K50" s="6" t="s">
        <v>1201</v>
      </c>
      <c r="N50" s="6" t="s">
        <v>1203</v>
      </c>
      <c r="O50" s="6" t="s">
        <v>1205</v>
      </c>
      <c r="R50" s="101" t="s">
        <v>1220</v>
      </c>
      <c r="Y50" s="6" t="s">
        <v>1278</v>
      </c>
      <c r="Z50" s="6">
        <v>1</v>
      </c>
      <c r="AA50" s="6">
        <v>2</v>
      </c>
      <c r="AD50" s="6" t="s">
        <v>1203</v>
      </c>
      <c r="AE50" s="6" t="s">
        <v>1205</v>
      </c>
      <c r="AG50" s="6" t="s">
        <v>1279</v>
      </c>
      <c r="AY50" s="8" t="s">
        <v>176</v>
      </c>
      <c r="AZ50" s="8" t="s">
        <v>195</v>
      </c>
      <c r="BA50" s="13" t="s">
        <v>197</v>
      </c>
      <c r="BB50" s="13" t="s">
        <v>8</v>
      </c>
      <c r="BC50" s="13">
        <v>55</v>
      </c>
      <c r="BD50" s="13">
        <v>56</v>
      </c>
      <c r="DC50" s="6" t="s">
        <v>169</v>
      </c>
      <c r="DD50" s="6" t="s">
        <v>202</v>
      </c>
      <c r="DH50" s="6" t="str">
        <f t="shared" ref="DH50:DH85" si="32">"A"&amp;EA50</f>
        <v>A4</v>
      </c>
      <c r="DI50" s="6" t="str">
        <f t="shared" ref="DI50:DI85" si="33">"B"&amp;EA50</f>
        <v>B4</v>
      </c>
      <c r="DK50" s="6" t="s">
        <v>173</v>
      </c>
      <c r="DL50" s="6" t="str">
        <f t="shared" ref="DL50:DL85" si="34">IF(DZ50&lt;&gt;"","CN2","")</f>
        <v>CN2</v>
      </c>
      <c r="DO50" s="9" t="s">
        <v>170</v>
      </c>
      <c r="DP50" s="6" t="s">
        <v>171</v>
      </c>
      <c r="DQ50" s="6" t="s">
        <v>645</v>
      </c>
      <c r="DS50" s="6" t="str">
        <f t="shared" ref="DS50:DS84" si="35">IF(MID(EF50,2,1)="A","KS1","AKB331")</f>
        <v>KS1</v>
      </c>
      <c r="DT50" s="10" t="str">
        <f t="shared" ref="DT50:DT84" si="36">DQ50&amp;"-"&amp;DX50&amp;"-"&amp;DY50&amp;"/"&amp;BA50&amp;"-"&amp;DD50&amp;"-"&amp;DK50</f>
        <v>FCS0111-2-1/1S–MC–107-F3-CN1</v>
      </c>
      <c r="DU50" s="6" t="str">
        <f t="shared" ref="DU50:DU84" si="37">IF(DL50="","",DQ50&amp;"-"&amp;DX50&amp;"-"&amp;DY50&amp;"/"&amp;BA50&amp;"-"&amp;DD50&amp;"-"&amp;DL50)</f>
        <v>FCS0111-2-1/1S–MC–107-F3-CN2</v>
      </c>
      <c r="DV50" s="19">
        <v>1</v>
      </c>
      <c r="DW50" s="20" t="str">
        <f t="shared" ref="DW50:DW84" si="38">RIGHT(DQ50,2)</f>
        <v>11</v>
      </c>
      <c r="DX50" s="21">
        <v>2</v>
      </c>
      <c r="DY50" s="22">
        <v>1</v>
      </c>
      <c r="DZ50" s="23">
        <v>2</v>
      </c>
      <c r="EA50" s="23">
        <v>4</v>
      </c>
      <c r="ED50" s="9" t="str">
        <f t="shared" ref="ED50:ED84" si="39">IF(DX50="1","AFV30D","ANB10D")</f>
        <v>ANB10D</v>
      </c>
      <c r="EF50" s="6" t="s">
        <v>172</v>
      </c>
      <c r="EH50" s="6" t="s">
        <v>228</v>
      </c>
      <c r="EI50" s="6" t="s">
        <v>394</v>
      </c>
      <c r="EJ50" s="12">
        <v>6</v>
      </c>
      <c r="EK50" s="12"/>
      <c r="EM50" s="12"/>
      <c r="EN50" s="12" t="s">
        <v>1100</v>
      </c>
      <c r="EO50" s="6" t="s">
        <v>1099</v>
      </c>
      <c r="EP50" s="6" t="s">
        <v>1145</v>
      </c>
      <c r="ER50" s="6" t="s">
        <v>1110</v>
      </c>
      <c r="ET50" s="6" t="str">
        <f t="shared" si="5"/>
        <v>짝수</v>
      </c>
      <c r="EU50" s="12">
        <v>14</v>
      </c>
      <c r="EV50" s="45" t="str">
        <f t="shared" ca="1" si="18"/>
        <v>A</v>
      </c>
      <c r="EW50" s="6">
        <f t="shared" ca="1" si="6"/>
        <v>65</v>
      </c>
      <c r="FR50" s="6">
        <v>1</v>
      </c>
      <c r="FS50" s="6" t="str">
        <f t="shared" si="7"/>
        <v/>
      </c>
      <c r="FT50" s="6" t="str">
        <f t="shared" si="8"/>
        <v/>
      </c>
      <c r="FU50" s="6" t="str">
        <f t="shared" ca="1" si="19"/>
        <v/>
      </c>
      <c r="FV50" s="6" t="str">
        <f t="shared" ca="1" si="9"/>
        <v/>
      </c>
      <c r="FW50" s="6" t="str">
        <f t="shared" ca="1" si="28"/>
        <v/>
      </c>
      <c r="FX50" s="6" t="str">
        <f t="shared" ca="1" si="29"/>
        <v/>
      </c>
      <c r="FY50" s="6" t="str">
        <f t="shared" ca="1" si="30"/>
        <v/>
      </c>
      <c r="FZ50" s="6" t="str">
        <f t="shared" ca="1" si="31"/>
        <v/>
      </c>
    </row>
    <row r="51" spans="1:182" ht="15.95" customHeight="1">
      <c r="A51" s="6">
        <v>626</v>
      </c>
      <c r="B51" s="6" t="s">
        <v>653</v>
      </c>
      <c r="E51" s="6" t="s">
        <v>568</v>
      </c>
      <c r="F51" s="6" t="s">
        <v>1295</v>
      </c>
      <c r="G51" s="6" t="s">
        <v>1218</v>
      </c>
      <c r="H51" s="7" t="s">
        <v>1219</v>
      </c>
      <c r="I51" s="7"/>
      <c r="J51" s="6" t="s">
        <v>1199</v>
      </c>
      <c r="K51" s="6" t="s">
        <v>1201</v>
      </c>
      <c r="N51" s="6" t="s">
        <v>1203</v>
      </c>
      <c r="O51" s="6" t="s">
        <v>1205</v>
      </c>
      <c r="R51" s="101" t="s">
        <v>1220</v>
      </c>
      <c r="Y51" s="6" t="s">
        <v>1278</v>
      </c>
      <c r="Z51" s="6">
        <v>3</v>
      </c>
      <c r="AA51" s="6">
        <v>4</v>
      </c>
      <c r="AD51" s="6" t="s">
        <v>1203</v>
      </c>
      <c r="AE51" s="6" t="s">
        <v>1205</v>
      </c>
      <c r="AG51" s="6" t="s">
        <v>1279</v>
      </c>
      <c r="AY51" s="8" t="s">
        <v>176</v>
      </c>
      <c r="AZ51" s="8" t="s">
        <v>195</v>
      </c>
      <c r="BA51" s="13" t="s">
        <v>197</v>
      </c>
      <c r="BB51" s="13" t="s">
        <v>8</v>
      </c>
      <c r="BC51" s="13">
        <v>57</v>
      </c>
      <c r="BD51" s="13">
        <v>58</v>
      </c>
      <c r="DC51" s="6" t="s">
        <v>169</v>
      </c>
      <c r="DD51" s="6" t="s">
        <v>184</v>
      </c>
      <c r="DH51" s="6" t="str">
        <f>"A"&amp;EA51</f>
        <v>A2</v>
      </c>
      <c r="DI51" s="6" t="str">
        <f>"B"&amp;EA51</f>
        <v>B2</v>
      </c>
      <c r="DK51" s="6" t="s">
        <v>173</v>
      </c>
      <c r="DL51" s="6" t="str">
        <f>IF(DZ51&lt;&gt;"","CN2","")</f>
        <v/>
      </c>
      <c r="DO51" s="9" t="s">
        <v>170</v>
      </c>
      <c r="DP51" s="6" t="s">
        <v>171</v>
      </c>
      <c r="DQ51" s="6" t="s">
        <v>645</v>
      </c>
      <c r="DR51" s="6" t="e">
        <f>#REF!&amp;RIGHT(#REF!,3)</f>
        <v>#REF!</v>
      </c>
      <c r="DS51" s="6" t="str">
        <f>IF(MID(EF51,2,1)="A","KS1","AKB331")</f>
        <v>KS1</v>
      </c>
      <c r="DT51" s="10" t="str">
        <f>DQ51&amp;"-"&amp;DX51&amp;"-"&amp;DY51&amp;"/"&amp;BA51&amp;"-"&amp;DD51&amp;"-"&amp;DK51</f>
        <v>FCS0111-6-1/1S–MC–107-F13-CN1</v>
      </c>
      <c r="DU51" s="6" t="str">
        <f>IF(DL51="","",DQ51&amp;"-"&amp;DX51&amp;"-"&amp;DY51&amp;"/"&amp;BA51&amp;"-"&amp;DD51&amp;"-"&amp;DL51)</f>
        <v/>
      </c>
      <c r="DV51" s="19">
        <v>1</v>
      </c>
      <c r="DW51" s="20" t="str">
        <f>RIGHT(DQ51,2)</f>
        <v>11</v>
      </c>
      <c r="DX51" s="20">
        <v>6</v>
      </c>
      <c r="DY51" s="21">
        <v>1</v>
      </c>
      <c r="DZ51" s="22" t="s">
        <v>204</v>
      </c>
      <c r="EA51" s="23">
        <v>2</v>
      </c>
      <c r="EB51" s="7">
        <v>18</v>
      </c>
      <c r="EE51" s="9" t="s">
        <v>654</v>
      </c>
      <c r="EF51" s="6" t="s">
        <v>172</v>
      </c>
      <c r="EG51" s="6" t="s">
        <v>672</v>
      </c>
      <c r="EH51" s="6" t="s">
        <v>304</v>
      </c>
      <c r="EI51" s="6" t="s">
        <v>394</v>
      </c>
      <c r="EJ51" s="12">
        <v>6</v>
      </c>
      <c r="EK51" s="12"/>
      <c r="EM51" s="12"/>
      <c r="EN51" s="12" t="s">
        <v>1100</v>
      </c>
      <c r="EP51" s="6" t="s">
        <v>1146</v>
      </c>
      <c r="ET51" s="6" t="str">
        <f t="shared" si="5"/>
        <v>짝수</v>
      </c>
      <c r="EU51" s="12">
        <v>14</v>
      </c>
      <c r="EV51" s="45" t="str">
        <f t="shared" ca="1" si="18"/>
        <v>B</v>
      </c>
      <c r="EW51" s="6">
        <f t="shared" ca="1" si="6"/>
        <v>66</v>
      </c>
      <c r="FO51" s="6"/>
      <c r="FP51" s="11"/>
      <c r="FR51" s="6">
        <v>1</v>
      </c>
      <c r="FS51" s="6" t="str">
        <f t="shared" si="7"/>
        <v/>
      </c>
      <c r="FT51" s="6" t="str">
        <f t="shared" si="8"/>
        <v/>
      </c>
      <c r="FU51" s="6" t="str">
        <f t="shared" ca="1" si="19"/>
        <v/>
      </c>
      <c r="FV51" s="6" t="str">
        <f t="shared" ca="1" si="9"/>
        <v/>
      </c>
      <c r="FW51" s="6" t="str">
        <f t="shared" ca="1" si="28"/>
        <v/>
      </c>
      <c r="FX51" s="6" t="str">
        <f t="shared" ca="1" si="29"/>
        <v/>
      </c>
      <c r="FY51" s="6" t="str">
        <f t="shared" ca="1" si="30"/>
        <v/>
      </c>
      <c r="FZ51" s="6" t="str">
        <f t="shared" ca="1" si="31"/>
        <v/>
      </c>
    </row>
    <row r="52" spans="1:182" ht="15.95" customHeight="1">
      <c r="A52" s="6">
        <v>76</v>
      </c>
      <c r="B52" s="6" t="s">
        <v>175</v>
      </c>
      <c r="E52" s="6" t="s">
        <v>507</v>
      </c>
      <c r="F52" s="6" t="s">
        <v>1296</v>
      </c>
      <c r="G52" s="6" t="s">
        <v>1218</v>
      </c>
      <c r="H52" s="7" t="s">
        <v>1219</v>
      </c>
      <c r="I52" s="7"/>
      <c r="J52" s="6" t="s">
        <v>1199</v>
      </c>
      <c r="K52" s="6" t="s">
        <v>1201</v>
      </c>
      <c r="N52" s="6" t="s">
        <v>1203</v>
      </c>
      <c r="O52" s="6" t="s">
        <v>1205</v>
      </c>
      <c r="R52" s="101" t="s">
        <v>1220</v>
      </c>
      <c r="Y52" s="6" t="s">
        <v>1241</v>
      </c>
      <c r="Z52" s="6">
        <v>31</v>
      </c>
      <c r="AA52" s="6">
        <v>32</v>
      </c>
      <c r="AD52" s="6" t="s">
        <v>1203</v>
      </c>
      <c r="AE52" s="6" t="s">
        <v>1205</v>
      </c>
      <c r="AG52" s="6" t="s">
        <v>1297</v>
      </c>
      <c r="AY52" s="8" t="s">
        <v>176</v>
      </c>
      <c r="AZ52" s="8" t="s">
        <v>195</v>
      </c>
      <c r="BA52" s="13" t="s">
        <v>197</v>
      </c>
      <c r="BB52" s="13" t="s">
        <v>7</v>
      </c>
      <c r="BC52" s="13">
        <v>87</v>
      </c>
      <c r="BD52" s="13">
        <v>88</v>
      </c>
      <c r="DC52" s="6" t="s">
        <v>169</v>
      </c>
      <c r="DD52" s="6" t="s">
        <v>202</v>
      </c>
      <c r="DH52" s="6" t="str">
        <f>"A"&amp;EA52</f>
        <v>A12</v>
      </c>
      <c r="DI52" s="6" t="str">
        <f>"B"&amp;EA52</f>
        <v>B12</v>
      </c>
      <c r="DK52" s="6" t="s">
        <v>173</v>
      </c>
      <c r="DL52" s="6" t="str">
        <f>IF(DZ52&lt;&gt;"","CN2","")</f>
        <v>CN2</v>
      </c>
      <c r="DO52" s="9" t="s">
        <v>170</v>
      </c>
      <c r="DP52" s="6" t="s">
        <v>171</v>
      </c>
      <c r="DQ52" s="6" t="s">
        <v>645</v>
      </c>
      <c r="DS52" s="6" t="str">
        <f>IF(MID(EF52,2,1)="A","KS1","AKB331")</f>
        <v>KS1</v>
      </c>
      <c r="DT52" s="10" t="str">
        <f>DQ52&amp;"-"&amp;DX52&amp;"-"&amp;DY52&amp;"/"&amp;BA52&amp;"-"&amp;DD52&amp;"-"&amp;DK52</f>
        <v>FCS0111-2-1/1S–MC–107-F3-CN1</v>
      </c>
      <c r="DU52" s="6" t="str">
        <f>IF(DL52="","",DQ52&amp;"-"&amp;DX52&amp;"-"&amp;DY52&amp;"/"&amp;BA52&amp;"-"&amp;DD52&amp;"-"&amp;DL52)</f>
        <v>FCS0111-2-1/1S–MC–107-F3-CN2</v>
      </c>
      <c r="DV52" s="19">
        <v>1</v>
      </c>
      <c r="DW52" s="20" t="str">
        <f>RIGHT(DQ52,2)</f>
        <v>11</v>
      </c>
      <c r="DX52" s="21">
        <v>2</v>
      </c>
      <c r="DY52" s="22">
        <v>1</v>
      </c>
      <c r="DZ52" s="23">
        <v>2</v>
      </c>
      <c r="EA52" s="23">
        <v>12</v>
      </c>
      <c r="ED52" s="9" t="str">
        <f>IF(DX52="1","AFV30D","ANB10D")</f>
        <v>ANB10D</v>
      </c>
      <c r="EF52" s="6" t="s">
        <v>172</v>
      </c>
      <c r="EH52" s="6" t="s">
        <v>235</v>
      </c>
      <c r="EI52" s="6" t="s">
        <v>398</v>
      </c>
      <c r="EJ52" s="12">
        <v>6</v>
      </c>
      <c r="EK52" s="12"/>
      <c r="EM52" s="12"/>
      <c r="EN52" s="12" t="s">
        <v>1100</v>
      </c>
      <c r="EO52" s="6" t="s">
        <v>1099</v>
      </c>
      <c r="EP52" s="6" t="s">
        <v>1145</v>
      </c>
      <c r="ER52" s="6" t="s">
        <v>1111</v>
      </c>
      <c r="ET52" s="6" t="str">
        <f t="shared" si="5"/>
        <v>짝수</v>
      </c>
      <c r="EU52" s="12">
        <v>14</v>
      </c>
      <c r="EV52" s="45" t="str">
        <f t="shared" ca="1" si="18"/>
        <v>C</v>
      </c>
      <c r="EW52" s="6">
        <f t="shared" ca="1" si="6"/>
        <v>67</v>
      </c>
      <c r="FR52" s="6">
        <v>1</v>
      </c>
      <c r="FS52" s="6" t="str">
        <f t="shared" si="7"/>
        <v/>
      </c>
      <c r="FT52" s="6" t="str">
        <f t="shared" si="8"/>
        <v/>
      </c>
      <c r="FU52" s="6" t="str">
        <f t="shared" ca="1" si="19"/>
        <v/>
      </c>
      <c r="FV52" s="6" t="str">
        <f t="shared" ca="1" si="9"/>
        <v/>
      </c>
      <c r="FW52" s="6" t="str">
        <f t="shared" ca="1" si="28"/>
        <v/>
      </c>
      <c r="FX52" s="6" t="str">
        <f t="shared" ca="1" si="29"/>
        <v/>
      </c>
      <c r="FY52" s="6" t="str">
        <f t="shared" ca="1" si="30"/>
        <v/>
      </c>
      <c r="FZ52" s="6" t="str">
        <f t="shared" ca="1" si="31"/>
        <v/>
      </c>
    </row>
    <row r="53" spans="1:182" ht="15.95" customHeight="1">
      <c r="A53" s="6">
        <v>637</v>
      </c>
      <c r="B53" s="6" t="s">
        <v>653</v>
      </c>
      <c r="E53" s="6" t="s">
        <v>579</v>
      </c>
      <c r="F53" s="6" t="s">
        <v>1298</v>
      </c>
      <c r="G53" s="6" t="s">
        <v>1218</v>
      </c>
      <c r="H53" s="7" t="s">
        <v>1219</v>
      </c>
      <c r="I53" s="7"/>
      <c r="J53" s="6" t="s">
        <v>1199</v>
      </c>
      <c r="K53" s="6" t="s">
        <v>1201</v>
      </c>
      <c r="N53" s="6" t="s">
        <v>1203</v>
      </c>
      <c r="O53" s="6" t="s">
        <v>1205</v>
      </c>
      <c r="R53" s="101" t="s">
        <v>1220</v>
      </c>
      <c r="Y53" s="6" t="s">
        <v>1241</v>
      </c>
      <c r="Z53" s="6">
        <v>33</v>
      </c>
      <c r="AA53" s="6">
        <v>34</v>
      </c>
      <c r="AD53" s="6" t="s">
        <v>1203</v>
      </c>
      <c r="AE53" s="6" t="s">
        <v>1205</v>
      </c>
      <c r="AG53" s="6" t="s">
        <v>1297</v>
      </c>
      <c r="AY53" s="8" t="s">
        <v>176</v>
      </c>
      <c r="AZ53" s="8" t="s">
        <v>195</v>
      </c>
      <c r="BA53" s="13" t="s">
        <v>197</v>
      </c>
      <c r="BB53" s="13" t="s">
        <v>7</v>
      </c>
      <c r="BC53" s="13">
        <v>89</v>
      </c>
      <c r="BD53" s="13">
        <v>90</v>
      </c>
      <c r="DC53" s="6" t="s">
        <v>169</v>
      </c>
      <c r="DD53" s="6" t="s">
        <v>184</v>
      </c>
      <c r="DH53" s="6" t="str">
        <f>"A"&amp;EA53</f>
        <v>A13</v>
      </c>
      <c r="DI53" s="6" t="str">
        <f>"B"&amp;EA53</f>
        <v>B13</v>
      </c>
      <c r="DK53" s="6" t="s">
        <v>173</v>
      </c>
      <c r="DL53" s="6" t="str">
        <f>IF(DZ53&lt;&gt;"","CN2","")</f>
        <v/>
      </c>
      <c r="DO53" s="9" t="s">
        <v>170</v>
      </c>
      <c r="DP53" s="6" t="s">
        <v>171</v>
      </c>
      <c r="DQ53" s="6" t="s">
        <v>645</v>
      </c>
      <c r="DR53" s="6" t="e">
        <f>#REF!&amp;RIGHT(#REF!,3)</f>
        <v>#REF!</v>
      </c>
      <c r="DS53" s="6" t="str">
        <f>IF(MID(EF53,2,1)="A","KS1","AKB331")</f>
        <v>KS1</v>
      </c>
      <c r="DT53" s="10" t="str">
        <f>DQ53&amp;"-"&amp;DX53&amp;"-"&amp;DY53&amp;"/"&amp;BA53&amp;"-"&amp;DD53&amp;"-"&amp;DK53</f>
        <v>FCS0111-6-1/1S–MC–107-F13-CN1</v>
      </c>
      <c r="DU53" s="6" t="str">
        <f>IF(DL53="","",DQ53&amp;"-"&amp;DX53&amp;"-"&amp;DY53&amp;"/"&amp;BA53&amp;"-"&amp;DD53&amp;"-"&amp;DL53)</f>
        <v/>
      </c>
      <c r="DV53" s="19">
        <v>1</v>
      </c>
      <c r="DW53" s="20" t="str">
        <f>RIGHT(DQ53,2)</f>
        <v>11</v>
      </c>
      <c r="DX53" s="20">
        <v>6</v>
      </c>
      <c r="DY53" s="21">
        <v>1</v>
      </c>
      <c r="DZ53" s="22" t="s">
        <v>204</v>
      </c>
      <c r="EA53" s="23">
        <v>13</v>
      </c>
      <c r="EB53" s="7">
        <v>29</v>
      </c>
      <c r="EE53" s="9" t="s">
        <v>654</v>
      </c>
      <c r="EF53" s="6" t="s">
        <v>172</v>
      </c>
      <c r="EG53" s="6" t="s">
        <v>672</v>
      </c>
      <c r="EH53" s="6" t="s">
        <v>315</v>
      </c>
      <c r="EI53" s="6" t="s">
        <v>398</v>
      </c>
      <c r="EJ53" s="12">
        <v>6</v>
      </c>
      <c r="EK53" s="12"/>
      <c r="EM53" s="12"/>
      <c r="EN53" s="12" t="s">
        <v>1100</v>
      </c>
      <c r="EP53" s="6" t="s">
        <v>1146</v>
      </c>
      <c r="ET53" s="6" t="str">
        <f t="shared" si="5"/>
        <v>짝수</v>
      </c>
      <c r="EU53" s="12">
        <v>14</v>
      </c>
      <c r="EV53" s="45" t="str">
        <f t="shared" ca="1" si="18"/>
        <v>D</v>
      </c>
      <c r="EW53" s="6">
        <f t="shared" ca="1" si="6"/>
        <v>68</v>
      </c>
      <c r="FO53" s="6"/>
      <c r="FP53" s="11"/>
      <c r="FR53" s="6">
        <v>1</v>
      </c>
      <c r="FS53" s="6" t="str">
        <f t="shared" si="7"/>
        <v/>
      </c>
      <c r="FT53" s="6" t="str">
        <f t="shared" si="8"/>
        <v/>
      </c>
      <c r="FU53" s="6" t="str">
        <f t="shared" ca="1" si="19"/>
        <v/>
      </c>
      <c r="FV53" s="6" t="str">
        <f t="shared" ca="1" si="9"/>
        <v/>
      </c>
      <c r="FW53" s="6" t="str">
        <f t="shared" ca="1" si="28"/>
        <v/>
      </c>
      <c r="FX53" s="6" t="str">
        <f t="shared" ca="1" si="29"/>
        <v/>
      </c>
      <c r="FY53" s="6" t="str">
        <f t="shared" ca="1" si="30"/>
        <v/>
      </c>
      <c r="FZ53" s="6" t="str">
        <f t="shared" ca="1" si="31"/>
        <v/>
      </c>
    </row>
    <row r="54" spans="1:182" ht="15.95" customHeight="1">
      <c r="A54" s="6">
        <v>69</v>
      </c>
      <c r="B54" s="6" t="s">
        <v>175</v>
      </c>
      <c r="E54" s="6" t="s">
        <v>500</v>
      </c>
      <c r="F54" s="6" t="s">
        <v>1299</v>
      </c>
      <c r="G54" s="6" t="s">
        <v>1218</v>
      </c>
      <c r="H54" s="7" t="s">
        <v>1219</v>
      </c>
      <c r="I54" s="7"/>
      <c r="J54" s="6" t="s">
        <v>1199</v>
      </c>
      <c r="K54" s="6" t="s">
        <v>1201</v>
      </c>
      <c r="N54" s="6" t="s">
        <v>1203</v>
      </c>
      <c r="O54" s="6" t="s">
        <v>1205</v>
      </c>
      <c r="R54" s="101" t="s">
        <v>1220</v>
      </c>
      <c r="Y54" s="6" t="s">
        <v>1278</v>
      </c>
      <c r="Z54" s="6">
        <v>5</v>
      </c>
      <c r="AA54" s="6">
        <v>6</v>
      </c>
      <c r="AD54" s="6" t="s">
        <v>1203</v>
      </c>
      <c r="AE54" s="6" t="s">
        <v>1205</v>
      </c>
      <c r="AG54" s="6" t="s">
        <v>1279</v>
      </c>
      <c r="AY54" s="8" t="s">
        <v>176</v>
      </c>
      <c r="AZ54" s="8" t="s">
        <v>195</v>
      </c>
      <c r="BA54" s="13" t="s">
        <v>197</v>
      </c>
      <c r="BB54" s="13" t="s">
        <v>8</v>
      </c>
      <c r="BC54" s="13">
        <v>59</v>
      </c>
      <c r="BD54" s="13">
        <v>60</v>
      </c>
      <c r="DC54" s="6" t="s">
        <v>169</v>
      </c>
      <c r="DD54" s="6" t="s">
        <v>202</v>
      </c>
      <c r="DH54" s="6" t="str">
        <f t="shared" si="32"/>
        <v>A5</v>
      </c>
      <c r="DI54" s="6" t="str">
        <f t="shared" si="33"/>
        <v>B5</v>
      </c>
      <c r="DK54" s="6" t="s">
        <v>173</v>
      </c>
      <c r="DL54" s="6" t="str">
        <f t="shared" si="34"/>
        <v>CN2</v>
      </c>
      <c r="DO54" s="9" t="s">
        <v>170</v>
      </c>
      <c r="DP54" s="6" t="s">
        <v>171</v>
      </c>
      <c r="DQ54" s="6" t="s">
        <v>645</v>
      </c>
      <c r="DS54" s="6" t="str">
        <f t="shared" si="35"/>
        <v>KS1</v>
      </c>
      <c r="DT54" s="10" t="str">
        <f t="shared" si="36"/>
        <v>FCS0111-2-1/1S–MC–107-F3-CN1</v>
      </c>
      <c r="DU54" s="6" t="str">
        <f t="shared" si="37"/>
        <v>FCS0111-2-1/1S–MC–107-F3-CN2</v>
      </c>
      <c r="DV54" s="19">
        <v>1</v>
      </c>
      <c r="DW54" s="20" t="str">
        <f t="shared" si="38"/>
        <v>11</v>
      </c>
      <c r="DX54" s="21">
        <v>2</v>
      </c>
      <c r="DY54" s="22">
        <v>1</v>
      </c>
      <c r="DZ54" s="23">
        <v>2</v>
      </c>
      <c r="EA54" s="23">
        <v>5</v>
      </c>
      <c r="ED54" s="9" t="str">
        <f t="shared" si="39"/>
        <v>ANB10D</v>
      </c>
      <c r="EF54" s="6" t="s">
        <v>172</v>
      </c>
      <c r="EH54" s="6" t="s">
        <v>229</v>
      </c>
      <c r="EI54" s="6" t="s">
        <v>394</v>
      </c>
      <c r="EJ54" s="12">
        <v>6</v>
      </c>
      <c r="EK54" s="12"/>
      <c r="EM54" s="12"/>
      <c r="EN54" s="12" t="s">
        <v>1100</v>
      </c>
      <c r="EO54" s="6" t="s">
        <v>1099</v>
      </c>
      <c r="EP54" s="6" t="s">
        <v>1145</v>
      </c>
      <c r="ER54" s="6" t="s">
        <v>1112</v>
      </c>
      <c r="ET54" s="6" t="str">
        <f t="shared" si="5"/>
        <v>홀수</v>
      </c>
      <c r="EU54" s="12">
        <v>15</v>
      </c>
      <c r="EV54" s="45" t="str">
        <f t="shared" ca="1" si="18"/>
        <v>A</v>
      </c>
      <c r="EW54" s="6">
        <f t="shared" ca="1" si="6"/>
        <v>65</v>
      </c>
      <c r="FR54" s="6">
        <v>1</v>
      </c>
      <c r="FS54" s="6" t="str">
        <f t="shared" si="7"/>
        <v/>
      </c>
      <c r="FT54" s="6" t="str">
        <f t="shared" si="8"/>
        <v/>
      </c>
      <c r="FU54" s="6" t="str">
        <f t="shared" ca="1" si="19"/>
        <v/>
      </c>
      <c r="FV54" s="6" t="str">
        <f t="shared" ca="1" si="9"/>
        <v/>
      </c>
      <c r="FW54" s="6" t="str">
        <f t="shared" ca="1" si="28"/>
        <v/>
      </c>
      <c r="FX54" s="6" t="str">
        <f t="shared" ca="1" si="29"/>
        <v/>
      </c>
      <c r="FY54" s="6" t="str">
        <f t="shared" ca="1" si="30"/>
        <v/>
      </c>
      <c r="FZ54" s="6" t="str">
        <f t="shared" ca="1" si="31"/>
        <v/>
      </c>
    </row>
    <row r="55" spans="1:182" ht="15.95" customHeight="1">
      <c r="A55" s="6">
        <v>627</v>
      </c>
      <c r="B55" s="6" t="s">
        <v>653</v>
      </c>
      <c r="E55" s="6" t="s">
        <v>569</v>
      </c>
      <c r="F55" s="6" t="s">
        <v>1300</v>
      </c>
      <c r="G55" s="6" t="s">
        <v>1218</v>
      </c>
      <c r="H55" s="7" t="s">
        <v>1219</v>
      </c>
      <c r="I55" s="7"/>
      <c r="J55" s="6" t="s">
        <v>1199</v>
      </c>
      <c r="K55" s="6" t="s">
        <v>1201</v>
      </c>
      <c r="N55" s="6" t="s">
        <v>1203</v>
      </c>
      <c r="O55" s="6" t="s">
        <v>1205</v>
      </c>
      <c r="R55" s="101" t="s">
        <v>1220</v>
      </c>
      <c r="Y55" s="6" t="s">
        <v>1278</v>
      </c>
      <c r="Z55" s="6">
        <v>7</v>
      </c>
      <c r="AA55" s="6">
        <v>8</v>
      </c>
      <c r="AD55" s="6" t="s">
        <v>1203</v>
      </c>
      <c r="AE55" s="6" t="s">
        <v>1205</v>
      </c>
      <c r="AG55" s="6" t="s">
        <v>1279</v>
      </c>
      <c r="AY55" s="8" t="s">
        <v>176</v>
      </c>
      <c r="AZ55" s="8" t="s">
        <v>195</v>
      </c>
      <c r="BA55" s="13" t="s">
        <v>197</v>
      </c>
      <c r="BB55" s="13" t="s">
        <v>8</v>
      </c>
      <c r="BC55" s="13">
        <v>61</v>
      </c>
      <c r="BD55" s="13">
        <v>62</v>
      </c>
      <c r="DC55" s="6" t="s">
        <v>169</v>
      </c>
      <c r="DD55" s="6" t="s">
        <v>184</v>
      </c>
      <c r="DH55" s="6" t="str">
        <f>"A"&amp;EA55</f>
        <v>A3</v>
      </c>
      <c r="DI55" s="6" t="str">
        <f>"B"&amp;EA55</f>
        <v>B3</v>
      </c>
      <c r="DK55" s="6" t="s">
        <v>173</v>
      </c>
      <c r="DL55" s="6" t="str">
        <f>IF(DZ55&lt;&gt;"","CN2","")</f>
        <v/>
      </c>
      <c r="DO55" s="9" t="s">
        <v>170</v>
      </c>
      <c r="DP55" s="6" t="s">
        <v>171</v>
      </c>
      <c r="DQ55" s="6" t="s">
        <v>645</v>
      </c>
      <c r="DR55" s="6" t="e">
        <f>#REF!&amp;RIGHT(#REF!,3)</f>
        <v>#REF!</v>
      </c>
      <c r="DS55" s="6" t="str">
        <f>IF(MID(EF55,2,1)="A","KS1","AKB331")</f>
        <v>KS1</v>
      </c>
      <c r="DT55" s="10" t="str">
        <f>DQ55&amp;"-"&amp;DX55&amp;"-"&amp;DY55&amp;"/"&amp;BA55&amp;"-"&amp;DD55&amp;"-"&amp;DK55</f>
        <v>FCS0111-6-1/1S–MC–107-F13-CN1</v>
      </c>
      <c r="DU55" s="6" t="str">
        <f>IF(DL55="","",DQ55&amp;"-"&amp;DX55&amp;"-"&amp;DY55&amp;"/"&amp;BA55&amp;"-"&amp;DD55&amp;"-"&amp;DL55)</f>
        <v/>
      </c>
      <c r="DV55" s="19">
        <v>1</v>
      </c>
      <c r="DW55" s="20" t="str">
        <f>RIGHT(DQ55,2)</f>
        <v>11</v>
      </c>
      <c r="DX55" s="20">
        <v>6</v>
      </c>
      <c r="DY55" s="21">
        <v>1</v>
      </c>
      <c r="DZ55" s="22" t="s">
        <v>204</v>
      </c>
      <c r="EA55" s="23">
        <v>3</v>
      </c>
      <c r="EB55" s="7">
        <v>19</v>
      </c>
      <c r="EE55" s="9" t="s">
        <v>654</v>
      </c>
      <c r="EF55" s="6" t="s">
        <v>172</v>
      </c>
      <c r="EG55" s="6" t="s">
        <v>672</v>
      </c>
      <c r="EH55" s="6" t="s">
        <v>305</v>
      </c>
      <c r="EI55" s="6" t="s">
        <v>394</v>
      </c>
      <c r="EJ55" s="12">
        <v>6</v>
      </c>
      <c r="EK55" s="12"/>
      <c r="EM55" s="12"/>
      <c r="EN55" s="12" t="s">
        <v>1100</v>
      </c>
      <c r="EP55" s="6" t="s">
        <v>1146</v>
      </c>
      <c r="ET55" s="6" t="str">
        <f t="shared" si="5"/>
        <v>홀수</v>
      </c>
      <c r="EU55" s="12">
        <v>15</v>
      </c>
      <c r="EV55" s="45" t="str">
        <f t="shared" ca="1" si="18"/>
        <v>B</v>
      </c>
      <c r="EW55" s="6">
        <f t="shared" ca="1" si="6"/>
        <v>66</v>
      </c>
      <c r="FO55" s="6"/>
      <c r="FP55" s="11"/>
      <c r="FR55" s="6">
        <v>1</v>
      </c>
      <c r="FS55" s="6" t="str">
        <f t="shared" si="7"/>
        <v/>
      </c>
      <c r="FT55" s="6" t="str">
        <f t="shared" si="8"/>
        <v/>
      </c>
      <c r="FU55" s="6" t="str">
        <f t="shared" ca="1" si="19"/>
        <v/>
      </c>
      <c r="FV55" s="6" t="str">
        <f t="shared" ca="1" si="9"/>
        <v/>
      </c>
      <c r="FW55" s="6" t="str">
        <f t="shared" ca="1" si="28"/>
        <v/>
      </c>
      <c r="FX55" s="6" t="str">
        <f t="shared" ca="1" si="29"/>
        <v/>
      </c>
      <c r="FY55" s="6" t="str">
        <f t="shared" ca="1" si="30"/>
        <v/>
      </c>
      <c r="FZ55" s="6" t="str">
        <f t="shared" ca="1" si="31"/>
        <v/>
      </c>
    </row>
    <row r="56" spans="1:182" ht="15.95" customHeight="1">
      <c r="A56" s="6">
        <v>72</v>
      </c>
      <c r="B56" s="6" t="s">
        <v>175</v>
      </c>
      <c r="E56" s="6" t="s">
        <v>503</v>
      </c>
      <c r="F56" s="6" t="s">
        <v>1301</v>
      </c>
      <c r="G56" s="6" t="s">
        <v>1218</v>
      </c>
      <c r="H56" s="7" t="s">
        <v>1219</v>
      </c>
      <c r="I56" s="7"/>
      <c r="J56" s="6" t="s">
        <v>1199</v>
      </c>
      <c r="K56" s="6" t="s">
        <v>1201</v>
      </c>
      <c r="N56" s="6" t="s">
        <v>1203</v>
      </c>
      <c r="O56" s="6" t="s">
        <v>1205</v>
      </c>
      <c r="R56" s="101" t="s">
        <v>1220</v>
      </c>
      <c r="Y56" s="6" t="s">
        <v>1283</v>
      </c>
      <c r="Z56" s="6">
        <v>5</v>
      </c>
      <c r="AA56" s="6">
        <v>6</v>
      </c>
      <c r="AD56" s="6" t="s">
        <v>1203</v>
      </c>
      <c r="AE56" s="6" t="s">
        <v>1205</v>
      </c>
      <c r="AG56" s="6" t="s">
        <v>1284</v>
      </c>
      <c r="AY56" s="8" t="s">
        <v>176</v>
      </c>
      <c r="AZ56" s="8" t="s">
        <v>195</v>
      </c>
      <c r="BA56" s="13" t="s">
        <v>197</v>
      </c>
      <c r="BB56" s="13" t="s">
        <v>7</v>
      </c>
      <c r="BC56" s="13">
        <v>13</v>
      </c>
      <c r="BD56" s="13">
        <v>14</v>
      </c>
      <c r="DC56" s="6" t="s">
        <v>169</v>
      </c>
      <c r="DD56" s="6" t="s">
        <v>202</v>
      </c>
      <c r="DH56" s="6" t="str">
        <f t="shared" si="32"/>
        <v>A8</v>
      </c>
      <c r="DI56" s="6" t="str">
        <f t="shared" si="33"/>
        <v>B8</v>
      </c>
      <c r="DK56" s="6" t="s">
        <v>173</v>
      </c>
      <c r="DL56" s="6" t="str">
        <f t="shared" si="34"/>
        <v>CN2</v>
      </c>
      <c r="DO56" s="9" t="s">
        <v>170</v>
      </c>
      <c r="DP56" s="6" t="s">
        <v>171</v>
      </c>
      <c r="DQ56" s="6" t="s">
        <v>645</v>
      </c>
      <c r="DS56" s="6" t="str">
        <f t="shared" si="35"/>
        <v>KS1</v>
      </c>
      <c r="DT56" s="10" t="str">
        <f t="shared" si="36"/>
        <v>FCS0111-2-1/1S–MC–107-F3-CN1</v>
      </c>
      <c r="DU56" s="6" t="str">
        <f t="shared" si="37"/>
        <v>FCS0111-2-1/1S–MC–107-F3-CN2</v>
      </c>
      <c r="DV56" s="19">
        <v>1</v>
      </c>
      <c r="DW56" s="20" t="str">
        <f t="shared" si="38"/>
        <v>11</v>
      </c>
      <c r="DX56" s="21">
        <v>2</v>
      </c>
      <c r="DY56" s="22">
        <v>1</v>
      </c>
      <c r="DZ56" s="23">
        <v>2</v>
      </c>
      <c r="EA56" s="23">
        <v>8</v>
      </c>
      <c r="ED56" s="9" t="str">
        <f t="shared" si="39"/>
        <v>ANB10D</v>
      </c>
      <c r="EF56" s="6" t="s">
        <v>172</v>
      </c>
      <c r="EH56" s="6" t="s">
        <v>231</v>
      </c>
      <c r="EI56" s="6" t="s">
        <v>396</v>
      </c>
      <c r="EJ56" s="12">
        <v>6</v>
      </c>
      <c r="EK56" s="12"/>
      <c r="EM56" s="12"/>
      <c r="EN56" s="12" t="s">
        <v>1100</v>
      </c>
      <c r="EO56" s="6" t="s">
        <v>1099</v>
      </c>
      <c r="EP56" s="6" t="s">
        <v>1145</v>
      </c>
      <c r="ER56" s="6" t="s">
        <v>1113</v>
      </c>
      <c r="ET56" s="6" t="str">
        <f t="shared" si="5"/>
        <v>홀수</v>
      </c>
      <c r="EU56" s="12">
        <v>15</v>
      </c>
      <c r="EV56" s="45" t="str">
        <f t="shared" ca="1" si="18"/>
        <v>C</v>
      </c>
      <c r="EW56" s="6">
        <f t="shared" ca="1" si="6"/>
        <v>67</v>
      </c>
      <c r="FR56" s="6">
        <v>1</v>
      </c>
      <c r="FS56" s="6" t="str">
        <f t="shared" si="7"/>
        <v/>
      </c>
      <c r="FT56" s="6" t="str">
        <f t="shared" si="8"/>
        <v/>
      </c>
      <c r="FU56" s="6" t="str">
        <f t="shared" ca="1" si="19"/>
        <v/>
      </c>
      <c r="FV56" s="6" t="str">
        <f t="shared" ca="1" si="9"/>
        <v/>
      </c>
      <c r="FW56" s="6" t="str">
        <f t="shared" ca="1" si="28"/>
        <v/>
      </c>
      <c r="FX56" s="6" t="str">
        <f t="shared" ca="1" si="29"/>
        <v/>
      </c>
      <c r="FY56" s="6" t="str">
        <f t="shared" ca="1" si="30"/>
        <v/>
      </c>
      <c r="FZ56" s="6" t="str">
        <f t="shared" ca="1" si="31"/>
        <v/>
      </c>
    </row>
    <row r="57" spans="1:182" ht="15.95" customHeight="1">
      <c r="A57" s="6">
        <v>631</v>
      </c>
      <c r="B57" s="6" t="s">
        <v>653</v>
      </c>
      <c r="E57" s="6" t="s">
        <v>573</v>
      </c>
      <c r="F57" s="6" t="s">
        <v>1302</v>
      </c>
      <c r="G57" s="6" t="s">
        <v>1218</v>
      </c>
      <c r="H57" s="7" t="s">
        <v>1219</v>
      </c>
      <c r="I57" s="7"/>
      <c r="J57" s="6" t="s">
        <v>1199</v>
      </c>
      <c r="K57" s="6" t="s">
        <v>1201</v>
      </c>
      <c r="N57" s="6" t="s">
        <v>1203</v>
      </c>
      <c r="O57" s="6" t="s">
        <v>1205</v>
      </c>
      <c r="R57" s="101" t="s">
        <v>1220</v>
      </c>
      <c r="Y57" s="6" t="s">
        <v>1283</v>
      </c>
      <c r="Z57" s="6">
        <v>7</v>
      </c>
      <c r="AA57" s="6">
        <v>8</v>
      </c>
      <c r="AD57" s="6" t="s">
        <v>1203</v>
      </c>
      <c r="AE57" s="6" t="s">
        <v>1205</v>
      </c>
      <c r="AG57" s="6" t="s">
        <v>1284</v>
      </c>
      <c r="AY57" s="8" t="s">
        <v>176</v>
      </c>
      <c r="AZ57" s="8" t="s">
        <v>195</v>
      </c>
      <c r="BA57" s="13" t="s">
        <v>197</v>
      </c>
      <c r="BB57" s="13" t="s">
        <v>7</v>
      </c>
      <c r="BC57" s="13">
        <v>15</v>
      </c>
      <c r="BD57" s="13">
        <v>16</v>
      </c>
      <c r="DC57" s="6" t="s">
        <v>169</v>
      </c>
      <c r="DD57" s="6" t="s">
        <v>184</v>
      </c>
      <c r="DH57" s="6" t="str">
        <f>"A"&amp;EA57</f>
        <v>A7</v>
      </c>
      <c r="DI57" s="6" t="str">
        <f>"B"&amp;EA57</f>
        <v>B7</v>
      </c>
      <c r="DK57" s="6" t="s">
        <v>173</v>
      </c>
      <c r="DL57" s="6" t="str">
        <f>IF(DZ57&lt;&gt;"","CN2","")</f>
        <v/>
      </c>
      <c r="DO57" s="9" t="s">
        <v>170</v>
      </c>
      <c r="DP57" s="6" t="s">
        <v>171</v>
      </c>
      <c r="DQ57" s="6" t="s">
        <v>645</v>
      </c>
      <c r="DR57" s="6" t="e">
        <f>#REF!&amp;RIGHT(#REF!,3)</f>
        <v>#REF!</v>
      </c>
      <c r="DS57" s="6" t="str">
        <f>IF(MID(EF57,2,1)="A","KS1","AKB331")</f>
        <v>KS1</v>
      </c>
      <c r="DT57" s="10" t="str">
        <f>DQ57&amp;"-"&amp;DX57&amp;"-"&amp;DY57&amp;"/"&amp;BA57&amp;"-"&amp;DD57&amp;"-"&amp;DK57</f>
        <v>FCS0111-6-1/1S–MC–107-F13-CN1</v>
      </c>
      <c r="DU57" s="6" t="str">
        <f>IF(DL57="","",DQ57&amp;"-"&amp;DX57&amp;"-"&amp;DY57&amp;"/"&amp;BA57&amp;"-"&amp;DD57&amp;"-"&amp;DL57)</f>
        <v/>
      </c>
      <c r="DV57" s="19">
        <v>1</v>
      </c>
      <c r="DW57" s="20" t="str">
        <f>RIGHT(DQ57,2)</f>
        <v>11</v>
      </c>
      <c r="DX57" s="20">
        <v>6</v>
      </c>
      <c r="DY57" s="21">
        <v>1</v>
      </c>
      <c r="DZ57" s="22" t="s">
        <v>204</v>
      </c>
      <c r="EA57" s="23">
        <v>7</v>
      </c>
      <c r="EB57" s="7">
        <v>23</v>
      </c>
      <c r="EE57" s="9" t="s">
        <v>654</v>
      </c>
      <c r="EF57" s="6" t="s">
        <v>172</v>
      </c>
      <c r="EG57" s="6" t="s">
        <v>672</v>
      </c>
      <c r="EH57" s="6" t="s">
        <v>309</v>
      </c>
      <c r="EI57" s="6" t="s">
        <v>396</v>
      </c>
      <c r="EJ57" s="12">
        <v>6</v>
      </c>
      <c r="EK57" s="12"/>
      <c r="EM57" s="12"/>
      <c r="EN57" s="12" t="s">
        <v>1100</v>
      </c>
      <c r="EP57" s="6" t="s">
        <v>1146</v>
      </c>
      <c r="ET57" s="6" t="str">
        <f t="shared" si="5"/>
        <v>홀수</v>
      </c>
      <c r="EU57" s="12">
        <v>15</v>
      </c>
      <c r="EV57" s="45" t="str">
        <f t="shared" ca="1" si="18"/>
        <v>D</v>
      </c>
      <c r="EW57" s="6">
        <f t="shared" ca="1" si="6"/>
        <v>68</v>
      </c>
      <c r="FO57" s="6"/>
      <c r="FP57" s="11"/>
      <c r="FR57" s="6">
        <v>1</v>
      </c>
      <c r="FS57" s="6" t="str">
        <f t="shared" si="7"/>
        <v/>
      </c>
      <c r="FT57" s="6" t="str">
        <f t="shared" si="8"/>
        <v/>
      </c>
      <c r="FU57" s="6" t="str">
        <f t="shared" ca="1" si="19"/>
        <v/>
      </c>
      <c r="FV57" s="6" t="str">
        <f t="shared" ca="1" si="9"/>
        <v/>
      </c>
      <c r="FW57" s="6" t="str">
        <f t="shared" ca="1" si="28"/>
        <v/>
      </c>
      <c r="FX57" s="6" t="str">
        <f t="shared" ca="1" si="29"/>
        <v/>
      </c>
      <c r="FY57" s="6" t="str">
        <f t="shared" ca="1" si="30"/>
        <v/>
      </c>
      <c r="FZ57" s="6" t="str">
        <f t="shared" ca="1" si="31"/>
        <v/>
      </c>
    </row>
    <row r="58" spans="1:182" ht="15.95" customHeight="1">
      <c r="A58" s="6">
        <v>73</v>
      </c>
      <c r="B58" s="6" t="s">
        <v>175</v>
      </c>
      <c r="E58" s="6" t="s">
        <v>504</v>
      </c>
      <c r="F58" s="6" t="s">
        <v>1303</v>
      </c>
      <c r="G58" s="6" t="s">
        <v>1218</v>
      </c>
      <c r="H58" s="7" t="s">
        <v>1219</v>
      </c>
      <c r="I58" s="7"/>
      <c r="J58" s="6" t="s">
        <v>1199</v>
      </c>
      <c r="K58" s="6" t="s">
        <v>1201</v>
      </c>
      <c r="N58" s="6" t="s">
        <v>1203</v>
      </c>
      <c r="O58" s="6" t="s">
        <v>1205</v>
      </c>
      <c r="R58" s="101" t="s">
        <v>1220</v>
      </c>
      <c r="Y58" s="6" t="s">
        <v>1283</v>
      </c>
      <c r="Z58" s="6">
        <v>9</v>
      </c>
      <c r="AA58" s="6">
        <v>10</v>
      </c>
      <c r="AD58" s="6" t="s">
        <v>1203</v>
      </c>
      <c r="AE58" s="6" t="s">
        <v>1205</v>
      </c>
      <c r="AG58" s="6" t="s">
        <v>1284</v>
      </c>
      <c r="AY58" s="8" t="s">
        <v>176</v>
      </c>
      <c r="AZ58" s="8" t="s">
        <v>195</v>
      </c>
      <c r="BA58" s="13" t="s">
        <v>197</v>
      </c>
      <c r="BB58" s="13" t="s">
        <v>7</v>
      </c>
      <c r="BC58" s="13">
        <v>17</v>
      </c>
      <c r="BD58" s="13">
        <v>18</v>
      </c>
      <c r="DC58" s="6" t="s">
        <v>169</v>
      </c>
      <c r="DD58" s="6" t="s">
        <v>202</v>
      </c>
      <c r="DH58" s="6" t="str">
        <f t="shared" si="32"/>
        <v>A9</v>
      </c>
      <c r="DI58" s="6" t="str">
        <f t="shared" si="33"/>
        <v>B9</v>
      </c>
      <c r="DK58" s="6" t="s">
        <v>173</v>
      </c>
      <c r="DL58" s="6" t="str">
        <f t="shared" si="34"/>
        <v>CN2</v>
      </c>
      <c r="DO58" s="9" t="s">
        <v>170</v>
      </c>
      <c r="DP58" s="6" t="s">
        <v>171</v>
      </c>
      <c r="DQ58" s="6" t="s">
        <v>645</v>
      </c>
      <c r="DS58" s="6" t="str">
        <f t="shared" si="35"/>
        <v>KS1</v>
      </c>
      <c r="DT58" s="10" t="str">
        <f t="shared" si="36"/>
        <v>FCS0111-2-1/1S–MC–107-F3-CN1</v>
      </c>
      <c r="DU58" s="6" t="str">
        <f t="shared" si="37"/>
        <v>FCS0111-2-1/1S–MC–107-F3-CN2</v>
      </c>
      <c r="DV58" s="19">
        <v>1</v>
      </c>
      <c r="DW58" s="20" t="str">
        <f t="shared" si="38"/>
        <v>11</v>
      </c>
      <c r="DX58" s="21">
        <v>2</v>
      </c>
      <c r="DY58" s="22">
        <v>1</v>
      </c>
      <c r="DZ58" s="23">
        <v>2</v>
      </c>
      <c r="EA58" s="23">
        <v>9</v>
      </c>
      <c r="ED58" s="9" t="str">
        <f t="shared" si="39"/>
        <v>ANB10D</v>
      </c>
      <c r="EF58" s="6" t="s">
        <v>172</v>
      </c>
      <c r="EH58" s="6" t="s">
        <v>232</v>
      </c>
      <c r="EI58" s="6" t="s">
        <v>396</v>
      </c>
      <c r="EJ58" s="12">
        <v>6</v>
      </c>
      <c r="EK58" s="12"/>
      <c r="EM58" s="12"/>
      <c r="EN58" s="12" t="s">
        <v>1100</v>
      </c>
      <c r="EO58" s="6" t="s">
        <v>1099</v>
      </c>
      <c r="EP58" s="6" t="s">
        <v>1145</v>
      </c>
      <c r="ER58" s="6" t="s">
        <v>1114</v>
      </c>
      <c r="ET58" s="6" t="str">
        <f t="shared" si="5"/>
        <v>짝수</v>
      </c>
      <c r="EU58" s="12">
        <v>16</v>
      </c>
      <c r="EV58" s="45" t="str">
        <f t="shared" ca="1" si="18"/>
        <v>A</v>
      </c>
      <c r="EW58" s="6">
        <f t="shared" ca="1" si="6"/>
        <v>65</v>
      </c>
      <c r="FR58" s="6">
        <v>1</v>
      </c>
      <c r="FS58" s="6" t="str">
        <f t="shared" si="7"/>
        <v/>
      </c>
      <c r="FT58" s="6" t="str">
        <f t="shared" si="8"/>
        <v/>
      </c>
      <c r="FU58" s="6" t="str">
        <f t="shared" ca="1" si="19"/>
        <v/>
      </c>
      <c r="FV58" s="6" t="str">
        <f t="shared" ca="1" si="9"/>
        <v/>
      </c>
      <c r="FW58" s="6" t="str">
        <f t="shared" ca="1" si="28"/>
        <v/>
      </c>
      <c r="FX58" s="6" t="str">
        <f t="shared" ca="1" si="29"/>
        <v/>
      </c>
      <c r="FY58" s="6" t="str">
        <f t="shared" ca="1" si="30"/>
        <v/>
      </c>
      <c r="FZ58" s="6" t="str">
        <f t="shared" ca="1" si="31"/>
        <v/>
      </c>
    </row>
    <row r="59" spans="1:182" ht="15.95" customHeight="1">
      <c r="A59" s="6">
        <v>632</v>
      </c>
      <c r="B59" s="6" t="s">
        <v>653</v>
      </c>
      <c r="E59" s="6" t="s">
        <v>574</v>
      </c>
      <c r="F59" s="6" t="s">
        <v>1304</v>
      </c>
      <c r="G59" s="6" t="s">
        <v>1218</v>
      </c>
      <c r="H59" s="7" t="s">
        <v>1219</v>
      </c>
      <c r="I59" s="7"/>
      <c r="J59" s="6" t="s">
        <v>1199</v>
      </c>
      <c r="K59" s="6" t="s">
        <v>1201</v>
      </c>
      <c r="N59" s="6" t="s">
        <v>1203</v>
      </c>
      <c r="O59" s="6" t="s">
        <v>1205</v>
      </c>
      <c r="R59" s="101" t="s">
        <v>1220</v>
      </c>
      <c r="Y59" s="6" t="s">
        <v>1283</v>
      </c>
      <c r="Z59" s="6">
        <v>11</v>
      </c>
      <c r="AA59" s="6">
        <v>12</v>
      </c>
      <c r="AD59" s="6" t="s">
        <v>1203</v>
      </c>
      <c r="AE59" s="6" t="s">
        <v>1205</v>
      </c>
      <c r="AG59" s="6" t="s">
        <v>1284</v>
      </c>
      <c r="AY59" s="8" t="s">
        <v>176</v>
      </c>
      <c r="AZ59" s="8" t="s">
        <v>195</v>
      </c>
      <c r="BA59" s="13" t="s">
        <v>197</v>
      </c>
      <c r="BB59" s="13" t="s">
        <v>7</v>
      </c>
      <c r="BC59" s="13">
        <v>19</v>
      </c>
      <c r="BD59" s="13">
        <v>20</v>
      </c>
      <c r="DC59" s="6" t="s">
        <v>169</v>
      </c>
      <c r="DD59" s="6" t="s">
        <v>184</v>
      </c>
      <c r="DH59" s="6" t="str">
        <f>"A"&amp;EA59</f>
        <v>A8</v>
      </c>
      <c r="DI59" s="6" t="str">
        <f>"B"&amp;EA59</f>
        <v>B8</v>
      </c>
      <c r="DK59" s="6" t="s">
        <v>173</v>
      </c>
      <c r="DL59" s="6" t="str">
        <f>IF(DZ59&lt;&gt;"","CN2","")</f>
        <v/>
      </c>
      <c r="DO59" s="9" t="s">
        <v>170</v>
      </c>
      <c r="DP59" s="6" t="s">
        <v>171</v>
      </c>
      <c r="DQ59" s="6" t="s">
        <v>645</v>
      </c>
      <c r="DR59" s="6" t="e">
        <f>#REF!&amp;RIGHT(#REF!,3)</f>
        <v>#REF!</v>
      </c>
      <c r="DS59" s="6" t="str">
        <f>IF(MID(EF59,2,1)="A","KS1","AKB331")</f>
        <v>KS1</v>
      </c>
      <c r="DT59" s="10" t="str">
        <f>DQ59&amp;"-"&amp;DX59&amp;"-"&amp;DY59&amp;"/"&amp;BA59&amp;"-"&amp;DD59&amp;"-"&amp;DK59</f>
        <v>FCS0111-6-1/1S–MC–107-F13-CN1</v>
      </c>
      <c r="DU59" s="6" t="str">
        <f>IF(DL59="","",DQ59&amp;"-"&amp;DX59&amp;"-"&amp;DY59&amp;"/"&amp;BA59&amp;"-"&amp;DD59&amp;"-"&amp;DL59)</f>
        <v/>
      </c>
      <c r="DV59" s="19">
        <v>1</v>
      </c>
      <c r="DW59" s="20" t="str">
        <f>RIGHT(DQ59,2)</f>
        <v>11</v>
      </c>
      <c r="DX59" s="20">
        <v>6</v>
      </c>
      <c r="DY59" s="21">
        <v>1</v>
      </c>
      <c r="DZ59" s="22" t="s">
        <v>204</v>
      </c>
      <c r="EA59" s="23">
        <v>8</v>
      </c>
      <c r="EB59" s="7">
        <v>24</v>
      </c>
      <c r="EE59" s="9" t="s">
        <v>654</v>
      </c>
      <c r="EF59" s="6" t="s">
        <v>172</v>
      </c>
      <c r="EG59" s="6" t="s">
        <v>672</v>
      </c>
      <c r="EH59" s="6" t="s">
        <v>310</v>
      </c>
      <c r="EI59" s="6" t="s">
        <v>396</v>
      </c>
      <c r="EJ59" s="12">
        <v>6</v>
      </c>
      <c r="EK59" s="12"/>
      <c r="EM59" s="12"/>
      <c r="EN59" s="12" t="s">
        <v>1100</v>
      </c>
      <c r="EP59" s="6" t="s">
        <v>1146</v>
      </c>
      <c r="ET59" s="6" t="str">
        <f t="shared" si="5"/>
        <v>짝수</v>
      </c>
      <c r="EU59" s="12">
        <v>16</v>
      </c>
      <c r="EV59" s="45" t="str">
        <f t="shared" ca="1" si="18"/>
        <v>B</v>
      </c>
      <c r="EW59" s="6">
        <f t="shared" ca="1" si="6"/>
        <v>66</v>
      </c>
      <c r="FO59" s="6"/>
      <c r="FP59" s="11"/>
      <c r="FR59" s="6">
        <v>1</v>
      </c>
      <c r="FS59" s="6" t="str">
        <f t="shared" si="7"/>
        <v/>
      </c>
      <c r="FT59" s="6" t="str">
        <f t="shared" si="8"/>
        <v/>
      </c>
      <c r="FU59" s="6" t="str">
        <f t="shared" ca="1" si="19"/>
        <v/>
      </c>
      <c r="FV59" s="6" t="str">
        <f t="shared" ca="1" si="9"/>
        <v/>
      </c>
      <c r="FW59" s="6" t="str">
        <f t="shared" ca="1" si="28"/>
        <v/>
      </c>
      <c r="FX59" s="6" t="str">
        <f t="shared" ca="1" si="29"/>
        <v/>
      </c>
      <c r="FY59" s="6" t="str">
        <f t="shared" ca="1" si="30"/>
        <v/>
      </c>
      <c r="FZ59" s="6" t="str">
        <f t="shared" ca="1" si="31"/>
        <v/>
      </c>
    </row>
    <row r="60" spans="1:182" ht="15.95" customHeight="1">
      <c r="A60" s="6">
        <v>75</v>
      </c>
      <c r="B60" s="6" t="s">
        <v>175</v>
      </c>
      <c r="E60" s="6" t="s">
        <v>506</v>
      </c>
      <c r="F60" s="6" t="s">
        <v>1305</v>
      </c>
      <c r="G60" s="6" t="s">
        <v>1218</v>
      </c>
      <c r="H60" s="7" t="s">
        <v>1219</v>
      </c>
      <c r="I60" s="7"/>
      <c r="J60" s="6" t="s">
        <v>1199</v>
      </c>
      <c r="K60" s="6" t="s">
        <v>1201</v>
      </c>
      <c r="N60" s="6" t="s">
        <v>1203</v>
      </c>
      <c r="O60" s="6" t="s">
        <v>1205</v>
      </c>
      <c r="R60" s="101" t="s">
        <v>1220</v>
      </c>
      <c r="Y60" s="6" t="s">
        <v>1241</v>
      </c>
      <c r="Z60" s="6">
        <v>21</v>
      </c>
      <c r="AA60" s="6">
        <v>22</v>
      </c>
      <c r="AD60" s="6" t="s">
        <v>1203</v>
      </c>
      <c r="AE60" s="6" t="s">
        <v>1205</v>
      </c>
      <c r="AG60" s="6" t="s">
        <v>1242</v>
      </c>
      <c r="AY60" s="8" t="s">
        <v>176</v>
      </c>
      <c r="AZ60" s="8" t="s">
        <v>195</v>
      </c>
      <c r="BA60" s="13" t="s">
        <v>197</v>
      </c>
      <c r="BB60" s="13" t="s">
        <v>7</v>
      </c>
      <c r="BC60" s="13">
        <v>83</v>
      </c>
      <c r="BD60" s="13">
        <v>84</v>
      </c>
      <c r="DC60" s="6" t="s">
        <v>169</v>
      </c>
      <c r="DD60" s="6" t="s">
        <v>202</v>
      </c>
      <c r="DH60" s="6" t="str">
        <f>"A"&amp;EA60</f>
        <v>A11</v>
      </c>
      <c r="DI60" s="6" t="str">
        <f>"B"&amp;EA60</f>
        <v>B11</v>
      </c>
      <c r="DK60" s="6" t="s">
        <v>173</v>
      </c>
      <c r="DL60" s="6" t="str">
        <f>IF(DZ60&lt;&gt;"","CN2","")</f>
        <v>CN2</v>
      </c>
      <c r="DO60" s="9" t="s">
        <v>170</v>
      </c>
      <c r="DP60" s="6" t="s">
        <v>171</v>
      </c>
      <c r="DQ60" s="6" t="s">
        <v>645</v>
      </c>
      <c r="DS60" s="6" t="str">
        <f>IF(MID(EF60,2,1)="A","KS1","AKB331")</f>
        <v>KS1</v>
      </c>
      <c r="DT60" s="10" t="str">
        <f>DQ60&amp;"-"&amp;DX60&amp;"-"&amp;DY60&amp;"/"&amp;BA60&amp;"-"&amp;DD60&amp;"-"&amp;DK60</f>
        <v>FCS0111-2-1/1S–MC–107-F3-CN1</v>
      </c>
      <c r="DU60" s="6" t="str">
        <f>IF(DL60="","",DQ60&amp;"-"&amp;DX60&amp;"-"&amp;DY60&amp;"/"&amp;BA60&amp;"-"&amp;DD60&amp;"-"&amp;DL60)</f>
        <v>FCS0111-2-1/1S–MC–107-F3-CN2</v>
      </c>
      <c r="DV60" s="19">
        <v>1</v>
      </c>
      <c r="DW60" s="20" t="str">
        <f>RIGHT(DQ60,2)</f>
        <v>11</v>
      </c>
      <c r="DX60" s="21">
        <v>2</v>
      </c>
      <c r="DY60" s="22">
        <v>1</v>
      </c>
      <c r="DZ60" s="23">
        <v>2</v>
      </c>
      <c r="EA60" s="23">
        <v>11</v>
      </c>
      <c r="ED60" s="9" t="str">
        <f>IF(DX60="1","AFV30D","ANB10D")</f>
        <v>ANB10D</v>
      </c>
      <c r="EF60" s="6" t="s">
        <v>172</v>
      </c>
      <c r="EH60" s="6" t="s">
        <v>234</v>
      </c>
      <c r="EI60" s="6" t="s">
        <v>199</v>
      </c>
      <c r="EJ60" s="12">
        <v>300</v>
      </c>
      <c r="EN60" s="12" t="s">
        <v>1106</v>
      </c>
      <c r="EP60" s="6" t="s">
        <v>1147</v>
      </c>
      <c r="ET60" s="6" t="str">
        <f t="shared" si="5"/>
        <v>짝수</v>
      </c>
      <c r="EU60" s="12">
        <v>16</v>
      </c>
      <c r="EV60" s="45" t="str">
        <f t="shared" ca="1" si="18"/>
        <v>C</v>
      </c>
      <c r="EW60" s="6">
        <f t="shared" ca="1" si="6"/>
        <v>67</v>
      </c>
      <c r="FR60" s="6">
        <v>1</v>
      </c>
      <c r="FS60" s="6" t="str">
        <f t="shared" si="7"/>
        <v/>
      </c>
      <c r="FT60" s="6" t="str">
        <f t="shared" si="8"/>
        <v/>
      </c>
      <c r="FU60" s="6" t="str">
        <f t="shared" ca="1" si="19"/>
        <v/>
      </c>
      <c r="FV60" s="6" t="str">
        <f t="shared" ca="1" si="9"/>
        <v/>
      </c>
      <c r="FW60" s="6" t="str">
        <f t="shared" ca="1" si="28"/>
        <v/>
      </c>
      <c r="FX60" s="6" t="str">
        <f t="shared" ca="1" si="29"/>
        <v/>
      </c>
      <c r="FY60" s="6" t="str">
        <f t="shared" ca="1" si="30"/>
        <v/>
      </c>
      <c r="FZ60" s="6" t="str">
        <f t="shared" ca="1" si="31"/>
        <v/>
      </c>
    </row>
    <row r="61" spans="1:182" ht="15.95" customHeight="1">
      <c r="A61" s="6">
        <v>81</v>
      </c>
      <c r="B61" s="6" t="s">
        <v>175</v>
      </c>
      <c r="E61" s="6" t="s">
        <v>509</v>
      </c>
      <c r="F61" s="6" t="s">
        <v>1306</v>
      </c>
      <c r="G61" s="6" t="s">
        <v>1226</v>
      </c>
      <c r="H61" s="7" t="s">
        <v>1227</v>
      </c>
      <c r="I61" s="7"/>
      <c r="J61" s="6" t="s">
        <v>1199</v>
      </c>
      <c r="K61" s="6" t="s">
        <v>1201</v>
      </c>
      <c r="N61" s="6" t="s">
        <v>1203</v>
      </c>
      <c r="O61" s="6" t="s">
        <v>1205</v>
      </c>
      <c r="R61" s="101" t="s">
        <v>1220</v>
      </c>
      <c r="Y61" s="6" t="s">
        <v>1241</v>
      </c>
      <c r="Z61" s="6">
        <v>23</v>
      </c>
      <c r="AA61" s="6">
        <v>24</v>
      </c>
      <c r="AD61" s="6" t="s">
        <v>1203</v>
      </c>
      <c r="AE61" s="6" t="s">
        <v>1205</v>
      </c>
      <c r="AG61" s="6" t="s">
        <v>1242</v>
      </c>
      <c r="AY61" s="8" t="s">
        <v>176</v>
      </c>
      <c r="AZ61" s="8" t="s">
        <v>195</v>
      </c>
      <c r="BA61" s="13" t="s">
        <v>197</v>
      </c>
      <c r="BB61" s="13" t="s">
        <v>7</v>
      </c>
      <c r="BC61" s="13">
        <v>85</v>
      </c>
      <c r="BD61" s="13">
        <v>86</v>
      </c>
      <c r="DC61" s="6" t="s">
        <v>169</v>
      </c>
      <c r="DD61" s="6" t="s">
        <v>178</v>
      </c>
      <c r="DH61" s="6" t="str">
        <f>"A"&amp;EA61</f>
        <v>A1</v>
      </c>
      <c r="DI61" s="6" t="str">
        <f>"B"&amp;EA61</f>
        <v>B1</v>
      </c>
      <c r="DK61" s="6" t="s">
        <v>173</v>
      </c>
      <c r="DL61" s="6" t="str">
        <f>IF(DZ61&lt;&gt;"","CN2","")</f>
        <v>CN2</v>
      </c>
      <c r="DO61" s="9" t="s">
        <v>170</v>
      </c>
      <c r="DP61" s="6" t="s">
        <v>171</v>
      </c>
      <c r="DQ61" s="6" t="s">
        <v>645</v>
      </c>
      <c r="DS61" s="6" t="str">
        <f>IF(MID(EF61,2,1)="A","KS1","AKB331")</f>
        <v>KS1</v>
      </c>
      <c r="DT61" s="10" t="str">
        <f>DQ61&amp;"-"&amp;DX61&amp;"-"&amp;DY61&amp;"/"&amp;BA61&amp;"-"&amp;DD61&amp;"-"&amp;DK61</f>
        <v>FCS0111-2-3/1S–MC–107-F4-CN1</v>
      </c>
      <c r="DU61" s="6" t="str">
        <f>IF(DL61="","",DQ61&amp;"-"&amp;DX61&amp;"-"&amp;DY61&amp;"/"&amp;BA61&amp;"-"&amp;DD61&amp;"-"&amp;DL61)</f>
        <v>FCS0111-2-3/1S–MC–107-F4-CN2</v>
      </c>
      <c r="DV61" s="19">
        <v>1</v>
      </c>
      <c r="DW61" s="20" t="str">
        <f>RIGHT(DQ61,2)</f>
        <v>11</v>
      </c>
      <c r="DX61" s="21">
        <v>2</v>
      </c>
      <c r="DY61" s="22">
        <v>3</v>
      </c>
      <c r="DZ61" s="23">
        <v>4</v>
      </c>
      <c r="EA61" s="23">
        <v>1</v>
      </c>
      <c r="ED61" s="9" t="str">
        <f>IF(DX61="1","AFV30D","ANB10D")</f>
        <v>ANB10D</v>
      </c>
      <c r="EF61" s="6" t="s">
        <v>174</v>
      </c>
      <c r="EH61" s="6" t="s">
        <v>234</v>
      </c>
      <c r="EI61" s="6" t="s">
        <v>399</v>
      </c>
      <c r="EJ61" s="12">
        <v>300</v>
      </c>
      <c r="EN61" s="12" t="s">
        <v>1106</v>
      </c>
      <c r="ET61" s="6" t="str">
        <f t="shared" si="5"/>
        <v>짝수</v>
      </c>
      <c r="EU61" s="12">
        <v>16</v>
      </c>
      <c r="EV61" s="45" t="str">
        <f t="shared" ca="1" si="18"/>
        <v>D</v>
      </c>
      <c r="EW61" s="6">
        <f t="shared" ca="1" si="6"/>
        <v>68</v>
      </c>
      <c r="FR61" s="6">
        <v>1</v>
      </c>
      <c r="FS61" s="6" t="str">
        <f t="shared" si="7"/>
        <v/>
      </c>
      <c r="FT61" s="6" t="str">
        <f t="shared" si="8"/>
        <v/>
      </c>
      <c r="FU61" s="6" t="str">
        <f t="shared" ca="1" si="19"/>
        <v/>
      </c>
      <c r="FV61" s="6" t="str">
        <f t="shared" ca="1" si="9"/>
        <v/>
      </c>
      <c r="FW61" s="6" t="str">
        <f t="shared" ca="1" si="28"/>
        <v/>
      </c>
      <c r="FX61" s="6" t="str">
        <f t="shared" ca="1" si="29"/>
        <v/>
      </c>
      <c r="FY61" s="6" t="str">
        <f t="shared" ca="1" si="30"/>
        <v/>
      </c>
      <c r="FZ61" s="6" t="str">
        <f t="shared" ca="1" si="31"/>
        <v/>
      </c>
    </row>
    <row r="62" spans="1:182" ht="15.95" customHeight="1">
      <c r="A62" s="6">
        <v>77</v>
      </c>
      <c r="B62" s="6" t="s">
        <v>175</v>
      </c>
      <c r="E62" s="6" t="s">
        <v>508</v>
      </c>
      <c r="F62" s="6" t="s">
        <v>1307</v>
      </c>
      <c r="G62" s="6" t="s">
        <v>1218</v>
      </c>
      <c r="H62" s="7" t="s">
        <v>1219</v>
      </c>
      <c r="I62" s="7"/>
      <c r="J62" s="6" t="s">
        <v>1199</v>
      </c>
      <c r="K62" s="6" t="s">
        <v>1201</v>
      </c>
      <c r="N62" s="6" t="s">
        <v>1203</v>
      </c>
      <c r="O62" s="6" t="s">
        <v>1205</v>
      </c>
      <c r="R62" s="101" t="s">
        <v>1220</v>
      </c>
      <c r="Y62" s="6" t="s">
        <v>1241</v>
      </c>
      <c r="Z62" s="6">
        <v>35</v>
      </c>
      <c r="AA62" s="6">
        <v>36</v>
      </c>
      <c r="AD62" s="6" t="s">
        <v>1203</v>
      </c>
      <c r="AE62" s="6" t="s">
        <v>1205</v>
      </c>
      <c r="AG62" s="6" t="s">
        <v>1297</v>
      </c>
      <c r="AY62" s="8" t="s">
        <v>176</v>
      </c>
      <c r="AZ62" s="8" t="s">
        <v>195</v>
      </c>
      <c r="BA62" s="13" t="s">
        <v>197</v>
      </c>
      <c r="BB62" s="13" t="s">
        <v>7</v>
      </c>
      <c r="BC62" s="13">
        <v>91</v>
      </c>
      <c r="BD62" s="13">
        <v>92</v>
      </c>
      <c r="DC62" s="6" t="s">
        <v>169</v>
      </c>
      <c r="DD62" s="6" t="s">
        <v>202</v>
      </c>
      <c r="DH62" s="6" t="str">
        <f t="shared" si="32"/>
        <v>A13</v>
      </c>
      <c r="DI62" s="6" t="str">
        <f t="shared" si="33"/>
        <v>B13</v>
      </c>
      <c r="DK62" s="6" t="s">
        <v>173</v>
      </c>
      <c r="DL62" s="6" t="str">
        <f t="shared" si="34"/>
        <v>CN2</v>
      </c>
      <c r="DO62" s="9" t="s">
        <v>170</v>
      </c>
      <c r="DP62" s="6" t="s">
        <v>171</v>
      </c>
      <c r="DQ62" s="6" t="s">
        <v>645</v>
      </c>
      <c r="DS62" s="6" t="str">
        <f t="shared" si="35"/>
        <v>KS1</v>
      </c>
      <c r="DT62" s="10" t="str">
        <f t="shared" si="36"/>
        <v>FCS0111-2-1/1S–MC–107-F3-CN1</v>
      </c>
      <c r="DU62" s="6" t="str">
        <f t="shared" si="37"/>
        <v>FCS0111-2-1/1S–MC–107-F3-CN2</v>
      </c>
      <c r="DV62" s="19">
        <v>1</v>
      </c>
      <c r="DW62" s="20" t="str">
        <f t="shared" si="38"/>
        <v>11</v>
      </c>
      <c r="DX62" s="21">
        <v>2</v>
      </c>
      <c r="DY62" s="22">
        <v>1</v>
      </c>
      <c r="DZ62" s="23">
        <v>2</v>
      </c>
      <c r="EA62" s="23">
        <v>13</v>
      </c>
      <c r="ED62" s="9" t="str">
        <f t="shared" si="39"/>
        <v>ANB10D</v>
      </c>
      <c r="EF62" s="6" t="s">
        <v>172</v>
      </c>
      <c r="EH62" s="6" t="s">
        <v>236</v>
      </c>
      <c r="EI62" s="6" t="s">
        <v>398</v>
      </c>
      <c r="EJ62" s="12">
        <v>6</v>
      </c>
      <c r="EK62" s="12"/>
      <c r="EM62" s="12"/>
      <c r="EN62" s="12" t="s">
        <v>1100</v>
      </c>
      <c r="EO62" s="6" t="s">
        <v>1099</v>
      </c>
      <c r="EP62" s="6" t="s">
        <v>1145</v>
      </c>
      <c r="ER62" s="6" t="s">
        <v>1115</v>
      </c>
      <c r="ET62" s="6" t="str">
        <f t="shared" si="5"/>
        <v>홀수</v>
      </c>
      <c r="EU62" s="12">
        <v>17</v>
      </c>
      <c r="EV62" s="45" t="str">
        <f t="shared" ca="1" si="18"/>
        <v>A</v>
      </c>
      <c r="EW62" s="6">
        <f t="shared" ca="1" si="6"/>
        <v>65</v>
      </c>
      <c r="FR62" s="6">
        <v>1</v>
      </c>
      <c r="FS62" s="6" t="str">
        <f t="shared" si="7"/>
        <v/>
      </c>
      <c r="FT62" s="6" t="str">
        <f t="shared" si="8"/>
        <v/>
      </c>
      <c r="FU62" s="6" t="str">
        <f t="shared" ca="1" si="19"/>
        <v/>
      </c>
      <c r="FV62" s="6" t="str">
        <f t="shared" ca="1" si="9"/>
        <v/>
      </c>
      <c r="FW62" s="6" t="str">
        <f t="shared" ca="1" si="28"/>
        <v/>
      </c>
      <c r="FX62" s="6" t="str">
        <f t="shared" ca="1" si="29"/>
        <v/>
      </c>
      <c r="FY62" s="6" t="str">
        <f t="shared" ca="1" si="30"/>
        <v/>
      </c>
      <c r="FZ62" s="6" t="str">
        <f t="shared" ca="1" si="31"/>
        <v/>
      </c>
    </row>
    <row r="63" spans="1:182" ht="15.95" customHeight="1">
      <c r="A63" s="6">
        <v>641</v>
      </c>
      <c r="B63" s="6" t="s">
        <v>653</v>
      </c>
      <c r="E63" s="6" t="s">
        <v>580</v>
      </c>
      <c r="F63" s="6" t="s">
        <v>1308</v>
      </c>
      <c r="G63" s="6" t="s">
        <v>1218</v>
      </c>
      <c r="H63" s="7" t="s">
        <v>1219</v>
      </c>
      <c r="I63" s="7"/>
      <c r="J63" s="6" t="s">
        <v>1199</v>
      </c>
      <c r="K63" s="6" t="s">
        <v>1201</v>
      </c>
      <c r="N63" s="6" t="s">
        <v>1203</v>
      </c>
      <c r="O63" s="6" t="s">
        <v>1205</v>
      </c>
      <c r="R63" s="101" t="s">
        <v>1220</v>
      </c>
      <c r="Y63" s="6" t="s">
        <v>1241</v>
      </c>
      <c r="Z63" s="6">
        <v>37</v>
      </c>
      <c r="AA63" s="6">
        <v>38</v>
      </c>
      <c r="AD63" s="6" t="s">
        <v>1203</v>
      </c>
      <c r="AE63" s="6" t="s">
        <v>1205</v>
      </c>
      <c r="AG63" s="6" t="s">
        <v>1297</v>
      </c>
      <c r="AY63" s="8" t="s">
        <v>176</v>
      </c>
      <c r="AZ63" s="8" t="s">
        <v>195</v>
      </c>
      <c r="BA63" s="13" t="s">
        <v>197</v>
      </c>
      <c r="BB63" s="13" t="s">
        <v>7</v>
      </c>
      <c r="BC63" s="13">
        <v>93</v>
      </c>
      <c r="BD63" s="13">
        <v>94</v>
      </c>
      <c r="DC63" s="6" t="s">
        <v>169</v>
      </c>
      <c r="DD63" s="6" t="s">
        <v>185</v>
      </c>
      <c r="DH63" s="6" t="str">
        <f>"A"&amp;EA63</f>
        <v>A1</v>
      </c>
      <c r="DI63" s="6" t="str">
        <f>"B"&amp;EA63</f>
        <v>B1</v>
      </c>
      <c r="DK63" s="6" t="s">
        <v>173</v>
      </c>
      <c r="DL63" s="6" t="str">
        <f>IF(DZ63&lt;&gt;"","CN2","")</f>
        <v/>
      </c>
      <c r="DO63" s="9" t="s">
        <v>170</v>
      </c>
      <c r="DP63" s="6" t="s">
        <v>171</v>
      </c>
      <c r="DQ63" s="6" t="s">
        <v>645</v>
      </c>
      <c r="DR63" s="6" t="e">
        <f>#REF!&amp;RIGHT(#REF!,3)</f>
        <v>#REF!</v>
      </c>
      <c r="DS63" s="6" t="str">
        <f>IF(MID(EF63,2,1)="A","KS1","AKB331")</f>
        <v>KS1</v>
      </c>
      <c r="DT63" s="10" t="str">
        <f>DQ63&amp;"-"&amp;DX63&amp;"-"&amp;DY63&amp;"/"&amp;BA63&amp;"-"&amp;DD63&amp;"-"&amp;DK63</f>
        <v>FCS0111-6-2/1S–MC–107-F14-CN1</v>
      </c>
      <c r="DU63" s="6" t="str">
        <f>IF(DL63="","",DQ63&amp;"-"&amp;DX63&amp;"-"&amp;DY63&amp;"/"&amp;BA63&amp;"-"&amp;DD63&amp;"-"&amp;DL63)</f>
        <v/>
      </c>
      <c r="DV63" s="19">
        <v>1</v>
      </c>
      <c r="DW63" s="20" t="str">
        <f>RIGHT(DQ63,2)</f>
        <v>11</v>
      </c>
      <c r="DX63" s="20">
        <v>6</v>
      </c>
      <c r="DY63" s="21">
        <v>2</v>
      </c>
      <c r="DZ63" s="22" t="s">
        <v>204</v>
      </c>
      <c r="EA63" s="23">
        <v>1</v>
      </c>
      <c r="EB63" s="7">
        <v>1</v>
      </c>
      <c r="EE63" s="9" t="s">
        <v>654</v>
      </c>
      <c r="EF63" s="6" t="s">
        <v>172</v>
      </c>
      <c r="EG63" s="6" t="s">
        <v>647</v>
      </c>
      <c r="EH63" s="6" t="s">
        <v>316</v>
      </c>
      <c r="EI63" s="6" t="s">
        <v>398</v>
      </c>
      <c r="EJ63" s="12">
        <v>6</v>
      </c>
      <c r="EK63" s="12"/>
      <c r="EM63" s="12"/>
      <c r="EN63" s="12" t="s">
        <v>1100</v>
      </c>
      <c r="EP63" s="6" t="s">
        <v>1146</v>
      </c>
      <c r="ET63" s="6" t="str">
        <f t="shared" si="5"/>
        <v>홀수</v>
      </c>
      <c r="EU63" s="12">
        <v>17</v>
      </c>
      <c r="EV63" s="45" t="str">
        <f t="shared" ca="1" si="18"/>
        <v>B</v>
      </c>
      <c r="EW63" s="6">
        <f t="shared" ca="1" si="6"/>
        <v>66</v>
      </c>
      <c r="FO63" s="6"/>
      <c r="FP63" s="11"/>
      <c r="FR63" s="6">
        <v>1</v>
      </c>
      <c r="FS63" s="6" t="str">
        <f t="shared" si="7"/>
        <v/>
      </c>
      <c r="FT63" s="6" t="str">
        <f t="shared" si="8"/>
        <v/>
      </c>
      <c r="FU63" s="6" t="str">
        <f t="shared" ca="1" si="19"/>
        <v/>
      </c>
      <c r="FV63" s="6" t="str">
        <f t="shared" ca="1" si="9"/>
        <v/>
      </c>
      <c r="FW63" s="6" t="str">
        <f t="shared" ca="1" si="28"/>
        <v/>
      </c>
      <c r="FX63" s="6" t="str">
        <f t="shared" ca="1" si="29"/>
        <v/>
      </c>
      <c r="FY63" s="6" t="str">
        <f t="shared" ca="1" si="30"/>
        <v/>
      </c>
      <c r="FZ63" s="6" t="str">
        <f t="shared" ca="1" si="31"/>
        <v/>
      </c>
    </row>
    <row r="64" spans="1:182" ht="15.95" customHeight="1">
      <c r="A64" s="6">
        <v>82</v>
      </c>
      <c r="B64" s="6" t="s">
        <v>175</v>
      </c>
      <c r="E64" s="6" t="s">
        <v>510</v>
      </c>
      <c r="F64" s="6" t="s">
        <v>1309</v>
      </c>
      <c r="G64" s="6" t="s">
        <v>1226</v>
      </c>
      <c r="H64" s="7" t="s">
        <v>1227</v>
      </c>
      <c r="I64" s="7"/>
      <c r="J64" s="6" t="s">
        <v>1199</v>
      </c>
      <c r="K64" s="6" t="s">
        <v>1201</v>
      </c>
      <c r="N64" s="6" t="s">
        <v>1203</v>
      </c>
      <c r="O64" s="6" t="s">
        <v>1205</v>
      </c>
      <c r="R64" s="101" t="s">
        <v>1220</v>
      </c>
      <c r="Y64" s="6" t="s">
        <v>1310</v>
      </c>
      <c r="Z64" s="6">
        <v>41</v>
      </c>
      <c r="AA64" s="6">
        <v>42</v>
      </c>
      <c r="AD64" s="6" t="s">
        <v>1203</v>
      </c>
      <c r="AE64" s="6" t="s">
        <v>1205</v>
      </c>
      <c r="AG64" s="6" t="s">
        <v>1297</v>
      </c>
      <c r="AY64" s="8" t="s">
        <v>176</v>
      </c>
      <c r="AZ64" s="8" t="s">
        <v>195</v>
      </c>
      <c r="BA64" s="13" t="s">
        <v>197</v>
      </c>
      <c r="BB64" s="13" t="s">
        <v>7</v>
      </c>
      <c r="BC64" s="13">
        <v>97</v>
      </c>
      <c r="BD64" s="13">
        <v>98</v>
      </c>
      <c r="DC64" s="6" t="s">
        <v>169</v>
      </c>
      <c r="DD64" s="6" t="s">
        <v>178</v>
      </c>
      <c r="DH64" s="6" t="str">
        <f t="shared" si="32"/>
        <v>A2</v>
      </c>
      <c r="DI64" s="6" t="str">
        <f t="shared" si="33"/>
        <v>B2</v>
      </c>
      <c r="DK64" s="6" t="s">
        <v>173</v>
      </c>
      <c r="DL64" s="6" t="str">
        <f t="shared" si="34"/>
        <v>CN2</v>
      </c>
      <c r="DO64" s="9" t="s">
        <v>170</v>
      </c>
      <c r="DP64" s="6" t="s">
        <v>171</v>
      </c>
      <c r="DQ64" s="6" t="s">
        <v>645</v>
      </c>
      <c r="DS64" s="6" t="str">
        <f t="shared" si="35"/>
        <v>KS1</v>
      </c>
      <c r="DT64" s="10" t="str">
        <f t="shared" si="36"/>
        <v>FCS0111-2-3/1S–MC–107-F4-CN1</v>
      </c>
      <c r="DU64" s="6" t="str">
        <f t="shared" si="37"/>
        <v>FCS0111-2-3/1S–MC–107-F4-CN2</v>
      </c>
      <c r="DV64" s="19">
        <v>1</v>
      </c>
      <c r="DW64" s="20" t="str">
        <f t="shared" si="38"/>
        <v>11</v>
      </c>
      <c r="DX64" s="21">
        <v>2</v>
      </c>
      <c r="DY64" s="22">
        <v>3</v>
      </c>
      <c r="DZ64" s="23">
        <v>4</v>
      </c>
      <c r="EA64" s="23">
        <v>2</v>
      </c>
      <c r="ED64" s="9" t="str">
        <f t="shared" si="39"/>
        <v>ANB10D</v>
      </c>
      <c r="EF64" s="6" t="s">
        <v>174</v>
      </c>
      <c r="EH64" s="6" t="s">
        <v>237</v>
      </c>
      <c r="EI64" s="6" t="s">
        <v>400</v>
      </c>
      <c r="EJ64" s="12">
        <v>1</v>
      </c>
      <c r="EN64" s="12" t="s">
        <v>1102</v>
      </c>
      <c r="EP64" s="6" t="s">
        <v>1149</v>
      </c>
      <c r="ET64" s="6" t="str">
        <f t="shared" si="5"/>
        <v>짝수</v>
      </c>
      <c r="EU64" s="12">
        <v>18</v>
      </c>
      <c r="EV64" s="45" t="str">
        <f t="shared" ca="1" si="18"/>
        <v>A</v>
      </c>
      <c r="EW64" s="6">
        <f t="shared" ca="1" si="6"/>
        <v>65</v>
      </c>
      <c r="FR64" s="6">
        <v>1</v>
      </c>
      <c r="FS64" s="6" t="str">
        <f t="shared" si="7"/>
        <v/>
      </c>
      <c r="FT64" s="6" t="str">
        <f t="shared" si="8"/>
        <v/>
      </c>
      <c r="FU64" s="6" t="str">
        <f t="shared" ca="1" si="19"/>
        <v/>
      </c>
      <c r="FV64" s="6" t="str">
        <f t="shared" ca="1" si="9"/>
        <v/>
      </c>
      <c r="FW64" s="6" t="str">
        <f t="shared" ca="1" si="28"/>
        <v/>
      </c>
      <c r="FX64" s="6" t="str">
        <f t="shared" ca="1" si="29"/>
        <v/>
      </c>
      <c r="FY64" s="6" t="str">
        <f t="shared" ca="1" si="30"/>
        <v/>
      </c>
      <c r="FZ64" s="6" t="str">
        <f t="shared" ca="1" si="31"/>
        <v/>
      </c>
    </row>
    <row r="65" spans="1:182" ht="15.95" customHeight="1">
      <c r="A65" s="6">
        <v>161</v>
      </c>
      <c r="B65" s="6" t="s">
        <v>175</v>
      </c>
      <c r="E65" s="6" t="s">
        <v>517</v>
      </c>
      <c r="F65" s="6" t="s">
        <v>1311</v>
      </c>
      <c r="G65" s="6" t="s">
        <v>1218</v>
      </c>
      <c r="H65" s="7" t="s">
        <v>1219</v>
      </c>
      <c r="I65" s="7"/>
      <c r="J65" s="6" t="s">
        <v>1199</v>
      </c>
      <c r="K65" s="6" t="s">
        <v>1201</v>
      </c>
      <c r="N65" s="6" t="s">
        <v>1203</v>
      </c>
      <c r="O65" s="6" t="s">
        <v>1205</v>
      </c>
      <c r="R65" s="101" t="s">
        <v>1220</v>
      </c>
      <c r="Y65" s="6" t="s">
        <v>1241</v>
      </c>
      <c r="Z65" s="6">
        <v>39</v>
      </c>
      <c r="AA65" s="6">
        <v>40</v>
      </c>
      <c r="AD65" s="6" t="s">
        <v>1203</v>
      </c>
      <c r="AE65" s="6" t="s">
        <v>1205</v>
      </c>
      <c r="AG65" s="6" t="s">
        <v>1297</v>
      </c>
      <c r="AY65" s="8" t="s">
        <v>176</v>
      </c>
      <c r="AZ65" s="8" t="s">
        <v>195</v>
      </c>
      <c r="BA65" s="13" t="s">
        <v>197</v>
      </c>
      <c r="BB65" s="13" t="s">
        <v>7</v>
      </c>
      <c r="BC65" s="13">
        <v>95</v>
      </c>
      <c r="BD65" s="13">
        <v>96</v>
      </c>
      <c r="DC65" s="6" t="s">
        <v>169</v>
      </c>
      <c r="DD65" s="6" t="s">
        <v>179</v>
      </c>
      <c r="DH65" s="6" t="str">
        <f>"A"&amp;EA65</f>
        <v>A1</v>
      </c>
      <c r="DI65" s="6" t="str">
        <f>"B"&amp;EA65</f>
        <v>B1</v>
      </c>
      <c r="DK65" s="6" t="s">
        <v>173</v>
      </c>
      <c r="DL65" s="6" t="str">
        <f>IF(DZ65&lt;&gt;"","CN2","")</f>
        <v>CN2</v>
      </c>
      <c r="DO65" s="9" t="s">
        <v>170</v>
      </c>
      <c r="DP65" s="6" t="s">
        <v>171</v>
      </c>
      <c r="DQ65" s="6" t="s">
        <v>645</v>
      </c>
      <c r="DS65" s="6" t="str">
        <f>IF(MID(EF65,2,1)="A","KS1","AKB331")</f>
        <v>KS1</v>
      </c>
      <c r="DT65" s="10" t="str">
        <f>DQ65&amp;"-"&amp;DX65&amp;"-"&amp;DY65&amp;"/"&amp;BA65&amp;"-"&amp;DD65&amp;"-"&amp;DK65</f>
        <v>FCS0111-3-1/1S–MC–107-F5-CN1</v>
      </c>
      <c r="DU65" s="6" t="str">
        <f>IF(DL65="","",DQ65&amp;"-"&amp;DX65&amp;"-"&amp;DY65&amp;"/"&amp;BA65&amp;"-"&amp;DD65&amp;"-"&amp;DL65)</f>
        <v>FCS0111-3-1/1S–MC–107-F5-CN2</v>
      </c>
      <c r="DV65" s="19">
        <v>1</v>
      </c>
      <c r="DW65" s="20" t="str">
        <f>RIGHT(DQ65,2)</f>
        <v>11</v>
      </c>
      <c r="DX65" s="21">
        <v>3</v>
      </c>
      <c r="DY65" s="22">
        <v>1</v>
      </c>
      <c r="DZ65" s="23">
        <v>2</v>
      </c>
      <c r="EA65" s="23">
        <v>1</v>
      </c>
      <c r="ED65" s="9" t="str">
        <f>IF(DX65="1","AFV30D","ANB10D")</f>
        <v>ANB10D</v>
      </c>
      <c r="EF65" s="6" t="s">
        <v>172</v>
      </c>
      <c r="EH65" s="6" t="s">
        <v>244</v>
      </c>
      <c r="EI65" s="6" t="s">
        <v>407</v>
      </c>
      <c r="EJ65" s="12">
        <v>1</v>
      </c>
      <c r="EN65" s="12" t="s">
        <v>1100</v>
      </c>
      <c r="EP65" s="6" t="s">
        <v>1150</v>
      </c>
      <c r="ET65" s="6" t="str">
        <f t="shared" si="5"/>
        <v>짝수</v>
      </c>
      <c r="EU65" s="12">
        <v>18</v>
      </c>
      <c r="EV65" s="45" t="str">
        <f t="shared" ca="1" si="18"/>
        <v>B</v>
      </c>
      <c r="EW65" s="6">
        <f t="shared" ca="1" si="6"/>
        <v>66</v>
      </c>
      <c r="FR65" s="6">
        <v>1</v>
      </c>
      <c r="FS65" s="6" t="str">
        <f t="shared" si="7"/>
        <v/>
      </c>
      <c r="FT65" s="6" t="str">
        <f t="shared" si="8"/>
        <v/>
      </c>
      <c r="FU65" s="6" t="str">
        <f t="shared" ca="1" si="19"/>
        <v/>
      </c>
      <c r="FV65" s="6" t="str">
        <f t="shared" ca="1" si="9"/>
        <v/>
      </c>
      <c r="FW65" s="6" t="str">
        <f t="shared" ca="1" si="28"/>
        <v/>
      </c>
      <c r="FX65" s="6" t="str">
        <f t="shared" ca="1" si="29"/>
        <v/>
      </c>
      <c r="FY65" s="6" t="str">
        <f t="shared" ca="1" si="30"/>
        <v/>
      </c>
      <c r="FZ65" s="6" t="str">
        <f t="shared" ca="1" si="31"/>
        <v/>
      </c>
    </row>
    <row r="66" spans="1:182" ht="15.95" customHeight="1">
      <c r="A66" s="6">
        <v>83</v>
      </c>
      <c r="B66" s="6" t="s">
        <v>175</v>
      </c>
      <c r="E66" s="6" t="s">
        <v>511</v>
      </c>
      <c r="F66" s="6" t="s">
        <v>1312</v>
      </c>
      <c r="G66" s="6" t="s">
        <v>1226</v>
      </c>
      <c r="H66" s="7" t="s">
        <v>1227</v>
      </c>
      <c r="I66" s="7"/>
      <c r="J66" s="6" t="s">
        <v>1199</v>
      </c>
      <c r="K66" s="6" t="s">
        <v>1201</v>
      </c>
      <c r="N66" s="6" t="s">
        <v>1203</v>
      </c>
      <c r="O66" s="6" t="s">
        <v>1205</v>
      </c>
      <c r="R66" s="101" t="s">
        <v>1220</v>
      </c>
      <c r="Y66" s="6" t="s">
        <v>1310</v>
      </c>
      <c r="Z66" s="6">
        <v>43</v>
      </c>
      <c r="AA66" s="6">
        <v>44</v>
      </c>
      <c r="AD66" s="6" t="s">
        <v>1203</v>
      </c>
      <c r="AE66" s="6" t="s">
        <v>1205</v>
      </c>
      <c r="AG66" s="6" t="s">
        <v>1297</v>
      </c>
      <c r="AY66" s="8" t="s">
        <v>176</v>
      </c>
      <c r="AZ66" s="8" t="s">
        <v>195</v>
      </c>
      <c r="BA66" s="13" t="s">
        <v>197</v>
      </c>
      <c r="BB66" s="13" t="s">
        <v>7</v>
      </c>
      <c r="BC66" s="13">
        <v>99</v>
      </c>
      <c r="BD66" s="13">
        <v>100</v>
      </c>
      <c r="DC66" s="6" t="s">
        <v>169</v>
      </c>
      <c r="DD66" s="6" t="s">
        <v>178</v>
      </c>
      <c r="DH66" s="6" t="str">
        <f t="shared" si="32"/>
        <v>A3</v>
      </c>
      <c r="DI66" s="6" t="str">
        <f t="shared" si="33"/>
        <v>B3</v>
      </c>
      <c r="DK66" s="6" t="s">
        <v>173</v>
      </c>
      <c r="DL66" s="6" t="str">
        <f t="shared" si="34"/>
        <v>CN2</v>
      </c>
      <c r="DO66" s="9" t="s">
        <v>170</v>
      </c>
      <c r="DP66" s="6" t="s">
        <v>171</v>
      </c>
      <c r="DQ66" s="6" t="s">
        <v>645</v>
      </c>
      <c r="DS66" s="6" t="str">
        <f t="shared" si="35"/>
        <v>KS1</v>
      </c>
      <c r="DT66" s="10" t="str">
        <f t="shared" si="36"/>
        <v>FCS0111-2-3/1S–MC–107-F4-CN1</v>
      </c>
      <c r="DU66" s="6" t="str">
        <f t="shared" si="37"/>
        <v>FCS0111-2-3/1S–MC–107-F4-CN2</v>
      </c>
      <c r="DV66" s="19">
        <v>1</v>
      </c>
      <c r="DW66" s="20" t="str">
        <f t="shared" si="38"/>
        <v>11</v>
      </c>
      <c r="DX66" s="21">
        <v>2</v>
      </c>
      <c r="DY66" s="22">
        <v>3</v>
      </c>
      <c r="DZ66" s="23">
        <v>4</v>
      </c>
      <c r="EA66" s="23">
        <v>3</v>
      </c>
      <c r="ED66" s="9" t="str">
        <f t="shared" si="39"/>
        <v>ANB10D</v>
      </c>
      <c r="EF66" s="6" t="s">
        <v>174</v>
      </c>
      <c r="EH66" s="6" t="s">
        <v>238</v>
      </c>
      <c r="EI66" s="6" t="s">
        <v>401</v>
      </c>
      <c r="EJ66" s="12">
        <v>1</v>
      </c>
      <c r="EN66" s="12" t="s">
        <v>1102</v>
      </c>
      <c r="EP66" s="6" t="s">
        <v>1151</v>
      </c>
      <c r="ET66" s="6" t="str">
        <f t="shared" ref="ET66:ET129" si="40">IF(MOD(EU66,2) = 0, "짝수", "홀수")</f>
        <v>짝수</v>
      </c>
      <c r="EU66" s="12">
        <v>18</v>
      </c>
      <c r="EV66" s="45" t="str">
        <f t="shared" ca="1" si="18"/>
        <v>C</v>
      </c>
      <c r="EW66" s="6">
        <f t="shared" ref="EW66:EW129" ca="1" si="41">IF(EV66="A",65,IF(EV66="B",66,IF(EV66="C",67,68)))</f>
        <v>67</v>
      </c>
      <c r="FR66" s="6">
        <v>1</v>
      </c>
      <c r="FS66" s="6" t="str">
        <f t="shared" si="7"/>
        <v/>
      </c>
      <c r="FT66" s="6" t="str">
        <f t="shared" si="8"/>
        <v/>
      </c>
      <c r="FU66" s="6" t="str">
        <f t="shared" ca="1" si="19"/>
        <v/>
      </c>
      <c r="FV66" s="6" t="str">
        <f t="shared" ca="1" si="9"/>
        <v/>
      </c>
      <c r="FW66" s="6" t="str">
        <f t="shared" ca="1" si="28"/>
        <v/>
      </c>
      <c r="FX66" s="6" t="str">
        <f t="shared" ca="1" si="29"/>
        <v/>
      </c>
      <c r="FY66" s="6" t="str">
        <f t="shared" ca="1" si="30"/>
        <v/>
      </c>
      <c r="FZ66" s="6" t="str">
        <f t="shared" ca="1" si="31"/>
        <v/>
      </c>
    </row>
    <row r="67" spans="1:182" ht="15.95" customHeight="1">
      <c r="A67" s="6">
        <v>84</v>
      </c>
      <c r="B67" s="6" t="s">
        <v>175</v>
      </c>
      <c r="E67" s="6" t="s">
        <v>512</v>
      </c>
      <c r="F67" s="6" t="s">
        <v>1313</v>
      </c>
      <c r="G67" s="6" t="s">
        <v>1226</v>
      </c>
      <c r="H67" s="7" t="s">
        <v>1227</v>
      </c>
      <c r="I67" s="7"/>
      <c r="J67" s="6" t="s">
        <v>1199</v>
      </c>
      <c r="K67" s="6" t="s">
        <v>1201</v>
      </c>
      <c r="N67" s="6" t="s">
        <v>1203</v>
      </c>
      <c r="O67" s="6" t="s">
        <v>1205</v>
      </c>
      <c r="R67" s="101" t="s">
        <v>1220</v>
      </c>
      <c r="Y67" s="6" t="s">
        <v>1249</v>
      </c>
      <c r="Z67" s="6">
        <v>23</v>
      </c>
      <c r="AA67" s="6">
        <v>24</v>
      </c>
      <c r="AD67" s="6" t="s">
        <v>1203</v>
      </c>
      <c r="AE67" s="6" t="s">
        <v>1205</v>
      </c>
      <c r="AG67" s="6" t="s">
        <v>1250</v>
      </c>
      <c r="AY67" s="8" t="s">
        <v>176</v>
      </c>
      <c r="AZ67" s="8" t="s">
        <v>195</v>
      </c>
      <c r="BA67" s="13" t="s">
        <v>197</v>
      </c>
      <c r="BB67" s="13" t="s">
        <v>8</v>
      </c>
      <c r="BC67" s="13">
        <v>49</v>
      </c>
      <c r="BD67" s="13">
        <v>50</v>
      </c>
      <c r="DC67" s="6" t="s">
        <v>169</v>
      </c>
      <c r="DD67" s="6" t="s">
        <v>178</v>
      </c>
      <c r="DH67" s="6" t="str">
        <f t="shared" si="32"/>
        <v>A4</v>
      </c>
      <c r="DI67" s="6" t="str">
        <f t="shared" si="33"/>
        <v>B4</v>
      </c>
      <c r="DK67" s="6" t="s">
        <v>173</v>
      </c>
      <c r="DL67" s="6" t="str">
        <f t="shared" si="34"/>
        <v>CN2</v>
      </c>
      <c r="DO67" s="9" t="s">
        <v>170</v>
      </c>
      <c r="DP67" s="6" t="s">
        <v>171</v>
      </c>
      <c r="DQ67" s="6" t="s">
        <v>645</v>
      </c>
      <c r="DS67" s="6" t="str">
        <f t="shared" si="35"/>
        <v>KS1</v>
      </c>
      <c r="DT67" s="10" t="str">
        <f t="shared" si="36"/>
        <v>FCS0111-2-3/1S–MC–107-F4-CN1</v>
      </c>
      <c r="DU67" s="6" t="str">
        <f t="shared" si="37"/>
        <v>FCS0111-2-3/1S–MC–107-F4-CN2</v>
      </c>
      <c r="DV67" s="19">
        <v>1</v>
      </c>
      <c r="DW67" s="20" t="str">
        <f t="shared" si="38"/>
        <v>11</v>
      </c>
      <c r="DX67" s="21">
        <v>2</v>
      </c>
      <c r="DY67" s="22">
        <v>3</v>
      </c>
      <c r="DZ67" s="23">
        <v>4</v>
      </c>
      <c r="EA67" s="23">
        <v>4</v>
      </c>
      <c r="ED67" s="9" t="str">
        <f t="shared" si="39"/>
        <v>ANB10D</v>
      </c>
      <c r="EF67" s="6" t="s">
        <v>174</v>
      </c>
      <c r="EH67" s="6" t="s">
        <v>239</v>
      </c>
      <c r="EI67" s="6" t="s">
        <v>402</v>
      </c>
      <c r="EJ67" s="12">
        <v>1</v>
      </c>
      <c r="EN67" s="12" t="s">
        <v>1102</v>
      </c>
      <c r="EP67" s="6" t="s">
        <v>1149</v>
      </c>
      <c r="ET67" s="6" t="str">
        <f t="shared" si="40"/>
        <v>홀수</v>
      </c>
      <c r="EU67" s="12">
        <v>19</v>
      </c>
      <c r="EV67" s="45" t="str">
        <f t="shared" ca="1" si="18"/>
        <v>A</v>
      </c>
      <c r="EW67" s="6">
        <f t="shared" ca="1" si="41"/>
        <v>65</v>
      </c>
      <c r="FR67" s="6">
        <v>1</v>
      </c>
      <c r="FS67" s="6" t="str">
        <f t="shared" ref="FS67:FS130" si="42">IF(OR(DC67="A1BA4D",DC67="A1BD5D"),"",1)</f>
        <v/>
      </c>
      <c r="FT67" s="6" t="str">
        <f t="shared" ref="FT67:FT130" si="43">IF(OR(DC67="A1BA4D",DC67="ARM55D"),"",1)</f>
        <v/>
      </c>
      <c r="FU67" s="6" t="str">
        <f t="shared" ca="1" si="19"/>
        <v/>
      </c>
      <c r="FV67" s="6" t="str">
        <f t="shared" ref="FV67:FV130" ca="1" si="44">IF(AND(FS67="",OFFSET(FS67,0,1)="",DC67="A1BA4D"),"",IF(DC67="A1BD5D","",DD67&amp;"-12"))</f>
        <v/>
      </c>
      <c r="FW67" s="6" t="str">
        <f t="shared" ref="FW67:FW84" ca="1" si="45">IF(AND(FT67=1,FU67=""),DD67&amp;"-11",IF(AND(FT67=1,FU67&lt;&gt;""),DD67&amp;"-21",""))</f>
        <v/>
      </c>
      <c r="FX67" s="6" t="str">
        <f t="shared" ref="FX67:FX84" ca="1" si="46">IF(AND(FT67=1,FU67=""),DD67&amp;"-12",IF(AND(FT67=1,FU67&lt;&gt;""),DD67&amp;"-22",""))</f>
        <v/>
      </c>
      <c r="FY67" s="6" t="str">
        <f t="shared" ref="FY67:FY84" ca="1" si="47">IF(AND(FS67="",OFFSET(FS67,0,1)="",DC67="A1BA4D"),"",IF(DC67="A1BD5D",LEFT(FW67,3)&amp;"21",FW67))</f>
        <v/>
      </c>
      <c r="FZ67" s="6" t="str">
        <f t="shared" ref="FZ67:FZ84" ca="1" si="48" xml:space="preserve">
IF(AND(FS67="",OFFSET(FS67,0,1)="",DC67="A1BA4D"),"",IF(DC67="A1BD5D",LEFT(FW67,3)&amp;"22",FW67))</f>
        <v/>
      </c>
    </row>
    <row r="68" spans="1:182" ht="15.95" customHeight="1">
      <c r="A68" s="6">
        <v>163</v>
      </c>
      <c r="B68" s="6" t="s">
        <v>175</v>
      </c>
      <c r="E68" s="6" t="s">
        <v>519</v>
      </c>
      <c r="F68" s="6" t="s">
        <v>1314</v>
      </c>
      <c r="G68" s="6" t="s">
        <v>1218</v>
      </c>
      <c r="H68" s="7" t="s">
        <v>1219</v>
      </c>
      <c r="I68" s="7"/>
      <c r="J68" s="6" t="s">
        <v>1199</v>
      </c>
      <c r="K68" s="6" t="s">
        <v>1201</v>
      </c>
      <c r="N68" s="6" t="s">
        <v>1203</v>
      </c>
      <c r="O68" s="6" t="s">
        <v>1205</v>
      </c>
      <c r="R68" s="101" t="s">
        <v>1220</v>
      </c>
      <c r="Y68" s="6" t="s">
        <v>1249</v>
      </c>
      <c r="Z68" s="6">
        <v>21</v>
      </c>
      <c r="AA68" s="6">
        <v>22</v>
      </c>
      <c r="AD68" s="6" t="s">
        <v>1203</v>
      </c>
      <c r="AE68" s="6" t="s">
        <v>1205</v>
      </c>
      <c r="AG68" s="6" t="s">
        <v>1250</v>
      </c>
      <c r="AY68" s="8" t="s">
        <v>176</v>
      </c>
      <c r="AZ68" s="8" t="s">
        <v>195</v>
      </c>
      <c r="BA68" s="13" t="s">
        <v>197</v>
      </c>
      <c r="BB68" s="13" t="s">
        <v>8</v>
      </c>
      <c r="BC68" s="13">
        <v>47</v>
      </c>
      <c r="BD68" s="13">
        <v>48</v>
      </c>
      <c r="DC68" s="6" t="s">
        <v>169</v>
      </c>
      <c r="DD68" s="6" t="s">
        <v>179</v>
      </c>
      <c r="DH68" s="6" t="str">
        <f>"A"&amp;EA68</f>
        <v>A3</v>
      </c>
      <c r="DI68" s="6" t="str">
        <f>"B"&amp;EA68</f>
        <v>B3</v>
      </c>
      <c r="DK68" s="6" t="s">
        <v>173</v>
      </c>
      <c r="DL68" s="6" t="str">
        <f>IF(DZ68&lt;&gt;"","CN2","")</f>
        <v>CN2</v>
      </c>
      <c r="DO68" s="9" t="s">
        <v>170</v>
      </c>
      <c r="DP68" s="6" t="s">
        <v>171</v>
      </c>
      <c r="DQ68" s="6" t="s">
        <v>645</v>
      </c>
      <c r="DS68" s="6" t="str">
        <f>IF(MID(EF68,2,1)="A","KS1","AKB331")</f>
        <v>KS1</v>
      </c>
      <c r="DT68" s="10" t="str">
        <f>DQ68&amp;"-"&amp;DX68&amp;"-"&amp;DY68&amp;"/"&amp;BA68&amp;"-"&amp;DD68&amp;"-"&amp;DK68</f>
        <v>FCS0111-3-1/1S–MC–107-F5-CN1</v>
      </c>
      <c r="DU68" s="6" t="str">
        <f>IF(DL68="","",DQ68&amp;"-"&amp;DX68&amp;"-"&amp;DY68&amp;"/"&amp;BA68&amp;"-"&amp;DD68&amp;"-"&amp;DL68)</f>
        <v>FCS0111-3-1/1S–MC–107-F5-CN2</v>
      </c>
      <c r="DV68" s="19">
        <v>1</v>
      </c>
      <c r="DW68" s="20" t="str">
        <f>RIGHT(DQ68,2)</f>
        <v>11</v>
      </c>
      <c r="DX68" s="21">
        <v>3</v>
      </c>
      <c r="DY68" s="22">
        <v>1</v>
      </c>
      <c r="DZ68" s="23">
        <v>2</v>
      </c>
      <c r="EA68" s="23">
        <v>3</v>
      </c>
      <c r="ED68" s="9" t="str">
        <f>IF(DX68="1","AFV30D","ANB10D")</f>
        <v>ANB10D</v>
      </c>
      <c r="EF68" s="6" t="s">
        <v>172</v>
      </c>
      <c r="EH68" s="6" t="s">
        <v>246</v>
      </c>
      <c r="EI68" s="6" t="s">
        <v>409</v>
      </c>
      <c r="EJ68" s="12">
        <v>1</v>
      </c>
      <c r="EN68" s="12" t="s">
        <v>1100</v>
      </c>
      <c r="EP68" s="6" t="s">
        <v>1150</v>
      </c>
      <c r="ET68" s="6" t="str">
        <f t="shared" si="40"/>
        <v>홀수</v>
      </c>
      <c r="EU68" s="12">
        <v>19</v>
      </c>
      <c r="EV68" s="45" t="str">
        <f t="shared" ca="1" si="18"/>
        <v>B</v>
      </c>
      <c r="EW68" s="6">
        <f t="shared" ca="1" si="41"/>
        <v>66</v>
      </c>
      <c r="FR68" s="6">
        <v>1</v>
      </c>
      <c r="FS68" s="6" t="str">
        <f t="shared" si="42"/>
        <v/>
      </c>
      <c r="FT68" s="6" t="str">
        <f t="shared" si="43"/>
        <v/>
      </c>
      <c r="FU68" s="6" t="str">
        <f t="shared" ca="1" si="19"/>
        <v/>
      </c>
      <c r="FV68" s="6" t="str">
        <f t="shared" ca="1" si="44"/>
        <v/>
      </c>
      <c r="FW68" s="6" t="str">
        <f t="shared" ca="1" si="45"/>
        <v/>
      </c>
      <c r="FX68" s="6" t="str">
        <f t="shared" ca="1" si="46"/>
        <v/>
      </c>
      <c r="FY68" s="6" t="str">
        <f t="shared" ca="1" si="47"/>
        <v/>
      </c>
      <c r="FZ68" s="6" t="str">
        <f t="shared" ca="1" si="48"/>
        <v/>
      </c>
    </row>
    <row r="69" spans="1:182" ht="15.95" customHeight="1">
      <c r="A69" s="6">
        <v>85</v>
      </c>
      <c r="B69" s="6" t="s">
        <v>175</v>
      </c>
      <c r="E69" s="6" t="s">
        <v>513</v>
      </c>
      <c r="F69" s="6" t="s">
        <v>1315</v>
      </c>
      <c r="G69" s="6" t="s">
        <v>1226</v>
      </c>
      <c r="H69" s="7" t="s">
        <v>1227</v>
      </c>
      <c r="I69" s="7"/>
      <c r="J69" s="6" t="s">
        <v>1199</v>
      </c>
      <c r="K69" s="6" t="s">
        <v>1201</v>
      </c>
      <c r="N69" s="6" t="s">
        <v>1203</v>
      </c>
      <c r="O69" s="6" t="s">
        <v>1205</v>
      </c>
      <c r="R69" s="101" t="s">
        <v>1220</v>
      </c>
      <c r="Y69" s="6" t="s">
        <v>1249</v>
      </c>
      <c r="Z69" s="6">
        <v>25</v>
      </c>
      <c r="AA69" s="6">
        <v>26</v>
      </c>
      <c r="AD69" s="6" t="s">
        <v>1203</v>
      </c>
      <c r="AE69" s="6" t="s">
        <v>1205</v>
      </c>
      <c r="AG69" s="6" t="s">
        <v>1250</v>
      </c>
      <c r="AY69" s="8" t="s">
        <v>176</v>
      </c>
      <c r="AZ69" s="8" t="s">
        <v>195</v>
      </c>
      <c r="BA69" s="13" t="s">
        <v>197</v>
      </c>
      <c r="BB69" s="13" t="s">
        <v>8</v>
      </c>
      <c r="BC69" s="13">
        <v>51</v>
      </c>
      <c r="BD69" s="13">
        <v>52</v>
      </c>
      <c r="DC69" s="6" t="s">
        <v>169</v>
      </c>
      <c r="DD69" s="6" t="s">
        <v>178</v>
      </c>
      <c r="DH69" s="6" t="str">
        <f t="shared" si="32"/>
        <v>A5</v>
      </c>
      <c r="DI69" s="6" t="str">
        <f t="shared" si="33"/>
        <v>B5</v>
      </c>
      <c r="DK69" s="6" t="s">
        <v>173</v>
      </c>
      <c r="DL69" s="6" t="str">
        <f t="shared" si="34"/>
        <v>CN2</v>
      </c>
      <c r="DO69" s="9" t="s">
        <v>170</v>
      </c>
      <c r="DP69" s="6" t="s">
        <v>171</v>
      </c>
      <c r="DQ69" s="6" t="s">
        <v>645</v>
      </c>
      <c r="DS69" s="6" t="str">
        <f t="shared" si="35"/>
        <v>KS1</v>
      </c>
      <c r="DT69" s="10" t="str">
        <f t="shared" si="36"/>
        <v>FCS0111-2-3/1S–MC–107-F4-CN1</v>
      </c>
      <c r="DU69" s="6" t="str">
        <f t="shared" si="37"/>
        <v>FCS0111-2-3/1S–MC–107-F4-CN2</v>
      </c>
      <c r="DV69" s="19">
        <v>1</v>
      </c>
      <c r="DW69" s="20" t="str">
        <f t="shared" si="38"/>
        <v>11</v>
      </c>
      <c r="DX69" s="21">
        <v>2</v>
      </c>
      <c r="DY69" s="22">
        <v>3</v>
      </c>
      <c r="DZ69" s="23">
        <v>4</v>
      </c>
      <c r="EA69" s="23">
        <v>5</v>
      </c>
      <c r="ED69" s="9" t="str">
        <f t="shared" si="39"/>
        <v>ANB10D</v>
      </c>
      <c r="EF69" s="6" t="s">
        <v>174</v>
      </c>
      <c r="EH69" s="6" t="s">
        <v>240</v>
      </c>
      <c r="EI69" s="6" t="s">
        <v>403</v>
      </c>
      <c r="EJ69" s="12">
        <v>1</v>
      </c>
      <c r="EN69" s="12" t="s">
        <v>1102</v>
      </c>
      <c r="EP69" s="6" t="s">
        <v>1151</v>
      </c>
      <c r="ET69" s="6" t="str">
        <f t="shared" si="40"/>
        <v>홀수</v>
      </c>
      <c r="EU69" s="12">
        <v>19</v>
      </c>
      <c r="EV69" s="45" t="str">
        <f t="shared" ca="1" si="18"/>
        <v>C</v>
      </c>
      <c r="EW69" s="6">
        <f t="shared" ca="1" si="41"/>
        <v>67</v>
      </c>
      <c r="FR69" s="6">
        <v>1</v>
      </c>
      <c r="FS69" s="6" t="str">
        <f t="shared" si="42"/>
        <v/>
      </c>
      <c r="FT69" s="6" t="str">
        <f t="shared" si="43"/>
        <v/>
      </c>
      <c r="FU69" s="6" t="str">
        <f t="shared" ca="1" si="19"/>
        <v/>
      </c>
      <c r="FV69" s="6" t="str">
        <f t="shared" ca="1" si="44"/>
        <v/>
      </c>
      <c r="FW69" s="6" t="str">
        <f t="shared" ca="1" si="45"/>
        <v/>
      </c>
      <c r="FX69" s="6" t="str">
        <f t="shared" ca="1" si="46"/>
        <v/>
      </c>
      <c r="FY69" s="6" t="str">
        <f t="shared" ca="1" si="47"/>
        <v/>
      </c>
      <c r="FZ69" s="6" t="str">
        <f t="shared" ca="1" si="48"/>
        <v/>
      </c>
    </row>
    <row r="70" spans="1:182" ht="15.95" customHeight="1">
      <c r="A70" s="6">
        <v>165</v>
      </c>
      <c r="B70" s="6" t="s">
        <v>175</v>
      </c>
      <c r="E70" s="6" t="s">
        <v>521</v>
      </c>
      <c r="F70" s="6" t="s">
        <v>1316</v>
      </c>
      <c r="G70" s="6" t="s">
        <v>1218</v>
      </c>
      <c r="H70" s="7" t="s">
        <v>1219</v>
      </c>
      <c r="I70" s="7"/>
      <c r="J70" s="6" t="s">
        <v>1199</v>
      </c>
      <c r="K70" s="6" t="s">
        <v>1201</v>
      </c>
      <c r="N70" s="6" t="s">
        <v>1203</v>
      </c>
      <c r="O70" s="6" t="s">
        <v>1205</v>
      </c>
      <c r="R70" s="101" t="s">
        <v>1220</v>
      </c>
      <c r="Y70" s="6" t="s">
        <v>1317</v>
      </c>
      <c r="Z70" s="6">
        <v>7</v>
      </c>
      <c r="AA70" s="6">
        <v>8</v>
      </c>
      <c r="AD70" s="6" t="s">
        <v>1203</v>
      </c>
      <c r="AE70" s="6" t="s">
        <v>1205</v>
      </c>
      <c r="AG70" s="6" t="s">
        <v>1318</v>
      </c>
      <c r="AY70" s="8" t="s">
        <v>176</v>
      </c>
      <c r="AZ70" s="8" t="s">
        <v>195</v>
      </c>
      <c r="BA70" s="13" t="s">
        <v>197</v>
      </c>
      <c r="BB70" s="13" t="s">
        <v>7</v>
      </c>
      <c r="BC70" s="13">
        <v>159</v>
      </c>
      <c r="BD70" s="13">
        <v>160</v>
      </c>
      <c r="DC70" s="6" t="s">
        <v>169</v>
      </c>
      <c r="DD70" s="6" t="s">
        <v>179</v>
      </c>
      <c r="DH70" s="6" t="str">
        <f>"A"&amp;EA70</f>
        <v>A5</v>
      </c>
      <c r="DI70" s="6" t="str">
        <f>"B"&amp;EA70</f>
        <v>B5</v>
      </c>
      <c r="DK70" s="6" t="s">
        <v>173</v>
      </c>
      <c r="DL70" s="6" t="str">
        <f>IF(DZ70&lt;&gt;"","CN2","")</f>
        <v>CN2</v>
      </c>
      <c r="DO70" s="9" t="s">
        <v>170</v>
      </c>
      <c r="DP70" s="6" t="s">
        <v>171</v>
      </c>
      <c r="DQ70" s="6" t="s">
        <v>645</v>
      </c>
      <c r="DS70" s="6" t="str">
        <f>IF(MID(EF70,2,1)="A","KS1","AKB331")</f>
        <v>KS1</v>
      </c>
      <c r="DT70" s="10" t="str">
        <f>DQ70&amp;"-"&amp;DX70&amp;"-"&amp;DY70&amp;"/"&amp;BA70&amp;"-"&amp;DD70&amp;"-"&amp;DK70</f>
        <v>FCS0111-3-1/1S–MC–107-F5-CN1</v>
      </c>
      <c r="DU70" s="6" t="str">
        <f>IF(DL70="","",DQ70&amp;"-"&amp;DX70&amp;"-"&amp;DY70&amp;"/"&amp;BA70&amp;"-"&amp;DD70&amp;"-"&amp;DL70)</f>
        <v>FCS0111-3-1/1S–MC–107-F5-CN2</v>
      </c>
      <c r="DV70" s="19">
        <v>1</v>
      </c>
      <c r="DW70" s="20" t="str">
        <f>RIGHT(DQ70,2)</f>
        <v>11</v>
      </c>
      <c r="DX70" s="21">
        <v>3</v>
      </c>
      <c r="DY70" s="22">
        <v>1</v>
      </c>
      <c r="DZ70" s="23">
        <v>2</v>
      </c>
      <c r="EA70" s="23">
        <v>5</v>
      </c>
      <c r="ED70" s="9" t="str">
        <f>IF(DX70="1","AFV30D","ANB10D")</f>
        <v>ANB10D</v>
      </c>
      <c r="EF70" s="6" t="s">
        <v>172</v>
      </c>
      <c r="EH70" s="6" t="s">
        <v>241</v>
      </c>
      <c r="EI70" s="6" t="s">
        <v>411</v>
      </c>
      <c r="EJ70" s="12">
        <v>300</v>
      </c>
      <c r="EN70" s="12" t="s">
        <v>1102</v>
      </c>
      <c r="EP70" s="6" t="s">
        <v>1147</v>
      </c>
      <c r="ET70" s="6" t="str">
        <f t="shared" si="40"/>
        <v>짝수</v>
      </c>
      <c r="EU70" s="12">
        <v>20</v>
      </c>
      <c r="EV70" s="45" t="str">
        <f t="shared" ca="1" si="18"/>
        <v>A</v>
      </c>
      <c r="EW70" s="6">
        <f t="shared" ca="1" si="41"/>
        <v>65</v>
      </c>
      <c r="FR70" s="6">
        <v>1</v>
      </c>
      <c r="FS70" s="6" t="str">
        <f t="shared" si="42"/>
        <v/>
      </c>
      <c r="FT70" s="6" t="str">
        <f t="shared" si="43"/>
        <v/>
      </c>
      <c r="FU70" s="6" t="str">
        <f t="shared" ca="1" si="19"/>
        <v/>
      </c>
      <c r="FV70" s="6" t="str">
        <f t="shared" ca="1" si="44"/>
        <v/>
      </c>
      <c r="FW70" s="6" t="str">
        <f t="shared" ca="1" si="45"/>
        <v/>
      </c>
      <c r="FX70" s="6" t="str">
        <f t="shared" ca="1" si="46"/>
        <v/>
      </c>
      <c r="FY70" s="6" t="str">
        <f t="shared" ca="1" si="47"/>
        <v/>
      </c>
      <c r="FZ70" s="6" t="str">
        <f t="shared" ca="1" si="48"/>
        <v/>
      </c>
    </row>
    <row r="71" spans="1:182" ht="15.95" customHeight="1">
      <c r="A71" s="6">
        <v>86</v>
      </c>
      <c r="B71" s="6" t="s">
        <v>175</v>
      </c>
      <c r="E71" s="6" t="s">
        <v>514</v>
      </c>
      <c r="F71" s="6" t="s">
        <v>1319</v>
      </c>
      <c r="G71" s="6" t="s">
        <v>1226</v>
      </c>
      <c r="H71" s="7" t="s">
        <v>1227</v>
      </c>
      <c r="I71" s="7"/>
      <c r="J71" s="6" t="s">
        <v>1199</v>
      </c>
      <c r="K71" s="6" t="s">
        <v>1201</v>
      </c>
      <c r="N71" s="6" t="s">
        <v>1203</v>
      </c>
      <c r="O71" s="6" t="s">
        <v>1205</v>
      </c>
      <c r="R71" s="101" t="s">
        <v>1220</v>
      </c>
      <c r="Y71" s="6" t="s">
        <v>1317</v>
      </c>
      <c r="Z71" s="6">
        <v>9</v>
      </c>
      <c r="AA71" s="6">
        <v>10</v>
      </c>
      <c r="AD71" s="6" t="s">
        <v>1203</v>
      </c>
      <c r="AE71" s="6" t="s">
        <v>1205</v>
      </c>
      <c r="AG71" s="6" t="s">
        <v>1318</v>
      </c>
      <c r="AY71" s="8" t="s">
        <v>176</v>
      </c>
      <c r="AZ71" s="8" t="s">
        <v>195</v>
      </c>
      <c r="BA71" s="13" t="s">
        <v>197</v>
      </c>
      <c r="BB71" s="13" t="s">
        <v>7</v>
      </c>
      <c r="BC71" s="13">
        <v>161</v>
      </c>
      <c r="BD71" s="13">
        <v>162</v>
      </c>
      <c r="DC71" s="6" t="s">
        <v>169</v>
      </c>
      <c r="DD71" s="6" t="s">
        <v>178</v>
      </c>
      <c r="DH71" s="6" t="str">
        <f>"A"&amp;EA71</f>
        <v>A6</v>
      </c>
      <c r="DI71" s="6" t="str">
        <f>"B"&amp;EA71</f>
        <v>B6</v>
      </c>
      <c r="DK71" s="6" t="s">
        <v>173</v>
      </c>
      <c r="DL71" s="6" t="str">
        <f>IF(DZ71&lt;&gt;"","CN2","")</f>
        <v>CN2</v>
      </c>
      <c r="DO71" s="9" t="s">
        <v>170</v>
      </c>
      <c r="DP71" s="6" t="s">
        <v>171</v>
      </c>
      <c r="DQ71" s="6" t="s">
        <v>645</v>
      </c>
      <c r="DS71" s="6" t="str">
        <f>IF(MID(EF71,2,1)="A","KS1","AKB331")</f>
        <v>KS1</v>
      </c>
      <c r="DT71" s="10" t="str">
        <f>DQ71&amp;"-"&amp;DX71&amp;"-"&amp;DY71&amp;"/"&amp;BA71&amp;"-"&amp;DD71&amp;"-"&amp;DK71</f>
        <v>FCS0111-2-3/1S–MC–107-F4-CN1</v>
      </c>
      <c r="DU71" s="6" t="str">
        <f>IF(DL71="","",DQ71&amp;"-"&amp;DX71&amp;"-"&amp;DY71&amp;"/"&amp;BA71&amp;"-"&amp;DD71&amp;"-"&amp;DL71)</f>
        <v>FCS0111-2-3/1S–MC–107-F4-CN2</v>
      </c>
      <c r="DV71" s="19">
        <v>1</v>
      </c>
      <c r="DW71" s="20" t="str">
        <f>RIGHT(DQ71,2)</f>
        <v>11</v>
      </c>
      <c r="DX71" s="21">
        <v>2</v>
      </c>
      <c r="DY71" s="22">
        <v>3</v>
      </c>
      <c r="DZ71" s="23">
        <v>4</v>
      </c>
      <c r="EA71" s="23">
        <v>6</v>
      </c>
      <c r="ED71" s="9" t="str">
        <f>IF(DX71="1","AFV30D","ANB10D")</f>
        <v>ANB10D</v>
      </c>
      <c r="EF71" s="6" t="s">
        <v>174</v>
      </c>
      <c r="EH71" s="6" t="s">
        <v>241</v>
      </c>
      <c r="EI71" s="6" t="s">
        <v>404</v>
      </c>
      <c r="EJ71" s="12">
        <v>300</v>
      </c>
      <c r="EN71" s="12" t="s">
        <v>1102</v>
      </c>
      <c r="ET71" s="6" t="str">
        <f t="shared" si="40"/>
        <v>짝수</v>
      </c>
      <c r="EU71" s="12">
        <v>20</v>
      </c>
      <c r="EV71" s="45" t="str">
        <f t="shared" ref="EV71:EV134" ca="1" si="49">IF(EU71=OFFSET(EU71,-1,0),CHAR(EW70+1),"A")</f>
        <v>B</v>
      </c>
      <c r="EW71" s="6">
        <f t="shared" ca="1" si="41"/>
        <v>66</v>
      </c>
      <c r="FR71" s="6">
        <v>1</v>
      </c>
      <c r="FS71" s="6" t="str">
        <f t="shared" si="42"/>
        <v/>
      </c>
      <c r="FT71" s="6" t="str">
        <f t="shared" si="43"/>
        <v/>
      </c>
      <c r="FU71" s="6" t="str">
        <f t="shared" ca="1" si="19"/>
        <v/>
      </c>
      <c r="FV71" s="6" t="str">
        <f t="shared" ca="1" si="44"/>
        <v/>
      </c>
      <c r="FW71" s="6" t="str">
        <f t="shared" ca="1" si="45"/>
        <v/>
      </c>
      <c r="FX71" s="6" t="str">
        <f t="shared" ca="1" si="46"/>
        <v/>
      </c>
      <c r="FY71" s="6" t="str">
        <f t="shared" ca="1" si="47"/>
        <v/>
      </c>
      <c r="FZ71" s="6" t="str">
        <f t="shared" ca="1" si="48"/>
        <v/>
      </c>
    </row>
    <row r="72" spans="1:182" ht="15.95" customHeight="1">
      <c r="A72" s="6">
        <v>87</v>
      </c>
      <c r="B72" s="6" t="s">
        <v>175</v>
      </c>
      <c r="E72" s="6" t="s">
        <v>515</v>
      </c>
      <c r="F72" s="6" t="s">
        <v>1320</v>
      </c>
      <c r="G72" s="6" t="s">
        <v>1226</v>
      </c>
      <c r="H72" s="7" t="s">
        <v>1227</v>
      </c>
      <c r="I72" s="7"/>
      <c r="J72" s="6" t="s">
        <v>1199</v>
      </c>
      <c r="K72" s="6" t="s">
        <v>1201</v>
      </c>
      <c r="N72" s="6" t="s">
        <v>1203</v>
      </c>
      <c r="O72" s="6" t="s">
        <v>1205</v>
      </c>
      <c r="R72" s="101" t="s">
        <v>1220</v>
      </c>
      <c r="Y72" s="6" t="s">
        <v>1317</v>
      </c>
      <c r="Z72" s="6">
        <v>15</v>
      </c>
      <c r="AA72" s="6">
        <v>16</v>
      </c>
      <c r="AD72" s="6" t="s">
        <v>1203</v>
      </c>
      <c r="AE72" s="6" t="s">
        <v>1205</v>
      </c>
      <c r="AG72" s="6" t="s">
        <v>1318</v>
      </c>
      <c r="AY72" s="8" t="s">
        <v>176</v>
      </c>
      <c r="AZ72" s="8" t="s">
        <v>195</v>
      </c>
      <c r="BA72" s="13" t="s">
        <v>197</v>
      </c>
      <c r="BB72" s="13" t="s">
        <v>7</v>
      </c>
      <c r="BC72" s="13">
        <v>167</v>
      </c>
      <c r="BD72" s="13">
        <v>168</v>
      </c>
      <c r="DC72" s="6" t="s">
        <v>169</v>
      </c>
      <c r="DD72" s="6" t="s">
        <v>178</v>
      </c>
      <c r="DH72" s="6" t="str">
        <f t="shared" si="32"/>
        <v>A7</v>
      </c>
      <c r="DI72" s="6" t="str">
        <f t="shared" si="33"/>
        <v>B7</v>
      </c>
      <c r="DK72" s="6" t="s">
        <v>173</v>
      </c>
      <c r="DL72" s="6" t="str">
        <f t="shared" si="34"/>
        <v>CN2</v>
      </c>
      <c r="DO72" s="9" t="s">
        <v>170</v>
      </c>
      <c r="DP72" s="6" t="s">
        <v>171</v>
      </c>
      <c r="DQ72" s="6" t="s">
        <v>645</v>
      </c>
      <c r="DS72" s="6" t="str">
        <f t="shared" si="35"/>
        <v>KS1</v>
      </c>
      <c r="DT72" s="10" t="str">
        <f t="shared" si="36"/>
        <v>FCS0111-2-3/1S–MC–107-F4-CN1</v>
      </c>
      <c r="DU72" s="6" t="str">
        <f t="shared" si="37"/>
        <v>FCS0111-2-3/1S–MC–107-F4-CN2</v>
      </c>
      <c r="DV72" s="19">
        <v>1</v>
      </c>
      <c r="DW72" s="20" t="str">
        <f t="shared" si="38"/>
        <v>11</v>
      </c>
      <c r="DX72" s="21">
        <v>2</v>
      </c>
      <c r="DY72" s="22">
        <v>3</v>
      </c>
      <c r="DZ72" s="23">
        <v>4</v>
      </c>
      <c r="EA72" s="23">
        <v>7</v>
      </c>
      <c r="ED72" s="9" t="str">
        <f t="shared" si="39"/>
        <v>ANB10D</v>
      </c>
      <c r="EF72" s="6" t="s">
        <v>174</v>
      </c>
      <c r="EH72" s="6" t="s">
        <v>242</v>
      </c>
      <c r="EI72" s="6" t="s">
        <v>405</v>
      </c>
      <c r="EJ72" s="12">
        <v>1</v>
      </c>
      <c r="EN72" s="12" t="s">
        <v>1102</v>
      </c>
      <c r="EP72" s="6" t="s">
        <v>1149</v>
      </c>
      <c r="ET72" s="6" t="str">
        <f t="shared" si="40"/>
        <v>홀수</v>
      </c>
      <c r="EU72" s="12">
        <v>21</v>
      </c>
      <c r="EV72" s="45" t="str">
        <f t="shared" ca="1" si="49"/>
        <v>A</v>
      </c>
      <c r="EW72" s="6">
        <f t="shared" ca="1" si="41"/>
        <v>65</v>
      </c>
      <c r="FR72" s="6">
        <v>1</v>
      </c>
      <c r="FS72" s="6" t="str">
        <f t="shared" si="42"/>
        <v/>
      </c>
      <c r="FT72" s="6" t="str">
        <f t="shared" si="43"/>
        <v/>
      </c>
      <c r="FU72" s="6" t="str">
        <f t="shared" ca="1" si="19"/>
        <v/>
      </c>
      <c r="FV72" s="6" t="str">
        <f t="shared" ca="1" si="44"/>
        <v/>
      </c>
      <c r="FW72" s="6" t="str">
        <f t="shared" ca="1" si="45"/>
        <v/>
      </c>
      <c r="FX72" s="6" t="str">
        <f t="shared" ca="1" si="46"/>
        <v/>
      </c>
      <c r="FY72" s="6" t="str">
        <f t="shared" ca="1" si="47"/>
        <v/>
      </c>
      <c r="FZ72" s="6" t="str">
        <f t="shared" ca="1" si="48"/>
        <v/>
      </c>
    </row>
    <row r="73" spans="1:182" ht="15.95" customHeight="1">
      <c r="A73" s="6">
        <v>289</v>
      </c>
      <c r="B73" s="6" t="s">
        <v>175</v>
      </c>
      <c r="E73" s="6" t="s">
        <v>532</v>
      </c>
      <c r="F73" s="6" t="s">
        <v>1321</v>
      </c>
      <c r="G73" s="6" t="s">
        <v>1218</v>
      </c>
      <c r="H73" s="7" t="s">
        <v>1219</v>
      </c>
      <c r="I73" s="7"/>
      <c r="J73" s="6" t="s">
        <v>1199</v>
      </c>
      <c r="K73" s="6" t="s">
        <v>1201</v>
      </c>
      <c r="N73" s="6" t="s">
        <v>1203</v>
      </c>
      <c r="O73" s="6" t="s">
        <v>1205</v>
      </c>
      <c r="R73" s="101" t="s">
        <v>1220</v>
      </c>
      <c r="Y73" s="6" t="s">
        <v>1317</v>
      </c>
      <c r="Z73" s="6">
        <v>13</v>
      </c>
      <c r="AA73" s="6">
        <v>14</v>
      </c>
      <c r="AD73" s="6" t="s">
        <v>1203</v>
      </c>
      <c r="AE73" s="6" t="s">
        <v>1205</v>
      </c>
      <c r="AG73" s="6" t="s">
        <v>1318</v>
      </c>
      <c r="AY73" s="8" t="s">
        <v>176</v>
      </c>
      <c r="AZ73" s="8" t="s">
        <v>195</v>
      </c>
      <c r="BA73" s="13" t="s">
        <v>197</v>
      </c>
      <c r="BB73" s="13" t="s">
        <v>7</v>
      </c>
      <c r="BC73" s="13">
        <v>165</v>
      </c>
      <c r="BD73" s="13">
        <v>166</v>
      </c>
      <c r="DC73" s="6" t="s">
        <v>169</v>
      </c>
      <c r="DD73" s="6" t="s">
        <v>181</v>
      </c>
      <c r="DH73" s="6" t="str">
        <f>"A"&amp;EA73</f>
        <v>A1</v>
      </c>
      <c r="DI73" s="6" t="str">
        <f>"B"&amp;EA73</f>
        <v>B1</v>
      </c>
      <c r="DK73" s="6" t="s">
        <v>173</v>
      </c>
      <c r="DL73" s="6" t="str">
        <f>IF(DZ73&lt;&gt;"","CN2","")</f>
        <v>CN2</v>
      </c>
      <c r="DO73" s="9" t="s">
        <v>170</v>
      </c>
      <c r="DP73" s="6" t="s">
        <v>171</v>
      </c>
      <c r="DQ73" s="6" t="s">
        <v>645</v>
      </c>
      <c r="DS73" s="6" t="str">
        <f>IF(MID(EF73,2,1)="A","KS1","AKB331")</f>
        <v>KS1</v>
      </c>
      <c r="DT73" s="10" t="str">
        <f>DQ73&amp;"-"&amp;DX73&amp;"-"&amp;DY73&amp;"/"&amp;BA73&amp;"-"&amp;DD73&amp;"-"&amp;DK73</f>
        <v>FCS0111-4-1/1S–MC–107-F7-CN1</v>
      </c>
      <c r="DU73" s="6" t="str">
        <f>IF(DL73="","",DQ73&amp;"-"&amp;DX73&amp;"-"&amp;DY73&amp;"/"&amp;BA73&amp;"-"&amp;DD73&amp;"-"&amp;DL73)</f>
        <v>FCS0111-4-1/1S–MC–107-F7-CN2</v>
      </c>
      <c r="DV73" s="19">
        <v>1</v>
      </c>
      <c r="DW73" s="20" t="str">
        <f>RIGHT(DQ73,2)</f>
        <v>11</v>
      </c>
      <c r="DX73" s="21">
        <v>4</v>
      </c>
      <c r="DY73" s="22">
        <v>1</v>
      </c>
      <c r="DZ73" s="23">
        <v>2</v>
      </c>
      <c r="EA73" s="23">
        <v>1</v>
      </c>
      <c r="ED73" s="9" t="str">
        <f>IF(DX73="1","AFV30D","ANB10D")</f>
        <v>ANB10D</v>
      </c>
      <c r="EF73" s="6" t="s">
        <v>172</v>
      </c>
      <c r="EH73" s="6" t="s">
        <v>263</v>
      </c>
      <c r="EI73" s="6" t="s">
        <v>423</v>
      </c>
      <c r="EJ73" s="12">
        <v>1</v>
      </c>
      <c r="EN73" s="12" t="s">
        <v>1100</v>
      </c>
      <c r="EP73" s="6" t="s">
        <v>1150</v>
      </c>
      <c r="ET73" s="6" t="str">
        <f t="shared" si="40"/>
        <v>홀수</v>
      </c>
      <c r="EU73" s="12">
        <v>21</v>
      </c>
      <c r="EV73" s="45" t="str">
        <f t="shared" ca="1" si="49"/>
        <v>B</v>
      </c>
      <c r="EW73" s="6">
        <f t="shared" ca="1" si="41"/>
        <v>66</v>
      </c>
      <c r="FR73" s="6">
        <v>1</v>
      </c>
      <c r="FS73" s="6" t="str">
        <f t="shared" si="42"/>
        <v/>
      </c>
      <c r="FT73" s="6" t="str">
        <f t="shared" si="43"/>
        <v/>
      </c>
      <c r="FU73" s="6" t="str">
        <f t="shared" ca="1" si="19"/>
        <v/>
      </c>
      <c r="FV73" s="6" t="str">
        <f t="shared" ca="1" si="44"/>
        <v/>
      </c>
      <c r="FW73" s="6" t="str">
        <f t="shared" ca="1" si="45"/>
        <v/>
      </c>
      <c r="FX73" s="6" t="str">
        <f t="shared" ca="1" si="46"/>
        <v/>
      </c>
      <c r="FY73" s="6" t="str">
        <f t="shared" ca="1" si="47"/>
        <v/>
      </c>
      <c r="FZ73" s="6" t="str">
        <f t="shared" ca="1" si="48"/>
        <v/>
      </c>
    </row>
    <row r="74" spans="1:182" ht="15.95" customHeight="1">
      <c r="A74" s="6">
        <v>88</v>
      </c>
      <c r="B74" s="6" t="s">
        <v>175</v>
      </c>
      <c r="E74" s="6" t="s">
        <v>516</v>
      </c>
      <c r="F74" s="6" t="s">
        <v>1322</v>
      </c>
      <c r="G74" s="6" t="s">
        <v>1226</v>
      </c>
      <c r="H74" s="7" t="s">
        <v>1227</v>
      </c>
      <c r="I74" s="7"/>
      <c r="J74" s="6" t="s">
        <v>1199</v>
      </c>
      <c r="K74" s="6" t="s">
        <v>1201</v>
      </c>
      <c r="N74" s="6" t="s">
        <v>1203</v>
      </c>
      <c r="O74" s="6" t="s">
        <v>1205</v>
      </c>
      <c r="R74" s="101" t="s">
        <v>1220</v>
      </c>
      <c r="Y74" s="6" t="s">
        <v>1317</v>
      </c>
      <c r="Z74" s="6">
        <v>17</v>
      </c>
      <c r="AA74" s="6">
        <v>18</v>
      </c>
      <c r="AD74" s="6" t="s">
        <v>1203</v>
      </c>
      <c r="AE74" s="6" t="s">
        <v>1205</v>
      </c>
      <c r="AG74" s="6" t="s">
        <v>1318</v>
      </c>
      <c r="AY74" s="8" t="s">
        <v>176</v>
      </c>
      <c r="AZ74" s="8" t="s">
        <v>195</v>
      </c>
      <c r="BA74" s="13" t="s">
        <v>197</v>
      </c>
      <c r="BB74" s="13" t="s">
        <v>7</v>
      </c>
      <c r="BC74" s="13">
        <v>169</v>
      </c>
      <c r="BD74" s="13">
        <v>170</v>
      </c>
      <c r="DC74" s="6" t="s">
        <v>169</v>
      </c>
      <c r="DD74" s="6" t="s">
        <v>178</v>
      </c>
      <c r="DH74" s="6" t="str">
        <f t="shared" si="32"/>
        <v>A8</v>
      </c>
      <c r="DI74" s="6" t="str">
        <f t="shared" si="33"/>
        <v>B8</v>
      </c>
      <c r="DK74" s="6" t="s">
        <v>173</v>
      </c>
      <c r="DL74" s="6" t="str">
        <f t="shared" si="34"/>
        <v>CN2</v>
      </c>
      <c r="DO74" s="9" t="s">
        <v>170</v>
      </c>
      <c r="DP74" s="6" t="s">
        <v>171</v>
      </c>
      <c r="DQ74" s="6" t="s">
        <v>645</v>
      </c>
      <c r="DS74" s="6" t="str">
        <f t="shared" si="35"/>
        <v>KS1</v>
      </c>
      <c r="DT74" s="10" t="str">
        <f t="shared" si="36"/>
        <v>FCS0111-2-3/1S–MC–107-F4-CN1</v>
      </c>
      <c r="DU74" s="6" t="str">
        <f t="shared" si="37"/>
        <v>FCS0111-2-3/1S–MC–107-F4-CN2</v>
      </c>
      <c r="DV74" s="19">
        <v>1</v>
      </c>
      <c r="DW74" s="20" t="str">
        <f t="shared" si="38"/>
        <v>11</v>
      </c>
      <c r="DX74" s="21">
        <v>2</v>
      </c>
      <c r="DY74" s="22">
        <v>3</v>
      </c>
      <c r="DZ74" s="23">
        <v>4</v>
      </c>
      <c r="EA74" s="23">
        <v>8</v>
      </c>
      <c r="ED74" s="9" t="str">
        <f t="shared" si="39"/>
        <v>ANB10D</v>
      </c>
      <c r="EF74" s="6" t="s">
        <v>174</v>
      </c>
      <c r="EH74" s="6" t="s">
        <v>243</v>
      </c>
      <c r="EI74" s="6" t="s">
        <v>406</v>
      </c>
      <c r="EJ74" s="12">
        <v>1</v>
      </c>
      <c r="EN74" s="12" t="s">
        <v>1102</v>
      </c>
      <c r="EP74" s="6" t="s">
        <v>1151</v>
      </c>
      <c r="ET74" s="6" t="str">
        <f t="shared" si="40"/>
        <v>홀수</v>
      </c>
      <c r="EU74" s="12">
        <v>21</v>
      </c>
      <c r="EV74" s="45" t="str">
        <f t="shared" ca="1" si="49"/>
        <v>C</v>
      </c>
      <c r="EW74" s="6">
        <f t="shared" ca="1" si="41"/>
        <v>67</v>
      </c>
      <c r="FR74" s="6">
        <v>1</v>
      </c>
      <c r="FS74" s="6" t="str">
        <f t="shared" si="42"/>
        <v/>
      </c>
      <c r="FT74" s="6" t="str">
        <f t="shared" si="43"/>
        <v/>
      </c>
      <c r="FU74" s="6" t="str">
        <f t="shared" ca="1" si="19"/>
        <v/>
      </c>
      <c r="FV74" s="6" t="str">
        <f t="shared" ca="1" si="44"/>
        <v/>
      </c>
      <c r="FW74" s="6" t="str">
        <f t="shared" ca="1" si="45"/>
        <v/>
      </c>
      <c r="FX74" s="6" t="str">
        <f t="shared" ca="1" si="46"/>
        <v/>
      </c>
      <c r="FY74" s="6" t="str">
        <f t="shared" ca="1" si="47"/>
        <v/>
      </c>
      <c r="FZ74" s="6" t="str">
        <f t="shared" ca="1" si="48"/>
        <v/>
      </c>
    </row>
    <row r="75" spans="1:182" ht="15.95" customHeight="1">
      <c r="A75" s="6">
        <v>97</v>
      </c>
      <c r="B75" s="6" t="s">
        <v>175</v>
      </c>
      <c r="E75" s="6" t="s">
        <v>655</v>
      </c>
      <c r="F75" s="6" t="s">
        <v>1323</v>
      </c>
      <c r="G75" s="6" t="s">
        <v>1290</v>
      </c>
      <c r="H75" s="7" t="s">
        <v>1291</v>
      </c>
      <c r="I75" s="7"/>
      <c r="J75" s="6" t="e">
        <v>#N/A</v>
      </c>
      <c r="K75" s="6" t="e">
        <v>#N/A</v>
      </c>
      <c r="N75" s="6" t="e">
        <v>#N/A</v>
      </c>
      <c r="O75" s="6" t="e">
        <v>#N/A</v>
      </c>
      <c r="R75" s="101" t="e">
        <v>#N/A</v>
      </c>
      <c r="Y75" s="6" t="e">
        <v>#N/A</v>
      </c>
      <c r="Z75" s="6" t="e">
        <v>#N/A</v>
      </c>
      <c r="AA75" s="6" t="e">
        <v>#N/A</v>
      </c>
      <c r="AD75" s="6" t="e">
        <v>#N/A</v>
      </c>
      <c r="AE75" s="6" t="e">
        <v>#N/A</v>
      </c>
      <c r="AG75" s="6" t="e">
        <v>#N/A</v>
      </c>
      <c r="AY75" s="8" t="s">
        <v>176</v>
      </c>
      <c r="AZ75" s="8" t="s">
        <v>195</v>
      </c>
      <c r="BA75" s="13" t="s">
        <v>656</v>
      </c>
      <c r="BB75" s="13" t="s">
        <v>7</v>
      </c>
      <c r="BC75" s="13">
        <v>1</v>
      </c>
      <c r="BD75" s="13">
        <v>2</v>
      </c>
      <c r="DC75" s="6" t="s">
        <v>644</v>
      </c>
      <c r="DD75" s="6" t="s">
        <v>177</v>
      </c>
      <c r="DH75" s="6" t="str">
        <f t="shared" si="32"/>
        <v>A1</v>
      </c>
      <c r="DI75" s="6" t="str">
        <f t="shared" si="33"/>
        <v>B1</v>
      </c>
      <c r="DK75" s="6" t="s">
        <v>173</v>
      </c>
      <c r="DL75" s="6" t="str">
        <f t="shared" si="34"/>
        <v>CN2</v>
      </c>
      <c r="DO75" s="9" t="s">
        <v>170</v>
      </c>
      <c r="DP75" s="6" t="s">
        <v>171</v>
      </c>
      <c r="DQ75" s="6" t="s">
        <v>645</v>
      </c>
      <c r="DS75" s="6" t="str">
        <f t="shared" si="35"/>
        <v>AKB331</v>
      </c>
      <c r="DT75" s="10" t="str">
        <f t="shared" si="36"/>
        <v>FCS0111-2-5/1S–MC–127-F1-CN1</v>
      </c>
      <c r="DU75" s="6" t="str">
        <f t="shared" si="37"/>
        <v>FCS0111-2-5/1S–MC–127-F1-CN2</v>
      </c>
      <c r="DV75" s="19">
        <v>1</v>
      </c>
      <c r="DW75" s="20" t="str">
        <f t="shared" si="38"/>
        <v>11</v>
      </c>
      <c r="DX75" s="21">
        <v>2</v>
      </c>
      <c r="DY75" s="22">
        <v>5</v>
      </c>
      <c r="DZ75" s="23">
        <v>6</v>
      </c>
      <c r="EA75" s="23">
        <v>1</v>
      </c>
      <c r="ED75" s="9" t="str">
        <f t="shared" si="39"/>
        <v>ANB10D</v>
      </c>
      <c r="EF75" s="6" t="s">
        <v>647</v>
      </c>
      <c r="EH75" s="6" t="s">
        <v>655</v>
      </c>
      <c r="EI75" s="6" t="s">
        <v>414</v>
      </c>
      <c r="EJ75" s="12">
        <v>100</v>
      </c>
      <c r="EN75" s="12" t="s">
        <v>1116</v>
      </c>
      <c r="EP75" s="6" t="s">
        <v>1148</v>
      </c>
      <c r="ET75" s="6" t="str">
        <f t="shared" si="40"/>
        <v>짝수</v>
      </c>
      <c r="EU75" s="12">
        <v>22</v>
      </c>
      <c r="EV75" s="45" t="str">
        <f t="shared" ca="1" si="49"/>
        <v>A</v>
      </c>
      <c r="EW75" s="6">
        <f t="shared" ca="1" si="41"/>
        <v>65</v>
      </c>
      <c r="FR75" s="6">
        <v>1</v>
      </c>
      <c r="FS75" s="6" t="str">
        <f t="shared" si="42"/>
        <v/>
      </c>
      <c r="FT75" s="6">
        <f t="shared" si="43"/>
        <v>1</v>
      </c>
      <c r="FU75" s="6" t="str">
        <f t="shared" ref="FU75:FU138" ca="1" si="50">IF(AND(FS75="",OFFSET(FS75,0,1)="",DC75="A1BA4D"),"",IF(DC75="A1BD5D","",DD75&amp;"-11"))</f>
        <v/>
      </c>
      <c r="FV75" s="6" t="str">
        <f t="shared" ca="1" si="44"/>
        <v/>
      </c>
      <c r="FW75" s="6" t="str">
        <f t="shared" ca="1" si="45"/>
        <v>F1-11</v>
      </c>
      <c r="FX75" s="6" t="str">
        <f t="shared" ca="1" si="46"/>
        <v>F1-12</v>
      </c>
      <c r="FY75" s="6" t="str">
        <f t="shared" ca="1" si="47"/>
        <v>F1-21</v>
      </c>
      <c r="FZ75" s="6" t="str">
        <f t="shared" ca="1" si="48"/>
        <v>F1-22</v>
      </c>
    </row>
    <row r="76" spans="1:182" ht="15.95" customHeight="1">
      <c r="A76" s="6">
        <v>98</v>
      </c>
      <c r="B76" s="6" t="s">
        <v>175</v>
      </c>
      <c r="E76" s="6" t="s">
        <v>657</v>
      </c>
      <c r="F76" s="6" t="s">
        <v>1324</v>
      </c>
      <c r="G76" s="6" t="s">
        <v>1290</v>
      </c>
      <c r="H76" s="7" t="s">
        <v>1291</v>
      </c>
      <c r="I76" s="7"/>
      <c r="J76" s="6" t="e">
        <v>#N/A</v>
      </c>
      <c r="K76" s="6" t="e">
        <v>#N/A</v>
      </c>
      <c r="N76" s="6" t="e">
        <v>#N/A</v>
      </c>
      <c r="O76" s="6" t="e">
        <v>#N/A</v>
      </c>
      <c r="R76" s="101" t="e">
        <v>#N/A</v>
      </c>
      <c r="Y76" s="6" t="e">
        <v>#N/A</v>
      </c>
      <c r="Z76" s="6" t="e">
        <v>#N/A</v>
      </c>
      <c r="AA76" s="6" t="e">
        <v>#N/A</v>
      </c>
      <c r="AD76" s="6" t="e">
        <v>#N/A</v>
      </c>
      <c r="AE76" s="6" t="e">
        <v>#N/A</v>
      </c>
      <c r="AG76" s="6" t="e">
        <v>#N/A</v>
      </c>
      <c r="AY76" s="8" t="s">
        <v>176</v>
      </c>
      <c r="AZ76" s="8" t="s">
        <v>195</v>
      </c>
      <c r="BA76" s="13" t="s">
        <v>656</v>
      </c>
      <c r="BB76" s="13" t="s">
        <v>7</v>
      </c>
      <c r="BC76" s="13">
        <v>3</v>
      </c>
      <c r="BD76" s="13">
        <v>4</v>
      </c>
      <c r="DC76" s="6" t="s">
        <v>644</v>
      </c>
      <c r="DD76" s="6" t="s">
        <v>177</v>
      </c>
      <c r="DH76" s="6" t="str">
        <f t="shared" si="32"/>
        <v>A2</v>
      </c>
      <c r="DI76" s="6" t="str">
        <f t="shared" si="33"/>
        <v>B2</v>
      </c>
      <c r="DK76" s="6" t="s">
        <v>173</v>
      </c>
      <c r="DL76" s="6" t="str">
        <f t="shared" si="34"/>
        <v>CN2</v>
      </c>
      <c r="DO76" s="9" t="s">
        <v>170</v>
      </c>
      <c r="DP76" s="6" t="s">
        <v>171</v>
      </c>
      <c r="DQ76" s="6" t="s">
        <v>645</v>
      </c>
      <c r="DS76" s="6" t="str">
        <f t="shared" si="35"/>
        <v>AKB331</v>
      </c>
      <c r="DT76" s="10" t="str">
        <f t="shared" si="36"/>
        <v>FCS0111-2-5/1S–MC–127-F1-CN1</v>
      </c>
      <c r="DU76" s="6" t="str">
        <f t="shared" si="37"/>
        <v>FCS0111-2-5/1S–MC–127-F1-CN2</v>
      </c>
      <c r="DV76" s="19">
        <v>1</v>
      </c>
      <c r="DW76" s="20" t="str">
        <f t="shared" si="38"/>
        <v>11</v>
      </c>
      <c r="DX76" s="21">
        <v>2</v>
      </c>
      <c r="DY76" s="22">
        <v>5</v>
      </c>
      <c r="DZ76" s="23">
        <v>6</v>
      </c>
      <c r="EA76" s="23">
        <v>2</v>
      </c>
      <c r="ED76" s="9" t="str">
        <f t="shared" si="39"/>
        <v>ANB10D</v>
      </c>
      <c r="EF76" s="6" t="s">
        <v>647</v>
      </c>
      <c r="EH76" s="6" t="s">
        <v>657</v>
      </c>
      <c r="EI76" s="6" t="s">
        <v>658</v>
      </c>
      <c r="EJ76" s="12">
        <v>100</v>
      </c>
      <c r="EN76" s="12" t="s">
        <v>1116</v>
      </c>
      <c r="EP76" s="6" t="s">
        <v>1148</v>
      </c>
      <c r="ET76" s="6" t="str">
        <f t="shared" si="40"/>
        <v>짝수</v>
      </c>
      <c r="EU76" s="12">
        <v>22</v>
      </c>
      <c r="EV76" s="45" t="str">
        <f t="shared" ca="1" si="49"/>
        <v>B</v>
      </c>
      <c r="EW76" s="6">
        <f t="shared" ca="1" si="41"/>
        <v>66</v>
      </c>
      <c r="FR76" s="6">
        <v>1</v>
      </c>
      <c r="FS76" s="6" t="str">
        <f t="shared" si="42"/>
        <v/>
      </c>
      <c r="FT76" s="6">
        <f t="shared" si="43"/>
        <v>1</v>
      </c>
      <c r="FU76" s="6" t="str">
        <f t="shared" ca="1" si="50"/>
        <v/>
      </c>
      <c r="FV76" s="6" t="str">
        <f t="shared" ca="1" si="44"/>
        <v/>
      </c>
      <c r="FW76" s="6" t="str">
        <f t="shared" ca="1" si="45"/>
        <v>F1-11</v>
      </c>
      <c r="FX76" s="6" t="str">
        <f t="shared" ca="1" si="46"/>
        <v>F1-12</v>
      </c>
      <c r="FY76" s="6" t="str">
        <f t="shared" ca="1" si="47"/>
        <v>F1-21</v>
      </c>
      <c r="FZ76" s="6" t="str">
        <f t="shared" ca="1" si="48"/>
        <v>F1-22</v>
      </c>
    </row>
    <row r="77" spans="1:182" ht="15.95" customHeight="1">
      <c r="A77" s="6">
        <v>99</v>
      </c>
      <c r="B77" s="6" t="s">
        <v>175</v>
      </c>
      <c r="E77" s="6" t="s">
        <v>659</v>
      </c>
      <c r="F77" s="6" t="s">
        <v>1325</v>
      </c>
      <c r="G77" s="6" t="s">
        <v>1290</v>
      </c>
      <c r="H77" s="7" t="s">
        <v>1291</v>
      </c>
      <c r="I77" s="7"/>
      <c r="J77" s="6" t="e">
        <v>#N/A</v>
      </c>
      <c r="K77" s="6" t="e">
        <v>#N/A</v>
      </c>
      <c r="N77" s="6" t="e">
        <v>#N/A</v>
      </c>
      <c r="O77" s="6" t="e">
        <v>#N/A</v>
      </c>
      <c r="R77" s="101" t="e">
        <v>#N/A</v>
      </c>
      <c r="Y77" s="6" t="e">
        <v>#N/A</v>
      </c>
      <c r="Z77" s="6" t="e">
        <v>#N/A</v>
      </c>
      <c r="AA77" s="6" t="e">
        <v>#N/A</v>
      </c>
      <c r="AD77" s="6" t="e">
        <v>#N/A</v>
      </c>
      <c r="AE77" s="6" t="e">
        <v>#N/A</v>
      </c>
      <c r="AG77" s="6" t="e">
        <v>#N/A</v>
      </c>
      <c r="AY77" s="8" t="s">
        <v>176</v>
      </c>
      <c r="AZ77" s="8" t="s">
        <v>195</v>
      </c>
      <c r="BA77" s="13" t="s">
        <v>656</v>
      </c>
      <c r="BB77" s="13" t="s">
        <v>7</v>
      </c>
      <c r="BC77" s="13">
        <v>5</v>
      </c>
      <c r="BD77" s="13">
        <v>6</v>
      </c>
      <c r="DC77" s="6" t="s">
        <v>644</v>
      </c>
      <c r="DD77" s="6" t="s">
        <v>177</v>
      </c>
      <c r="DH77" s="6" t="str">
        <f t="shared" si="32"/>
        <v>A3</v>
      </c>
      <c r="DI77" s="6" t="str">
        <f t="shared" si="33"/>
        <v>B3</v>
      </c>
      <c r="DK77" s="6" t="s">
        <v>173</v>
      </c>
      <c r="DL77" s="6" t="str">
        <f t="shared" si="34"/>
        <v>CN2</v>
      </c>
      <c r="DO77" s="9" t="s">
        <v>170</v>
      </c>
      <c r="DP77" s="6" t="s">
        <v>171</v>
      </c>
      <c r="DQ77" s="6" t="s">
        <v>645</v>
      </c>
      <c r="DS77" s="6" t="str">
        <f t="shared" si="35"/>
        <v>AKB331</v>
      </c>
      <c r="DT77" s="10" t="str">
        <f t="shared" si="36"/>
        <v>FCS0111-2-5/1S–MC–127-F1-CN1</v>
      </c>
      <c r="DU77" s="6" t="str">
        <f t="shared" si="37"/>
        <v>FCS0111-2-5/1S–MC–127-F1-CN2</v>
      </c>
      <c r="DV77" s="19">
        <v>1</v>
      </c>
      <c r="DW77" s="20" t="str">
        <f t="shared" si="38"/>
        <v>11</v>
      </c>
      <c r="DX77" s="21">
        <v>2</v>
      </c>
      <c r="DY77" s="22">
        <v>5</v>
      </c>
      <c r="DZ77" s="23">
        <v>6</v>
      </c>
      <c r="EA77" s="23">
        <v>3</v>
      </c>
      <c r="ED77" s="9" t="str">
        <f t="shared" si="39"/>
        <v>ANB10D</v>
      </c>
      <c r="EF77" s="6" t="s">
        <v>647</v>
      </c>
      <c r="EH77" s="6" t="s">
        <v>659</v>
      </c>
      <c r="EI77" s="6" t="s">
        <v>658</v>
      </c>
      <c r="EJ77" s="12">
        <v>100</v>
      </c>
      <c r="EN77" s="12" t="s">
        <v>1116</v>
      </c>
      <c r="EP77" s="6" t="s">
        <v>1148</v>
      </c>
      <c r="ET77" s="6" t="str">
        <f t="shared" si="40"/>
        <v>짝수</v>
      </c>
      <c r="EU77" s="12">
        <v>22</v>
      </c>
      <c r="EV77" s="45" t="str">
        <f t="shared" ca="1" si="49"/>
        <v>C</v>
      </c>
      <c r="EW77" s="6">
        <f t="shared" ca="1" si="41"/>
        <v>67</v>
      </c>
      <c r="FR77" s="6">
        <v>1</v>
      </c>
      <c r="FS77" s="6" t="str">
        <f t="shared" si="42"/>
        <v/>
      </c>
      <c r="FT77" s="6">
        <f t="shared" si="43"/>
        <v>1</v>
      </c>
      <c r="FU77" s="6" t="str">
        <f t="shared" ca="1" si="50"/>
        <v/>
      </c>
      <c r="FV77" s="6" t="str">
        <f t="shared" ca="1" si="44"/>
        <v/>
      </c>
      <c r="FW77" s="6" t="str">
        <f t="shared" ca="1" si="45"/>
        <v>F1-11</v>
      </c>
      <c r="FX77" s="6" t="str">
        <f t="shared" ca="1" si="46"/>
        <v>F1-12</v>
      </c>
      <c r="FY77" s="6" t="str">
        <f t="shared" ca="1" si="47"/>
        <v>F1-21</v>
      </c>
      <c r="FZ77" s="6" t="str">
        <f t="shared" ca="1" si="48"/>
        <v>F1-22</v>
      </c>
    </row>
    <row r="78" spans="1:182" ht="15.95" customHeight="1">
      <c r="A78" s="6">
        <v>100</v>
      </c>
      <c r="B78" s="6" t="s">
        <v>175</v>
      </c>
      <c r="E78" s="6" t="s">
        <v>660</v>
      </c>
      <c r="F78" s="6" t="s">
        <v>1326</v>
      </c>
      <c r="G78" s="6" t="s">
        <v>1290</v>
      </c>
      <c r="H78" s="7" t="s">
        <v>1291</v>
      </c>
      <c r="I78" s="7"/>
      <c r="J78" s="6" t="e">
        <v>#N/A</v>
      </c>
      <c r="K78" s="6" t="e">
        <v>#N/A</v>
      </c>
      <c r="N78" s="6" t="e">
        <v>#N/A</v>
      </c>
      <c r="O78" s="6" t="e">
        <v>#N/A</v>
      </c>
      <c r="R78" s="101" t="e">
        <v>#N/A</v>
      </c>
      <c r="Y78" s="6" t="e">
        <v>#N/A</v>
      </c>
      <c r="Z78" s="6" t="e">
        <v>#N/A</v>
      </c>
      <c r="AA78" s="6" t="e">
        <v>#N/A</v>
      </c>
      <c r="AD78" s="6" t="e">
        <v>#N/A</v>
      </c>
      <c r="AE78" s="6" t="e">
        <v>#N/A</v>
      </c>
      <c r="AG78" s="6" t="e">
        <v>#N/A</v>
      </c>
      <c r="AY78" s="8" t="s">
        <v>176</v>
      </c>
      <c r="AZ78" s="8" t="s">
        <v>195</v>
      </c>
      <c r="BA78" s="13" t="s">
        <v>656</v>
      </c>
      <c r="BB78" s="13" t="s">
        <v>7</v>
      </c>
      <c r="BC78" s="13">
        <v>7</v>
      </c>
      <c r="BD78" s="13">
        <v>8</v>
      </c>
      <c r="DC78" s="6" t="s">
        <v>644</v>
      </c>
      <c r="DD78" s="6" t="s">
        <v>177</v>
      </c>
      <c r="DH78" s="6" t="str">
        <f t="shared" si="32"/>
        <v>A4</v>
      </c>
      <c r="DI78" s="6" t="str">
        <f t="shared" si="33"/>
        <v>B4</v>
      </c>
      <c r="DK78" s="6" t="s">
        <v>173</v>
      </c>
      <c r="DL78" s="6" t="str">
        <f t="shared" si="34"/>
        <v>CN2</v>
      </c>
      <c r="DO78" s="9" t="s">
        <v>170</v>
      </c>
      <c r="DP78" s="6" t="s">
        <v>171</v>
      </c>
      <c r="DQ78" s="6" t="s">
        <v>645</v>
      </c>
      <c r="DS78" s="6" t="str">
        <f t="shared" si="35"/>
        <v>AKB331</v>
      </c>
      <c r="DT78" s="10" t="str">
        <f t="shared" si="36"/>
        <v>FCS0111-2-5/1S–MC–127-F1-CN1</v>
      </c>
      <c r="DU78" s="6" t="str">
        <f t="shared" si="37"/>
        <v>FCS0111-2-5/1S–MC–127-F1-CN2</v>
      </c>
      <c r="DV78" s="19">
        <v>1</v>
      </c>
      <c r="DW78" s="20" t="str">
        <f t="shared" si="38"/>
        <v>11</v>
      </c>
      <c r="DX78" s="21">
        <v>2</v>
      </c>
      <c r="DY78" s="22">
        <v>5</v>
      </c>
      <c r="DZ78" s="23">
        <v>6</v>
      </c>
      <c r="EA78" s="23">
        <v>4</v>
      </c>
      <c r="ED78" s="9" t="str">
        <f t="shared" si="39"/>
        <v>ANB10D</v>
      </c>
      <c r="EF78" s="6" t="s">
        <v>647</v>
      </c>
      <c r="EH78" s="6" t="s">
        <v>660</v>
      </c>
      <c r="EI78" s="6" t="s">
        <v>658</v>
      </c>
      <c r="EJ78" s="12">
        <v>100</v>
      </c>
      <c r="EN78" s="12" t="s">
        <v>1116</v>
      </c>
      <c r="EP78" s="6" t="s">
        <v>1148</v>
      </c>
      <c r="ET78" s="6" t="str">
        <f t="shared" si="40"/>
        <v>짝수</v>
      </c>
      <c r="EU78" s="12">
        <v>22</v>
      </c>
      <c r="EV78" s="45" t="str">
        <f t="shared" ca="1" si="49"/>
        <v>D</v>
      </c>
      <c r="EW78" s="6">
        <f t="shared" ca="1" si="41"/>
        <v>68</v>
      </c>
      <c r="FR78" s="6">
        <v>1</v>
      </c>
      <c r="FS78" s="6" t="str">
        <f t="shared" si="42"/>
        <v/>
      </c>
      <c r="FT78" s="6">
        <f t="shared" si="43"/>
        <v>1</v>
      </c>
      <c r="FU78" s="6" t="str">
        <f t="shared" ca="1" si="50"/>
        <v/>
      </c>
      <c r="FV78" s="6" t="str">
        <f t="shared" ca="1" si="44"/>
        <v/>
      </c>
      <c r="FW78" s="6" t="str">
        <f t="shared" ca="1" si="45"/>
        <v>F1-11</v>
      </c>
      <c r="FX78" s="6" t="str">
        <f t="shared" ca="1" si="46"/>
        <v>F1-12</v>
      </c>
      <c r="FY78" s="6" t="str">
        <f t="shared" ca="1" si="47"/>
        <v>F1-21</v>
      </c>
      <c r="FZ78" s="6" t="str">
        <f t="shared" ca="1" si="48"/>
        <v>F1-22</v>
      </c>
    </row>
    <row r="79" spans="1:182" ht="15.95" customHeight="1">
      <c r="A79" s="6">
        <v>101</v>
      </c>
      <c r="B79" s="6" t="s">
        <v>175</v>
      </c>
      <c r="E79" s="6" t="s">
        <v>661</v>
      </c>
      <c r="F79" s="6" t="s">
        <v>1327</v>
      </c>
      <c r="G79" s="6" t="s">
        <v>1290</v>
      </c>
      <c r="H79" s="7" t="s">
        <v>1291</v>
      </c>
      <c r="I79" s="7"/>
      <c r="J79" s="6" t="e">
        <v>#N/A</v>
      </c>
      <c r="K79" s="6" t="e">
        <v>#N/A</v>
      </c>
      <c r="N79" s="6" t="e">
        <v>#N/A</v>
      </c>
      <c r="O79" s="6" t="e">
        <v>#N/A</v>
      </c>
      <c r="R79" s="101" t="e">
        <v>#N/A</v>
      </c>
      <c r="Y79" s="6" t="e">
        <v>#N/A</v>
      </c>
      <c r="Z79" s="6" t="e">
        <v>#N/A</v>
      </c>
      <c r="AA79" s="6" t="e">
        <v>#N/A</v>
      </c>
      <c r="AD79" s="6" t="e">
        <v>#N/A</v>
      </c>
      <c r="AE79" s="6" t="e">
        <v>#N/A</v>
      </c>
      <c r="AG79" s="6" t="e">
        <v>#N/A</v>
      </c>
      <c r="AY79" s="8" t="s">
        <v>176</v>
      </c>
      <c r="AZ79" s="8" t="s">
        <v>195</v>
      </c>
      <c r="BA79" s="13" t="s">
        <v>656</v>
      </c>
      <c r="BB79" s="13" t="s">
        <v>7</v>
      </c>
      <c r="BC79" s="13">
        <v>9</v>
      </c>
      <c r="BD79" s="13">
        <v>10</v>
      </c>
      <c r="DC79" s="6" t="s">
        <v>644</v>
      </c>
      <c r="DD79" s="6" t="s">
        <v>177</v>
      </c>
      <c r="DH79" s="6" t="str">
        <f t="shared" si="32"/>
        <v>A5</v>
      </c>
      <c r="DI79" s="6" t="str">
        <f t="shared" si="33"/>
        <v>B5</v>
      </c>
      <c r="DK79" s="6" t="s">
        <v>173</v>
      </c>
      <c r="DL79" s="6" t="str">
        <f t="shared" si="34"/>
        <v>CN2</v>
      </c>
      <c r="DO79" s="9" t="s">
        <v>170</v>
      </c>
      <c r="DP79" s="6" t="s">
        <v>171</v>
      </c>
      <c r="DQ79" s="6" t="s">
        <v>645</v>
      </c>
      <c r="DS79" s="6" t="str">
        <f t="shared" si="35"/>
        <v>AKB331</v>
      </c>
      <c r="DT79" s="10" t="str">
        <f t="shared" si="36"/>
        <v>FCS0111-2-5/1S–MC–127-F1-CN1</v>
      </c>
      <c r="DU79" s="6" t="str">
        <f t="shared" si="37"/>
        <v>FCS0111-2-5/1S–MC–127-F1-CN2</v>
      </c>
      <c r="DV79" s="19">
        <v>1</v>
      </c>
      <c r="DW79" s="20" t="str">
        <f t="shared" si="38"/>
        <v>11</v>
      </c>
      <c r="DX79" s="21">
        <v>2</v>
      </c>
      <c r="DY79" s="22">
        <v>5</v>
      </c>
      <c r="DZ79" s="23">
        <v>6</v>
      </c>
      <c r="EA79" s="23">
        <v>5</v>
      </c>
      <c r="ED79" s="9" t="str">
        <f t="shared" si="39"/>
        <v>ANB10D</v>
      </c>
      <c r="EF79" s="6" t="s">
        <v>647</v>
      </c>
      <c r="EH79" s="6" t="s">
        <v>661</v>
      </c>
      <c r="EI79" s="6" t="s">
        <v>658</v>
      </c>
      <c r="EJ79" s="12">
        <v>100</v>
      </c>
      <c r="EN79" s="12" t="s">
        <v>1116</v>
      </c>
      <c r="EP79" s="6" t="s">
        <v>1148</v>
      </c>
      <c r="ET79" s="6" t="str">
        <f t="shared" si="40"/>
        <v>홀수</v>
      </c>
      <c r="EU79" s="12">
        <v>23</v>
      </c>
      <c r="EV79" s="45" t="str">
        <f t="shared" ca="1" si="49"/>
        <v>A</v>
      </c>
      <c r="EW79" s="6">
        <f t="shared" ca="1" si="41"/>
        <v>65</v>
      </c>
      <c r="FR79" s="6">
        <v>1</v>
      </c>
      <c r="FS79" s="6" t="str">
        <f t="shared" si="42"/>
        <v/>
      </c>
      <c r="FT79" s="6">
        <f t="shared" si="43"/>
        <v>1</v>
      </c>
      <c r="FU79" s="6" t="str">
        <f t="shared" ca="1" si="50"/>
        <v/>
      </c>
      <c r="FV79" s="6" t="str">
        <f t="shared" ca="1" si="44"/>
        <v/>
      </c>
      <c r="FW79" s="6" t="str">
        <f t="shared" ca="1" si="45"/>
        <v>F1-11</v>
      </c>
      <c r="FX79" s="6" t="str">
        <f t="shared" ca="1" si="46"/>
        <v>F1-12</v>
      </c>
      <c r="FY79" s="6" t="str">
        <f t="shared" ca="1" si="47"/>
        <v>F1-21</v>
      </c>
      <c r="FZ79" s="6" t="str">
        <f t="shared" ca="1" si="48"/>
        <v>F1-22</v>
      </c>
    </row>
    <row r="80" spans="1:182" ht="15.95" customHeight="1">
      <c r="A80" s="6">
        <v>102</v>
      </c>
      <c r="B80" s="6" t="s">
        <v>175</v>
      </c>
      <c r="E80" s="6" t="s">
        <v>662</v>
      </c>
      <c r="F80" s="6" t="s">
        <v>1328</v>
      </c>
      <c r="G80" s="6" t="s">
        <v>1290</v>
      </c>
      <c r="H80" s="7" t="s">
        <v>1291</v>
      </c>
      <c r="I80" s="7"/>
      <c r="J80" s="6" t="e">
        <v>#N/A</v>
      </c>
      <c r="K80" s="6" t="e">
        <v>#N/A</v>
      </c>
      <c r="N80" s="6" t="e">
        <v>#N/A</v>
      </c>
      <c r="O80" s="6" t="e">
        <v>#N/A</v>
      </c>
      <c r="R80" s="101" t="e">
        <v>#N/A</v>
      </c>
      <c r="Y80" s="6" t="e">
        <v>#N/A</v>
      </c>
      <c r="Z80" s="6" t="e">
        <v>#N/A</v>
      </c>
      <c r="AA80" s="6" t="e">
        <v>#N/A</v>
      </c>
      <c r="AD80" s="6" t="e">
        <v>#N/A</v>
      </c>
      <c r="AE80" s="6" t="e">
        <v>#N/A</v>
      </c>
      <c r="AG80" s="6" t="e">
        <v>#N/A</v>
      </c>
      <c r="AY80" s="8" t="s">
        <v>176</v>
      </c>
      <c r="AZ80" s="8" t="s">
        <v>195</v>
      </c>
      <c r="BA80" s="13" t="s">
        <v>656</v>
      </c>
      <c r="BB80" s="13" t="s">
        <v>7</v>
      </c>
      <c r="BC80" s="13">
        <v>11</v>
      </c>
      <c r="BD80" s="13">
        <v>12</v>
      </c>
      <c r="DC80" s="6" t="s">
        <v>644</v>
      </c>
      <c r="DD80" s="6" t="s">
        <v>177</v>
      </c>
      <c r="DH80" s="6" t="str">
        <f t="shared" si="32"/>
        <v>A6</v>
      </c>
      <c r="DI80" s="6" t="str">
        <f t="shared" si="33"/>
        <v>B6</v>
      </c>
      <c r="DK80" s="6" t="s">
        <v>173</v>
      </c>
      <c r="DL80" s="6" t="str">
        <f t="shared" si="34"/>
        <v>CN2</v>
      </c>
      <c r="DO80" s="9" t="s">
        <v>170</v>
      </c>
      <c r="DP80" s="6" t="s">
        <v>171</v>
      </c>
      <c r="DQ80" s="6" t="s">
        <v>645</v>
      </c>
      <c r="DS80" s="6" t="str">
        <f t="shared" si="35"/>
        <v>AKB331</v>
      </c>
      <c r="DT80" s="10" t="str">
        <f t="shared" si="36"/>
        <v>FCS0111-2-5/1S–MC–127-F1-CN1</v>
      </c>
      <c r="DU80" s="6" t="str">
        <f t="shared" si="37"/>
        <v>FCS0111-2-5/1S–MC–127-F1-CN2</v>
      </c>
      <c r="DV80" s="19">
        <v>1</v>
      </c>
      <c r="DW80" s="20" t="str">
        <f t="shared" si="38"/>
        <v>11</v>
      </c>
      <c r="DX80" s="21">
        <v>2</v>
      </c>
      <c r="DY80" s="22">
        <v>5</v>
      </c>
      <c r="DZ80" s="23">
        <v>6</v>
      </c>
      <c r="EA80" s="23">
        <v>6</v>
      </c>
      <c r="ED80" s="9" t="str">
        <f t="shared" si="39"/>
        <v>ANB10D</v>
      </c>
      <c r="EF80" s="6" t="s">
        <v>647</v>
      </c>
      <c r="EH80" s="6" t="s">
        <v>662</v>
      </c>
      <c r="EI80" s="6" t="s">
        <v>412</v>
      </c>
      <c r="EJ80" s="12">
        <v>100</v>
      </c>
      <c r="EN80" s="12" t="s">
        <v>1116</v>
      </c>
      <c r="EP80" s="6" t="s">
        <v>1148</v>
      </c>
      <c r="ET80" s="6" t="str">
        <f t="shared" si="40"/>
        <v>홀수</v>
      </c>
      <c r="EU80" s="12">
        <v>23</v>
      </c>
      <c r="EV80" s="45" t="str">
        <f t="shared" ca="1" si="49"/>
        <v>B</v>
      </c>
      <c r="EW80" s="6">
        <f t="shared" ca="1" si="41"/>
        <v>66</v>
      </c>
      <c r="FR80" s="6">
        <v>1</v>
      </c>
      <c r="FS80" s="6" t="str">
        <f t="shared" si="42"/>
        <v/>
      </c>
      <c r="FT80" s="6">
        <f t="shared" si="43"/>
        <v>1</v>
      </c>
      <c r="FU80" s="6" t="str">
        <f t="shared" ca="1" si="50"/>
        <v/>
      </c>
      <c r="FV80" s="6" t="str">
        <f t="shared" ca="1" si="44"/>
        <v/>
      </c>
      <c r="FW80" s="6" t="str">
        <f t="shared" ca="1" si="45"/>
        <v>F1-11</v>
      </c>
      <c r="FX80" s="6" t="str">
        <f t="shared" ca="1" si="46"/>
        <v>F1-12</v>
      </c>
      <c r="FY80" s="6" t="str">
        <f t="shared" ca="1" si="47"/>
        <v>F1-21</v>
      </c>
      <c r="FZ80" s="6" t="str">
        <f t="shared" ca="1" si="48"/>
        <v>F1-22</v>
      </c>
    </row>
    <row r="81" spans="1:182" ht="15.95" customHeight="1">
      <c r="A81" s="6">
        <v>103</v>
      </c>
      <c r="B81" s="6" t="s">
        <v>175</v>
      </c>
      <c r="E81" s="6" t="s">
        <v>663</v>
      </c>
      <c r="F81" s="6" t="s">
        <v>1329</v>
      </c>
      <c r="G81" s="6" t="s">
        <v>1290</v>
      </c>
      <c r="H81" s="7" t="s">
        <v>1291</v>
      </c>
      <c r="I81" s="7"/>
      <c r="J81" s="6" t="e">
        <v>#N/A</v>
      </c>
      <c r="K81" s="6" t="e">
        <v>#N/A</v>
      </c>
      <c r="N81" s="6" t="e">
        <v>#N/A</v>
      </c>
      <c r="O81" s="6" t="e">
        <v>#N/A</v>
      </c>
      <c r="R81" s="101" t="e">
        <v>#N/A</v>
      </c>
      <c r="Y81" s="6" t="e">
        <v>#N/A</v>
      </c>
      <c r="Z81" s="6" t="e">
        <v>#N/A</v>
      </c>
      <c r="AA81" s="6" t="e">
        <v>#N/A</v>
      </c>
      <c r="AD81" s="6" t="e">
        <v>#N/A</v>
      </c>
      <c r="AE81" s="6" t="e">
        <v>#N/A</v>
      </c>
      <c r="AG81" s="6" t="e">
        <v>#N/A</v>
      </c>
      <c r="AY81" s="8" t="s">
        <v>176</v>
      </c>
      <c r="AZ81" s="8" t="s">
        <v>195</v>
      </c>
      <c r="BA81" s="13" t="s">
        <v>656</v>
      </c>
      <c r="BB81" s="13" t="s">
        <v>7</v>
      </c>
      <c r="BC81" s="13">
        <v>13</v>
      </c>
      <c r="BD81" s="13">
        <v>14</v>
      </c>
      <c r="DC81" s="6" t="s">
        <v>644</v>
      </c>
      <c r="DD81" s="6" t="s">
        <v>177</v>
      </c>
      <c r="DH81" s="6" t="str">
        <f t="shared" si="32"/>
        <v>A7</v>
      </c>
      <c r="DI81" s="6" t="str">
        <f t="shared" si="33"/>
        <v>B7</v>
      </c>
      <c r="DK81" s="6" t="s">
        <v>173</v>
      </c>
      <c r="DL81" s="6" t="str">
        <f t="shared" si="34"/>
        <v>CN2</v>
      </c>
      <c r="DO81" s="9" t="s">
        <v>170</v>
      </c>
      <c r="DP81" s="6" t="s">
        <v>171</v>
      </c>
      <c r="DQ81" s="6" t="s">
        <v>645</v>
      </c>
      <c r="DS81" s="6" t="str">
        <f t="shared" si="35"/>
        <v>AKB331</v>
      </c>
      <c r="DT81" s="10" t="str">
        <f t="shared" si="36"/>
        <v>FCS0111-2-5/1S–MC–127-F1-CN1</v>
      </c>
      <c r="DU81" s="6" t="str">
        <f t="shared" si="37"/>
        <v>FCS0111-2-5/1S–MC–127-F1-CN2</v>
      </c>
      <c r="DV81" s="19">
        <v>1</v>
      </c>
      <c r="DW81" s="20" t="str">
        <f t="shared" si="38"/>
        <v>11</v>
      </c>
      <c r="DX81" s="21">
        <v>2</v>
      </c>
      <c r="DY81" s="22">
        <v>5</v>
      </c>
      <c r="DZ81" s="23">
        <v>6</v>
      </c>
      <c r="EA81" s="23">
        <v>7</v>
      </c>
      <c r="ED81" s="9" t="str">
        <f t="shared" si="39"/>
        <v>ANB10D</v>
      </c>
      <c r="EF81" s="6" t="s">
        <v>647</v>
      </c>
      <c r="EH81" s="6" t="s">
        <v>663</v>
      </c>
      <c r="EI81" s="6" t="s">
        <v>412</v>
      </c>
      <c r="EJ81" s="12">
        <v>100</v>
      </c>
      <c r="EN81" s="12" t="s">
        <v>1116</v>
      </c>
      <c r="EP81" s="6" t="s">
        <v>1148</v>
      </c>
      <c r="ET81" s="6" t="str">
        <f t="shared" si="40"/>
        <v>홀수</v>
      </c>
      <c r="EU81" s="12">
        <v>23</v>
      </c>
      <c r="EV81" s="45" t="str">
        <f t="shared" ca="1" si="49"/>
        <v>C</v>
      </c>
      <c r="EW81" s="6">
        <f t="shared" ca="1" si="41"/>
        <v>67</v>
      </c>
      <c r="FR81" s="6">
        <v>1</v>
      </c>
      <c r="FS81" s="6" t="str">
        <f t="shared" si="42"/>
        <v/>
      </c>
      <c r="FT81" s="6">
        <f t="shared" si="43"/>
        <v>1</v>
      </c>
      <c r="FU81" s="6" t="str">
        <f t="shared" ca="1" si="50"/>
        <v/>
      </c>
      <c r="FV81" s="6" t="str">
        <f t="shared" ca="1" si="44"/>
        <v/>
      </c>
      <c r="FW81" s="6" t="str">
        <f t="shared" ca="1" si="45"/>
        <v>F1-11</v>
      </c>
      <c r="FX81" s="6" t="str">
        <f t="shared" ca="1" si="46"/>
        <v>F1-12</v>
      </c>
      <c r="FY81" s="6" t="str">
        <f t="shared" ca="1" si="47"/>
        <v>F1-21</v>
      </c>
      <c r="FZ81" s="6" t="str">
        <f t="shared" ca="1" si="48"/>
        <v>F1-22</v>
      </c>
    </row>
    <row r="82" spans="1:182" ht="15.95" customHeight="1">
      <c r="A82" s="6">
        <v>104</v>
      </c>
      <c r="B82" s="6" t="s">
        <v>175</v>
      </c>
      <c r="E82" s="6" t="s">
        <v>664</v>
      </c>
      <c r="F82" s="6" t="s">
        <v>1330</v>
      </c>
      <c r="G82" s="6" t="s">
        <v>1290</v>
      </c>
      <c r="H82" s="7" t="s">
        <v>1291</v>
      </c>
      <c r="I82" s="7"/>
      <c r="J82" s="6" t="e">
        <v>#N/A</v>
      </c>
      <c r="K82" s="6" t="e">
        <v>#N/A</v>
      </c>
      <c r="N82" s="6" t="e">
        <v>#N/A</v>
      </c>
      <c r="O82" s="6" t="e">
        <v>#N/A</v>
      </c>
      <c r="R82" s="101" t="e">
        <v>#N/A</v>
      </c>
      <c r="Y82" s="6" t="e">
        <v>#N/A</v>
      </c>
      <c r="Z82" s="6" t="e">
        <v>#N/A</v>
      </c>
      <c r="AA82" s="6" t="e">
        <v>#N/A</v>
      </c>
      <c r="AD82" s="6" t="e">
        <v>#N/A</v>
      </c>
      <c r="AE82" s="6" t="e">
        <v>#N/A</v>
      </c>
      <c r="AG82" s="6" t="e">
        <v>#N/A</v>
      </c>
      <c r="AY82" s="8" t="s">
        <v>176</v>
      </c>
      <c r="AZ82" s="8" t="s">
        <v>195</v>
      </c>
      <c r="BA82" s="13" t="s">
        <v>656</v>
      </c>
      <c r="BB82" s="13" t="s">
        <v>7</v>
      </c>
      <c r="BC82" s="13">
        <v>15</v>
      </c>
      <c r="BD82" s="13">
        <v>16</v>
      </c>
      <c r="DC82" s="6" t="s">
        <v>644</v>
      </c>
      <c r="DD82" s="6" t="s">
        <v>177</v>
      </c>
      <c r="DH82" s="6" t="str">
        <f t="shared" si="32"/>
        <v>A8</v>
      </c>
      <c r="DI82" s="6" t="str">
        <f t="shared" si="33"/>
        <v>B8</v>
      </c>
      <c r="DK82" s="6" t="s">
        <v>173</v>
      </c>
      <c r="DL82" s="6" t="str">
        <f t="shared" si="34"/>
        <v>CN2</v>
      </c>
      <c r="DO82" s="9" t="s">
        <v>170</v>
      </c>
      <c r="DP82" s="6" t="s">
        <v>171</v>
      </c>
      <c r="DQ82" s="6" t="s">
        <v>645</v>
      </c>
      <c r="DS82" s="6" t="str">
        <f t="shared" si="35"/>
        <v>AKB331</v>
      </c>
      <c r="DT82" s="10" t="str">
        <f t="shared" si="36"/>
        <v>FCS0111-2-5/1S–MC–127-F1-CN1</v>
      </c>
      <c r="DU82" s="6" t="str">
        <f t="shared" si="37"/>
        <v>FCS0111-2-5/1S–MC–127-F1-CN2</v>
      </c>
      <c r="DV82" s="19">
        <v>1</v>
      </c>
      <c r="DW82" s="20" t="str">
        <f t="shared" si="38"/>
        <v>11</v>
      </c>
      <c r="DX82" s="21">
        <v>2</v>
      </c>
      <c r="DY82" s="22">
        <v>5</v>
      </c>
      <c r="DZ82" s="23">
        <v>6</v>
      </c>
      <c r="EA82" s="23">
        <v>8</v>
      </c>
      <c r="ED82" s="9" t="str">
        <f t="shared" si="39"/>
        <v>ANB10D</v>
      </c>
      <c r="EF82" s="6" t="s">
        <v>647</v>
      </c>
      <c r="EH82" s="6" t="s">
        <v>664</v>
      </c>
      <c r="EI82" s="6" t="s">
        <v>412</v>
      </c>
      <c r="EJ82" s="12">
        <v>100</v>
      </c>
      <c r="EN82" s="12" t="s">
        <v>1116</v>
      </c>
      <c r="EP82" s="6" t="s">
        <v>1148</v>
      </c>
      <c r="ET82" s="6" t="str">
        <f t="shared" si="40"/>
        <v>홀수</v>
      </c>
      <c r="EU82" s="12">
        <v>23</v>
      </c>
      <c r="EV82" s="45" t="str">
        <f t="shared" ca="1" si="49"/>
        <v>D</v>
      </c>
      <c r="EW82" s="6">
        <f t="shared" ca="1" si="41"/>
        <v>68</v>
      </c>
      <c r="FR82" s="6">
        <v>1</v>
      </c>
      <c r="FS82" s="6" t="str">
        <f t="shared" si="42"/>
        <v/>
      </c>
      <c r="FT82" s="6">
        <f t="shared" si="43"/>
        <v>1</v>
      </c>
      <c r="FU82" s="6" t="str">
        <f t="shared" ca="1" si="50"/>
        <v/>
      </c>
      <c r="FV82" s="6" t="str">
        <f t="shared" ca="1" si="44"/>
        <v/>
      </c>
      <c r="FW82" s="6" t="str">
        <f t="shared" ca="1" si="45"/>
        <v>F1-11</v>
      </c>
      <c r="FX82" s="6" t="str">
        <f t="shared" ca="1" si="46"/>
        <v>F1-12</v>
      </c>
      <c r="FY82" s="6" t="str">
        <f t="shared" ca="1" si="47"/>
        <v>F1-21</v>
      </c>
      <c r="FZ82" s="6" t="str">
        <f t="shared" ca="1" si="48"/>
        <v>F1-22</v>
      </c>
    </row>
    <row r="83" spans="1:182" ht="15.95" customHeight="1">
      <c r="A83" s="6">
        <v>105</v>
      </c>
      <c r="B83" s="6" t="s">
        <v>175</v>
      </c>
      <c r="E83" s="6" t="s">
        <v>665</v>
      </c>
      <c r="F83" s="6" t="s">
        <v>1331</v>
      </c>
      <c r="G83" s="6" t="s">
        <v>1290</v>
      </c>
      <c r="H83" s="7" t="s">
        <v>1291</v>
      </c>
      <c r="I83" s="7"/>
      <c r="J83" s="6" t="e">
        <v>#N/A</v>
      </c>
      <c r="K83" s="6" t="e">
        <v>#N/A</v>
      </c>
      <c r="N83" s="6" t="e">
        <v>#N/A</v>
      </c>
      <c r="O83" s="6" t="e">
        <v>#N/A</v>
      </c>
      <c r="R83" s="101" t="e">
        <v>#N/A</v>
      </c>
      <c r="Y83" s="6" t="e">
        <v>#N/A</v>
      </c>
      <c r="Z83" s="6" t="e">
        <v>#N/A</v>
      </c>
      <c r="AA83" s="6" t="e">
        <v>#N/A</v>
      </c>
      <c r="AD83" s="6" t="e">
        <v>#N/A</v>
      </c>
      <c r="AE83" s="6" t="e">
        <v>#N/A</v>
      </c>
      <c r="AG83" s="6" t="e">
        <v>#N/A</v>
      </c>
      <c r="AY83" s="8" t="s">
        <v>176</v>
      </c>
      <c r="AZ83" s="8" t="s">
        <v>195</v>
      </c>
      <c r="BA83" s="13" t="s">
        <v>656</v>
      </c>
      <c r="BB83" s="13" t="s">
        <v>7</v>
      </c>
      <c r="BC83" s="13">
        <v>17</v>
      </c>
      <c r="BD83" s="13">
        <v>18</v>
      </c>
      <c r="DC83" s="6" t="s">
        <v>644</v>
      </c>
      <c r="DD83" s="6" t="s">
        <v>177</v>
      </c>
      <c r="DH83" s="6" t="str">
        <f t="shared" si="32"/>
        <v>A9</v>
      </c>
      <c r="DI83" s="6" t="str">
        <f t="shared" si="33"/>
        <v>B9</v>
      </c>
      <c r="DK83" s="6" t="s">
        <v>173</v>
      </c>
      <c r="DL83" s="6" t="str">
        <f t="shared" si="34"/>
        <v>CN2</v>
      </c>
      <c r="DO83" s="9" t="s">
        <v>170</v>
      </c>
      <c r="DP83" s="6" t="s">
        <v>171</v>
      </c>
      <c r="DQ83" s="6" t="s">
        <v>645</v>
      </c>
      <c r="DS83" s="6" t="str">
        <f t="shared" si="35"/>
        <v>AKB331</v>
      </c>
      <c r="DT83" s="10" t="str">
        <f t="shared" si="36"/>
        <v>FCS0111-2-5/1S–MC–127-F1-CN1</v>
      </c>
      <c r="DU83" s="6" t="str">
        <f t="shared" si="37"/>
        <v>FCS0111-2-5/1S–MC–127-F1-CN2</v>
      </c>
      <c r="DV83" s="19">
        <v>1</v>
      </c>
      <c r="DW83" s="20" t="str">
        <f t="shared" si="38"/>
        <v>11</v>
      </c>
      <c r="DX83" s="21">
        <v>2</v>
      </c>
      <c r="DY83" s="22">
        <v>5</v>
      </c>
      <c r="DZ83" s="23">
        <v>6</v>
      </c>
      <c r="EA83" s="23">
        <v>9</v>
      </c>
      <c r="ED83" s="9" t="str">
        <f t="shared" si="39"/>
        <v>ANB10D</v>
      </c>
      <c r="EF83" s="6" t="s">
        <v>647</v>
      </c>
      <c r="EH83" s="6" t="s">
        <v>665</v>
      </c>
      <c r="EI83" s="6" t="s">
        <v>666</v>
      </c>
      <c r="EJ83" s="12">
        <v>100</v>
      </c>
      <c r="EN83" s="12" t="s">
        <v>1116</v>
      </c>
      <c r="EP83" s="6" t="s">
        <v>1148</v>
      </c>
      <c r="ET83" s="6" t="str">
        <f t="shared" si="40"/>
        <v>짝수</v>
      </c>
      <c r="EU83" s="12">
        <v>24</v>
      </c>
      <c r="EV83" s="45" t="str">
        <f t="shared" ca="1" si="49"/>
        <v>A</v>
      </c>
      <c r="EW83" s="6">
        <f t="shared" ca="1" si="41"/>
        <v>65</v>
      </c>
      <c r="FR83" s="6">
        <v>1</v>
      </c>
      <c r="FS83" s="6" t="str">
        <f t="shared" si="42"/>
        <v/>
      </c>
      <c r="FT83" s="6">
        <f t="shared" si="43"/>
        <v>1</v>
      </c>
      <c r="FU83" s="6" t="str">
        <f t="shared" ca="1" si="50"/>
        <v/>
      </c>
      <c r="FV83" s="6" t="str">
        <f t="shared" ca="1" si="44"/>
        <v/>
      </c>
      <c r="FW83" s="6" t="str">
        <f t="shared" ca="1" si="45"/>
        <v>F1-11</v>
      </c>
      <c r="FX83" s="6" t="str">
        <f t="shared" ca="1" si="46"/>
        <v>F1-12</v>
      </c>
      <c r="FY83" s="6" t="str">
        <f t="shared" ca="1" si="47"/>
        <v>F1-21</v>
      </c>
      <c r="FZ83" s="6" t="str">
        <f t="shared" ca="1" si="48"/>
        <v>F1-22</v>
      </c>
    </row>
    <row r="84" spans="1:182" ht="15.95" customHeight="1">
      <c r="A84" s="6">
        <v>106</v>
      </c>
      <c r="B84" s="6" t="s">
        <v>175</v>
      </c>
      <c r="E84" s="6" t="s">
        <v>667</v>
      </c>
      <c r="F84" s="6" t="s">
        <v>1332</v>
      </c>
      <c r="G84" s="6" t="s">
        <v>1290</v>
      </c>
      <c r="H84" s="7" t="s">
        <v>1291</v>
      </c>
      <c r="I84" s="7"/>
      <c r="J84" s="6" t="e">
        <v>#N/A</v>
      </c>
      <c r="K84" s="6" t="e">
        <v>#N/A</v>
      </c>
      <c r="N84" s="6" t="e">
        <v>#N/A</v>
      </c>
      <c r="O84" s="6" t="e">
        <v>#N/A</v>
      </c>
      <c r="R84" s="101" t="e">
        <v>#N/A</v>
      </c>
      <c r="Y84" s="6" t="e">
        <v>#N/A</v>
      </c>
      <c r="Z84" s="6" t="e">
        <v>#N/A</v>
      </c>
      <c r="AA84" s="6" t="e">
        <v>#N/A</v>
      </c>
      <c r="AD84" s="6" t="e">
        <v>#N/A</v>
      </c>
      <c r="AE84" s="6" t="e">
        <v>#N/A</v>
      </c>
      <c r="AG84" s="6" t="e">
        <v>#N/A</v>
      </c>
      <c r="AY84" s="8" t="s">
        <v>176</v>
      </c>
      <c r="AZ84" s="8" t="s">
        <v>195</v>
      </c>
      <c r="BA84" s="13" t="s">
        <v>656</v>
      </c>
      <c r="BB84" s="13" t="s">
        <v>7</v>
      </c>
      <c r="BC84" s="13">
        <v>19</v>
      </c>
      <c r="BD84" s="13">
        <v>20</v>
      </c>
      <c r="DC84" s="6" t="s">
        <v>644</v>
      </c>
      <c r="DD84" s="6" t="s">
        <v>177</v>
      </c>
      <c r="DH84" s="6" t="str">
        <f t="shared" si="32"/>
        <v>A10</v>
      </c>
      <c r="DI84" s="6" t="str">
        <f t="shared" si="33"/>
        <v>B10</v>
      </c>
      <c r="DK84" s="6" t="s">
        <v>173</v>
      </c>
      <c r="DL84" s="6" t="str">
        <f t="shared" si="34"/>
        <v>CN2</v>
      </c>
      <c r="DO84" s="9" t="s">
        <v>170</v>
      </c>
      <c r="DP84" s="6" t="s">
        <v>171</v>
      </c>
      <c r="DQ84" s="6" t="s">
        <v>645</v>
      </c>
      <c r="DS84" s="6" t="str">
        <f t="shared" si="35"/>
        <v>AKB331</v>
      </c>
      <c r="DT84" s="10" t="str">
        <f t="shared" si="36"/>
        <v>FCS0111-2-5/1S–MC–127-F1-CN1</v>
      </c>
      <c r="DU84" s="6" t="str">
        <f t="shared" si="37"/>
        <v>FCS0111-2-5/1S–MC–127-F1-CN2</v>
      </c>
      <c r="DV84" s="19">
        <v>1</v>
      </c>
      <c r="DW84" s="20" t="str">
        <f t="shared" si="38"/>
        <v>11</v>
      </c>
      <c r="DX84" s="21">
        <v>2</v>
      </c>
      <c r="DY84" s="22">
        <v>5</v>
      </c>
      <c r="DZ84" s="23">
        <v>6</v>
      </c>
      <c r="EA84" s="23">
        <v>10</v>
      </c>
      <c r="ED84" s="9" t="str">
        <f t="shared" si="39"/>
        <v>ANB10D</v>
      </c>
      <c r="EF84" s="6" t="s">
        <v>647</v>
      </c>
      <c r="EH84" s="6" t="s">
        <v>667</v>
      </c>
      <c r="EI84" s="6" t="s">
        <v>668</v>
      </c>
      <c r="EJ84" s="12">
        <v>100</v>
      </c>
      <c r="EN84" s="12" t="s">
        <v>1116</v>
      </c>
      <c r="EP84" s="6" t="s">
        <v>1148</v>
      </c>
      <c r="ET84" s="6" t="str">
        <f t="shared" si="40"/>
        <v>짝수</v>
      </c>
      <c r="EU84" s="12">
        <v>24</v>
      </c>
      <c r="EV84" s="45" t="str">
        <f t="shared" ca="1" si="49"/>
        <v>B</v>
      </c>
      <c r="EW84" s="6">
        <f t="shared" ca="1" si="41"/>
        <v>66</v>
      </c>
      <c r="FR84" s="6">
        <v>1</v>
      </c>
      <c r="FS84" s="6" t="str">
        <f t="shared" si="42"/>
        <v/>
      </c>
      <c r="FT84" s="6">
        <f t="shared" si="43"/>
        <v>1</v>
      </c>
      <c r="FU84" s="6" t="str">
        <f t="shared" ca="1" si="50"/>
        <v/>
      </c>
      <c r="FV84" s="6" t="str">
        <f t="shared" ca="1" si="44"/>
        <v/>
      </c>
      <c r="FW84" s="6" t="str">
        <f t="shared" ca="1" si="45"/>
        <v>F1-11</v>
      </c>
      <c r="FX84" s="6" t="str">
        <f t="shared" ca="1" si="46"/>
        <v>F1-12</v>
      </c>
      <c r="FY84" s="6" t="str">
        <f t="shared" ca="1" si="47"/>
        <v>F1-21</v>
      </c>
      <c r="FZ84" s="6" t="str">
        <f t="shared" ca="1" si="48"/>
        <v>F1-22</v>
      </c>
    </row>
    <row r="85" spans="1:182" ht="15.95" customHeight="1">
      <c r="A85" s="6">
        <v>129</v>
      </c>
      <c r="B85" s="6" t="s">
        <v>175</v>
      </c>
      <c r="E85" s="6" t="s">
        <v>669</v>
      </c>
      <c r="F85" s="6" t="s">
        <v>1333</v>
      </c>
      <c r="G85" s="6" t="s">
        <v>1290</v>
      </c>
      <c r="H85" s="7" t="s">
        <v>1291</v>
      </c>
      <c r="I85" s="7"/>
      <c r="J85" s="6" t="e">
        <v>#N/A</v>
      </c>
      <c r="K85" s="6" t="e">
        <v>#N/A</v>
      </c>
      <c r="N85" s="6" t="e">
        <v>#N/A</v>
      </c>
      <c r="O85" s="6" t="e">
        <v>#N/A</v>
      </c>
      <c r="R85" s="101" t="e">
        <v>#N/A</v>
      </c>
      <c r="Y85" s="6" t="e">
        <v>#N/A</v>
      </c>
      <c r="Z85" s="6" t="e">
        <v>#N/A</v>
      </c>
      <c r="AA85" s="6" t="e">
        <v>#N/A</v>
      </c>
      <c r="AD85" s="6" t="e">
        <v>#N/A</v>
      </c>
      <c r="AE85" s="6" t="e">
        <v>#N/A</v>
      </c>
      <c r="AG85" s="6" t="e">
        <v>#N/A</v>
      </c>
      <c r="AY85" s="8" t="s">
        <v>176</v>
      </c>
      <c r="AZ85" s="8" t="s">
        <v>195</v>
      </c>
      <c r="BA85" s="13" t="s">
        <v>670</v>
      </c>
      <c r="BB85" s="13" t="s">
        <v>7</v>
      </c>
      <c r="BC85" s="13">
        <v>37</v>
      </c>
      <c r="BD85" s="13">
        <v>38</v>
      </c>
      <c r="DC85" s="6" t="s">
        <v>671</v>
      </c>
      <c r="DD85" s="6" t="s">
        <v>201</v>
      </c>
      <c r="DH85" s="6" t="str">
        <f t="shared" si="32"/>
        <v>A1</v>
      </c>
      <c r="DI85" s="6" t="str">
        <f t="shared" si="33"/>
        <v>B1</v>
      </c>
      <c r="DK85" s="6" t="s">
        <v>173</v>
      </c>
      <c r="DL85" s="6" t="str">
        <f t="shared" si="34"/>
        <v/>
      </c>
      <c r="DO85" s="9" t="s">
        <v>170</v>
      </c>
      <c r="DP85" s="6" t="s">
        <v>171</v>
      </c>
      <c r="DQ85" s="6" t="s">
        <v>645</v>
      </c>
      <c r="DS85" s="6" t="str">
        <f t="shared" ref="DS85:DS111" si="51">IF(MID(EF85,2,1)="A","KS1","AKB331")</f>
        <v>AKB331</v>
      </c>
      <c r="DT85" s="10" t="str">
        <f t="shared" ref="DT85:DT111" si="52">DQ85&amp;"-"&amp;DX85&amp;"-"&amp;DY85&amp;"/"&amp;BA85&amp;"-"&amp;DD85&amp;"-"&amp;DK85</f>
        <v>FCS0111-2-8/1S–MC–120-F2-CN1</v>
      </c>
      <c r="DU85" s="6" t="str">
        <f t="shared" ref="DU85:DU111" si="53">IF(DL85="","",DQ85&amp;"-"&amp;DX85&amp;"-"&amp;DY85&amp;"/"&amp;BA85&amp;"-"&amp;DD85&amp;"-"&amp;DL85)</f>
        <v/>
      </c>
      <c r="DV85" s="19">
        <v>1</v>
      </c>
      <c r="DW85" s="20" t="str">
        <f t="shared" ref="DW85:DW111" si="54">RIGHT(DQ85,2)</f>
        <v>11</v>
      </c>
      <c r="DX85" s="21">
        <v>2</v>
      </c>
      <c r="DY85" s="22">
        <v>8</v>
      </c>
      <c r="DZ85" s="23" t="s">
        <v>204</v>
      </c>
      <c r="EA85" s="23">
        <v>1</v>
      </c>
      <c r="ED85" s="9" t="str">
        <f t="shared" ref="ED85:ED111" si="55">IF(DX85="1","AFV30D","ANB10D")</f>
        <v>ANB10D</v>
      </c>
      <c r="EF85" s="6" t="s">
        <v>672</v>
      </c>
      <c r="EH85" s="6" t="s">
        <v>669</v>
      </c>
      <c r="EI85" s="6" t="s">
        <v>673</v>
      </c>
      <c r="EJ85" s="12">
        <v>200</v>
      </c>
      <c r="EN85" s="12" t="s">
        <v>1116</v>
      </c>
      <c r="EP85" s="6" t="s">
        <v>1152</v>
      </c>
      <c r="ET85" s="6" t="str">
        <f t="shared" si="40"/>
        <v>짝수</v>
      </c>
      <c r="EU85" s="12">
        <v>24</v>
      </c>
      <c r="EV85" s="45" t="str">
        <f t="shared" ca="1" si="49"/>
        <v>C</v>
      </c>
      <c r="EW85" s="6">
        <f t="shared" ca="1" si="41"/>
        <v>67</v>
      </c>
      <c r="FR85" s="6">
        <v>1</v>
      </c>
      <c r="FS85" s="6">
        <f t="shared" si="42"/>
        <v>1</v>
      </c>
      <c r="FT85" s="6">
        <f t="shared" si="43"/>
        <v>1</v>
      </c>
      <c r="FU85" s="6" t="str">
        <f t="shared" ca="1" si="50"/>
        <v>F2-11</v>
      </c>
      <c r="FV85" s="6" t="str">
        <f t="shared" ca="1" si="44"/>
        <v>F2-12</v>
      </c>
      <c r="FW85" s="6" t="s">
        <v>1091</v>
      </c>
      <c r="FX85" s="6" t="s">
        <v>1092</v>
      </c>
      <c r="FY85" s="6" t="s">
        <v>1091</v>
      </c>
      <c r="FZ85" s="6" t="s">
        <v>1092</v>
      </c>
    </row>
    <row r="86" spans="1:182" ht="15.95" customHeight="1">
      <c r="A86" s="6">
        <v>130</v>
      </c>
      <c r="B86" s="6" t="s">
        <v>175</v>
      </c>
      <c r="E86" s="6" t="s">
        <v>674</v>
      </c>
      <c r="F86" s="6" t="s">
        <v>1334</v>
      </c>
      <c r="G86" s="6" t="s">
        <v>1290</v>
      </c>
      <c r="H86" s="7" t="s">
        <v>1291</v>
      </c>
      <c r="I86" s="7"/>
      <c r="J86" s="6" t="e">
        <v>#N/A</v>
      </c>
      <c r="K86" s="6" t="e">
        <v>#N/A</v>
      </c>
      <c r="N86" s="6" t="e">
        <v>#N/A</v>
      </c>
      <c r="O86" s="6" t="e">
        <v>#N/A</v>
      </c>
      <c r="R86" s="101" t="e">
        <v>#N/A</v>
      </c>
      <c r="Y86" s="6" t="e">
        <v>#N/A</v>
      </c>
      <c r="Z86" s="6" t="e">
        <v>#N/A</v>
      </c>
      <c r="AA86" s="6" t="e">
        <v>#N/A</v>
      </c>
      <c r="AD86" s="6" t="e">
        <v>#N/A</v>
      </c>
      <c r="AE86" s="6" t="e">
        <v>#N/A</v>
      </c>
      <c r="AG86" s="6" t="e">
        <v>#N/A</v>
      </c>
      <c r="AY86" s="8" t="s">
        <v>176</v>
      </c>
      <c r="AZ86" s="8" t="s">
        <v>195</v>
      </c>
      <c r="BA86" s="13" t="s">
        <v>670</v>
      </c>
      <c r="BB86" s="13" t="s">
        <v>7</v>
      </c>
      <c r="BC86" s="13">
        <v>39</v>
      </c>
      <c r="BD86" s="13">
        <v>40</v>
      </c>
      <c r="DC86" s="6" t="s">
        <v>671</v>
      </c>
      <c r="DD86" s="6" t="s">
        <v>201</v>
      </c>
      <c r="DH86" s="6" t="str">
        <f t="shared" ref="DH86:DH114" si="56">"A"&amp;EA86</f>
        <v>A2</v>
      </c>
      <c r="DI86" s="6" t="str">
        <f t="shared" ref="DI86:DI114" si="57">"B"&amp;EA86</f>
        <v>B2</v>
      </c>
      <c r="DK86" s="6" t="s">
        <v>173</v>
      </c>
      <c r="DL86" s="6" t="str">
        <f t="shared" ref="DL86:DL114" si="58">IF(DZ86&lt;&gt;"","CN2","")</f>
        <v/>
      </c>
      <c r="DO86" s="9" t="s">
        <v>170</v>
      </c>
      <c r="DP86" s="6" t="s">
        <v>171</v>
      </c>
      <c r="DQ86" s="6" t="s">
        <v>645</v>
      </c>
      <c r="DS86" s="6" t="str">
        <f t="shared" si="51"/>
        <v>AKB331</v>
      </c>
      <c r="DT86" s="10" t="str">
        <f t="shared" si="52"/>
        <v>FCS0111-2-8/1S–MC–120-F2-CN1</v>
      </c>
      <c r="DU86" s="6" t="str">
        <f t="shared" si="53"/>
        <v/>
      </c>
      <c r="DV86" s="19">
        <v>1</v>
      </c>
      <c r="DW86" s="20" t="str">
        <f t="shared" si="54"/>
        <v>11</v>
      </c>
      <c r="DX86" s="21">
        <v>2</v>
      </c>
      <c r="DY86" s="22">
        <v>8</v>
      </c>
      <c r="DZ86" s="23" t="s">
        <v>204</v>
      </c>
      <c r="EA86" s="23">
        <v>2</v>
      </c>
      <c r="ED86" s="9" t="str">
        <f t="shared" si="55"/>
        <v>ANB10D</v>
      </c>
      <c r="EF86" s="6" t="s">
        <v>672</v>
      </c>
      <c r="EH86" s="6" t="s">
        <v>674</v>
      </c>
      <c r="EI86" s="6" t="s">
        <v>675</v>
      </c>
      <c r="EJ86" s="12">
        <v>200</v>
      </c>
      <c r="EN86" s="12" t="s">
        <v>1116</v>
      </c>
      <c r="EP86" s="6" t="s">
        <v>1152</v>
      </c>
      <c r="ET86" s="6" t="str">
        <f t="shared" si="40"/>
        <v>짝수</v>
      </c>
      <c r="EU86" s="12">
        <v>24</v>
      </c>
      <c r="EV86" s="45" t="str">
        <f t="shared" ca="1" si="49"/>
        <v>D</v>
      </c>
      <c r="EW86" s="6">
        <f t="shared" ca="1" si="41"/>
        <v>68</v>
      </c>
      <c r="FR86" s="6">
        <v>1</v>
      </c>
      <c r="FS86" s="6">
        <f t="shared" si="42"/>
        <v>1</v>
      </c>
      <c r="FT86" s="6">
        <f t="shared" si="43"/>
        <v>1</v>
      </c>
      <c r="FU86" s="6" t="str">
        <f t="shared" ca="1" si="50"/>
        <v>F2-11</v>
      </c>
      <c r="FV86" s="6" t="str">
        <f t="shared" ca="1" si="44"/>
        <v>F2-12</v>
      </c>
      <c r="FW86" s="6" t="s">
        <v>1091</v>
      </c>
      <c r="FX86" s="6" t="s">
        <v>1092</v>
      </c>
      <c r="FY86" s="6" t="s">
        <v>1091</v>
      </c>
      <c r="FZ86" s="6" t="s">
        <v>1092</v>
      </c>
    </row>
    <row r="87" spans="1:182" ht="15.95" customHeight="1">
      <c r="A87" s="6">
        <v>131</v>
      </c>
      <c r="B87" s="6" t="s">
        <v>175</v>
      </c>
      <c r="E87" s="6" t="s">
        <v>676</v>
      </c>
      <c r="F87" s="6" t="s">
        <v>1335</v>
      </c>
      <c r="G87" s="6" t="s">
        <v>1290</v>
      </c>
      <c r="H87" s="7" t="s">
        <v>1291</v>
      </c>
      <c r="I87" s="7"/>
      <c r="J87" s="6" t="e">
        <v>#N/A</v>
      </c>
      <c r="K87" s="6" t="e">
        <v>#N/A</v>
      </c>
      <c r="N87" s="6" t="e">
        <v>#N/A</v>
      </c>
      <c r="O87" s="6" t="e">
        <v>#N/A</v>
      </c>
      <c r="R87" s="101" t="e">
        <v>#N/A</v>
      </c>
      <c r="Y87" s="6" t="e">
        <v>#N/A</v>
      </c>
      <c r="Z87" s="6" t="e">
        <v>#N/A</v>
      </c>
      <c r="AA87" s="6" t="e">
        <v>#N/A</v>
      </c>
      <c r="AD87" s="6" t="e">
        <v>#N/A</v>
      </c>
      <c r="AE87" s="6" t="e">
        <v>#N/A</v>
      </c>
      <c r="AG87" s="6" t="e">
        <v>#N/A</v>
      </c>
      <c r="AY87" s="8" t="s">
        <v>176</v>
      </c>
      <c r="AZ87" s="8" t="s">
        <v>195</v>
      </c>
      <c r="BA87" s="13" t="s">
        <v>670</v>
      </c>
      <c r="BB87" s="13" t="s">
        <v>7</v>
      </c>
      <c r="BC87" s="13">
        <v>41</v>
      </c>
      <c r="BD87" s="13">
        <v>42</v>
      </c>
      <c r="DC87" s="6" t="s">
        <v>671</v>
      </c>
      <c r="DD87" s="6" t="s">
        <v>201</v>
      </c>
      <c r="DH87" s="6" t="str">
        <f t="shared" si="56"/>
        <v>A3</v>
      </c>
      <c r="DI87" s="6" t="str">
        <f t="shared" si="57"/>
        <v>B3</v>
      </c>
      <c r="DK87" s="6" t="s">
        <v>173</v>
      </c>
      <c r="DL87" s="6" t="str">
        <f t="shared" si="58"/>
        <v/>
      </c>
      <c r="DO87" s="9" t="s">
        <v>170</v>
      </c>
      <c r="DP87" s="6" t="s">
        <v>171</v>
      </c>
      <c r="DQ87" s="6" t="s">
        <v>645</v>
      </c>
      <c r="DS87" s="6" t="str">
        <f t="shared" si="51"/>
        <v>AKB331</v>
      </c>
      <c r="DT87" s="10" t="str">
        <f t="shared" si="52"/>
        <v>FCS0111-2-8/1S–MC–120-F2-CN1</v>
      </c>
      <c r="DU87" s="6" t="str">
        <f t="shared" si="53"/>
        <v/>
      </c>
      <c r="DV87" s="19">
        <v>1</v>
      </c>
      <c r="DW87" s="20" t="str">
        <f t="shared" si="54"/>
        <v>11</v>
      </c>
      <c r="DX87" s="21">
        <v>2</v>
      </c>
      <c r="DY87" s="22">
        <v>8</v>
      </c>
      <c r="DZ87" s="23" t="s">
        <v>204</v>
      </c>
      <c r="EA87" s="23">
        <v>3</v>
      </c>
      <c r="ED87" s="9" t="str">
        <f t="shared" si="55"/>
        <v>ANB10D</v>
      </c>
      <c r="EF87" s="6" t="s">
        <v>672</v>
      </c>
      <c r="EH87" s="6" t="s">
        <v>676</v>
      </c>
      <c r="EI87" s="6" t="s">
        <v>677</v>
      </c>
      <c r="EJ87" s="12">
        <v>200</v>
      </c>
      <c r="EN87" s="12" t="s">
        <v>1116</v>
      </c>
      <c r="EP87" s="6" t="s">
        <v>1152</v>
      </c>
      <c r="ET87" s="6" t="str">
        <f t="shared" si="40"/>
        <v>홀수</v>
      </c>
      <c r="EU87" s="12">
        <v>25</v>
      </c>
      <c r="EV87" s="45" t="str">
        <f t="shared" ca="1" si="49"/>
        <v>A</v>
      </c>
      <c r="EW87" s="6">
        <f t="shared" ca="1" si="41"/>
        <v>65</v>
      </c>
      <c r="FR87" s="6">
        <v>1</v>
      </c>
      <c r="FS87" s="6">
        <f t="shared" si="42"/>
        <v>1</v>
      </c>
      <c r="FT87" s="6">
        <f t="shared" si="43"/>
        <v>1</v>
      </c>
      <c r="FU87" s="6" t="str">
        <f t="shared" ca="1" si="50"/>
        <v>F2-11</v>
      </c>
      <c r="FV87" s="6" t="str">
        <f t="shared" ca="1" si="44"/>
        <v>F2-12</v>
      </c>
      <c r="FW87" s="6" t="s">
        <v>1091</v>
      </c>
      <c r="FX87" s="6" t="s">
        <v>1092</v>
      </c>
      <c r="FY87" s="6" t="s">
        <v>1091</v>
      </c>
      <c r="FZ87" s="6" t="s">
        <v>1092</v>
      </c>
    </row>
    <row r="88" spans="1:182" ht="15.95" customHeight="1">
      <c r="A88" s="6">
        <v>647</v>
      </c>
      <c r="B88" s="6" t="s">
        <v>653</v>
      </c>
      <c r="E88" s="6" t="s">
        <v>586</v>
      </c>
      <c r="F88" s="6" t="s">
        <v>1336</v>
      </c>
      <c r="G88" s="6" t="s">
        <v>1218</v>
      </c>
      <c r="H88" s="7" t="s">
        <v>1219</v>
      </c>
      <c r="I88" s="7"/>
      <c r="J88" s="6" t="s">
        <v>1199</v>
      </c>
      <c r="K88" s="6" t="s">
        <v>1201</v>
      </c>
      <c r="N88" s="6" t="s">
        <v>1203</v>
      </c>
      <c r="O88" s="6" t="s">
        <v>1205</v>
      </c>
      <c r="R88" s="101" t="s">
        <v>1220</v>
      </c>
      <c r="Y88" s="6" t="s">
        <v>1249</v>
      </c>
      <c r="Z88" s="6">
        <v>13</v>
      </c>
      <c r="AA88" s="6">
        <v>14</v>
      </c>
      <c r="AD88" s="6" t="s">
        <v>1203</v>
      </c>
      <c r="AE88" s="6" t="s">
        <v>1205</v>
      </c>
      <c r="AG88" s="6" t="s">
        <v>1250</v>
      </c>
      <c r="AY88" s="8" t="s">
        <v>176</v>
      </c>
      <c r="AZ88" s="8" t="s">
        <v>195</v>
      </c>
      <c r="BA88" s="13" t="s">
        <v>197</v>
      </c>
      <c r="BB88" s="13" t="s">
        <v>8</v>
      </c>
      <c r="BC88" s="13">
        <v>39</v>
      </c>
      <c r="BD88" s="13">
        <v>40</v>
      </c>
      <c r="DC88" s="6" t="s">
        <v>169</v>
      </c>
      <c r="DD88" s="6" t="s">
        <v>185</v>
      </c>
      <c r="DH88" s="6" t="str">
        <f>"A"&amp;EA88</f>
        <v>A7</v>
      </c>
      <c r="DI88" s="6" t="str">
        <f>"B"&amp;EA88</f>
        <v>B7</v>
      </c>
      <c r="DK88" s="6" t="s">
        <v>173</v>
      </c>
      <c r="DL88" s="6" t="str">
        <f>IF(DZ88&lt;&gt;"","CN2","")</f>
        <v/>
      </c>
      <c r="DO88" s="9" t="s">
        <v>170</v>
      </c>
      <c r="DP88" s="6" t="s">
        <v>171</v>
      </c>
      <c r="DQ88" s="6" t="s">
        <v>645</v>
      </c>
      <c r="DR88" s="6" t="e">
        <f>#REF!&amp;RIGHT(#REF!,3)</f>
        <v>#REF!</v>
      </c>
      <c r="DS88" s="6" t="str">
        <f>IF(MID(EF88,2,1)="A","KS1","AKB331")</f>
        <v>KS1</v>
      </c>
      <c r="DT88" s="10" t="str">
        <f>DQ88&amp;"-"&amp;DX88&amp;"-"&amp;DY88&amp;"/"&amp;BA88&amp;"-"&amp;DD88&amp;"-"&amp;DK88</f>
        <v>FCS0111-6-2/1S–MC–107-F14-CN1</v>
      </c>
      <c r="DU88" s="6" t="str">
        <f>IF(DL88="","",DQ88&amp;"-"&amp;DX88&amp;"-"&amp;DY88&amp;"/"&amp;BA88&amp;"-"&amp;DD88&amp;"-"&amp;DL88)</f>
        <v/>
      </c>
      <c r="DV88" s="19">
        <v>1</v>
      </c>
      <c r="DW88" s="20" t="str">
        <f>RIGHT(DQ88,2)</f>
        <v>11</v>
      </c>
      <c r="DX88" s="20">
        <v>6</v>
      </c>
      <c r="DY88" s="21">
        <v>2</v>
      </c>
      <c r="DZ88" s="22" t="s">
        <v>204</v>
      </c>
      <c r="EA88" s="23">
        <v>7</v>
      </c>
      <c r="EB88" s="7">
        <v>7</v>
      </c>
      <c r="EE88" s="9" t="s">
        <v>654</v>
      </c>
      <c r="EF88" s="6" t="s">
        <v>172</v>
      </c>
      <c r="EG88" s="6" t="s">
        <v>647</v>
      </c>
      <c r="EH88" s="6" t="s">
        <v>322</v>
      </c>
      <c r="EI88" s="6" t="s">
        <v>408</v>
      </c>
      <c r="EJ88" s="12">
        <v>6</v>
      </c>
      <c r="EK88" s="12"/>
      <c r="EM88" s="12"/>
      <c r="EN88" s="12" t="s">
        <v>1100</v>
      </c>
      <c r="EO88" s="6" t="s">
        <v>1099</v>
      </c>
      <c r="EP88" s="6" t="s">
        <v>1145</v>
      </c>
      <c r="ER88" s="6" t="str">
        <f>"LY"&amp;MID(EH88,3,7)</f>
        <v>LY40209</v>
      </c>
      <c r="ET88" s="6" t="str">
        <f t="shared" si="40"/>
        <v>홀수</v>
      </c>
      <c r="EU88" s="12">
        <v>25</v>
      </c>
      <c r="EV88" s="45" t="str">
        <f t="shared" ca="1" si="49"/>
        <v>B</v>
      </c>
      <c r="EW88" s="6">
        <f t="shared" ca="1" si="41"/>
        <v>66</v>
      </c>
      <c r="FO88" s="6"/>
      <c r="FP88" s="11"/>
      <c r="FR88" s="6">
        <v>1</v>
      </c>
      <c r="FS88" s="6" t="str">
        <f t="shared" si="42"/>
        <v/>
      </c>
      <c r="FT88" s="6" t="str">
        <f t="shared" si="43"/>
        <v/>
      </c>
      <c r="FU88" s="6" t="str">
        <f t="shared" ca="1" si="50"/>
        <v/>
      </c>
      <c r="FV88" s="6" t="str">
        <f t="shared" ca="1" si="44"/>
        <v/>
      </c>
      <c r="FW88" s="6" t="str">
        <f t="shared" ref="FW88:FW119" ca="1" si="59">IF(AND(FT88=1,FU88=""),DD88&amp;"-11",IF(AND(FT88=1,FU88&lt;&gt;""),DD88&amp;"-21",""))</f>
        <v/>
      </c>
      <c r="FX88" s="6" t="str">
        <f t="shared" ref="FX88:FX119" ca="1" si="60">IF(AND(FT88=1,FU88=""),DD88&amp;"-12",IF(AND(FT88=1,FU88&lt;&gt;""),DD88&amp;"-22",""))</f>
        <v/>
      </c>
      <c r="FY88" s="6" t="str">
        <f t="shared" ref="FY88:FY119" ca="1" si="61">IF(AND(FS88="",OFFSET(FS88,0,1)="",DC88="A1BA4D"),"",IF(DC88="A1BD5D",LEFT(FW88,3)&amp;"21",FW88))</f>
        <v/>
      </c>
      <c r="FZ88" s="6" t="str">
        <f t="shared" ref="FZ88:FZ119" ca="1" si="62" xml:space="preserve">
IF(AND(FS88="",OFFSET(FS88,0,1)="",DC88="A1BA4D"),"",IF(DC88="A1BD5D",LEFT(FW88,3)&amp;"22",FW88))</f>
        <v/>
      </c>
    </row>
    <row r="89" spans="1:182" ht="15.95" customHeight="1">
      <c r="A89" s="6">
        <v>162</v>
      </c>
      <c r="B89" s="6" t="s">
        <v>175</v>
      </c>
      <c r="E89" s="6" t="s">
        <v>518</v>
      </c>
      <c r="F89" s="6" t="s">
        <v>1337</v>
      </c>
      <c r="G89" s="6" t="s">
        <v>1218</v>
      </c>
      <c r="H89" s="7" t="s">
        <v>1219</v>
      </c>
      <c r="I89" s="7"/>
      <c r="J89" s="6" t="s">
        <v>1199</v>
      </c>
      <c r="K89" s="6" t="s">
        <v>1201</v>
      </c>
      <c r="N89" s="6" t="s">
        <v>1203</v>
      </c>
      <c r="O89" s="6" t="s">
        <v>1205</v>
      </c>
      <c r="R89" s="101" t="s">
        <v>1220</v>
      </c>
      <c r="Y89" s="6" t="s">
        <v>1249</v>
      </c>
      <c r="Z89" s="6">
        <v>15</v>
      </c>
      <c r="AA89" s="6">
        <v>16</v>
      </c>
      <c r="AD89" s="6" t="s">
        <v>1203</v>
      </c>
      <c r="AE89" s="6" t="s">
        <v>1205</v>
      </c>
      <c r="AG89" s="6" t="s">
        <v>1250</v>
      </c>
      <c r="AY89" s="8" t="s">
        <v>176</v>
      </c>
      <c r="AZ89" s="8" t="s">
        <v>195</v>
      </c>
      <c r="BA89" s="13" t="s">
        <v>197</v>
      </c>
      <c r="BB89" s="13" t="s">
        <v>8</v>
      </c>
      <c r="BC89" s="13">
        <v>41</v>
      </c>
      <c r="BD89" s="13">
        <v>42</v>
      </c>
      <c r="DC89" s="6" t="s">
        <v>169</v>
      </c>
      <c r="DD89" s="6" t="s">
        <v>179</v>
      </c>
      <c r="DH89" s="6" t="str">
        <f t="shared" si="56"/>
        <v>A2</v>
      </c>
      <c r="DI89" s="6" t="str">
        <f t="shared" si="57"/>
        <v>B2</v>
      </c>
      <c r="DK89" s="6" t="s">
        <v>173</v>
      </c>
      <c r="DL89" s="6" t="str">
        <f t="shared" si="58"/>
        <v>CN2</v>
      </c>
      <c r="DO89" s="9" t="s">
        <v>170</v>
      </c>
      <c r="DP89" s="6" t="s">
        <v>171</v>
      </c>
      <c r="DQ89" s="6" t="s">
        <v>645</v>
      </c>
      <c r="DS89" s="6" t="str">
        <f t="shared" si="51"/>
        <v>KS1</v>
      </c>
      <c r="DT89" s="10" t="str">
        <f t="shared" si="52"/>
        <v>FCS0111-3-1/1S–MC–107-F5-CN1</v>
      </c>
      <c r="DU89" s="6" t="str">
        <f t="shared" si="53"/>
        <v>FCS0111-3-1/1S–MC–107-F5-CN2</v>
      </c>
      <c r="DV89" s="19">
        <v>1</v>
      </c>
      <c r="DW89" s="20" t="str">
        <f t="shared" si="54"/>
        <v>11</v>
      </c>
      <c r="DX89" s="21">
        <v>3</v>
      </c>
      <c r="DY89" s="22">
        <v>1</v>
      </c>
      <c r="DZ89" s="23">
        <v>2</v>
      </c>
      <c r="EA89" s="23">
        <v>2</v>
      </c>
      <c r="ED89" s="9" t="str">
        <f t="shared" si="55"/>
        <v>ANB10D</v>
      </c>
      <c r="EF89" s="6" t="s">
        <v>172</v>
      </c>
      <c r="EH89" s="6" t="s">
        <v>245</v>
      </c>
      <c r="EI89" s="6" t="s">
        <v>408</v>
      </c>
      <c r="EJ89" s="12">
        <v>6</v>
      </c>
      <c r="EK89" s="12"/>
      <c r="EM89" s="12"/>
      <c r="EN89" s="12" t="s">
        <v>1100</v>
      </c>
      <c r="EP89" s="6" t="s">
        <v>1146</v>
      </c>
      <c r="ET89" s="6" t="str">
        <f t="shared" si="40"/>
        <v>홀수</v>
      </c>
      <c r="EU89" s="12">
        <v>25</v>
      </c>
      <c r="EV89" s="45" t="str">
        <f t="shared" ca="1" si="49"/>
        <v>C</v>
      </c>
      <c r="EW89" s="6">
        <f t="shared" ca="1" si="41"/>
        <v>67</v>
      </c>
      <c r="FR89" s="6">
        <v>1</v>
      </c>
      <c r="FS89" s="6" t="str">
        <f t="shared" si="42"/>
        <v/>
      </c>
      <c r="FT89" s="6" t="str">
        <f t="shared" si="43"/>
        <v/>
      </c>
      <c r="FU89" s="6" t="str">
        <f t="shared" ca="1" si="50"/>
        <v/>
      </c>
      <c r="FV89" s="6" t="str">
        <f t="shared" ca="1" si="44"/>
        <v/>
      </c>
      <c r="FW89" s="6" t="str">
        <f t="shared" ca="1" si="59"/>
        <v/>
      </c>
      <c r="FX89" s="6" t="str">
        <f t="shared" ca="1" si="60"/>
        <v/>
      </c>
      <c r="FY89" s="6" t="str">
        <f t="shared" ca="1" si="61"/>
        <v/>
      </c>
      <c r="FZ89" s="6" t="str">
        <f t="shared" ca="1" si="62"/>
        <v/>
      </c>
    </row>
    <row r="90" spans="1:182" ht="15.95" customHeight="1">
      <c r="A90" s="6">
        <v>651</v>
      </c>
      <c r="B90" s="6" t="s">
        <v>653</v>
      </c>
      <c r="E90" s="6" t="s">
        <v>590</v>
      </c>
      <c r="F90" s="6" t="s">
        <v>1338</v>
      </c>
      <c r="G90" s="6" t="s">
        <v>1218</v>
      </c>
      <c r="H90" s="7" t="s">
        <v>1219</v>
      </c>
      <c r="I90" s="7"/>
      <c r="J90" s="6" t="s">
        <v>1199</v>
      </c>
      <c r="K90" s="6" t="s">
        <v>1201</v>
      </c>
      <c r="N90" s="6" t="s">
        <v>1203</v>
      </c>
      <c r="O90" s="6" t="s">
        <v>1205</v>
      </c>
      <c r="R90" s="101" t="s">
        <v>1220</v>
      </c>
      <c r="Y90" s="6" t="s">
        <v>1317</v>
      </c>
      <c r="Z90" s="6">
        <v>1</v>
      </c>
      <c r="AA90" s="6">
        <v>2</v>
      </c>
      <c r="AD90" s="6" t="s">
        <v>1203</v>
      </c>
      <c r="AE90" s="6" t="s">
        <v>1205</v>
      </c>
      <c r="AG90" s="6" t="s">
        <v>1318</v>
      </c>
      <c r="AY90" s="8" t="s">
        <v>176</v>
      </c>
      <c r="AZ90" s="8" t="s">
        <v>195</v>
      </c>
      <c r="BA90" s="13" t="s">
        <v>197</v>
      </c>
      <c r="BB90" s="13" t="s">
        <v>7</v>
      </c>
      <c r="BC90" s="13">
        <v>153</v>
      </c>
      <c r="BD90" s="13">
        <v>154</v>
      </c>
      <c r="DC90" s="6" t="s">
        <v>169</v>
      </c>
      <c r="DD90" s="6" t="s">
        <v>185</v>
      </c>
      <c r="DH90" s="6" t="str">
        <f>"A"&amp;EA90</f>
        <v>A11</v>
      </c>
      <c r="DI90" s="6" t="str">
        <f>"B"&amp;EA90</f>
        <v>B11</v>
      </c>
      <c r="DK90" s="6" t="s">
        <v>173</v>
      </c>
      <c r="DL90" s="6" t="str">
        <f>IF(DZ90&lt;&gt;"","CN2","")</f>
        <v/>
      </c>
      <c r="DO90" s="9" t="s">
        <v>170</v>
      </c>
      <c r="DP90" s="6" t="s">
        <v>171</v>
      </c>
      <c r="DQ90" s="6" t="s">
        <v>645</v>
      </c>
      <c r="DR90" s="6" t="e">
        <f>#REF!&amp;RIGHT(#REF!,3)</f>
        <v>#REF!</v>
      </c>
      <c r="DS90" s="6" t="str">
        <f>IF(MID(EF90,2,1)="A","KS1","AKB331")</f>
        <v>KS1</v>
      </c>
      <c r="DT90" s="10" t="str">
        <f>DQ90&amp;"-"&amp;DX90&amp;"-"&amp;DY90&amp;"/"&amp;BA90&amp;"-"&amp;DD90&amp;"-"&amp;DK90</f>
        <v>FCS0111-6-2/1S–MC–107-F14-CN1</v>
      </c>
      <c r="DU90" s="6" t="str">
        <f>IF(DL90="","",DQ90&amp;"-"&amp;DX90&amp;"-"&amp;DY90&amp;"/"&amp;BA90&amp;"-"&amp;DD90&amp;"-"&amp;DL90)</f>
        <v/>
      </c>
      <c r="DV90" s="19">
        <v>1</v>
      </c>
      <c r="DW90" s="20" t="str">
        <f>RIGHT(DQ90,2)</f>
        <v>11</v>
      </c>
      <c r="DX90" s="20">
        <v>6</v>
      </c>
      <c r="DY90" s="21">
        <v>2</v>
      </c>
      <c r="DZ90" s="22" t="s">
        <v>204</v>
      </c>
      <c r="EA90" s="23">
        <v>11</v>
      </c>
      <c r="EB90" s="7">
        <v>11</v>
      </c>
      <c r="EE90" s="9" t="s">
        <v>654</v>
      </c>
      <c r="EF90" s="6" t="s">
        <v>172</v>
      </c>
      <c r="EG90" s="6" t="s">
        <v>647</v>
      </c>
      <c r="EH90" s="6" t="s">
        <v>1118</v>
      </c>
      <c r="EI90" s="6" t="s">
        <v>410</v>
      </c>
      <c r="EJ90" s="12">
        <v>6</v>
      </c>
      <c r="EK90" s="12"/>
      <c r="EM90" s="12"/>
      <c r="EN90" s="12" t="s">
        <v>1100</v>
      </c>
      <c r="EO90" s="6" t="s">
        <v>1099</v>
      </c>
      <c r="EP90" s="6" t="s">
        <v>1145</v>
      </c>
      <c r="ER90" s="6" t="s">
        <v>1119</v>
      </c>
      <c r="ET90" s="6" t="str">
        <f t="shared" si="40"/>
        <v>짝수</v>
      </c>
      <c r="EU90" s="12">
        <v>26</v>
      </c>
      <c r="EV90" s="45" t="str">
        <f t="shared" ca="1" si="49"/>
        <v>A</v>
      </c>
      <c r="EW90" s="6">
        <f t="shared" ca="1" si="41"/>
        <v>65</v>
      </c>
      <c r="FO90" s="6"/>
      <c r="FP90" s="11"/>
      <c r="FR90" s="6">
        <v>1</v>
      </c>
      <c r="FS90" s="6" t="str">
        <f t="shared" si="42"/>
        <v/>
      </c>
      <c r="FT90" s="6" t="str">
        <f t="shared" si="43"/>
        <v/>
      </c>
      <c r="FU90" s="6" t="str">
        <f t="shared" ca="1" si="50"/>
        <v/>
      </c>
      <c r="FV90" s="6" t="str">
        <f t="shared" ca="1" si="44"/>
        <v/>
      </c>
      <c r="FW90" s="6" t="str">
        <f t="shared" ca="1" si="59"/>
        <v/>
      </c>
      <c r="FX90" s="6" t="str">
        <f t="shared" ca="1" si="60"/>
        <v/>
      </c>
      <c r="FY90" s="6" t="str">
        <f t="shared" ca="1" si="61"/>
        <v/>
      </c>
      <c r="FZ90" s="6" t="str">
        <f t="shared" ca="1" si="62"/>
        <v/>
      </c>
    </row>
    <row r="91" spans="1:182" ht="15.95" customHeight="1">
      <c r="A91" s="6">
        <v>164</v>
      </c>
      <c r="B91" s="6" t="s">
        <v>175</v>
      </c>
      <c r="E91" s="6" t="s">
        <v>520</v>
      </c>
      <c r="F91" s="6" t="s">
        <v>1339</v>
      </c>
      <c r="G91" s="6" t="s">
        <v>1218</v>
      </c>
      <c r="H91" s="7" t="s">
        <v>1219</v>
      </c>
      <c r="I91" s="7"/>
      <c r="J91" s="6" t="s">
        <v>1199</v>
      </c>
      <c r="K91" s="6" t="s">
        <v>1201</v>
      </c>
      <c r="N91" s="6" t="s">
        <v>1203</v>
      </c>
      <c r="O91" s="6" t="s">
        <v>1205</v>
      </c>
      <c r="R91" s="101" t="s">
        <v>1220</v>
      </c>
      <c r="Y91" s="6" t="s">
        <v>1317</v>
      </c>
      <c r="Z91" s="6">
        <v>5</v>
      </c>
      <c r="AA91" s="6">
        <v>6</v>
      </c>
      <c r="AD91" s="6" t="s">
        <v>1203</v>
      </c>
      <c r="AE91" s="6" t="s">
        <v>1205</v>
      </c>
      <c r="AG91" s="6" t="s">
        <v>1318</v>
      </c>
      <c r="AY91" s="8" t="s">
        <v>176</v>
      </c>
      <c r="AZ91" s="8" t="s">
        <v>195</v>
      </c>
      <c r="BA91" s="13" t="s">
        <v>197</v>
      </c>
      <c r="BB91" s="13" t="s">
        <v>7</v>
      </c>
      <c r="BC91" s="13">
        <v>157</v>
      </c>
      <c r="BD91" s="13">
        <v>158</v>
      </c>
      <c r="DC91" s="6" t="s">
        <v>169</v>
      </c>
      <c r="DD91" s="6" t="s">
        <v>179</v>
      </c>
      <c r="DH91" s="6" t="str">
        <f t="shared" si="56"/>
        <v>A4</v>
      </c>
      <c r="DI91" s="6" t="str">
        <f t="shared" si="57"/>
        <v>B4</v>
      </c>
      <c r="DK91" s="6" t="s">
        <v>173</v>
      </c>
      <c r="DL91" s="6" t="str">
        <f t="shared" si="58"/>
        <v>CN2</v>
      </c>
      <c r="DO91" s="9" t="s">
        <v>170</v>
      </c>
      <c r="DP91" s="6" t="s">
        <v>171</v>
      </c>
      <c r="DQ91" s="6" t="s">
        <v>645</v>
      </c>
      <c r="DS91" s="6" t="str">
        <f t="shared" si="51"/>
        <v>KS1</v>
      </c>
      <c r="DT91" s="10" t="str">
        <f t="shared" si="52"/>
        <v>FCS0111-3-1/1S–MC–107-F5-CN1</v>
      </c>
      <c r="DU91" s="6" t="str">
        <f t="shared" si="53"/>
        <v>FCS0111-3-1/1S–MC–107-F5-CN2</v>
      </c>
      <c r="DV91" s="19">
        <v>1</v>
      </c>
      <c r="DW91" s="20" t="str">
        <f t="shared" si="54"/>
        <v>11</v>
      </c>
      <c r="DX91" s="21">
        <v>3</v>
      </c>
      <c r="DY91" s="22">
        <v>1</v>
      </c>
      <c r="DZ91" s="23">
        <v>2</v>
      </c>
      <c r="EA91" s="23">
        <v>4</v>
      </c>
      <c r="ED91" s="9" t="str">
        <f t="shared" si="55"/>
        <v>ANB10D</v>
      </c>
      <c r="EF91" s="6" t="s">
        <v>172</v>
      </c>
      <c r="EH91" s="6" t="s">
        <v>247</v>
      </c>
      <c r="EI91" s="6" t="s">
        <v>1117</v>
      </c>
      <c r="EJ91" s="12">
        <v>6</v>
      </c>
      <c r="EK91" s="12"/>
      <c r="EM91" s="12"/>
      <c r="EN91" s="12" t="s">
        <v>1100</v>
      </c>
      <c r="EP91" s="6" t="s">
        <v>1146</v>
      </c>
      <c r="ET91" s="6" t="str">
        <f t="shared" si="40"/>
        <v>짝수</v>
      </c>
      <c r="EU91" s="12">
        <v>26</v>
      </c>
      <c r="EV91" s="45" t="str">
        <f t="shared" ca="1" si="49"/>
        <v>B</v>
      </c>
      <c r="EW91" s="6">
        <f t="shared" ca="1" si="41"/>
        <v>66</v>
      </c>
      <c r="FR91" s="6">
        <v>1</v>
      </c>
      <c r="FS91" s="6" t="str">
        <f t="shared" si="42"/>
        <v/>
      </c>
      <c r="FT91" s="6" t="str">
        <f t="shared" si="43"/>
        <v/>
      </c>
      <c r="FU91" s="6" t="str">
        <f t="shared" ca="1" si="50"/>
        <v/>
      </c>
      <c r="FV91" s="6" t="str">
        <f t="shared" ca="1" si="44"/>
        <v/>
      </c>
      <c r="FW91" s="6" t="str">
        <f t="shared" ca="1" si="59"/>
        <v/>
      </c>
      <c r="FX91" s="6" t="str">
        <f t="shared" ca="1" si="60"/>
        <v/>
      </c>
      <c r="FY91" s="6" t="str">
        <f t="shared" ca="1" si="61"/>
        <v/>
      </c>
      <c r="FZ91" s="6" t="str">
        <f t="shared" ca="1" si="62"/>
        <v/>
      </c>
    </row>
    <row r="92" spans="1:182" ht="15.95" customHeight="1">
      <c r="A92" s="6">
        <v>166</v>
      </c>
      <c r="B92" s="6" t="s">
        <v>175</v>
      </c>
      <c r="E92" s="6" t="s">
        <v>248</v>
      </c>
      <c r="F92" s="6" t="s">
        <v>1340</v>
      </c>
      <c r="G92" s="6" t="s">
        <v>1218</v>
      </c>
      <c r="H92" s="7" t="s">
        <v>1219</v>
      </c>
      <c r="I92" s="7"/>
      <c r="J92" s="6" t="s">
        <v>1199</v>
      </c>
      <c r="K92" s="6" t="s">
        <v>1201</v>
      </c>
      <c r="N92" s="6" t="s">
        <v>1203</v>
      </c>
      <c r="O92" s="6" t="s">
        <v>1205</v>
      </c>
      <c r="R92" s="101" t="s">
        <v>1220</v>
      </c>
      <c r="Y92" s="6" t="s">
        <v>1341</v>
      </c>
      <c r="Z92" s="6">
        <v>41</v>
      </c>
      <c r="AA92" s="6">
        <v>42</v>
      </c>
      <c r="AD92" s="6" t="s">
        <v>1203</v>
      </c>
      <c r="AE92" s="6" t="s">
        <v>1205</v>
      </c>
      <c r="AG92" s="6" t="s">
        <v>1342</v>
      </c>
      <c r="AY92" s="8" t="s">
        <v>176</v>
      </c>
      <c r="AZ92" s="8" t="s">
        <v>195</v>
      </c>
      <c r="BA92" s="13" t="s">
        <v>197</v>
      </c>
      <c r="BB92" s="13" t="s">
        <v>8</v>
      </c>
      <c r="BC92" s="13">
        <v>87</v>
      </c>
      <c r="BD92" s="13">
        <v>88</v>
      </c>
      <c r="DC92" s="6" t="s">
        <v>169</v>
      </c>
      <c r="DD92" s="6" t="s">
        <v>179</v>
      </c>
      <c r="DH92" s="6" t="str">
        <f t="shared" si="56"/>
        <v>A6</v>
      </c>
      <c r="DI92" s="6" t="str">
        <f t="shared" si="57"/>
        <v>B6</v>
      </c>
      <c r="DK92" s="6" t="s">
        <v>173</v>
      </c>
      <c r="DL92" s="6" t="str">
        <f t="shared" si="58"/>
        <v>CN2</v>
      </c>
      <c r="DO92" s="9" t="s">
        <v>170</v>
      </c>
      <c r="DP92" s="6" t="s">
        <v>171</v>
      </c>
      <c r="DQ92" s="6" t="s">
        <v>645</v>
      </c>
      <c r="DS92" s="6" t="str">
        <f t="shared" si="51"/>
        <v>KS1</v>
      </c>
      <c r="DT92" s="10" t="str">
        <f t="shared" si="52"/>
        <v>FCS0111-3-1/1S–MC–107-F5-CN1</v>
      </c>
      <c r="DU92" s="6" t="str">
        <f t="shared" si="53"/>
        <v>FCS0111-3-1/1S–MC–107-F5-CN2</v>
      </c>
      <c r="DV92" s="19">
        <v>1</v>
      </c>
      <c r="DW92" s="20" t="str">
        <f t="shared" si="54"/>
        <v>11</v>
      </c>
      <c r="DX92" s="21">
        <v>3</v>
      </c>
      <c r="DY92" s="22">
        <v>1</v>
      </c>
      <c r="DZ92" s="23">
        <v>2</v>
      </c>
      <c r="EA92" s="23">
        <v>6</v>
      </c>
      <c r="ED92" s="9" t="str">
        <f t="shared" si="55"/>
        <v>ANB10D</v>
      </c>
      <c r="EF92" s="6" t="s">
        <v>172</v>
      </c>
      <c r="EH92" s="6" t="s">
        <v>248</v>
      </c>
      <c r="EI92" s="6" t="s">
        <v>412</v>
      </c>
      <c r="EJ92" s="12">
        <v>100</v>
      </c>
      <c r="EN92" s="12" t="s">
        <v>1100</v>
      </c>
      <c r="EP92" s="6" t="s">
        <v>1148</v>
      </c>
      <c r="ET92" s="6" t="str">
        <f t="shared" si="40"/>
        <v>짝수</v>
      </c>
      <c r="EU92" s="12">
        <v>26</v>
      </c>
      <c r="EV92" s="45" t="str">
        <f t="shared" ca="1" si="49"/>
        <v>C</v>
      </c>
      <c r="EW92" s="6">
        <f t="shared" ca="1" si="41"/>
        <v>67</v>
      </c>
      <c r="FR92" s="6">
        <v>1</v>
      </c>
      <c r="FS92" s="6" t="str">
        <f t="shared" si="42"/>
        <v/>
      </c>
      <c r="FT92" s="6" t="str">
        <f t="shared" si="43"/>
        <v/>
      </c>
      <c r="FU92" s="6" t="str">
        <f t="shared" ca="1" si="50"/>
        <v/>
      </c>
      <c r="FV92" s="6" t="str">
        <f t="shared" ca="1" si="44"/>
        <v/>
      </c>
      <c r="FW92" s="6" t="str">
        <f t="shared" ca="1" si="59"/>
        <v/>
      </c>
      <c r="FX92" s="6" t="str">
        <f t="shared" ca="1" si="60"/>
        <v/>
      </c>
      <c r="FY92" s="6" t="str">
        <f t="shared" ca="1" si="61"/>
        <v/>
      </c>
      <c r="FZ92" s="6" t="str">
        <f t="shared" ca="1" si="62"/>
        <v/>
      </c>
    </row>
    <row r="93" spans="1:182" ht="15.95" customHeight="1">
      <c r="A93" s="6">
        <v>167</v>
      </c>
      <c r="B93" s="6" t="s">
        <v>175</v>
      </c>
      <c r="E93" s="6" t="s">
        <v>249</v>
      </c>
      <c r="F93" s="6" t="s">
        <v>1343</v>
      </c>
      <c r="G93" s="6" t="s">
        <v>1218</v>
      </c>
      <c r="H93" s="7" t="s">
        <v>1219</v>
      </c>
      <c r="I93" s="7"/>
      <c r="J93" s="6" t="s">
        <v>1199</v>
      </c>
      <c r="K93" s="6" t="s">
        <v>1201</v>
      </c>
      <c r="N93" s="6" t="s">
        <v>1203</v>
      </c>
      <c r="O93" s="6" t="s">
        <v>1205</v>
      </c>
      <c r="R93" s="101" t="s">
        <v>1220</v>
      </c>
      <c r="Y93" s="6" t="s">
        <v>1341</v>
      </c>
      <c r="Z93" s="6">
        <v>43</v>
      </c>
      <c r="AA93" s="6">
        <v>44</v>
      </c>
      <c r="AD93" s="6" t="s">
        <v>1203</v>
      </c>
      <c r="AE93" s="6" t="s">
        <v>1205</v>
      </c>
      <c r="AG93" s="6" t="s">
        <v>1342</v>
      </c>
      <c r="AY93" s="8" t="s">
        <v>176</v>
      </c>
      <c r="AZ93" s="8" t="s">
        <v>195</v>
      </c>
      <c r="BA93" s="13" t="s">
        <v>197</v>
      </c>
      <c r="BB93" s="13" t="s">
        <v>8</v>
      </c>
      <c r="BC93" s="13">
        <v>89</v>
      </c>
      <c r="BD93" s="13">
        <v>90</v>
      </c>
      <c r="DC93" s="6" t="s">
        <v>169</v>
      </c>
      <c r="DD93" s="6" t="s">
        <v>179</v>
      </c>
      <c r="DH93" s="6" t="str">
        <f t="shared" si="56"/>
        <v>A7</v>
      </c>
      <c r="DI93" s="6" t="str">
        <f t="shared" si="57"/>
        <v>B7</v>
      </c>
      <c r="DK93" s="6" t="s">
        <v>173</v>
      </c>
      <c r="DL93" s="6" t="str">
        <f t="shared" si="58"/>
        <v>CN2</v>
      </c>
      <c r="DO93" s="9" t="s">
        <v>170</v>
      </c>
      <c r="DP93" s="6" t="s">
        <v>171</v>
      </c>
      <c r="DQ93" s="6" t="s">
        <v>645</v>
      </c>
      <c r="DS93" s="6" t="str">
        <f t="shared" si="51"/>
        <v>KS1</v>
      </c>
      <c r="DT93" s="10" t="str">
        <f t="shared" si="52"/>
        <v>FCS0111-3-1/1S–MC–107-F5-CN1</v>
      </c>
      <c r="DU93" s="6" t="str">
        <f t="shared" si="53"/>
        <v>FCS0111-3-1/1S–MC–107-F5-CN2</v>
      </c>
      <c r="DV93" s="19">
        <v>1</v>
      </c>
      <c r="DW93" s="20" t="str">
        <f t="shared" si="54"/>
        <v>11</v>
      </c>
      <c r="DX93" s="21">
        <v>3</v>
      </c>
      <c r="DY93" s="22">
        <v>1</v>
      </c>
      <c r="DZ93" s="23">
        <v>2</v>
      </c>
      <c r="EA93" s="23">
        <v>7</v>
      </c>
      <c r="ED93" s="9" t="str">
        <f t="shared" si="55"/>
        <v>ANB10D</v>
      </c>
      <c r="EF93" s="6" t="s">
        <v>172</v>
      </c>
      <c r="EH93" s="6" t="s">
        <v>249</v>
      </c>
      <c r="EI93" s="6" t="s">
        <v>412</v>
      </c>
      <c r="EJ93" s="12">
        <v>100</v>
      </c>
      <c r="EN93" s="12" t="s">
        <v>1100</v>
      </c>
      <c r="EP93" s="6" t="s">
        <v>1148</v>
      </c>
      <c r="ET93" s="6" t="str">
        <f t="shared" si="40"/>
        <v>짝수</v>
      </c>
      <c r="EU93" s="12">
        <v>26</v>
      </c>
      <c r="EV93" s="45" t="str">
        <f t="shared" ca="1" si="49"/>
        <v>D</v>
      </c>
      <c r="EW93" s="6">
        <f t="shared" ca="1" si="41"/>
        <v>68</v>
      </c>
      <c r="FR93" s="6">
        <v>1</v>
      </c>
      <c r="FS93" s="6" t="str">
        <f t="shared" si="42"/>
        <v/>
      </c>
      <c r="FT93" s="6" t="str">
        <f t="shared" si="43"/>
        <v/>
      </c>
      <c r="FU93" s="6" t="str">
        <f t="shared" ca="1" si="50"/>
        <v/>
      </c>
      <c r="FV93" s="6" t="str">
        <f t="shared" ca="1" si="44"/>
        <v/>
      </c>
      <c r="FW93" s="6" t="str">
        <f t="shared" ca="1" si="59"/>
        <v/>
      </c>
      <c r="FX93" s="6" t="str">
        <f t="shared" ca="1" si="60"/>
        <v/>
      </c>
      <c r="FY93" s="6" t="str">
        <f t="shared" ca="1" si="61"/>
        <v/>
      </c>
      <c r="FZ93" s="6" t="str">
        <f t="shared" ca="1" si="62"/>
        <v/>
      </c>
    </row>
    <row r="94" spans="1:182" ht="15.95" customHeight="1">
      <c r="A94" s="6">
        <v>168</v>
      </c>
      <c r="B94" s="6" t="s">
        <v>175</v>
      </c>
      <c r="E94" s="6" t="s">
        <v>250</v>
      </c>
      <c r="F94" s="6" t="s">
        <v>1344</v>
      </c>
      <c r="G94" s="6" t="s">
        <v>1218</v>
      </c>
      <c r="H94" s="7" t="s">
        <v>1219</v>
      </c>
      <c r="I94" s="7"/>
      <c r="J94" s="6" t="s">
        <v>1199</v>
      </c>
      <c r="K94" s="6" t="s">
        <v>1201</v>
      </c>
      <c r="N94" s="6" t="s">
        <v>1203</v>
      </c>
      <c r="O94" s="6" t="s">
        <v>1205</v>
      </c>
      <c r="R94" s="101" t="s">
        <v>1220</v>
      </c>
      <c r="Y94" s="6" t="s">
        <v>1341</v>
      </c>
      <c r="Z94" s="6">
        <v>45</v>
      </c>
      <c r="AA94" s="6">
        <v>46</v>
      </c>
      <c r="AD94" s="6" t="s">
        <v>1203</v>
      </c>
      <c r="AE94" s="6" t="s">
        <v>1205</v>
      </c>
      <c r="AG94" s="6" t="s">
        <v>1342</v>
      </c>
      <c r="AY94" s="8" t="s">
        <v>176</v>
      </c>
      <c r="AZ94" s="8" t="s">
        <v>195</v>
      </c>
      <c r="BA94" s="13" t="s">
        <v>197</v>
      </c>
      <c r="BB94" s="13" t="s">
        <v>8</v>
      </c>
      <c r="BC94" s="13">
        <v>91</v>
      </c>
      <c r="BD94" s="13">
        <v>92</v>
      </c>
      <c r="DC94" s="6" t="s">
        <v>169</v>
      </c>
      <c r="DD94" s="6" t="s">
        <v>179</v>
      </c>
      <c r="DH94" s="6" t="str">
        <f t="shared" si="56"/>
        <v>A8</v>
      </c>
      <c r="DI94" s="6" t="str">
        <f t="shared" si="57"/>
        <v>B8</v>
      </c>
      <c r="DK94" s="6" t="s">
        <v>173</v>
      </c>
      <c r="DL94" s="6" t="str">
        <f t="shared" si="58"/>
        <v>CN2</v>
      </c>
      <c r="DO94" s="9" t="s">
        <v>170</v>
      </c>
      <c r="DP94" s="6" t="s">
        <v>171</v>
      </c>
      <c r="DQ94" s="6" t="s">
        <v>645</v>
      </c>
      <c r="DS94" s="6" t="str">
        <f t="shared" si="51"/>
        <v>KS1</v>
      </c>
      <c r="DT94" s="10" t="str">
        <f t="shared" si="52"/>
        <v>FCS0111-3-1/1S–MC–107-F5-CN1</v>
      </c>
      <c r="DU94" s="6" t="str">
        <f t="shared" si="53"/>
        <v>FCS0111-3-1/1S–MC–107-F5-CN2</v>
      </c>
      <c r="DV94" s="19">
        <v>1</v>
      </c>
      <c r="DW94" s="20" t="str">
        <f t="shared" si="54"/>
        <v>11</v>
      </c>
      <c r="DX94" s="21">
        <v>3</v>
      </c>
      <c r="DY94" s="22">
        <v>1</v>
      </c>
      <c r="DZ94" s="23">
        <v>2</v>
      </c>
      <c r="EA94" s="23">
        <v>8</v>
      </c>
      <c r="ED94" s="9" t="str">
        <f t="shared" si="55"/>
        <v>ANB10D</v>
      </c>
      <c r="EF94" s="6" t="s">
        <v>172</v>
      </c>
      <c r="EH94" s="6" t="s">
        <v>250</v>
      </c>
      <c r="EI94" s="6" t="s">
        <v>412</v>
      </c>
      <c r="EJ94" s="12">
        <v>100</v>
      </c>
      <c r="EN94" s="12" t="s">
        <v>1100</v>
      </c>
      <c r="EP94" s="6" t="s">
        <v>1148</v>
      </c>
      <c r="ET94" s="6" t="str">
        <f t="shared" si="40"/>
        <v>홀수</v>
      </c>
      <c r="EU94" s="12">
        <v>27</v>
      </c>
      <c r="EV94" s="45" t="str">
        <f t="shared" ca="1" si="49"/>
        <v>A</v>
      </c>
      <c r="EW94" s="6">
        <f t="shared" ca="1" si="41"/>
        <v>65</v>
      </c>
      <c r="FR94" s="6">
        <v>1</v>
      </c>
      <c r="FS94" s="6" t="str">
        <f t="shared" si="42"/>
        <v/>
      </c>
      <c r="FT94" s="6" t="str">
        <f t="shared" si="43"/>
        <v/>
      </c>
      <c r="FU94" s="6" t="str">
        <f t="shared" ca="1" si="50"/>
        <v/>
      </c>
      <c r="FV94" s="6" t="str">
        <f t="shared" ca="1" si="44"/>
        <v/>
      </c>
      <c r="FW94" s="6" t="str">
        <f t="shared" ca="1" si="59"/>
        <v/>
      </c>
      <c r="FX94" s="6" t="str">
        <f t="shared" ca="1" si="60"/>
        <v/>
      </c>
      <c r="FY94" s="6" t="str">
        <f t="shared" ca="1" si="61"/>
        <v/>
      </c>
      <c r="FZ94" s="6" t="str">
        <f t="shared" ca="1" si="62"/>
        <v/>
      </c>
    </row>
    <row r="95" spans="1:182" ht="15.95" customHeight="1">
      <c r="A95" s="6">
        <v>169</v>
      </c>
      <c r="B95" s="6" t="s">
        <v>175</v>
      </c>
      <c r="E95" s="6" t="s">
        <v>251</v>
      </c>
      <c r="F95" s="6" t="s">
        <v>1345</v>
      </c>
      <c r="G95" s="6" t="s">
        <v>1218</v>
      </c>
      <c r="H95" s="7" t="s">
        <v>1219</v>
      </c>
      <c r="I95" s="7"/>
      <c r="J95" s="6" t="s">
        <v>1199</v>
      </c>
      <c r="K95" s="6" t="s">
        <v>1201</v>
      </c>
      <c r="N95" s="6" t="s">
        <v>1203</v>
      </c>
      <c r="O95" s="6" t="s">
        <v>1205</v>
      </c>
      <c r="R95" s="101" t="s">
        <v>1220</v>
      </c>
      <c r="Y95" s="6" t="s">
        <v>1341</v>
      </c>
      <c r="Z95" s="6">
        <v>47</v>
      </c>
      <c r="AA95" s="6">
        <v>48</v>
      </c>
      <c r="AD95" s="6" t="s">
        <v>1203</v>
      </c>
      <c r="AE95" s="6" t="s">
        <v>1205</v>
      </c>
      <c r="AG95" s="6" t="s">
        <v>1342</v>
      </c>
      <c r="AY95" s="8" t="s">
        <v>176</v>
      </c>
      <c r="AZ95" s="8" t="s">
        <v>195</v>
      </c>
      <c r="BA95" s="13" t="s">
        <v>197</v>
      </c>
      <c r="BB95" s="13" t="s">
        <v>8</v>
      </c>
      <c r="BC95" s="13">
        <v>93</v>
      </c>
      <c r="BD95" s="13">
        <v>94</v>
      </c>
      <c r="DC95" s="6" t="s">
        <v>169</v>
      </c>
      <c r="DD95" s="6" t="s">
        <v>179</v>
      </c>
      <c r="DH95" s="6" t="str">
        <f t="shared" si="56"/>
        <v>A9</v>
      </c>
      <c r="DI95" s="6" t="str">
        <f t="shared" si="57"/>
        <v>B9</v>
      </c>
      <c r="DK95" s="6" t="s">
        <v>173</v>
      </c>
      <c r="DL95" s="6" t="str">
        <f t="shared" si="58"/>
        <v>CN2</v>
      </c>
      <c r="DO95" s="9" t="s">
        <v>170</v>
      </c>
      <c r="DP95" s="6" t="s">
        <v>171</v>
      </c>
      <c r="DQ95" s="6" t="s">
        <v>645</v>
      </c>
      <c r="DS95" s="6" t="str">
        <f t="shared" si="51"/>
        <v>KS1</v>
      </c>
      <c r="DT95" s="10" t="str">
        <f t="shared" si="52"/>
        <v>FCS0111-3-1/1S–MC–107-F5-CN1</v>
      </c>
      <c r="DU95" s="6" t="str">
        <f t="shared" si="53"/>
        <v>FCS0111-3-1/1S–MC–107-F5-CN2</v>
      </c>
      <c r="DV95" s="19">
        <v>1</v>
      </c>
      <c r="DW95" s="20" t="str">
        <f t="shared" si="54"/>
        <v>11</v>
      </c>
      <c r="DX95" s="21">
        <v>3</v>
      </c>
      <c r="DY95" s="22">
        <v>1</v>
      </c>
      <c r="DZ95" s="23">
        <v>2</v>
      </c>
      <c r="EA95" s="23">
        <v>9</v>
      </c>
      <c r="ED95" s="9" t="str">
        <f t="shared" si="55"/>
        <v>ANB10D</v>
      </c>
      <c r="EF95" s="6" t="s">
        <v>172</v>
      </c>
      <c r="EH95" s="6" t="s">
        <v>251</v>
      </c>
      <c r="EI95" s="6" t="s">
        <v>413</v>
      </c>
      <c r="EJ95" s="12">
        <v>100</v>
      </c>
      <c r="EN95" s="12" t="s">
        <v>1100</v>
      </c>
      <c r="EP95" s="6" t="s">
        <v>1148</v>
      </c>
      <c r="ET95" s="6" t="str">
        <f t="shared" si="40"/>
        <v>홀수</v>
      </c>
      <c r="EU95" s="12">
        <v>27</v>
      </c>
      <c r="EV95" s="45" t="str">
        <f t="shared" ca="1" si="49"/>
        <v>B</v>
      </c>
      <c r="EW95" s="6">
        <f t="shared" ca="1" si="41"/>
        <v>66</v>
      </c>
      <c r="FR95" s="6">
        <v>1</v>
      </c>
      <c r="FS95" s="6" t="str">
        <f t="shared" si="42"/>
        <v/>
      </c>
      <c r="FT95" s="6" t="str">
        <f t="shared" si="43"/>
        <v/>
      </c>
      <c r="FU95" s="6" t="str">
        <f t="shared" ca="1" si="50"/>
        <v/>
      </c>
      <c r="FV95" s="6" t="str">
        <f t="shared" ca="1" si="44"/>
        <v/>
      </c>
      <c r="FW95" s="6" t="str">
        <f t="shared" ca="1" si="59"/>
        <v/>
      </c>
      <c r="FX95" s="6" t="str">
        <f t="shared" ca="1" si="60"/>
        <v/>
      </c>
      <c r="FY95" s="6" t="str">
        <f t="shared" ca="1" si="61"/>
        <v/>
      </c>
      <c r="FZ95" s="6" t="str">
        <f t="shared" ca="1" si="62"/>
        <v/>
      </c>
    </row>
    <row r="96" spans="1:182" ht="15.95" customHeight="1">
      <c r="A96" s="6">
        <v>170</v>
      </c>
      <c r="B96" s="6" t="s">
        <v>175</v>
      </c>
      <c r="E96" s="6" t="s">
        <v>252</v>
      </c>
      <c r="F96" s="6" t="s">
        <v>1346</v>
      </c>
      <c r="G96" s="6" t="s">
        <v>1218</v>
      </c>
      <c r="H96" s="7" t="s">
        <v>1219</v>
      </c>
      <c r="I96" s="7"/>
      <c r="J96" s="6" t="s">
        <v>1199</v>
      </c>
      <c r="K96" s="6" t="s">
        <v>1201</v>
      </c>
      <c r="N96" s="6" t="s">
        <v>1203</v>
      </c>
      <c r="O96" s="6" t="s">
        <v>1205</v>
      </c>
      <c r="R96" s="101" t="s">
        <v>1220</v>
      </c>
      <c r="Y96" s="6" t="s">
        <v>1341</v>
      </c>
      <c r="Z96" s="6">
        <v>49</v>
      </c>
      <c r="AA96" s="6">
        <v>50</v>
      </c>
      <c r="AD96" s="6" t="s">
        <v>1203</v>
      </c>
      <c r="AE96" s="6" t="s">
        <v>1205</v>
      </c>
      <c r="AG96" s="6" t="s">
        <v>1342</v>
      </c>
      <c r="AY96" s="8" t="s">
        <v>176</v>
      </c>
      <c r="AZ96" s="8" t="s">
        <v>195</v>
      </c>
      <c r="BA96" s="13" t="s">
        <v>197</v>
      </c>
      <c r="BB96" s="13" t="s">
        <v>8</v>
      </c>
      <c r="BC96" s="13">
        <v>95</v>
      </c>
      <c r="BD96" s="13">
        <v>96</v>
      </c>
      <c r="DC96" s="6" t="s">
        <v>169</v>
      </c>
      <c r="DD96" s="6" t="s">
        <v>179</v>
      </c>
      <c r="DH96" s="6" t="str">
        <f t="shared" si="56"/>
        <v>A10</v>
      </c>
      <c r="DI96" s="6" t="str">
        <f t="shared" si="57"/>
        <v>B10</v>
      </c>
      <c r="DK96" s="6" t="s">
        <v>173</v>
      </c>
      <c r="DL96" s="6" t="str">
        <f t="shared" si="58"/>
        <v>CN2</v>
      </c>
      <c r="DO96" s="9" t="s">
        <v>170</v>
      </c>
      <c r="DP96" s="6" t="s">
        <v>171</v>
      </c>
      <c r="DQ96" s="6" t="s">
        <v>645</v>
      </c>
      <c r="DS96" s="6" t="str">
        <f t="shared" si="51"/>
        <v>KS1</v>
      </c>
      <c r="DT96" s="10" t="str">
        <f t="shared" si="52"/>
        <v>FCS0111-3-1/1S–MC–107-F5-CN1</v>
      </c>
      <c r="DU96" s="6" t="str">
        <f t="shared" si="53"/>
        <v>FCS0111-3-1/1S–MC–107-F5-CN2</v>
      </c>
      <c r="DV96" s="19">
        <v>1</v>
      </c>
      <c r="DW96" s="20" t="str">
        <f t="shared" si="54"/>
        <v>11</v>
      </c>
      <c r="DX96" s="21">
        <v>3</v>
      </c>
      <c r="DY96" s="22">
        <v>1</v>
      </c>
      <c r="DZ96" s="23">
        <v>2</v>
      </c>
      <c r="EA96" s="23">
        <v>10</v>
      </c>
      <c r="ED96" s="9" t="str">
        <f t="shared" si="55"/>
        <v>ANB10D</v>
      </c>
      <c r="EF96" s="6" t="s">
        <v>172</v>
      </c>
      <c r="EH96" s="6" t="s">
        <v>252</v>
      </c>
      <c r="EI96" s="6" t="s">
        <v>413</v>
      </c>
      <c r="EJ96" s="12">
        <v>100</v>
      </c>
      <c r="EN96" s="12" t="s">
        <v>1100</v>
      </c>
      <c r="EP96" s="6" t="s">
        <v>1148</v>
      </c>
      <c r="ET96" s="6" t="str">
        <f t="shared" si="40"/>
        <v>홀수</v>
      </c>
      <c r="EU96" s="12">
        <v>27</v>
      </c>
      <c r="EV96" s="45" t="str">
        <f t="shared" ca="1" si="49"/>
        <v>C</v>
      </c>
      <c r="EW96" s="6">
        <f t="shared" ca="1" si="41"/>
        <v>67</v>
      </c>
      <c r="FR96" s="6">
        <v>1</v>
      </c>
      <c r="FS96" s="6" t="str">
        <f t="shared" si="42"/>
        <v/>
      </c>
      <c r="FT96" s="6" t="str">
        <f t="shared" si="43"/>
        <v/>
      </c>
      <c r="FU96" s="6" t="str">
        <f t="shared" ca="1" si="50"/>
        <v/>
      </c>
      <c r="FV96" s="6" t="str">
        <f t="shared" ca="1" si="44"/>
        <v/>
      </c>
      <c r="FW96" s="6" t="str">
        <f t="shared" ca="1" si="59"/>
        <v/>
      </c>
      <c r="FX96" s="6" t="str">
        <f t="shared" ca="1" si="60"/>
        <v/>
      </c>
      <c r="FY96" s="6" t="str">
        <f t="shared" ca="1" si="61"/>
        <v/>
      </c>
      <c r="FZ96" s="6" t="str">
        <f t="shared" ca="1" si="62"/>
        <v/>
      </c>
    </row>
    <row r="97" spans="1:182" ht="15.95" customHeight="1">
      <c r="A97" s="6">
        <v>171</v>
      </c>
      <c r="B97" s="6" t="s">
        <v>175</v>
      </c>
      <c r="E97" s="6" t="s">
        <v>253</v>
      </c>
      <c r="F97" s="6" t="s">
        <v>1347</v>
      </c>
      <c r="G97" s="6" t="s">
        <v>1218</v>
      </c>
      <c r="H97" s="7" t="s">
        <v>1219</v>
      </c>
      <c r="I97" s="7"/>
      <c r="J97" s="6" t="s">
        <v>1199</v>
      </c>
      <c r="K97" s="6" t="s">
        <v>1201</v>
      </c>
      <c r="N97" s="6" t="s">
        <v>1203</v>
      </c>
      <c r="O97" s="6" t="s">
        <v>1205</v>
      </c>
      <c r="R97" s="101" t="s">
        <v>1220</v>
      </c>
      <c r="Y97" s="6" t="s">
        <v>1249</v>
      </c>
      <c r="Z97" s="6">
        <v>29</v>
      </c>
      <c r="AA97" s="6">
        <v>30</v>
      </c>
      <c r="AD97" s="6" t="s">
        <v>1203</v>
      </c>
      <c r="AE97" s="6" t="s">
        <v>1205</v>
      </c>
      <c r="AG97" s="6" t="s">
        <v>1250</v>
      </c>
      <c r="AY97" s="8" t="s">
        <v>176</v>
      </c>
      <c r="AZ97" s="8" t="s">
        <v>195</v>
      </c>
      <c r="BA97" s="13" t="s">
        <v>197</v>
      </c>
      <c r="BB97" s="13" t="s">
        <v>8</v>
      </c>
      <c r="BC97" s="13">
        <v>33</v>
      </c>
      <c r="BD97" s="13">
        <v>34</v>
      </c>
      <c r="DC97" s="6" t="s">
        <v>169</v>
      </c>
      <c r="DD97" s="6" t="s">
        <v>179</v>
      </c>
      <c r="DH97" s="6" t="str">
        <f t="shared" si="56"/>
        <v>A11</v>
      </c>
      <c r="DI97" s="6" t="str">
        <f t="shared" si="57"/>
        <v>B11</v>
      </c>
      <c r="DK97" s="6" t="s">
        <v>173</v>
      </c>
      <c r="DL97" s="6" t="str">
        <f t="shared" si="58"/>
        <v>CN2</v>
      </c>
      <c r="DO97" s="9" t="s">
        <v>170</v>
      </c>
      <c r="DP97" s="6" t="s">
        <v>171</v>
      </c>
      <c r="DQ97" s="6" t="s">
        <v>645</v>
      </c>
      <c r="DS97" s="6" t="str">
        <f t="shared" si="51"/>
        <v>KS1</v>
      </c>
      <c r="DT97" s="10" t="str">
        <f t="shared" si="52"/>
        <v>FCS0111-3-1/1S–MC–107-F5-CN1</v>
      </c>
      <c r="DU97" s="6" t="str">
        <f t="shared" si="53"/>
        <v>FCS0111-3-1/1S–MC–107-F5-CN2</v>
      </c>
      <c r="DV97" s="19">
        <v>1</v>
      </c>
      <c r="DW97" s="20" t="str">
        <f t="shared" si="54"/>
        <v>11</v>
      </c>
      <c r="DX97" s="21">
        <v>3</v>
      </c>
      <c r="DY97" s="22">
        <v>1</v>
      </c>
      <c r="DZ97" s="23">
        <v>2</v>
      </c>
      <c r="EA97" s="23">
        <v>11</v>
      </c>
      <c r="ED97" s="9" t="str">
        <f t="shared" si="55"/>
        <v>ANB10D</v>
      </c>
      <c r="EF97" s="6" t="s">
        <v>172</v>
      </c>
      <c r="EH97" s="6" t="s">
        <v>253</v>
      </c>
      <c r="EI97" s="6" t="s">
        <v>414</v>
      </c>
      <c r="EJ97" s="12">
        <v>100</v>
      </c>
      <c r="EN97" s="12" t="s">
        <v>1100</v>
      </c>
      <c r="EP97" s="6" t="s">
        <v>1148</v>
      </c>
      <c r="ET97" s="6" t="str">
        <f t="shared" si="40"/>
        <v>홀수</v>
      </c>
      <c r="EU97" s="12">
        <v>27</v>
      </c>
      <c r="EV97" s="45" t="str">
        <f t="shared" ca="1" si="49"/>
        <v>D</v>
      </c>
      <c r="EW97" s="6">
        <f t="shared" ca="1" si="41"/>
        <v>68</v>
      </c>
      <c r="FR97" s="6">
        <v>1</v>
      </c>
      <c r="FS97" s="6" t="str">
        <f t="shared" si="42"/>
        <v/>
      </c>
      <c r="FT97" s="6" t="str">
        <f t="shared" si="43"/>
        <v/>
      </c>
      <c r="FU97" s="6" t="str">
        <f t="shared" ca="1" si="50"/>
        <v/>
      </c>
      <c r="FV97" s="6" t="str">
        <f t="shared" ca="1" si="44"/>
        <v/>
      </c>
      <c r="FW97" s="6" t="str">
        <f t="shared" ca="1" si="59"/>
        <v/>
      </c>
      <c r="FX97" s="6" t="str">
        <f t="shared" ca="1" si="60"/>
        <v/>
      </c>
      <c r="FY97" s="6" t="str">
        <f t="shared" ca="1" si="61"/>
        <v/>
      </c>
      <c r="FZ97" s="6" t="str">
        <f t="shared" ca="1" si="62"/>
        <v/>
      </c>
    </row>
    <row r="98" spans="1:182" s="13" customFormat="1" ht="15.95" customHeight="1">
      <c r="A98" s="13">
        <v>172</v>
      </c>
      <c r="B98" s="13" t="s">
        <v>175</v>
      </c>
      <c r="E98" s="13" t="s">
        <v>522</v>
      </c>
      <c r="F98" s="6" t="s">
        <v>1348</v>
      </c>
      <c r="G98" s="6" t="s">
        <v>1218</v>
      </c>
      <c r="H98" s="7" t="s">
        <v>1219</v>
      </c>
      <c r="I98" s="7"/>
      <c r="J98" s="6" t="s">
        <v>1199</v>
      </c>
      <c r="K98" s="6" t="s">
        <v>1201</v>
      </c>
      <c r="N98" s="6" t="s">
        <v>1203</v>
      </c>
      <c r="O98" s="6" t="s">
        <v>1205</v>
      </c>
      <c r="R98" s="101" t="s">
        <v>1220</v>
      </c>
      <c r="Y98" s="6" t="s">
        <v>1310</v>
      </c>
      <c r="Z98" s="6">
        <v>49</v>
      </c>
      <c r="AA98" s="6">
        <v>50</v>
      </c>
      <c r="AD98" s="6" t="s">
        <v>1203</v>
      </c>
      <c r="AE98" s="6" t="s">
        <v>1205</v>
      </c>
      <c r="AG98" s="6" t="s">
        <v>1297</v>
      </c>
      <c r="AH98" s="6"/>
      <c r="AY98" s="13" t="s">
        <v>176</v>
      </c>
      <c r="AZ98" s="13" t="s">
        <v>195</v>
      </c>
      <c r="BA98" s="13" t="s">
        <v>197</v>
      </c>
      <c r="BB98" s="13" t="s">
        <v>7</v>
      </c>
      <c r="BC98" s="13">
        <v>105</v>
      </c>
      <c r="BD98" s="13">
        <v>106</v>
      </c>
      <c r="DC98" s="13" t="s">
        <v>169</v>
      </c>
      <c r="DD98" s="13" t="s">
        <v>179</v>
      </c>
      <c r="DH98" s="13" t="str">
        <f t="shared" si="56"/>
        <v>A12</v>
      </c>
      <c r="DI98" s="13" t="str">
        <f t="shared" si="57"/>
        <v>B12</v>
      </c>
      <c r="DK98" s="13" t="s">
        <v>173</v>
      </c>
      <c r="DL98" s="13" t="str">
        <f t="shared" si="58"/>
        <v>CN2</v>
      </c>
      <c r="DO98" s="37" t="s">
        <v>170</v>
      </c>
      <c r="DP98" s="13" t="s">
        <v>171</v>
      </c>
      <c r="DQ98" s="13" t="s">
        <v>645</v>
      </c>
      <c r="DS98" s="13" t="str">
        <f t="shared" si="51"/>
        <v>KS1</v>
      </c>
      <c r="DT98" s="37" t="str">
        <f t="shared" si="52"/>
        <v>FCS0111-3-1/1S–MC–107-F5-CN1</v>
      </c>
      <c r="DU98" s="13" t="str">
        <f t="shared" si="53"/>
        <v>FCS0111-3-1/1S–MC–107-F5-CN2</v>
      </c>
      <c r="DV98" s="38">
        <v>1</v>
      </c>
      <c r="DW98" s="39" t="str">
        <f t="shared" si="54"/>
        <v>11</v>
      </c>
      <c r="DX98" s="40">
        <v>3</v>
      </c>
      <c r="DY98" s="41">
        <v>1</v>
      </c>
      <c r="DZ98" s="42">
        <v>2</v>
      </c>
      <c r="EA98" s="42">
        <v>12</v>
      </c>
      <c r="ED98" s="37" t="str">
        <f t="shared" si="55"/>
        <v>ANB10D</v>
      </c>
      <c r="EF98" s="13" t="s">
        <v>172</v>
      </c>
      <c r="EH98" s="13" t="s">
        <v>1120</v>
      </c>
      <c r="EI98" s="13" t="s">
        <v>415</v>
      </c>
      <c r="EJ98" s="43">
        <v>100</v>
      </c>
      <c r="EK98" s="43"/>
      <c r="EL98" s="43"/>
      <c r="EM98" s="43"/>
      <c r="EN98" s="43" t="s">
        <v>1100</v>
      </c>
      <c r="EP98" s="13" t="s">
        <v>1148</v>
      </c>
      <c r="ET98" s="6" t="str">
        <f t="shared" si="40"/>
        <v>짝수</v>
      </c>
      <c r="EU98" s="12">
        <v>28</v>
      </c>
      <c r="EV98" s="45" t="str">
        <f t="shared" ca="1" si="49"/>
        <v>A</v>
      </c>
      <c r="EW98" s="6">
        <f t="shared" ca="1" si="41"/>
        <v>65</v>
      </c>
      <c r="FO98" s="44"/>
      <c r="FR98" s="13">
        <v>1</v>
      </c>
      <c r="FS98" s="13" t="str">
        <f t="shared" si="42"/>
        <v/>
      </c>
      <c r="FT98" s="13" t="str">
        <f t="shared" si="43"/>
        <v/>
      </c>
      <c r="FU98" s="13" t="str">
        <f t="shared" ca="1" si="50"/>
        <v/>
      </c>
      <c r="FV98" s="13" t="str">
        <f t="shared" ca="1" si="44"/>
        <v/>
      </c>
      <c r="FW98" s="13" t="str">
        <f t="shared" ca="1" si="59"/>
        <v/>
      </c>
      <c r="FX98" s="13" t="str">
        <f t="shared" ca="1" si="60"/>
        <v/>
      </c>
      <c r="FY98" s="13" t="str">
        <f t="shared" ca="1" si="61"/>
        <v/>
      </c>
      <c r="FZ98" s="13" t="str">
        <f t="shared" ca="1" si="62"/>
        <v/>
      </c>
    </row>
    <row r="99" spans="1:182" ht="15.95" customHeight="1">
      <c r="A99" s="6">
        <v>290</v>
      </c>
      <c r="B99" s="6" t="s">
        <v>175</v>
      </c>
      <c r="E99" s="6" t="s">
        <v>533</v>
      </c>
      <c r="F99" s="6" t="s">
        <v>1349</v>
      </c>
      <c r="G99" s="6" t="s">
        <v>1218</v>
      </c>
      <c r="H99" s="7" t="s">
        <v>1219</v>
      </c>
      <c r="I99" s="7"/>
      <c r="J99" s="6" t="s">
        <v>1199</v>
      </c>
      <c r="K99" s="6" t="s">
        <v>1201</v>
      </c>
      <c r="N99" s="6" t="s">
        <v>1203</v>
      </c>
      <c r="O99" s="6" t="s">
        <v>1205</v>
      </c>
      <c r="R99" s="101" t="s">
        <v>1220</v>
      </c>
      <c r="Y99" s="6" t="s">
        <v>1221</v>
      </c>
      <c r="Z99" s="6">
        <v>13</v>
      </c>
      <c r="AA99" s="6">
        <v>14</v>
      </c>
      <c r="AD99" s="6" t="s">
        <v>1203</v>
      </c>
      <c r="AE99" s="6" t="s">
        <v>1205</v>
      </c>
      <c r="AG99" s="6" t="s">
        <v>1222</v>
      </c>
      <c r="AY99" s="8" t="s">
        <v>176</v>
      </c>
      <c r="AZ99" s="8" t="s">
        <v>195</v>
      </c>
      <c r="BA99" s="13" t="s">
        <v>197</v>
      </c>
      <c r="BB99" s="13" t="s">
        <v>7</v>
      </c>
      <c r="BC99" s="13">
        <v>121</v>
      </c>
      <c r="BD99" s="13">
        <v>122</v>
      </c>
      <c r="DC99" s="6" t="s">
        <v>169</v>
      </c>
      <c r="DD99" s="6" t="s">
        <v>181</v>
      </c>
      <c r="DH99" s="6" t="str">
        <f>"A"&amp;EA99</f>
        <v>A2</v>
      </c>
      <c r="DI99" s="6" t="str">
        <f>"B"&amp;EA99</f>
        <v>B2</v>
      </c>
      <c r="DK99" s="6" t="s">
        <v>173</v>
      </c>
      <c r="DL99" s="6" t="str">
        <f>IF(DZ99&lt;&gt;"","CN2","")</f>
        <v>CN2</v>
      </c>
      <c r="DO99" s="9" t="s">
        <v>170</v>
      </c>
      <c r="DP99" s="6" t="s">
        <v>171</v>
      </c>
      <c r="DQ99" s="6" t="s">
        <v>645</v>
      </c>
      <c r="DS99" s="6" t="str">
        <f>IF(MID(EF99,2,1)="A","KS1","AKB331")</f>
        <v>KS1</v>
      </c>
      <c r="DT99" s="10" t="str">
        <f>DQ99&amp;"-"&amp;DX99&amp;"-"&amp;DY99&amp;"/"&amp;BA99&amp;"-"&amp;DD99&amp;"-"&amp;DK99</f>
        <v>FCS0111-4-1/1S–MC–107-F7-CN1</v>
      </c>
      <c r="DU99" s="6" t="str">
        <f>IF(DL99="","",DQ99&amp;"-"&amp;DX99&amp;"-"&amp;DY99&amp;"/"&amp;BA99&amp;"-"&amp;DD99&amp;"-"&amp;DL99)</f>
        <v>FCS0111-4-1/1S–MC–107-F7-CN2</v>
      </c>
      <c r="DV99" s="19">
        <v>1</v>
      </c>
      <c r="DW99" s="20" t="str">
        <f>RIGHT(DQ99,2)</f>
        <v>11</v>
      </c>
      <c r="DX99" s="21">
        <v>4</v>
      </c>
      <c r="DY99" s="22">
        <v>1</v>
      </c>
      <c r="DZ99" s="23">
        <v>2</v>
      </c>
      <c r="EA99" s="23">
        <v>2</v>
      </c>
      <c r="ED99" s="9" t="str">
        <f>IF(DX99="1","AFV30D","ANB10D")</f>
        <v>ANB10D</v>
      </c>
      <c r="EF99" s="6" t="s">
        <v>172</v>
      </c>
      <c r="EH99" s="6" t="s">
        <v>254</v>
      </c>
      <c r="EI99" s="6" t="s">
        <v>424</v>
      </c>
      <c r="EJ99" s="12">
        <v>300</v>
      </c>
      <c r="EN99" s="12" t="s">
        <v>1102</v>
      </c>
      <c r="EP99" s="6" t="s">
        <v>1147</v>
      </c>
      <c r="ET99" s="6" t="str">
        <f t="shared" si="40"/>
        <v>짝수</v>
      </c>
      <c r="EU99" s="12">
        <v>28</v>
      </c>
      <c r="EV99" s="45" t="str">
        <f t="shared" ca="1" si="49"/>
        <v>B</v>
      </c>
      <c r="EW99" s="6">
        <f t="shared" ca="1" si="41"/>
        <v>66</v>
      </c>
      <c r="FR99" s="6">
        <v>1</v>
      </c>
      <c r="FS99" s="6" t="str">
        <f t="shared" si="42"/>
        <v/>
      </c>
      <c r="FT99" s="6" t="str">
        <f t="shared" si="43"/>
        <v/>
      </c>
      <c r="FU99" s="6" t="str">
        <f t="shared" ca="1" si="50"/>
        <v/>
      </c>
      <c r="FV99" s="6" t="str">
        <f t="shared" ca="1" si="44"/>
        <v/>
      </c>
      <c r="FW99" s="6" t="str">
        <f t="shared" ca="1" si="59"/>
        <v/>
      </c>
      <c r="FX99" s="6" t="str">
        <f t="shared" ca="1" si="60"/>
        <v/>
      </c>
      <c r="FY99" s="6" t="str">
        <f t="shared" ca="1" si="61"/>
        <v/>
      </c>
      <c r="FZ99" s="6" t="str">
        <f t="shared" ca="1" si="62"/>
        <v/>
      </c>
    </row>
    <row r="100" spans="1:182" ht="15.95" customHeight="1">
      <c r="A100" s="6">
        <v>177</v>
      </c>
      <c r="B100" s="6" t="s">
        <v>175</v>
      </c>
      <c r="E100" s="6" t="s">
        <v>523</v>
      </c>
      <c r="F100" s="6" t="s">
        <v>1350</v>
      </c>
      <c r="G100" s="6" t="s">
        <v>1226</v>
      </c>
      <c r="H100" s="7" t="s">
        <v>1227</v>
      </c>
      <c r="I100" s="7"/>
      <c r="J100" s="6" t="s">
        <v>1199</v>
      </c>
      <c r="K100" s="6" t="s">
        <v>1201</v>
      </c>
      <c r="N100" s="6" t="s">
        <v>1203</v>
      </c>
      <c r="O100" s="6" t="s">
        <v>1205</v>
      </c>
      <c r="R100" s="101" t="s">
        <v>1220</v>
      </c>
      <c r="Y100" s="6" t="s">
        <v>1221</v>
      </c>
      <c r="Z100" s="6">
        <v>15</v>
      </c>
      <c r="AA100" s="6">
        <v>16</v>
      </c>
      <c r="AD100" s="6" t="s">
        <v>1203</v>
      </c>
      <c r="AE100" s="6" t="s">
        <v>1205</v>
      </c>
      <c r="AG100" s="6" t="s">
        <v>1222</v>
      </c>
      <c r="AY100" s="8" t="s">
        <v>176</v>
      </c>
      <c r="AZ100" s="8" t="s">
        <v>195</v>
      </c>
      <c r="BA100" s="13" t="s">
        <v>197</v>
      </c>
      <c r="BB100" s="13" t="s">
        <v>7</v>
      </c>
      <c r="BC100" s="13">
        <v>123</v>
      </c>
      <c r="BD100" s="13">
        <v>124</v>
      </c>
      <c r="DC100" s="6" t="s">
        <v>169</v>
      </c>
      <c r="DD100" s="6" t="s">
        <v>180</v>
      </c>
      <c r="DH100" s="6" t="str">
        <f>"A"&amp;EA100</f>
        <v>A1</v>
      </c>
      <c r="DI100" s="6" t="str">
        <f>"B"&amp;EA100</f>
        <v>B1</v>
      </c>
      <c r="DK100" s="6" t="s">
        <v>173</v>
      </c>
      <c r="DL100" s="6" t="str">
        <f>IF(DZ100&lt;&gt;"","CN2","")</f>
        <v>CN2</v>
      </c>
      <c r="DO100" s="9" t="s">
        <v>170</v>
      </c>
      <c r="DP100" s="6" t="s">
        <v>171</v>
      </c>
      <c r="DQ100" s="6" t="s">
        <v>645</v>
      </c>
      <c r="DS100" s="6" t="str">
        <f>IF(MID(EF100,2,1)="A","KS1","AKB331")</f>
        <v>KS1</v>
      </c>
      <c r="DT100" s="10" t="str">
        <f>DQ100&amp;"-"&amp;DX100&amp;"-"&amp;DY100&amp;"/"&amp;BA100&amp;"-"&amp;DD100&amp;"-"&amp;DK100</f>
        <v>FCS0111-3-3/1S–MC–107-F6-CN1</v>
      </c>
      <c r="DU100" s="6" t="str">
        <f>IF(DL100="","",DQ100&amp;"-"&amp;DX100&amp;"-"&amp;DY100&amp;"/"&amp;BA100&amp;"-"&amp;DD100&amp;"-"&amp;DL100)</f>
        <v>FCS0111-3-3/1S–MC–107-F6-CN2</v>
      </c>
      <c r="DV100" s="19">
        <v>1</v>
      </c>
      <c r="DW100" s="20" t="str">
        <f>RIGHT(DQ100,2)</f>
        <v>11</v>
      </c>
      <c r="DX100" s="21">
        <v>3</v>
      </c>
      <c r="DY100" s="22">
        <v>3</v>
      </c>
      <c r="DZ100" s="23">
        <v>4</v>
      </c>
      <c r="EA100" s="23">
        <v>1</v>
      </c>
      <c r="ED100" s="9" t="str">
        <f>IF(DX100="1","AFV30D","ANB10D")</f>
        <v>ANB10D</v>
      </c>
      <c r="EF100" s="6" t="s">
        <v>174</v>
      </c>
      <c r="EH100" s="6" t="s">
        <v>254</v>
      </c>
      <c r="EI100" s="6" t="s">
        <v>416</v>
      </c>
      <c r="EJ100" s="12">
        <v>300</v>
      </c>
      <c r="EN100" s="12" t="s">
        <v>1102</v>
      </c>
      <c r="ET100" s="6" t="str">
        <f t="shared" si="40"/>
        <v>짝수</v>
      </c>
      <c r="EU100" s="12">
        <v>28</v>
      </c>
      <c r="EV100" s="45" t="str">
        <f t="shared" ca="1" si="49"/>
        <v>C</v>
      </c>
      <c r="EW100" s="6">
        <f t="shared" ca="1" si="41"/>
        <v>67</v>
      </c>
      <c r="FR100" s="6">
        <v>1</v>
      </c>
      <c r="FS100" s="6" t="str">
        <f t="shared" si="42"/>
        <v/>
      </c>
      <c r="FT100" s="6" t="str">
        <f t="shared" si="43"/>
        <v/>
      </c>
      <c r="FU100" s="6" t="str">
        <f t="shared" ca="1" si="50"/>
        <v/>
      </c>
      <c r="FV100" s="6" t="str">
        <f t="shared" ca="1" si="44"/>
        <v/>
      </c>
      <c r="FW100" s="6" t="str">
        <f t="shared" ca="1" si="59"/>
        <v/>
      </c>
      <c r="FX100" s="6" t="str">
        <f t="shared" ca="1" si="60"/>
        <v/>
      </c>
      <c r="FY100" s="6" t="str">
        <f t="shared" ca="1" si="61"/>
        <v/>
      </c>
      <c r="FZ100" s="6" t="str">
        <f t="shared" ca="1" si="62"/>
        <v/>
      </c>
    </row>
    <row r="101" spans="1:182" ht="15.95" customHeight="1">
      <c r="A101" s="6">
        <v>291</v>
      </c>
      <c r="B101" s="6" t="s">
        <v>175</v>
      </c>
      <c r="E101" s="6" t="s">
        <v>534</v>
      </c>
      <c r="F101" s="6" t="s">
        <v>1351</v>
      </c>
      <c r="G101" s="6" t="s">
        <v>1218</v>
      </c>
      <c r="H101" s="7" t="s">
        <v>1219</v>
      </c>
      <c r="I101" s="7"/>
      <c r="J101" s="6" t="s">
        <v>1199</v>
      </c>
      <c r="K101" s="6" t="s">
        <v>1201</v>
      </c>
      <c r="N101" s="6" t="s">
        <v>1203</v>
      </c>
      <c r="O101" s="6" t="s">
        <v>1205</v>
      </c>
      <c r="R101" s="101" t="s">
        <v>1220</v>
      </c>
      <c r="Y101" s="6" t="s">
        <v>1317</v>
      </c>
      <c r="Z101" s="6">
        <v>21</v>
      </c>
      <c r="AA101" s="6">
        <v>22</v>
      </c>
      <c r="AD101" s="6" t="s">
        <v>1203</v>
      </c>
      <c r="AE101" s="6" t="s">
        <v>1205</v>
      </c>
      <c r="AG101" s="6" t="s">
        <v>1318</v>
      </c>
      <c r="AY101" s="8" t="s">
        <v>176</v>
      </c>
      <c r="AZ101" s="8" t="s">
        <v>195</v>
      </c>
      <c r="BA101" s="13" t="s">
        <v>197</v>
      </c>
      <c r="BB101" s="13" t="s">
        <v>8</v>
      </c>
      <c r="BC101" s="13">
        <v>1</v>
      </c>
      <c r="BD101" s="13">
        <v>2</v>
      </c>
      <c r="DC101" s="6" t="s">
        <v>169</v>
      </c>
      <c r="DD101" s="6" t="s">
        <v>181</v>
      </c>
      <c r="DH101" s="6" t="str">
        <f>"A"&amp;EA101</f>
        <v>A3</v>
      </c>
      <c r="DI101" s="6" t="str">
        <f>"B"&amp;EA101</f>
        <v>B3</v>
      </c>
      <c r="DK101" s="6" t="s">
        <v>173</v>
      </c>
      <c r="DL101" s="6" t="str">
        <f>IF(DZ101&lt;&gt;"","CN2","")</f>
        <v>CN2</v>
      </c>
      <c r="DO101" s="9" t="s">
        <v>170</v>
      </c>
      <c r="DP101" s="6" t="s">
        <v>171</v>
      </c>
      <c r="DQ101" s="6" t="s">
        <v>645</v>
      </c>
      <c r="DS101" s="6" t="str">
        <f>IF(MID(EF101,2,1)="A","KS1","AKB331")</f>
        <v>KS1</v>
      </c>
      <c r="DT101" s="10" t="str">
        <f>DQ101&amp;"-"&amp;DX101&amp;"-"&amp;DY101&amp;"/"&amp;BA101&amp;"-"&amp;DD101&amp;"-"&amp;DK101</f>
        <v>FCS0111-4-1/1S–MC–107-F7-CN1</v>
      </c>
      <c r="DU101" s="6" t="str">
        <f>IF(DL101="","",DQ101&amp;"-"&amp;DX101&amp;"-"&amp;DY101&amp;"/"&amp;BA101&amp;"-"&amp;DD101&amp;"-"&amp;DL101)</f>
        <v>FCS0111-4-1/1S–MC–107-F7-CN2</v>
      </c>
      <c r="DV101" s="19">
        <v>1</v>
      </c>
      <c r="DW101" s="20" t="str">
        <f>RIGHT(DQ101,2)</f>
        <v>11</v>
      </c>
      <c r="DX101" s="21">
        <v>4</v>
      </c>
      <c r="DY101" s="22">
        <v>1</v>
      </c>
      <c r="DZ101" s="23">
        <v>2</v>
      </c>
      <c r="EA101" s="23">
        <v>3</v>
      </c>
      <c r="ED101" s="9" t="str">
        <f>IF(DX101="1","AFV30D","ANB10D")</f>
        <v>ANB10D</v>
      </c>
      <c r="EF101" s="6" t="s">
        <v>172</v>
      </c>
      <c r="EH101" s="6" t="s">
        <v>255</v>
      </c>
      <c r="EI101" s="6" t="s">
        <v>425</v>
      </c>
      <c r="EJ101" s="12">
        <v>300</v>
      </c>
      <c r="EN101" s="12" t="s">
        <v>1102</v>
      </c>
      <c r="EP101" s="6" t="s">
        <v>1147</v>
      </c>
      <c r="ET101" s="6" t="str">
        <f t="shared" si="40"/>
        <v>홀수</v>
      </c>
      <c r="EU101" s="12">
        <v>29</v>
      </c>
      <c r="EV101" s="45" t="str">
        <f t="shared" ca="1" si="49"/>
        <v>A</v>
      </c>
      <c r="EW101" s="6">
        <f t="shared" ca="1" si="41"/>
        <v>65</v>
      </c>
      <c r="FR101" s="6">
        <v>1</v>
      </c>
      <c r="FS101" s="6" t="str">
        <f t="shared" si="42"/>
        <v/>
      </c>
      <c r="FT101" s="6" t="str">
        <f t="shared" si="43"/>
        <v/>
      </c>
      <c r="FU101" s="6" t="str">
        <f t="shared" ca="1" si="50"/>
        <v/>
      </c>
      <c r="FV101" s="6" t="str">
        <f t="shared" ca="1" si="44"/>
        <v/>
      </c>
      <c r="FW101" s="6" t="str">
        <f t="shared" ca="1" si="59"/>
        <v/>
      </c>
      <c r="FX101" s="6" t="str">
        <f t="shared" ca="1" si="60"/>
        <v/>
      </c>
      <c r="FY101" s="6" t="str">
        <f t="shared" ca="1" si="61"/>
        <v/>
      </c>
      <c r="FZ101" s="6" t="str">
        <f t="shared" ca="1" si="62"/>
        <v/>
      </c>
    </row>
    <row r="102" spans="1:182" ht="15.95" customHeight="1">
      <c r="A102" s="6">
        <v>178</v>
      </c>
      <c r="B102" s="6" t="s">
        <v>175</v>
      </c>
      <c r="E102" s="6" t="s">
        <v>524</v>
      </c>
      <c r="F102" s="6" t="s">
        <v>1352</v>
      </c>
      <c r="G102" s="6" t="s">
        <v>1226</v>
      </c>
      <c r="H102" s="7" t="s">
        <v>1227</v>
      </c>
      <c r="I102" s="7"/>
      <c r="J102" s="6" t="s">
        <v>1199</v>
      </c>
      <c r="K102" s="6" t="s">
        <v>1201</v>
      </c>
      <c r="N102" s="6" t="s">
        <v>1203</v>
      </c>
      <c r="O102" s="6" t="s">
        <v>1205</v>
      </c>
      <c r="R102" s="101" t="s">
        <v>1220</v>
      </c>
      <c r="Y102" s="6" t="s">
        <v>1317</v>
      </c>
      <c r="Z102" s="6">
        <v>31</v>
      </c>
      <c r="AA102" s="6">
        <v>32</v>
      </c>
      <c r="AD102" s="6" t="s">
        <v>1203</v>
      </c>
      <c r="AE102" s="6" t="s">
        <v>1205</v>
      </c>
      <c r="AG102" s="6" t="s">
        <v>1353</v>
      </c>
      <c r="AY102" s="8" t="s">
        <v>176</v>
      </c>
      <c r="AZ102" s="8" t="s">
        <v>195</v>
      </c>
      <c r="BA102" s="13" t="s">
        <v>197</v>
      </c>
      <c r="BB102" s="13" t="s">
        <v>8</v>
      </c>
      <c r="BC102" s="13">
        <v>3</v>
      </c>
      <c r="BD102" s="13">
        <v>4</v>
      </c>
      <c r="DC102" s="6" t="s">
        <v>169</v>
      </c>
      <c r="DD102" s="6" t="s">
        <v>180</v>
      </c>
      <c r="DH102" s="6" t="str">
        <f>"A"&amp;EA102</f>
        <v>A2</v>
      </c>
      <c r="DI102" s="6" t="str">
        <f>"B"&amp;EA102</f>
        <v>B2</v>
      </c>
      <c r="DK102" s="6" t="s">
        <v>173</v>
      </c>
      <c r="DL102" s="6" t="str">
        <f>IF(DZ102&lt;&gt;"","CN2","")</f>
        <v>CN2</v>
      </c>
      <c r="DO102" s="9" t="s">
        <v>170</v>
      </c>
      <c r="DP102" s="6" t="s">
        <v>171</v>
      </c>
      <c r="DQ102" s="6" t="s">
        <v>645</v>
      </c>
      <c r="DS102" s="6" t="str">
        <f>IF(MID(EF102,2,1)="A","KS1","AKB331")</f>
        <v>KS1</v>
      </c>
      <c r="DT102" s="10" t="str">
        <f>DQ102&amp;"-"&amp;DX102&amp;"-"&amp;DY102&amp;"/"&amp;BA102&amp;"-"&amp;DD102&amp;"-"&amp;DK102</f>
        <v>FCS0111-3-3/1S–MC–107-F6-CN1</v>
      </c>
      <c r="DU102" s="6" t="str">
        <f>IF(DL102="","",DQ102&amp;"-"&amp;DX102&amp;"-"&amp;DY102&amp;"/"&amp;BA102&amp;"-"&amp;DD102&amp;"-"&amp;DL102)</f>
        <v>FCS0111-3-3/1S–MC–107-F6-CN2</v>
      </c>
      <c r="DV102" s="19">
        <v>1</v>
      </c>
      <c r="DW102" s="20" t="str">
        <f>RIGHT(DQ102,2)</f>
        <v>11</v>
      </c>
      <c r="DX102" s="21">
        <v>3</v>
      </c>
      <c r="DY102" s="22">
        <v>3</v>
      </c>
      <c r="DZ102" s="23">
        <v>4</v>
      </c>
      <c r="EA102" s="23">
        <v>2</v>
      </c>
      <c r="ED102" s="9" t="str">
        <f>IF(DX102="1","AFV30D","ANB10D")</f>
        <v>ANB10D</v>
      </c>
      <c r="EF102" s="6" t="s">
        <v>174</v>
      </c>
      <c r="EH102" s="6" t="s">
        <v>255</v>
      </c>
      <c r="EI102" s="6" t="s">
        <v>416</v>
      </c>
      <c r="EJ102" s="12">
        <v>300</v>
      </c>
      <c r="EN102" s="12" t="s">
        <v>1102</v>
      </c>
      <c r="ET102" s="6" t="str">
        <f t="shared" si="40"/>
        <v>홀수</v>
      </c>
      <c r="EU102" s="12">
        <v>29</v>
      </c>
      <c r="EV102" s="45" t="str">
        <f t="shared" ca="1" si="49"/>
        <v>B</v>
      </c>
      <c r="EW102" s="6">
        <f t="shared" ca="1" si="41"/>
        <v>66</v>
      </c>
      <c r="FR102" s="6">
        <v>1</v>
      </c>
      <c r="FS102" s="6" t="str">
        <f t="shared" si="42"/>
        <v/>
      </c>
      <c r="FT102" s="6" t="str">
        <f t="shared" si="43"/>
        <v/>
      </c>
      <c r="FU102" s="6" t="str">
        <f t="shared" ca="1" si="50"/>
        <v/>
      </c>
      <c r="FV102" s="6" t="str">
        <f t="shared" ca="1" si="44"/>
        <v/>
      </c>
      <c r="FW102" s="6" t="str">
        <f t="shared" ca="1" si="59"/>
        <v/>
      </c>
      <c r="FX102" s="6" t="str">
        <f t="shared" ca="1" si="60"/>
        <v/>
      </c>
      <c r="FY102" s="6" t="str">
        <f t="shared" ca="1" si="61"/>
        <v/>
      </c>
      <c r="FZ102" s="6" t="str">
        <f t="shared" ca="1" si="62"/>
        <v/>
      </c>
    </row>
    <row r="103" spans="1:182" ht="15.95" customHeight="1">
      <c r="A103" s="6">
        <v>179</v>
      </c>
      <c r="B103" s="6" t="s">
        <v>175</v>
      </c>
      <c r="E103" s="6" t="s">
        <v>525</v>
      </c>
      <c r="F103" s="6" t="s">
        <v>1354</v>
      </c>
      <c r="G103" s="6" t="s">
        <v>1226</v>
      </c>
      <c r="H103" s="7" t="s">
        <v>1227</v>
      </c>
      <c r="I103" s="7"/>
      <c r="J103" s="6" t="s">
        <v>1199</v>
      </c>
      <c r="K103" s="6" t="s">
        <v>1201</v>
      </c>
      <c r="N103" s="6" t="s">
        <v>1203</v>
      </c>
      <c r="O103" s="6" t="s">
        <v>1205</v>
      </c>
      <c r="R103" s="101" t="s">
        <v>1220</v>
      </c>
      <c r="Y103" s="6" t="s">
        <v>1221</v>
      </c>
      <c r="Z103" s="6">
        <v>33</v>
      </c>
      <c r="AA103" s="6">
        <v>34</v>
      </c>
      <c r="AD103" s="6" t="s">
        <v>1203</v>
      </c>
      <c r="AE103" s="6" t="s">
        <v>1205</v>
      </c>
      <c r="AG103" s="6" t="s">
        <v>1355</v>
      </c>
      <c r="AY103" s="8" t="s">
        <v>176</v>
      </c>
      <c r="AZ103" s="8" t="s">
        <v>195</v>
      </c>
      <c r="BA103" s="13" t="s">
        <v>197</v>
      </c>
      <c r="BB103" s="13" t="s">
        <v>7</v>
      </c>
      <c r="BC103" s="13">
        <v>133</v>
      </c>
      <c r="BD103" s="13">
        <v>134</v>
      </c>
      <c r="DC103" s="6" t="s">
        <v>169</v>
      </c>
      <c r="DD103" s="6" t="s">
        <v>180</v>
      </c>
      <c r="DH103" s="6" t="str">
        <f t="shared" si="56"/>
        <v>A3</v>
      </c>
      <c r="DI103" s="6" t="str">
        <f t="shared" si="57"/>
        <v>B3</v>
      </c>
      <c r="DK103" s="6" t="s">
        <v>173</v>
      </c>
      <c r="DL103" s="6" t="str">
        <f t="shared" si="58"/>
        <v>CN2</v>
      </c>
      <c r="DO103" s="9" t="s">
        <v>170</v>
      </c>
      <c r="DP103" s="6" t="s">
        <v>171</v>
      </c>
      <c r="DQ103" s="6" t="s">
        <v>645</v>
      </c>
      <c r="DS103" s="6" t="str">
        <f t="shared" si="51"/>
        <v>KS1</v>
      </c>
      <c r="DT103" s="10" t="str">
        <f t="shared" si="52"/>
        <v>FCS0111-3-3/1S–MC–107-F6-CN1</v>
      </c>
      <c r="DU103" s="6" t="str">
        <f t="shared" si="53"/>
        <v>FCS0111-3-3/1S–MC–107-F6-CN2</v>
      </c>
      <c r="DV103" s="19">
        <v>1</v>
      </c>
      <c r="DW103" s="20" t="str">
        <f t="shared" si="54"/>
        <v>11</v>
      </c>
      <c r="DX103" s="21">
        <v>3</v>
      </c>
      <c r="DY103" s="22">
        <v>3</v>
      </c>
      <c r="DZ103" s="23">
        <v>4</v>
      </c>
      <c r="EA103" s="23">
        <v>3</v>
      </c>
      <c r="ED103" s="9" t="str">
        <f t="shared" si="55"/>
        <v>ANB10D</v>
      </c>
      <c r="EF103" s="6" t="s">
        <v>174</v>
      </c>
      <c r="EH103" s="6" t="s">
        <v>256</v>
      </c>
      <c r="EI103" s="6" t="s">
        <v>417</v>
      </c>
      <c r="EJ103" s="12">
        <v>1</v>
      </c>
      <c r="EN103" s="12" t="s">
        <v>1102</v>
      </c>
      <c r="EP103" s="6" t="s">
        <v>1149</v>
      </c>
      <c r="ET103" s="6" t="str">
        <f t="shared" si="40"/>
        <v>짝수</v>
      </c>
      <c r="EU103" s="12">
        <v>30</v>
      </c>
      <c r="EV103" s="45" t="str">
        <f t="shared" ca="1" si="49"/>
        <v>A</v>
      </c>
      <c r="EW103" s="6">
        <f t="shared" ca="1" si="41"/>
        <v>65</v>
      </c>
      <c r="FR103" s="6">
        <v>1</v>
      </c>
      <c r="FS103" s="6" t="str">
        <f t="shared" si="42"/>
        <v/>
      </c>
      <c r="FT103" s="6" t="str">
        <f t="shared" si="43"/>
        <v/>
      </c>
      <c r="FU103" s="6" t="str">
        <f t="shared" ca="1" si="50"/>
        <v/>
      </c>
      <c r="FV103" s="6" t="str">
        <f t="shared" ca="1" si="44"/>
        <v/>
      </c>
      <c r="FW103" s="6" t="str">
        <f t="shared" ca="1" si="59"/>
        <v/>
      </c>
      <c r="FX103" s="6" t="str">
        <f t="shared" ca="1" si="60"/>
        <v/>
      </c>
      <c r="FY103" s="6" t="str">
        <f t="shared" ca="1" si="61"/>
        <v/>
      </c>
      <c r="FZ103" s="6" t="str">
        <f t="shared" ca="1" si="62"/>
        <v/>
      </c>
    </row>
    <row r="104" spans="1:182" ht="15.95" customHeight="1">
      <c r="A104" s="6">
        <v>294</v>
      </c>
      <c r="B104" s="6" t="s">
        <v>175</v>
      </c>
      <c r="E104" s="6" t="s">
        <v>537</v>
      </c>
      <c r="F104" s="6" t="s">
        <v>1356</v>
      </c>
      <c r="G104" s="6" t="s">
        <v>1218</v>
      </c>
      <c r="H104" s="7" t="s">
        <v>1219</v>
      </c>
      <c r="I104" s="7"/>
      <c r="J104" s="6" t="s">
        <v>1199</v>
      </c>
      <c r="K104" s="6" t="s">
        <v>1201</v>
      </c>
      <c r="N104" s="6" t="s">
        <v>1203</v>
      </c>
      <c r="O104" s="6" t="s">
        <v>1205</v>
      </c>
      <c r="R104" s="101" t="s">
        <v>1220</v>
      </c>
      <c r="Y104" s="6" t="s">
        <v>1221</v>
      </c>
      <c r="Z104" s="6">
        <v>31</v>
      </c>
      <c r="AA104" s="6">
        <v>32</v>
      </c>
      <c r="AD104" s="6" t="s">
        <v>1203</v>
      </c>
      <c r="AE104" s="6" t="s">
        <v>1205</v>
      </c>
      <c r="AG104" s="6" t="s">
        <v>1355</v>
      </c>
      <c r="AY104" s="8" t="s">
        <v>176</v>
      </c>
      <c r="AZ104" s="8" t="s">
        <v>195</v>
      </c>
      <c r="BA104" s="13" t="s">
        <v>197</v>
      </c>
      <c r="BB104" s="13" t="s">
        <v>7</v>
      </c>
      <c r="BC104" s="13">
        <v>131</v>
      </c>
      <c r="BD104" s="13">
        <v>132</v>
      </c>
      <c r="DC104" s="6" t="s">
        <v>169</v>
      </c>
      <c r="DD104" s="6" t="s">
        <v>181</v>
      </c>
      <c r="DH104" s="6" t="str">
        <f>"A"&amp;EA104</f>
        <v>A6</v>
      </c>
      <c r="DI104" s="6" t="str">
        <f>"B"&amp;EA104</f>
        <v>B6</v>
      </c>
      <c r="DK104" s="6" t="s">
        <v>173</v>
      </c>
      <c r="DL104" s="6" t="str">
        <f>IF(DZ104&lt;&gt;"","CN2","")</f>
        <v>CN2</v>
      </c>
      <c r="DO104" s="9" t="s">
        <v>170</v>
      </c>
      <c r="DP104" s="6" t="s">
        <v>171</v>
      </c>
      <c r="DQ104" s="6" t="s">
        <v>645</v>
      </c>
      <c r="DS104" s="6" t="str">
        <f>IF(MID(EF104,2,1)="A","KS1","AKB331")</f>
        <v>KS1</v>
      </c>
      <c r="DT104" s="10" t="str">
        <f>DQ104&amp;"-"&amp;DX104&amp;"-"&amp;DY104&amp;"/"&amp;BA104&amp;"-"&amp;DD104&amp;"-"&amp;DK104</f>
        <v>FCS0111-4-1/1S–MC–107-F7-CN1</v>
      </c>
      <c r="DU104" s="6" t="str">
        <f>IF(DL104="","",DQ104&amp;"-"&amp;DX104&amp;"-"&amp;DY104&amp;"/"&amp;BA104&amp;"-"&amp;DD104&amp;"-"&amp;DL104)</f>
        <v>FCS0111-4-1/1S–MC–107-F7-CN2</v>
      </c>
      <c r="DV104" s="19">
        <v>1</v>
      </c>
      <c r="DW104" s="20" t="str">
        <f>RIGHT(DQ104,2)</f>
        <v>11</v>
      </c>
      <c r="DX104" s="21">
        <v>4</v>
      </c>
      <c r="DY104" s="22">
        <v>1</v>
      </c>
      <c r="DZ104" s="23">
        <v>2</v>
      </c>
      <c r="EA104" s="23">
        <v>6</v>
      </c>
      <c r="ED104" s="9" t="str">
        <f>IF(DX104="1","AFV30D","ANB10D")</f>
        <v>ANB10D</v>
      </c>
      <c r="EF104" s="6" t="s">
        <v>172</v>
      </c>
      <c r="EH104" s="6" t="s">
        <v>266</v>
      </c>
      <c r="EI104" s="6" t="s">
        <v>428</v>
      </c>
      <c r="EJ104" s="12">
        <v>1</v>
      </c>
      <c r="EN104" s="12" t="s">
        <v>1100</v>
      </c>
      <c r="EP104" s="6" t="s">
        <v>1150</v>
      </c>
      <c r="ET104" s="6" t="str">
        <f t="shared" si="40"/>
        <v>짝수</v>
      </c>
      <c r="EU104" s="12">
        <v>30</v>
      </c>
      <c r="EV104" s="45" t="str">
        <f t="shared" ca="1" si="49"/>
        <v>B</v>
      </c>
      <c r="EW104" s="6">
        <f t="shared" ca="1" si="41"/>
        <v>66</v>
      </c>
      <c r="FR104" s="6">
        <v>1</v>
      </c>
      <c r="FS104" s="6" t="str">
        <f t="shared" si="42"/>
        <v/>
      </c>
      <c r="FT104" s="6" t="str">
        <f t="shared" si="43"/>
        <v/>
      </c>
      <c r="FU104" s="6" t="str">
        <f t="shared" ca="1" si="50"/>
        <v/>
      </c>
      <c r="FV104" s="6" t="str">
        <f t="shared" ca="1" si="44"/>
        <v/>
      </c>
      <c r="FW104" s="6" t="str">
        <f t="shared" ca="1" si="59"/>
        <v/>
      </c>
      <c r="FX104" s="6" t="str">
        <f t="shared" ca="1" si="60"/>
        <v/>
      </c>
      <c r="FY104" s="6" t="str">
        <f t="shared" ca="1" si="61"/>
        <v/>
      </c>
      <c r="FZ104" s="6" t="str">
        <f t="shared" ca="1" si="62"/>
        <v/>
      </c>
    </row>
    <row r="105" spans="1:182" ht="15.95" customHeight="1">
      <c r="A105" s="6">
        <v>180</v>
      </c>
      <c r="B105" s="6" t="s">
        <v>175</v>
      </c>
      <c r="E105" s="6" t="s">
        <v>526</v>
      </c>
      <c r="F105" s="6" t="s">
        <v>1357</v>
      </c>
      <c r="G105" s="6" t="s">
        <v>1226</v>
      </c>
      <c r="H105" s="7" t="s">
        <v>1227</v>
      </c>
      <c r="I105" s="7"/>
      <c r="J105" s="6" t="s">
        <v>1199</v>
      </c>
      <c r="K105" s="6" t="s">
        <v>1201</v>
      </c>
      <c r="N105" s="6" t="s">
        <v>1203</v>
      </c>
      <c r="O105" s="6" t="s">
        <v>1205</v>
      </c>
      <c r="R105" s="101" t="s">
        <v>1220</v>
      </c>
      <c r="Y105" s="6" t="s">
        <v>1221</v>
      </c>
      <c r="Z105" s="6">
        <v>35</v>
      </c>
      <c r="AA105" s="6">
        <v>36</v>
      </c>
      <c r="AD105" s="6" t="s">
        <v>1203</v>
      </c>
      <c r="AE105" s="6" t="s">
        <v>1205</v>
      </c>
      <c r="AG105" s="6" t="s">
        <v>1355</v>
      </c>
      <c r="AY105" s="8" t="s">
        <v>176</v>
      </c>
      <c r="AZ105" s="8" t="s">
        <v>195</v>
      </c>
      <c r="BA105" s="13" t="s">
        <v>197</v>
      </c>
      <c r="BB105" s="13" t="s">
        <v>7</v>
      </c>
      <c r="BC105" s="13">
        <v>135</v>
      </c>
      <c r="BD105" s="13">
        <v>136</v>
      </c>
      <c r="DC105" s="6" t="s">
        <v>169</v>
      </c>
      <c r="DD105" s="6" t="s">
        <v>180</v>
      </c>
      <c r="DH105" s="6" t="str">
        <f t="shared" si="56"/>
        <v>A4</v>
      </c>
      <c r="DI105" s="6" t="str">
        <f t="shared" si="57"/>
        <v>B4</v>
      </c>
      <c r="DK105" s="6" t="s">
        <v>173</v>
      </c>
      <c r="DL105" s="6" t="str">
        <f t="shared" si="58"/>
        <v>CN2</v>
      </c>
      <c r="DO105" s="9" t="s">
        <v>170</v>
      </c>
      <c r="DP105" s="6" t="s">
        <v>171</v>
      </c>
      <c r="DQ105" s="6" t="s">
        <v>645</v>
      </c>
      <c r="DS105" s="6" t="str">
        <f t="shared" si="51"/>
        <v>KS1</v>
      </c>
      <c r="DT105" s="10" t="str">
        <f t="shared" si="52"/>
        <v>FCS0111-3-3/1S–MC–107-F6-CN1</v>
      </c>
      <c r="DU105" s="6" t="str">
        <f t="shared" si="53"/>
        <v>FCS0111-3-3/1S–MC–107-F6-CN2</v>
      </c>
      <c r="DV105" s="19">
        <v>1</v>
      </c>
      <c r="DW105" s="20" t="str">
        <f t="shared" si="54"/>
        <v>11</v>
      </c>
      <c r="DX105" s="21">
        <v>3</v>
      </c>
      <c r="DY105" s="22">
        <v>3</v>
      </c>
      <c r="DZ105" s="23">
        <v>4</v>
      </c>
      <c r="EA105" s="23">
        <v>4</v>
      </c>
      <c r="ED105" s="9" t="str">
        <f t="shared" si="55"/>
        <v>ANB10D</v>
      </c>
      <c r="EF105" s="6" t="s">
        <v>174</v>
      </c>
      <c r="EH105" s="6" t="s">
        <v>257</v>
      </c>
      <c r="EI105" s="6" t="s">
        <v>418</v>
      </c>
      <c r="EJ105" s="12">
        <v>1</v>
      </c>
      <c r="EN105" s="12" t="s">
        <v>1102</v>
      </c>
      <c r="EP105" s="6" t="s">
        <v>1151</v>
      </c>
      <c r="ET105" s="6" t="str">
        <f t="shared" si="40"/>
        <v>짝수</v>
      </c>
      <c r="EU105" s="12">
        <v>30</v>
      </c>
      <c r="EV105" s="45" t="str">
        <f t="shared" ca="1" si="49"/>
        <v>C</v>
      </c>
      <c r="EW105" s="6">
        <f t="shared" ca="1" si="41"/>
        <v>67</v>
      </c>
      <c r="FR105" s="6">
        <v>1</v>
      </c>
      <c r="FS105" s="6" t="str">
        <f t="shared" si="42"/>
        <v/>
      </c>
      <c r="FT105" s="6" t="str">
        <f t="shared" si="43"/>
        <v/>
      </c>
      <c r="FU105" s="6" t="str">
        <f t="shared" ca="1" si="50"/>
        <v/>
      </c>
      <c r="FV105" s="6" t="str">
        <f t="shared" ca="1" si="44"/>
        <v/>
      </c>
      <c r="FW105" s="6" t="str">
        <f t="shared" ca="1" si="59"/>
        <v/>
      </c>
      <c r="FX105" s="6" t="str">
        <f t="shared" ca="1" si="60"/>
        <v/>
      </c>
      <c r="FY105" s="6" t="str">
        <f t="shared" ca="1" si="61"/>
        <v/>
      </c>
      <c r="FZ105" s="6" t="str">
        <f t="shared" ca="1" si="62"/>
        <v/>
      </c>
    </row>
    <row r="106" spans="1:182" ht="15.95" customHeight="1">
      <c r="A106" s="6">
        <v>181</v>
      </c>
      <c r="B106" s="6" t="s">
        <v>175</v>
      </c>
      <c r="E106" s="6" t="s">
        <v>527</v>
      </c>
      <c r="F106" s="6" t="s">
        <v>1358</v>
      </c>
      <c r="G106" s="6" t="s">
        <v>1226</v>
      </c>
      <c r="H106" s="7" t="s">
        <v>1227</v>
      </c>
      <c r="I106" s="7"/>
      <c r="J106" s="6" t="s">
        <v>1199</v>
      </c>
      <c r="K106" s="6" t="s">
        <v>1201</v>
      </c>
      <c r="N106" s="6" t="s">
        <v>1203</v>
      </c>
      <c r="O106" s="6" t="s">
        <v>1205</v>
      </c>
      <c r="R106" s="101" t="s">
        <v>1220</v>
      </c>
      <c r="Y106" s="6" t="s">
        <v>1317</v>
      </c>
      <c r="Z106" s="6">
        <v>35</v>
      </c>
      <c r="AA106" s="6">
        <v>36</v>
      </c>
      <c r="AD106" s="6" t="s">
        <v>1203</v>
      </c>
      <c r="AE106" s="6" t="s">
        <v>1205</v>
      </c>
      <c r="AG106" s="6" t="s">
        <v>1353</v>
      </c>
      <c r="AY106" s="8" t="s">
        <v>176</v>
      </c>
      <c r="AZ106" s="8" t="s">
        <v>195</v>
      </c>
      <c r="BA106" s="13" t="s">
        <v>197</v>
      </c>
      <c r="BB106" s="13" t="s">
        <v>8</v>
      </c>
      <c r="BC106" s="13">
        <v>7</v>
      </c>
      <c r="BD106" s="13">
        <v>8</v>
      </c>
      <c r="DC106" s="6" t="s">
        <v>169</v>
      </c>
      <c r="DD106" s="6" t="s">
        <v>180</v>
      </c>
      <c r="DH106" s="6" t="str">
        <f t="shared" si="56"/>
        <v>A5</v>
      </c>
      <c r="DI106" s="6" t="str">
        <f t="shared" si="57"/>
        <v>B5</v>
      </c>
      <c r="DK106" s="6" t="s">
        <v>173</v>
      </c>
      <c r="DL106" s="6" t="str">
        <f t="shared" si="58"/>
        <v>CN2</v>
      </c>
      <c r="DO106" s="9" t="s">
        <v>170</v>
      </c>
      <c r="DP106" s="6" t="s">
        <v>171</v>
      </c>
      <c r="DQ106" s="6" t="s">
        <v>645</v>
      </c>
      <c r="DS106" s="6" t="str">
        <f t="shared" si="51"/>
        <v>KS1</v>
      </c>
      <c r="DT106" s="10" t="str">
        <f t="shared" si="52"/>
        <v>FCS0111-3-3/1S–MC–107-F6-CN1</v>
      </c>
      <c r="DU106" s="6" t="str">
        <f t="shared" si="53"/>
        <v>FCS0111-3-3/1S–MC–107-F6-CN2</v>
      </c>
      <c r="DV106" s="19">
        <v>1</v>
      </c>
      <c r="DW106" s="20" t="str">
        <f t="shared" si="54"/>
        <v>11</v>
      </c>
      <c r="DX106" s="21">
        <v>3</v>
      </c>
      <c r="DY106" s="22">
        <v>3</v>
      </c>
      <c r="DZ106" s="23">
        <v>4</v>
      </c>
      <c r="EA106" s="23">
        <v>5</v>
      </c>
      <c r="ED106" s="9" t="str">
        <f t="shared" si="55"/>
        <v>ANB10D</v>
      </c>
      <c r="EF106" s="6" t="s">
        <v>174</v>
      </c>
      <c r="EH106" s="6" t="s">
        <v>258</v>
      </c>
      <c r="EI106" s="6" t="s">
        <v>419</v>
      </c>
      <c r="EJ106" s="12">
        <v>1</v>
      </c>
      <c r="EN106" s="12" t="s">
        <v>1102</v>
      </c>
      <c r="EP106" s="6" t="s">
        <v>1149</v>
      </c>
      <c r="ET106" s="6" t="str">
        <f t="shared" si="40"/>
        <v>홀수</v>
      </c>
      <c r="EU106" s="12">
        <v>31</v>
      </c>
      <c r="EV106" s="45" t="str">
        <f t="shared" ca="1" si="49"/>
        <v>A</v>
      </c>
      <c r="EW106" s="6">
        <f t="shared" ca="1" si="41"/>
        <v>65</v>
      </c>
      <c r="FR106" s="6">
        <v>1</v>
      </c>
      <c r="FS106" s="6" t="str">
        <f t="shared" si="42"/>
        <v/>
      </c>
      <c r="FT106" s="6" t="str">
        <f t="shared" si="43"/>
        <v/>
      </c>
      <c r="FU106" s="6" t="str">
        <f t="shared" ca="1" si="50"/>
        <v/>
      </c>
      <c r="FV106" s="6" t="str">
        <f t="shared" ca="1" si="44"/>
        <v/>
      </c>
      <c r="FW106" s="6" t="str">
        <f t="shared" ca="1" si="59"/>
        <v/>
      </c>
      <c r="FX106" s="6" t="str">
        <f t="shared" ca="1" si="60"/>
        <v/>
      </c>
      <c r="FY106" s="6" t="str">
        <f t="shared" ca="1" si="61"/>
        <v/>
      </c>
      <c r="FZ106" s="6" t="str">
        <f t="shared" ca="1" si="62"/>
        <v/>
      </c>
    </row>
    <row r="107" spans="1:182" ht="15.95" customHeight="1">
      <c r="A107" s="6">
        <v>295</v>
      </c>
      <c r="B107" s="6" t="s">
        <v>175</v>
      </c>
      <c r="E107" s="6" t="s">
        <v>538</v>
      </c>
      <c r="F107" s="6" t="s">
        <v>1359</v>
      </c>
      <c r="G107" s="6" t="s">
        <v>1218</v>
      </c>
      <c r="H107" s="7" t="s">
        <v>1219</v>
      </c>
      <c r="I107" s="7"/>
      <c r="J107" s="6" t="s">
        <v>1199</v>
      </c>
      <c r="K107" s="6" t="s">
        <v>1201</v>
      </c>
      <c r="N107" s="6" t="s">
        <v>1203</v>
      </c>
      <c r="O107" s="6" t="s">
        <v>1205</v>
      </c>
      <c r="R107" s="101" t="s">
        <v>1220</v>
      </c>
      <c r="Y107" s="6" t="s">
        <v>1317</v>
      </c>
      <c r="Z107" s="6">
        <v>33</v>
      </c>
      <c r="AA107" s="6">
        <v>34</v>
      </c>
      <c r="AD107" s="6" t="s">
        <v>1203</v>
      </c>
      <c r="AE107" s="6" t="s">
        <v>1205</v>
      </c>
      <c r="AG107" s="6" t="s">
        <v>1353</v>
      </c>
      <c r="AY107" s="8" t="s">
        <v>176</v>
      </c>
      <c r="AZ107" s="8" t="s">
        <v>195</v>
      </c>
      <c r="BA107" s="13" t="s">
        <v>197</v>
      </c>
      <c r="BB107" s="13" t="s">
        <v>8</v>
      </c>
      <c r="BC107" s="13">
        <v>5</v>
      </c>
      <c r="BD107" s="13">
        <v>6</v>
      </c>
      <c r="DC107" s="6" t="s">
        <v>169</v>
      </c>
      <c r="DD107" s="6" t="s">
        <v>181</v>
      </c>
      <c r="DH107" s="6" t="str">
        <f>"A"&amp;EA107</f>
        <v>A7</v>
      </c>
      <c r="DI107" s="6" t="str">
        <f>"B"&amp;EA107</f>
        <v>B7</v>
      </c>
      <c r="DK107" s="6" t="s">
        <v>173</v>
      </c>
      <c r="DL107" s="6" t="str">
        <f>IF(DZ107&lt;&gt;"","CN2","")</f>
        <v>CN2</v>
      </c>
      <c r="DO107" s="9" t="s">
        <v>170</v>
      </c>
      <c r="DP107" s="6" t="s">
        <v>171</v>
      </c>
      <c r="DQ107" s="6" t="s">
        <v>645</v>
      </c>
      <c r="DS107" s="6" t="str">
        <f>IF(MID(EF107,2,1)="A","KS1","AKB331")</f>
        <v>KS1</v>
      </c>
      <c r="DT107" s="10" t="str">
        <f>DQ107&amp;"-"&amp;DX107&amp;"-"&amp;DY107&amp;"/"&amp;BA107&amp;"-"&amp;DD107&amp;"-"&amp;DK107</f>
        <v>FCS0111-4-1/1S–MC–107-F7-CN1</v>
      </c>
      <c r="DU107" s="6" t="str">
        <f>IF(DL107="","",DQ107&amp;"-"&amp;DX107&amp;"-"&amp;DY107&amp;"/"&amp;BA107&amp;"-"&amp;DD107&amp;"-"&amp;DL107)</f>
        <v>FCS0111-4-1/1S–MC–107-F7-CN2</v>
      </c>
      <c r="DV107" s="19">
        <v>1</v>
      </c>
      <c r="DW107" s="20" t="str">
        <f>RIGHT(DQ107,2)</f>
        <v>11</v>
      </c>
      <c r="DX107" s="21">
        <v>4</v>
      </c>
      <c r="DY107" s="22">
        <v>1</v>
      </c>
      <c r="DZ107" s="23">
        <v>2</v>
      </c>
      <c r="EA107" s="23">
        <v>7</v>
      </c>
      <c r="ED107" s="9" t="str">
        <f>IF(DX107="1","AFV30D","ANB10D")</f>
        <v>ANB10D</v>
      </c>
      <c r="EF107" s="6" t="s">
        <v>172</v>
      </c>
      <c r="EH107" s="6" t="s">
        <v>267</v>
      </c>
      <c r="EI107" s="6" t="s">
        <v>429</v>
      </c>
      <c r="EJ107" s="12">
        <v>1</v>
      </c>
      <c r="EN107" s="12" t="s">
        <v>1100</v>
      </c>
      <c r="EP107" s="6" t="s">
        <v>1150</v>
      </c>
      <c r="ET107" s="6" t="str">
        <f t="shared" si="40"/>
        <v>홀수</v>
      </c>
      <c r="EU107" s="12">
        <v>31</v>
      </c>
      <c r="EV107" s="45" t="str">
        <f t="shared" ca="1" si="49"/>
        <v>B</v>
      </c>
      <c r="EW107" s="6">
        <f t="shared" ca="1" si="41"/>
        <v>66</v>
      </c>
      <c r="FR107" s="6">
        <v>1</v>
      </c>
      <c r="FS107" s="6" t="str">
        <f t="shared" si="42"/>
        <v/>
      </c>
      <c r="FT107" s="6" t="str">
        <f t="shared" si="43"/>
        <v/>
      </c>
      <c r="FU107" s="6" t="str">
        <f t="shared" ca="1" si="50"/>
        <v/>
      </c>
      <c r="FV107" s="6" t="str">
        <f t="shared" ca="1" si="44"/>
        <v/>
      </c>
      <c r="FW107" s="6" t="str">
        <f t="shared" ca="1" si="59"/>
        <v/>
      </c>
      <c r="FX107" s="6" t="str">
        <f t="shared" ca="1" si="60"/>
        <v/>
      </c>
      <c r="FY107" s="6" t="str">
        <f t="shared" ca="1" si="61"/>
        <v/>
      </c>
      <c r="FZ107" s="6" t="str">
        <f t="shared" ca="1" si="62"/>
        <v/>
      </c>
    </row>
    <row r="108" spans="1:182" ht="15.95" customHeight="1">
      <c r="A108" s="6">
        <v>182</v>
      </c>
      <c r="B108" s="6" t="s">
        <v>175</v>
      </c>
      <c r="E108" s="6" t="s">
        <v>528</v>
      </c>
      <c r="F108" s="6" t="s">
        <v>1360</v>
      </c>
      <c r="G108" s="6" t="s">
        <v>1226</v>
      </c>
      <c r="H108" s="7" t="s">
        <v>1227</v>
      </c>
      <c r="I108" s="7"/>
      <c r="J108" s="6" t="s">
        <v>1199</v>
      </c>
      <c r="K108" s="6" t="s">
        <v>1201</v>
      </c>
      <c r="N108" s="6" t="s">
        <v>1203</v>
      </c>
      <c r="O108" s="6" t="s">
        <v>1205</v>
      </c>
      <c r="R108" s="101" t="s">
        <v>1220</v>
      </c>
      <c r="Y108" s="6" t="s">
        <v>1317</v>
      </c>
      <c r="Z108" s="6">
        <v>37</v>
      </c>
      <c r="AA108" s="6">
        <v>38</v>
      </c>
      <c r="AD108" s="6" t="s">
        <v>1203</v>
      </c>
      <c r="AE108" s="6" t="s">
        <v>1205</v>
      </c>
      <c r="AG108" s="6" t="s">
        <v>1353</v>
      </c>
      <c r="AY108" s="8" t="s">
        <v>176</v>
      </c>
      <c r="AZ108" s="8" t="s">
        <v>195</v>
      </c>
      <c r="BA108" s="13" t="s">
        <v>197</v>
      </c>
      <c r="BB108" s="13" t="s">
        <v>8</v>
      </c>
      <c r="BC108" s="13">
        <v>9</v>
      </c>
      <c r="BD108" s="13">
        <v>10</v>
      </c>
      <c r="DC108" s="6" t="s">
        <v>169</v>
      </c>
      <c r="DD108" s="6" t="s">
        <v>180</v>
      </c>
      <c r="DH108" s="6" t="str">
        <f t="shared" si="56"/>
        <v>A6</v>
      </c>
      <c r="DI108" s="6" t="str">
        <f t="shared" si="57"/>
        <v>B6</v>
      </c>
      <c r="DK108" s="6" t="s">
        <v>173</v>
      </c>
      <c r="DL108" s="6" t="str">
        <f t="shared" si="58"/>
        <v>CN2</v>
      </c>
      <c r="DO108" s="9" t="s">
        <v>170</v>
      </c>
      <c r="DP108" s="6" t="s">
        <v>171</v>
      </c>
      <c r="DQ108" s="6" t="s">
        <v>645</v>
      </c>
      <c r="DS108" s="6" t="str">
        <f t="shared" si="51"/>
        <v>KS1</v>
      </c>
      <c r="DT108" s="10" t="str">
        <f t="shared" si="52"/>
        <v>FCS0111-3-3/1S–MC–107-F6-CN1</v>
      </c>
      <c r="DU108" s="6" t="str">
        <f t="shared" si="53"/>
        <v>FCS0111-3-3/1S–MC–107-F6-CN2</v>
      </c>
      <c r="DV108" s="19">
        <v>1</v>
      </c>
      <c r="DW108" s="20" t="str">
        <f t="shared" si="54"/>
        <v>11</v>
      </c>
      <c r="DX108" s="21">
        <v>3</v>
      </c>
      <c r="DY108" s="22">
        <v>3</v>
      </c>
      <c r="DZ108" s="23">
        <v>4</v>
      </c>
      <c r="EA108" s="23">
        <v>6</v>
      </c>
      <c r="ED108" s="9" t="str">
        <f t="shared" si="55"/>
        <v>ANB10D</v>
      </c>
      <c r="EF108" s="6" t="s">
        <v>174</v>
      </c>
      <c r="EH108" s="6" t="s">
        <v>259</v>
      </c>
      <c r="EI108" s="6" t="s">
        <v>420</v>
      </c>
      <c r="EJ108" s="12">
        <v>1</v>
      </c>
      <c r="EN108" s="12" t="s">
        <v>1102</v>
      </c>
      <c r="EP108" s="6" t="s">
        <v>1151</v>
      </c>
      <c r="ET108" s="6" t="str">
        <f t="shared" si="40"/>
        <v>홀수</v>
      </c>
      <c r="EU108" s="12">
        <v>31</v>
      </c>
      <c r="EV108" s="45" t="str">
        <f t="shared" ca="1" si="49"/>
        <v>C</v>
      </c>
      <c r="EW108" s="6">
        <f t="shared" ca="1" si="41"/>
        <v>67</v>
      </c>
      <c r="FR108" s="6">
        <v>1</v>
      </c>
      <c r="FS108" s="6" t="str">
        <f t="shared" si="42"/>
        <v/>
      </c>
      <c r="FT108" s="6" t="str">
        <f t="shared" si="43"/>
        <v/>
      </c>
      <c r="FU108" s="6" t="str">
        <f t="shared" ca="1" si="50"/>
        <v/>
      </c>
      <c r="FV108" s="6" t="str">
        <f t="shared" ca="1" si="44"/>
        <v/>
      </c>
      <c r="FW108" s="6" t="str">
        <f t="shared" ca="1" si="59"/>
        <v/>
      </c>
      <c r="FX108" s="6" t="str">
        <f t="shared" ca="1" si="60"/>
        <v/>
      </c>
      <c r="FY108" s="6" t="str">
        <f t="shared" ca="1" si="61"/>
        <v/>
      </c>
      <c r="FZ108" s="6" t="str">
        <f t="shared" ca="1" si="62"/>
        <v/>
      </c>
    </row>
    <row r="109" spans="1:182" ht="15.95" customHeight="1">
      <c r="A109" s="6">
        <v>183</v>
      </c>
      <c r="B109" s="6" t="s">
        <v>175</v>
      </c>
      <c r="E109" s="6" t="s">
        <v>529</v>
      </c>
      <c r="F109" s="6" t="s">
        <v>1361</v>
      </c>
      <c r="G109" s="6" t="s">
        <v>1226</v>
      </c>
      <c r="H109" s="7" t="s">
        <v>1227</v>
      </c>
      <c r="I109" s="7"/>
      <c r="J109" s="6" t="s">
        <v>1199</v>
      </c>
      <c r="K109" s="6" t="s">
        <v>1201</v>
      </c>
      <c r="N109" s="6" t="s">
        <v>1203</v>
      </c>
      <c r="O109" s="6" t="s">
        <v>1205</v>
      </c>
      <c r="R109" s="101" t="s">
        <v>1220</v>
      </c>
      <c r="Y109" s="6" t="s">
        <v>1252</v>
      </c>
      <c r="Z109" s="6">
        <v>11</v>
      </c>
      <c r="AA109" s="6">
        <v>12</v>
      </c>
      <c r="AD109" s="6" t="s">
        <v>1203</v>
      </c>
      <c r="AE109" s="6" t="s">
        <v>1205</v>
      </c>
      <c r="AG109" s="6" t="s">
        <v>1253</v>
      </c>
      <c r="AY109" s="8" t="s">
        <v>176</v>
      </c>
      <c r="AZ109" s="8" t="s">
        <v>195</v>
      </c>
      <c r="BA109" s="13" t="s">
        <v>197</v>
      </c>
      <c r="BB109" s="13" t="s">
        <v>8</v>
      </c>
      <c r="BC109" s="13">
        <v>81</v>
      </c>
      <c r="BD109" s="13">
        <v>82</v>
      </c>
      <c r="DC109" s="6" t="s">
        <v>169</v>
      </c>
      <c r="DD109" s="6" t="s">
        <v>180</v>
      </c>
      <c r="DH109" s="6" t="str">
        <f t="shared" si="56"/>
        <v>A7</v>
      </c>
      <c r="DI109" s="6" t="str">
        <f t="shared" si="57"/>
        <v>B7</v>
      </c>
      <c r="DK109" s="6" t="s">
        <v>173</v>
      </c>
      <c r="DL109" s="6" t="str">
        <f t="shared" si="58"/>
        <v>CN2</v>
      </c>
      <c r="DO109" s="9" t="s">
        <v>170</v>
      </c>
      <c r="DP109" s="6" t="s">
        <v>171</v>
      </c>
      <c r="DQ109" s="6" t="s">
        <v>645</v>
      </c>
      <c r="DS109" s="6" t="str">
        <f t="shared" si="51"/>
        <v>KS1</v>
      </c>
      <c r="DT109" s="10" t="str">
        <f t="shared" si="52"/>
        <v>FCS0111-3-3/1S–MC–107-F6-CN1</v>
      </c>
      <c r="DU109" s="6" t="str">
        <f t="shared" si="53"/>
        <v>FCS0111-3-3/1S–MC–107-F6-CN2</v>
      </c>
      <c r="DV109" s="19">
        <v>1</v>
      </c>
      <c r="DW109" s="20" t="str">
        <f t="shared" si="54"/>
        <v>11</v>
      </c>
      <c r="DX109" s="21">
        <v>3</v>
      </c>
      <c r="DY109" s="22">
        <v>3</v>
      </c>
      <c r="DZ109" s="23">
        <v>4</v>
      </c>
      <c r="EA109" s="23">
        <v>7</v>
      </c>
      <c r="ED109" s="9" t="str">
        <f t="shared" si="55"/>
        <v>ANB10D</v>
      </c>
      <c r="EF109" s="6" t="s">
        <v>174</v>
      </c>
      <c r="EH109" s="6" t="s">
        <v>260</v>
      </c>
      <c r="EI109" s="6" t="s">
        <v>421</v>
      </c>
      <c r="EJ109" s="12">
        <v>1</v>
      </c>
      <c r="EN109" s="12" t="s">
        <v>1102</v>
      </c>
      <c r="EP109" s="6" t="s">
        <v>1149</v>
      </c>
      <c r="ET109" s="6" t="str">
        <f t="shared" si="40"/>
        <v>짝수</v>
      </c>
      <c r="EU109" s="12">
        <v>32</v>
      </c>
      <c r="EV109" s="45" t="str">
        <f t="shared" ca="1" si="49"/>
        <v>A</v>
      </c>
      <c r="EW109" s="6">
        <f t="shared" ca="1" si="41"/>
        <v>65</v>
      </c>
      <c r="FR109" s="6">
        <v>1</v>
      </c>
      <c r="FS109" s="6" t="str">
        <f t="shared" si="42"/>
        <v/>
      </c>
      <c r="FT109" s="6" t="str">
        <f t="shared" si="43"/>
        <v/>
      </c>
      <c r="FU109" s="6" t="str">
        <f t="shared" ca="1" si="50"/>
        <v/>
      </c>
      <c r="FV109" s="6" t="str">
        <f t="shared" ca="1" si="44"/>
        <v/>
      </c>
      <c r="FW109" s="6" t="str">
        <f t="shared" ca="1" si="59"/>
        <v/>
      </c>
      <c r="FX109" s="6" t="str">
        <f t="shared" ca="1" si="60"/>
        <v/>
      </c>
      <c r="FY109" s="6" t="str">
        <f t="shared" ca="1" si="61"/>
        <v/>
      </c>
      <c r="FZ109" s="6" t="str">
        <f t="shared" ca="1" si="62"/>
        <v/>
      </c>
    </row>
    <row r="110" spans="1:182" ht="15.95" customHeight="1">
      <c r="A110" s="6">
        <v>298</v>
      </c>
      <c r="B110" s="6" t="s">
        <v>175</v>
      </c>
      <c r="E110" s="6" t="s">
        <v>541</v>
      </c>
      <c r="F110" s="6" t="s">
        <v>1362</v>
      </c>
      <c r="G110" s="6" t="s">
        <v>1218</v>
      </c>
      <c r="H110" s="7" t="s">
        <v>1219</v>
      </c>
      <c r="I110" s="7"/>
      <c r="J110" s="6" t="s">
        <v>1199</v>
      </c>
      <c r="K110" s="6" t="s">
        <v>1201</v>
      </c>
      <c r="N110" s="6" t="s">
        <v>1203</v>
      </c>
      <c r="O110" s="6" t="s">
        <v>1205</v>
      </c>
      <c r="R110" s="101" t="s">
        <v>1220</v>
      </c>
      <c r="Y110" s="6" t="s">
        <v>1252</v>
      </c>
      <c r="Z110" s="6">
        <v>9</v>
      </c>
      <c r="AA110" s="6">
        <v>10</v>
      </c>
      <c r="AD110" s="6" t="s">
        <v>1203</v>
      </c>
      <c r="AE110" s="6" t="s">
        <v>1205</v>
      </c>
      <c r="AG110" s="6" t="s">
        <v>1253</v>
      </c>
      <c r="AY110" s="8" t="s">
        <v>176</v>
      </c>
      <c r="AZ110" s="8" t="s">
        <v>195</v>
      </c>
      <c r="BA110" s="13" t="s">
        <v>197</v>
      </c>
      <c r="BB110" s="13" t="s">
        <v>8</v>
      </c>
      <c r="BC110" s="13">
        <v>79</v>
      </c>
      <c r="BD110" s="13">
        <v>80</v>
      </c>
      <c r="DC110" s="6" t="s">
        <v>169</v>
      </c>
      <c r="DD110" s="6" t="s">
        <v>181</v>
      </c>
      <c r="DH110" s="6" t="str">
        <f>"A"&amp;EA110</f>
        <v>A10</v>
      </c>
      <c r="DI110" s="6" t="str">
        <f>"B"&amp;EA110</f>
        <v>B10</v>
      </c>
      <c r="DK110" s="6" t="s">
        <v>173</v>
      </c>
      <c r="DL110" s="6" t="str">
        <f>IF(DZ110&lt;&gt;"","CN2","")</f>
        <v>CN2</v>
      </c>
      <c r="DO110" s="9" t="s">
        <v>170</v>
      </c>
      <c r="DP110" s="6" t="s">
        <v>171</v>
      </c>
      <c r="DQ110" s="6" t="s">
        <v>645</v>
      </c>
      <c r="DS110" s="6" t="str">
        <f>IF(MID(EF110,2,1)="A","KS1","AKB331")</f>
        <v>KS1</v>
      </c>
      <c r="DT110" s="10" t="str">
        <f>DQ110&amp;"-"&amp;DX110&amp;"-"&amp;DY110&amp;"/"&amp;BA110&amp;"-"&amp;DD110&amp;"-"&amp;DK110</f>
        <v>FCS0111-4-1/1S–MC–107-F7-CN1</v>
      </c>
      <c r="DU110" s="6" t="str">
        <f>IF(DL110="","",DQ110&amp;"-"&amp;DX110&amp;"-"&amp;DY110&amp;"/"&amp;BA110&amp;"-"&amp;DD110&amp;"-"&amp;DL110)</f>
        <v>FCS0111-4-1/1S–MC–107-F7-CN2</v>
      </c>
      <c r="DV110" s="19">
        <v>1</v>
      </c>
      <c r="DW110" s="20" t="str">
        <f>RIGHT(DQ110,2)</f>
        <v>11</v>
      </c>
      <c r="DX110" s="21">
        <v>4</v>
      </c>
      <c r="DY110" s="22">
        <v>1</v>
      </c>
      <c r="DZ110" s="23">
        <v>2</v>
      </c>
      <c r="EA110" s="23">
        <v>10</v>
      </c>
      <c r="ED110" s="9" t="str">
        <f>IF(DX110="1","AFV30D","ANB10D")</f>
        <v>ANB10D</v>
      </c>
      <c r="EF110" s="6" t="s">
        <v>172</v>
      </c>
      <c r="EH110" s="6" t="s">
        <v>269</v>
      </c>
      <c r="EI110" s="6" t="s">
        <v>421</v>
      </c>
      <c r="EJ110" s="12">
        <v>1</v>
      </c>
      <c r="EN110" s="12" t="s">
        <v>1100</v>
      </c>
      <c r="EP110" s="6" t="s">
        <v>1150</v>
      </c>
      <c r="ET110" s="6" t="str">
        <f t="shared" si="40"/>
        <v>짝수</v>
      </c>
      <c r="EU110" s="12">
        <v>32</v>
      </c>
      <c r="EV110" s="45" t="str">
        <f t="shared" ca="1" si="49"/>
        <v>B</v>
      </c>
      <c r="EW110" s="6">
        <f t="shared" ca="1" si="41"/>
        <v>66</v>
      </c>
      <c r="FR110" s="6">
        <v>1</v>
      </c>
      <c r="FS110" s="6" t="str">
        <f t="shared" si="42"/>
        <v/>
      </c>
      <c r="FT110" s="6" t="str">
        <f t="shared" si="43"/>
        <v/>
      </c>
      <c r="FU110" s="6" t="str">
        <f t="shared" ca="1" si="50"/>
        <v/>
      </c>
      <c r="FV110" s="6" t="str">
        <f t="shared" ca="1" si="44"/>
        <v/>
      </c>
      <c r="FW110" s="6" t="str">
        <f t="shared" ca="1" si="59"/>
        <v/>
      </c>
      <c r="FX110" s="6" t="str">
        <f t="shared" ca="1" si="60"/>
        <v/>
      </c>
      <c r="FY110" s="6" t="str">
        <f t="shared" ca="1" si="61"/>
        <v/>
      </c>
      <c r="FZ110" s="6" t="str">
        <f t="shared" ca="1" si="62"/>
        <v/>
      </c>
    </row>
    <row r="111" spans="1:182" ht="15.95" customHeight="1">
      <c r="A111" s="6">
        <v>184</v>
      </c>
      <c r="B111" s="6" t="s">
        <v>175</v>
      </c>
      <c r="E111" s="6" t="s">
        <v>530</v>
      </c>
      <c r="F111" s="6" t="s">
        <v>1363</v>
      </c>
      <c r="G111" s="6" t="s">
        <v>1226</v>
      </c>
      <c r="H111" s="7" t="s">
        <v>1227</v>
      </c>
      <c r="I111" s="7"/>
      <c r="J111" s="6" t="s">
        <v>1199</v>
      </c>
      <c r="K111" s="6" t="s">
        <v>1201</v>
      </c>
      <c r="N111" s="6" t="s">
        <v>1203</v>
      </c>
      <c r="O111" s="6" t="s">
        <v>1205</v>
      </c>
      <c r="R111" s="101" t="s">
        <v>1220</v>
      </c>
      <c r="Y111" s="6" t="s">
        <v>1252</v>
      </c>
      <c r="Z111" s="6">
        <v>13</v>
      </c>
      <c r="AA111" s="6">
        <v>14</v>
      </c>
      <c r="AD111" s="6" t="s">
        <v>1203</v>
      </c>
      <c r="AE111" s="6" t="s">
        <v>1205</v>
      </c>
      <c r="AG111" s="6" t="s">
        <v>1253</v>
      </c>
      <c r="AY111" s="8" t="s">
        <v>176</v>
      </c>
      <c r="AZ111" s="8" t="s">
        <v>195</v>
      </c>
      <c r="BA111" s="13" t="s">
        <v>197</v>
      </c>
      <c r="BB111" s="13" t="s">
        <v>8</v>
      </c>
      <c r="BC111" s="13">
        <v>83</v>
      </c>
      <c r="BD111" s="13">
        <v>84</v>
      </c>
      <c r="DC111" s="6" t="s">
        <v>169</v>
      </c>
      <c r="DD111" s="6" t="s">
        <v>180</v>
      </c>
      <c r="DH111" s="6" t="str">
        <f t="shared" si="56"/>
        <v>A8</v>
      </c>
      <c r="DI111" s="6" t="str">
        <f t="shared" si="57"/>
        <v>B8</v>
      </c>
      <c r="DK111" s="6" t="s">
        <v>173</v>
      </c>
      <c r="DL111" s="6" t="str">
        <f t="shared" si="58"/>
        <v>CN2</v>
      </c>
      <c r="DO111" s="9" t="s">
        <v>170</v>
      </c>
      <c r="DP111" s="6" t="s">
        <v>171</v>
      </c>
      <c r="DQ111" s="6" t="s">
        <v>645</v>
      </c>
      <c r="DS111" s="6" t="str">
        <f t="shared" si="51"/>
        <v>KS1</v>
      </c>
      <c r="DT111" s="10" t="str">
        <f t="shared" si="52"/>
        <v>FCS0111-3-3/1S–MC–107-F6-CN1</v>
      </c>
      <c r="DU111" s="6" t="str">
        <f t="shared" si="53"/>
        <v>FCS0111-3-3/1S–MC–107-F6-CN2</v>
      </c>
      <c r="DV111" s="19">
        <v>1</v>
      </c>
      <c r="DW111" s="20" t="str">
        <f t="shared" si="54"/>
        <v>11</v>
      </c>
      <c r="DX111" s="21">
        <v>3</v>
      </c>
      <c r="DY111" s="22">
        <v>3</v>
      </c>
      <c r="DZ111" s="23">
        <v>4</v>
      </c>
      <c r="EA111" s="23">
        <v>8</v>
      </c>
      <c r="ED111" s="9" t="str">
        <f t="shared" si="55"/>
        <v>ANB10D</v>
      </c>
      <c r="EF111" s="6" t="s">
        <v>174</v>
      </c>
      <c r="EH111" s="6" t="s">
        <v>261</v>
      </c>
      <c r="EI111" s="6" t="s">
        <v>421</v>
      </c>
      <c r="EJ111" s="12">
        <v>1</v>
      </c>
      <c r="EN111" s="12" t="s">
        <v>1102</v>
      </c>
      <c r="EP111" s="6" t="s">
        <v>1151</v>
      </c>
      <c r="ET111" s="6" t="str">
        <f t="shared" si="40"/>
        <v>짝수</v>
      </c>
      <c r="EU111" s="12">
        <v>32</v>
      </c>
      <c r="EV111" s="45" t="str">
        <f t="shared" ca="1" si="49"/>
        <v>C</v>
      </c>
      <c r="EW111" s="6">
        <f t="shared" ca="1" si="41"/>
        <v>67</v>
      </c>
      <c r="FR111" s="6">
        <v>1</v>
      </c>
      <c r="FS111" s="6" t="str">
        <f t="shared" si="42"/>
        <v/>
      </c>
      <c r="FT111" s="6" t="str">
        <f t="shared" si="43"/>
        <v/>
      </c>
      <c r="FU111" s="6" t="str">
        <f t="shared" ca="1" si="50"/>
        <v/>
      </c>
      <c r="FV111" s="6" t="str">
        <f t="shared" ca="1" si="44"/>
        <v/>
      </c>
      <c r="FW111" s="6" t="str">
        <f t="shared" ca="1" si="59"/>
        <v/>
      </c>
      <c r="FX111" s="6" t="str">
        <f t="shared" ca="1" si="60"/>
        <v/>
      </c>
      <c r="FY111" s="6" t="str">
        <f t="shared" ca="1" si="61"/>
        <v/>
      </c>
      <c r="FZ111" s="6" t="str">
        <f t="shared" ca="1" si="62"/>
        <v/>
      </c>
    </row>
    <row r="112" spans="1:182" ht="15.95" customHeight="1">
      <c r="A112" s="6">
        <v>297</v>
      </c>
      <c r="B112" s="6" t="s">
        <v>175</v>
      </c>
      <c r="E112" s="6" t="s">
        <v>540</v>
      </c>
      <c r="F112" s="6" t="s">
        <v>1364</v>
      </c>
      <c r="G112" s="6" t="s">
        <v>1218</v>
      </c>
      <c r="H112" s="7" t="s">
        <v>1219</v>
      </c>
      <c r="I112" s="7"/>
      <c r="J112" s="6" t="s">
        <v>1199</v>
      </c>
      <c r="K112" s="6" t="s">
        <v>1201</v>
      </c>
      <c r="N112" s="6" t="s">
        <v>1203</v>
      </c>
      <c r="O112" s="6" t="s">
        <v>1205</v>
      </c>
      <c r="R112" s="101" t="s">
        <v>1220</v>
      </c>
      <c r="Y112" s="6" t="s">
        <v>1228</v>
      </c>
      <c r="Z112" s="6">
        <v>19</v>
      </c>
      <c r="AA112" s="6">
        <v>20</v>
      </c>
      <c r="AD112" s="6" t="s">
        <v>1203</v>
      </c>
      <c r="AE112" s="6" t="s">
        <v>1205</v>
      </c>
      <c r="AG112" s="6" t="s">
        <v>1229</v>
      </c>
      <c r="AY112" s="8" t="s">
        <v>176</v>
      </c>
      <c r="AZ112" s="8" t="s">
        <v>195</v>
      </c>
      <c r="BA112" s="13" t="s">
        <v>197</v>
      </c>
      <c r="BB112" s="13" t="s">
        <v>8</v>
      </c>
      <c r="BC112" s="13">
        <v>115</v>
      </c>
      <c r="BD112" s="13">
        <v>116</v>
      </c>
      <c r="DC112" s="6" t="s">
        <v>169</v>
      </c>
      <c r="DD112" s="6" t="s">
        <v>181</v>
      </c>
      <c r="DH112" s="6" t="str">
        <f>"A"&amp;EA112</f>
        <v>A9</v>
      </c>
      <c r="DI112" s="6" t="str">
        <f>"B"&amp;EA112</f>
        <v>B9</v>
      </c>
      <c r="DK112" s="6" t="s">
        <v>173</v>
      </c>
      <c r="DL112" s="6" t="str">
        <f>IF(DZ112&lt;&gt;"","CN2","")</f>
        <v>CN2</v>
      </c>
      <c r="DO112" s="9" t="s">
        <v>170</v>
      </c>
      <c r="DP112" s="6" t="s">
        <v>171</v>
      </c>
      <c r="DQ112" s="6" t="s">
        <v>645</v>
      </c>
      <c r="DS112" s="6" t="str">
        <f>IF(MID(EF112,2,1)="A","KS1","AKB331")</f>
        <v>KS1</v>
      </c>
      <c r="DT112" s="10" t="str">
        <f>DQ112&amp;"-"&amp;DX112&amp;"-"&amp;DY112&amp;"/"&amp;BA112&amp;"-"&amp;DD112&amp;"-"&amp;DK112</f>
        <v>FCS0111-4-1/1S–MC–107-F7-CN1</v>
      </c>
      <c r="DU112" s="6" t="str">
        <f>IF(DL112="","",DQ112&amp;"-"&amp;DX112&amp;"-"&amp;DY112&amp;"/"&amp;BA112&amp;"-"&amp;DD112&amp;"-"&amp;DL112)</f>
        <v>FCS0111-4-1/1S–MC–107-F7-CN2</v>
      </c>
      <c r="DV112" s="19">
        <v>1</v>
      </c>
      <c r="DW112" s="20" t="str">
        <f>RIGHT(DQ112,2)</f>
        <v>11</v>
      </c>
      <c r="DX112" s="21">
        <v>4</v>
      </c>
      <c r="DY112" s="22">
        <v>1</v>
      </c>
      <c r="DZ112" s="23">
        <v>2</v>
      </c>
      <c r="EA112" s="23">
        <v>9</v>
      </c>
      <c r="ED112" s="9" t="str">
        <f>IF(DX112="1","AFV30D","ANB10D")</f>
        <v>ANB10D</v>
      </c>
      <c r="EF112" s="6" t="s">
        <v>172</v>
      </c>
      <c r="EH112" s="6" t="s">
        <v>262</v>
      </c>
      <c r="EI112" s="6" t="s">
        <v>199</v>
      </c>
      <c r="EJ112" s="12">
        <v>300</v>
      </c>
      <c r="EN112" s="12" t="s">
        <v>1102</v>
      </c>
      <c r="EP112" s="6" t="s">
        <v>1147</v>
      </c>
      <c r="ET112" s="6" t="str">
        <f t="shared" si="40"/>
        <v>홀수</v>
      </c>
      <c r="EU112" s="12">
        <v>33</v>
      </c>
      <c r="EV112" s="45" t="str">
        <f t="shared" ca="1" si="49"/>
        <v>A</v>
      </c>
      <c r="EW112" s="6">
        <f t="shared" ca="1" si="41"/>
        <v>65</v>
      </c>
      <c r="FR112" s="6">
        <v>1</v>
      </c>
      <c r="FS112" s="6" t="str">
        <f t="shared" si="42"/>
        <v/>
      </c>
      <c r="FT112" s="6" t="str">
        <f t="shared" si="43"/>
        <v/>
      </c>
      <c r="FU112" s="6" t="str">
        <f t="shared" ca="1" si="50"/>
        <v/>
      </c>
      <c r="FV112" s="6" t="str">
        <f t="shared" ca="1" si="44"/>
        <v/>
      </c>
      <c r="FW112" s="6" t="str">
        <f t="shared" ca="1" si="59"/>
        <v/>
      </c>
      <c r="FX112" s="6" t="str">
        <f t="shared" ca="1" si="60"/>
        <v/>
      </c>
      <c r="FY112" s="6" t="str">
        <f t="shared" ca="1" si="61"/>
        <v/>
      </c>
      <c r="FZ112" s="6" t="str">
        <f t="shared" ca="1" si="62"/>
        <v/>
      </c>
    </row>
    <row r="113" spans="1:182" ht="15.95" customHeight="1">
      <c r="A113" s="6">
        <v>185</v>
      </c>
      <c r="B113" s="6" t="s">
        <v>175</v>
      </c>
      <c r="E113" s="6" t="s">
        <v>531</v>
      </c>
      <c r="F113" s="6" t="s">
        <v>1365</v>
      </c>
      <c r="G113" s="6" t="s">
        <v>1226</v>
      </c>
      <c r="H113" s="7" t="s">
        <v>1227</v>
      </c>
      <c r="I113" s="7"/>
      <c r="J113" s="6" t="s">
        <v>1199</v>
      </c>
      <c r="K113" s="6" t="s">
        <v>1201</v>
      </c>
      <c r="N113" s="6" t="s">
        <v>1203</v>
      </c>
      <c r="O113" s="6" t="s">
        <v>1205</v>
      </c>
      <c r="R113" s="101" t="s">
        <v>1220</v>
      </c>
      <c r="Y113" s="6" t="s">
        <v>1228</v>
      </c>
      <c r="Z113" s="6">
        <v>21</v>
      </c>
      <c r="AA113" s="6">
        <v>22</v>
      </c>
      <c r="AD113" s="6" t="s">
        <v>1203</v>
      </c>
      <c r="AE113" s="6" t="s">
        <v>1205</v>
      </c>
      <c r="AG113" s="6" t="s">
        <v>1229</v>
      </c>
      <c r="AY113" s="8" t="s">
        <v>176</v>
      </c>
      <c r="AZ113" s="8" t="s">
        <v>195</v>
      </c>
      <c r="BA113" s="13" t="s">
        <v>197</v>
      </c>
      <c r="BB113" s="13" t="s">
        <v>8</v>
      </c>
      <c r="BC113" s="13">
        <v>117</v>
      </c>
      <c r="BD113" s="13">
        <v>118</v>
      </c>
      <c r="DC113" s="6" t="s">
        <v>169</v>
      </c>
      <c r="DD113" s="6" t="s">
        <v>180</v>
      </c>
      <c r="DH113" s="6" t="str">
        <f>"A"&amp;EA113</f>
        <v>A9</v>
      </c>
      <c r="DI113" s="6" t="str">
        <f>"B"&amp;EA113</f>
        <v>B9</v>
      </c>
      <c r="DK113" s="6" t="s">
        <v>173</v>
      </c>
      <c r="DL113" s="6" t="str">
        <f>IF(DZ113&lt;&gt;"","CN2","")</f>
        <v>CN2</v>
      </c>
      <c r="DO113" s="9" t="s">
        <v>170</v>
      </c>
      <c r="DP113" s="6" t="s">
        <v>171</v>
      </c>
      <c r="DQ113" s="6" t="s">
        <v>645</v>
      </c>
      <c r="DS113" s="6" t="str">
        <f>IF(MID(EF113,2,1)="A","KS1","AKB331")</f>
        <v>KS1</v>
      </c>
      <c r="DT113" s="10" t="str">
        <f>DQ113&amp;"-"&amp;DX113&amp;"-"&amp;DY113&amp;"/"&amp;BA113&amp;"-"&amp;DD113&amp;"-"&amp;DK113</f>
        <v>FCS0111-3-3/1S–MC–107-F6-CN1</v>
      </c>
      <c r="DU113" s="6" t="str">
        <f>IF(DL113="","",DQ113&amp;"-"&amp;DX113&amp;"-"&amp;DY113&amp;"/"&amp;BA113&amp;"-"&amp;DD113&amp;"-"&amp;DL113)</f>
        <v>FCS0111-3-3/1S–MC–107-F6-CN2</v>
      </c>
      <c r="DV113" s="19">
        <v>1</v>
      </c>
      <c r="DW113" s="20" t="str">
        <f>RIGHT(DQ113,2)</f>
        <v>11</v>
      </c>
      <c r="DX113" s="21">
        <v>3</v>
      </c>
      <c r="DY113" s="22">
        <v>3</v>
      </c>
      <c r="DZ113" s="23">
        <v>4</v>
      </c>
      <c r="EA113" s="23">
        <v>9</v>
      </c>
      <c r="ED113" s="9" t="str">
        <f>IF(DX113="1","AFV30D","ANB10D")</f>
        <v>ANB10D</v>
      </c>
      <c r="EF113" s="6" t="s">
        <v>174</v>
      </c>
      <c r="EH113" s="6" t="s">
        <v>262</v>
      </c>
      <c r="EI113" s="6" t="s">
        <v>422</v>
      </c>
      <c r="EJ113" s="12">
        <v>300</v>
      </c>
      <c r="EN113" s="12" t="s">
        <v>1102</v>
      </c>
      <c r="ET113" s="6" t="str">
        <f t="shared" si="40"/>
        <v>홀수</v>
      </c>
      <c r="EU113" s="12">
        <v>33</v>
      </c>
      <c r="EV113" s="45" t="str">
        <f t="shared" ca="1" si="49"/>
        <v>B</v>
      </c>
      <c r="EW113" s="6">
        <f t="shared" ca="1" si="41"/>
        <v>66</v>
      </c>
      <c r="FR113" s="6">
        <v>1</v>
      </c>
      <c r="FS113" s="6" t="str">
        <f t="shared" si="42"/>
        <v/>
      </c>
      <c r="FT113" s="6" t="str">
        <f t="shared" si="43"/>
        <v/>
      </c>
      <c r="FU113" s="6" t="str">
        <f t="shared" ca="1" si="50"/>
        <v/>
      </c>
      <c r="FV113" s="6" t="str">
        <f t="shared" ca="1" si="44"/>
        <v/>
      </c>
      <c r="FW113" s="6" t="str">
        <f t="shared" ca="1" si="59"/>
        <v/>
      </c>
      <c r="FX113" s="6" t="str">
        <f t="shared" ca="1" si="60"/>
        <v/>
      </c>
      <c r="FY113" s="6" t="str">
        <f t="shared" ca="1" si="61"/>
        <v/>
      </c>
      <c r="FZ113" s="6" t="str">
        <f t="shared" ca="1" si="62"/>
        <v/>
      </c>
    </row>
    <row r="114" spans="1:182" ht="15.95" customHeight="1">
      <c r="A114" s="6">
        <v>193</v>
      </c>
      <c r="B114" s="6" t="s">
        <v>175</v>
      </c>
      <c r="E114" s="6" t="s">
        <v>678</v>
      </c>
      <c r="F114" s="6" t="s">
        <v>1366</v>
      </c>
      <c r="G114" s="6" t="s">
        <v>1290</v>
      </c>
      <c r="H114" s="7" t="s">
        <v>1291</v>
      </c>
      <c r="I114" s="7"/>
      <c r="J114" s="6" t="e">
        <v>#N/A</v>
      </c>
      <c r="K114" s="6" t="e">
        <v>#N/A</v>
      </c>
      <c r="N114" s="6" t="e">
        <v>#N/A</v>
      </c>
      <c r="O114" s="6" t="e">
        <v>#N/A</v>
      </c>
      <c r="R114" s="101" t="e">
        <v>#N/A</v>
      </c>
      <c r="Y114" s="6" t="e">
        <v>#N/A</v>
      </c>
      <c r="Z114" s="6" t="e">
        <v>#N/A</v>
      </c>
      <c r="AA114" s="6" t="e">
        <v>#N/A</v>
      </c>
      <c r="AD114" s="6" t="e">
        <v>#N/A</v>
      </c>
      <c r="AE114" s="6" t="e">
        <v>#N/A</v>
      </c>
      <c r="AG114" s="6" t="e">
        <v>#N/A</v>
      </c>
      <c r="AY114" s="8" t="s">
        <v>176</v>
      </c>
      <c r="AZ114" s="8" t="s">
        <v>195</v>
      </c>
      <c r="BA114" s="13" t="s">
        <v>656</v>
      </c>
      <c r="BB114" s="13" t="s">
        <v>200</v>
      </c>
      <c r="BC114" s="13">
        <v>1</v>
      </c>
      <c r="BD114" s="13">
        <v>2</v>
      </c>
      <c r="DC114" s="6" t="s">
        <v>644</v>
      </c>
      <c r="DD114" s="6" t="s">
        <v>187</v>
      </c>
      <c r="DH114" s="6" t="str">
        <f t="shared" si="56"/>
        <v>A1</v>
      </c>
      <c r="DI114" s="6" t="str">
        <f t="shared" si="57"/>
        <v>B1</v>
      </c>
      <c r="DK114" s="6" t="s">
        <v>173</v>
      </c>
      <c r="DL114" s="6" t="str">
        <f t="shared" si="58"/>
        <v/>
      </c>
      <c r="DO114" s="9" t="s">
        <v>170</v>
      </c>
      <c r="DP114" s="6" t="s">
        <v>171</v>
      </c>
      <c r="DQ114" s="6" t="s">
        <v>645</v>
      </c>
      <c r="DS114" s="6" t="str">
        <f t="shared" ref="DS114:DS178" si="63">IF(MID(EF114,2,1)="A","KS1","AKB331")</f>
        <v>AKB331</v>
      </c>
      <c r="DT114" s="10" t="str">
        <f t="shared" ref="DT114:DT178" si="64">DQ114&amp;"-"&amp;DX114&amp;"-"&amp;DY114&amp;"/"&amp;BA114&amp;"-"&amp;DD114&amp;"-"&amp;DK114</f>
        <v>FCS0111-3-5/1S–MC–127-R1-CN1</v>
      </c>
      <c r="DU114" s="6" t="str">
        <f t="shared" ref="DU114:DU178" si="65">IF(DL114="","",DQ114&amp;"-"&amp;DX114&amp;"-"&amp;DY114&amp;"/"&amp;BA114&amp;"-"&amp;DD114&amp;"-"&amp;DL114)</f>
        <v/>
      </c>
      <c r="DV114" s="19">
        <v>1</v>
      </c>
      <c r="DW114" s="20" t="str">
        <f t="shared" ref="DW114:DW178" si="66">RIGHT(DQ114,2)</f>
        <v>11</v>
      </c>
      <c r="DX114" s="21">
        <v>3</v>
      </c>
      <c r="DY114" s="22">
        <v>5</v>
      </c>
      <c r="DZ114" s="23" t="s">
        <v>204</v>
      </c>
      <c r="EA114" s="23">
        <v>1</v>
      </c>
      <c r="ED114" s="9" t="str">
        <f t="shared" ref="ED114:ED178" si="67">IF(DX114="1","AFV30D","ANB10D")</f>
        <v>ANB10D</v>
      </c>
      <c r="EF114" s="6" t="s">
        <v>647</v>
      </c>
      <c r="EH114" s="6" t="s">
        <v>678</v>
      </c>
      <c r="EI114" s="6" t="s">
        <v>679</v>
      </c>
      <c r="EJ114" s="12">
        <v>9</v>
      </c>
      <c r="EK114" s="12"/>
      <c r="EM114" s="12"/>
      <c r="EN114" s="25" t="s">
        <v>1121</v>
      </c>
      <c r="EP114" s="6" t="s">
        <v>1153</v>
      </c>
      <c r="ER114" s="6" t="str">
        <f>MID(EH114,3,8)</f>
        <v>P4004</v>
      </c>
      <c r="ET114" s="6" t="str">
        <f t="shared" si="40"/>
        <v>짝수</v>
      </c>
      <c r="EU114" s="12">
        <v>34</v>
      </c>
      <c r="EV114" s="45" t="str">
        <f t="shared" ca="1" si="49"/>
        <v>A</v>
      </c>
      <c r="EW114" s="6">
        <f t="shared" ca="1" si="41"/>
        <v>65</v>
      </c>
      <c r="FR114" s="6">
        <v>1</v>
      </c>
      <c r="FS114" s="6" t="str">
        <f t="shared" si="42"/>
        <v/>
      </c>
      <c r="FT114" s="6">
        <f t="shared" si="43"/>
        <v>1</v>
      </c>
      <c r="FU114" s="6" t="str">
        <f t="shared" ca="1" si="50"/>
        <v/>
      </c>
      <c r="FV114" s="6" t="str">
        <f t="shared" ca="1" si="44"/>
        <v/>
      </c>
      <c r="FW114" s="6" t="str">
        <f t="shared" ca="1" si="59"/>
        <v>R1-11</v>
      </c>
      <c r="FX114" s="6" t="str">
        <f t="shared" ca="1" si="60"/>
        <v>R1-12</v>
      </c>
      <c r="FY114" s="6" t="str">
        <f t="shared" ca="1" si="61"/>
        <v>R1-21</v>
      </c>
      <c r="FZ114" s="6" t="str">
        <f t="shared" ca="1" si="62"/>
        <v>R1-22</v>
      </c>
    </row>
    <row r="115" spans="1:182" ht="15.95" customHeight="1">
      <c r="A115" s="6">
        <v>194</v>
      </c>
      <c r="B115" s="6" t="s">
        <v>175</v>
      </c>
      <c r="E115" s="6" t="s">
        <v>680</v>
      </c>
      <c r="F115" s="6" t="s">
        <v>1367</v>
      </c>
      <c r="G115" s="6" t="s">
        <v>1290</v>
      </c>
      <c r="H115" s="7" t="s">
        <v>1291</v>
      </c>
      <c r="I115" s="7"/>
      <c r="J115" s="6" t="e">
        <v>#N/A</v>
      </c>
      <c r="K115" s="6" t="e">
        <v>#N/A</v>
      </c>
      <c r="N115" s="6" t="e">
        <v>#N/A</v>
      </c>
      <c r="O115" s="6" t="e">
        <v>#N/A</v>
      </c>
      <c r="R115" s="101" t="e">
        <v>#N/A</v>
      </c>
      <c r="Y115" s="6" t="e">
        <v>#N/A</v>
      </c>
      <c r="Z115" s="6" t="e">
        <v>#N/A</v>
      </c>
      <c r="AA115" s="6" t="e">
        <v>#N/A</v>
      </c>
      <c r="AD115" s="6" t="e">
        <v>#N/A</v>
      </c>
      <c r="AE115" s="6" t="e">
        <v>#N/A</v>
      </c>
      <c r="AG115" s="6" t="e">
        <v>#N/A</v>
      </c>
      <c r="AY115" s="8" t="s">
        <v>176</v>
      </c>
      <c r="AZ115" s="8" t="s">
        <v>195</v>
      </c>
      <c r="BA115" s="13" t="s">
        <v>656</v>
      </c>
      <c r="BB115" s="13" t="s">
        <v>200</v>
      </c>
      <c r="BC115" s="13">
        <v>3</v>
      </c>
      <c r="BD115" s="13">
        <v>4</v>
      </c>
      <c r="DC115" s="6" t="s">
        <v>644</v>
      </c>
      <c r="DD115" s="6" t="s">
        <v>187</v>
      </c>
      <c r="DH115" s="6" t="str">
        <f>"A"&amp;EA115</f>
        <v>A2</v>
      </c>
      <c r="DI115" s="6" t="str">
        <f>"B"&amp;EA115</f>
        <v>B2</v>
      </c>
      <c r="DK115" s="6" t="s">
        <v>173</v>
      </c>
      <c r="DL115" s="6" t="str">
        <f>IF(DZ115&lt;&gt;"","CN2","")</f>
        <v/>
      </c>
      <c r="DO115" s="9" t="s">
        <v>170</v>
      </c>
      <c r="DP115" s="6" t="s">
        <v>171</v>
      </c>
      <c r="DQ115" s="6" t="s">
        <v>645</v>
      </c>
      <c r="DS115" s="6" t="str">
        <f>IF(MID(EF115,2,1)="A","KS1","AKB331")</f>
        <v>AKB331</v>
      </c>
      <c r="DT115" s="10" t="str">
        <f>DQ115&amp;"-"&amp;DX115&amp;"-"&amp;DY115&amp;"/"&amp;BA115&amp;"-"&amp;DD115&amp;"-"&amp;DK115</f>
        <v>FCS0111-3-5/1S–MC–127-R1-CN1</v>
      </c>
      <c r="DU115" s="6" t="str">
        <f>IF(DL115="","",DQ115&amp;"-"&amp;DX115&amp;"-"&amp;DY115&amp;"/"&amp;BA115&amp;"-"&amp;DD115&amp;"-"&amp;DL115)</f>
        <v/>
      </c>
      <c r="DV115" s="19">
        <v>1</v>
      </c>
      <c r="DW115" s="20" t="str">
        <f>RIGHT(DQ115,2)</f>
        <v>11</v>
      </c>
      <c r="DX115" s="21">
        <v>3</v>
      </c>
      <c r="DY115" s="22">
        <v>5</v>
      </c>
      <c r="DZ115" s="23" t="s">
        <v>204</v>
      </c>
      <c r="EA115" s="23">
        <v>2</v>
      </c>
      <c r="ED115" s="9" t="str">
        <f>IF(DX115="1","AFV30D","ANB10D")</f>
        <v>ANB10D</v>
      </c>
      <c r="EF115" s="6" t="s">
        <v>647</v>
      </c>
      <c r="EH115" s="6" t="s">
        <v>680</v>
      </c>
      <c r="EI115" s="6" t="s">
        <v>679</v>
      </c>
      <c r="EJ115" s="12">
        <v>9</v>
      </c>
      <c r="EK115" s="12"/>
      <c r="EM115" s="12"/>
      <c r="EN115" s="25" t="s">
        <v>1121</v>
      </c>
      <c r="ET115" s="6" t="str">
        <f t="shared" si="40"/>
        <v>짝수</v>
      </c>
      <c r="EU115" s="12">
        <v>34</v>
      </c>
      <c r="EV115" s="45" t="str">
        <f t="shared" ca="1" si="49"/>
        <v>B</v>
      </c>
      <c r="EW115" s="6">
        <f t="shared" ca="1" si="41"/>
        <v>66</v>
      </c>
      <c r="FA115" s="6" t="str">
        <f>ER114&amp;"INT"</f>
        <v>P4004INT</v>
      </c>
      <c r="FR115" s="6">
        <v>1</v>
      </c>
      <c r="FS115" s="6" t="str">
        <f t="shared" si="42"/>
        <v/>
      </c>
      <c r="FT115" s="6">
        <f t="shared" si="43"/>
        <v>1</v>
      </c>
      <c r="FU115" s="6" t="str">
        <f t="shared" ca="1" si="50"/>
        <v/>
      </c>
      <c r="FV115" s="6" t="str">
        <f t="shared" ca="1" si="44"/>
        <v/>
      </c>
      <c r="FW115" s="6" t="str">
        <f t="shared" ca="1" si="59"/>
        <v>R1-11</v>
      </c>
      <c r="FX115" s="6" t="str">
        <f t="shared" ca="1" si="60"/>
        <v>R1-12</v>
      </c>
      <c r="FY115" s="6" t="str">
        <f t="shared" ca="1" si="61"/>
        <v>R1-21</v>
      </c>
      <c r="FZ115" s="6" t="str">
        <f t="shared" ca="1" si="62"/>
        <v>R1-22</v>
      </c>
    </row>
    <row r="116" spans="1:182" ht="15.95" customHeight="1">
      <c r="A116" s="6">
        <v>258</v>
      </c>
      <c r="B116" s="6" t="s">
        <v>175</v>
      </c>
      <c r="E116" s="6" t="s">
        <v>724</v>
      </c>
      <c r="F116" s="6" t="s">
        <v>1368</v>
      </c>
      <c r="G116" s="6" t="s">
        <v>1290</v>
      </c>
      <c r="H116" s="7" t="s">
        <v>1291</v>
      </c>
      <c r="I116" s="7"/>
      <c r="J116" s="6" t="e">
        <v>#N/A</v>
      </c>
      <c r="K116" s="6" t="e">
        <v>#N/A</v>
      </c>
      <c r="N116" s="6" t="e">
        <v>#N/A</v>
      </c>
      <c r="O116" s="6" t="e">
        <v>#N/A</v>
      </c>
      <c r="R116" s="101" t="e">
        <v>#N/A</v>
      </c>
      <c r="Y116" s="6" t="e">
        <v>#N/A</v>
      </c>
      <c r="Z116" s="6" t="e">
        <v>#N/A</v>
      </c>
      <c r="AA116" s="6" t="e">
        <v>#N/A</v>
      </c>
      <c r="AD116" s="6" t="e">
        <v>#N/A</v>
      </c>
      <c r="AE116" s="6" t="e">
        <v>#N/A</v>
      </c>
      <c r="AG116" s="6" t="e">
        <v>#N/A</v>
      </c>
      <c r="AY116" s="8" t="s">
        <v>176</v>
      </c>
      <c r="AZ116" s="8" t="s">
        <v>195</v>
      </c>
      <c r="BA116" s="13" t="s">
        <v>656</v>
      </c>
      <c r="BB116" s="13" t="s">
        <v>7</v>
      </c>
      <c r="BC116" s="13">
        <v>23</v>
      </c>
      <c r="BD116" s="13">
        <v>24</v>
      </c>
      <c r="DC116" s="6" t="s">
        <v>723</v>
      </c>
      <c r="DD116" s="6" t="s">
        <v>201</v>
      </c>
      <c r="DH116" s="6" t="str">
        <f>"A"&amp;EA116</f>
        <v>A2</v>
      </c>
      <c r="DI116" s="6" t="str">
        <f>"B"&amp;EA116</f>
        <v>B2</v>
      </c>
      <c r="DK116" s="6" t="s">
        <v>173</v>
      </c>
      <c r="DL116" s="6" t="str">
        <f>IF(DZ116&lt;&gt;"","CN2","")</f>
        <v>CN2</v>
      </c>
      <c r="DO116" s="9" t="s">
        <v>170</v>
      </c>
      <c r="DP116" s="6" t="s">
        <v>171</v>
      </c>
      <c r="DQ116" s="6" t="s">
        <v>645</v>
      </c>
      <c r="DS116" s="6" t="str">
        <f>IF(MID(EF116,2,1)="A","KS1","AKB331")</f>
        <v>AKB331</v>
      </c>
      <c r="DT116" s="10" t="str">
        <f>DQ116&amp;"-"&amp;DX116&amp;"-"&amp;DY116&amp;"/"&amp;BA116&amp;"-"&amp;DD116&amp;"-"&amp;DK116</f>
        <v>FCS0111-3-7/1S–MC–127-F2-CN1</v>
      </c>
      <c r="DU116" s="6" t="str">
        <f>IF(DL116="","",DQ116&amp;"-"&amp;DX116&amp;"-"&amp;DY116&amp;"/"&amp;BA116&amp;"-"&amp;DD116&amp;"-"&amp;DL116)</f>
        <v>FCS0111-3-7/1S–MC–127-F2-CN2</v>
      </c>
      <c r="DV116" s="19">
        <v>1</v>
      </c>
      <c r="DW116" s="20" t="str">
        <f>RIGHT(DQ116,2)</f>
        <v>11</v>
      </c>
      <c r="DX116" s="21">
        <v>3</v>
      </c>
      <c r="DY116" s="22">
        <v>7</v>
      </c>
      <c r="DZ116" s="23">
        <v>8</v>
      </c>
      <c r="EA116" s="23">
        <v>2</v>
      </c>
      <c r="ED116" s="9" t="str">
        <f>IF(DX116="1","AFV30D","ANB10D")</f>
        <v>ANB10D</v>
      </c>
      <c r="EF116" s="6" t="s">
        <v>672</v>
      </c>
      <c r="EH116" s="6" t="s">
        <v>724</v>
      </c>
      <c r="EI116" s="6" t="s">
        <v>679</v>
      </c>
      <c r="EJ116" s="12">
        <v>9</v>
      </c>
      <c r="EK116" s="12"/>
      <c r="EM116" s="12"/>
      <c r="EN116" s="25" t="s">
        <v>1121</v>
      </c>
      <c r="ET116" s="6" t="str">
        <f t="shared" si="40"/>
        <v>짝수</v>
      </c>
      <c r="EU116" s="12">
        <v>34</v>
      </c>
      <c r="EV116" s="45" t="str">
        <f t="shared" ca="1" si="49"/>
        <v>C</v>
      </c>
      <c r="EW116" s="6">
        <f t="shared" ca="1" si="41"/>
        <v>67</v>
      </c>
      <c r="FR116" s="6">
        <v>1</v>
      </c>
      <c r="FS116" s="6">
        <f t="shared" si="42"/>
        <v>1</v>
      </c>
      <c r="FT116" s="6" t="str">
        <f t="shared" si="43"/>
        <v/>
      </c>
      <c r="FU116" s="6" t="str">
        <f t="shared" ca="1" si="50"/>
        <v>F2-11</v>
      </c>
      <c r="FV116" s="6" t="str">
        <f t="shared" ca="1" si="44"/>
        <v>F2-12</v>
      </c>
      <c r="FW116" s="6" t="str">
        <f t="shared" ca="1" si="59"/>
        <v/>
      </c>
      <c r="FX116" s="6" t="str">
        <f t="shared" ca="1" si="60"/>
        <v/>
      </c>
      <c r="FY116" s="6" t="str">
        <f t="shared" ca="1" si="61"/>
        <v/>
      </c>
      <c r="FZ116" s="6" t="str">
        <f t="shared" ca="1" si="62"/>
        <v/>
      </c>
    </row>
    <row r="117" spans="1:182" ht="15.95" customHeight="1">
      <c r="A117" s="6">
        <v>257</v>
      </c>
      <c r="B117" s="6" t="s">
        <v>175</v>
      </c>
      <c r="E117" s="6" t="s">
        <v>722</v>
      </c>
      <c r="F117" s="6" t="s">
        <v>1369</v>
      </c>
      <c r="G117" s="6" t="s">
        <v>1290</v>
      </c>
      <c r="H117" s="7" t="s">
        <v>1291</v>
      </c>
      <c r="I117" s="7"/>
      <c r="J117" s="6" t="e">
        <v>#N/A</v>
      </c>
      <c r="K117" s="6" t="e">
        <v>#N/A</v>
      </c>
      <c r="N117" s="6" t="e">
        <v>#N/A</v>
      </c>
      <c r="O117" s="6" t="e">
        <v>#N/A</v>
      </c>
      <c r="R117" s="101" t="e">
        <v>#N/A</v>
      </c>
      <c r="Y117" s="6" t="e">
        <v>#N/A</v>
      </c>
      <c r="Z117" s="6" t="e">
        <v>#N/A</v>
      </c>
      <c r="AA117" s="6" t="e">
        <v>#N/A</v>
      </c>
      <c r="AD117" s="6" t="e">
        <v>#N/A</v>
      </c>
      <c r="AE117" s="6" t="e">
        <v>#N/A</v>
      </c>
      <c r="AG117" s="6" t="e">
        <v>#N/A</v>
      </c>
      <c r="AY117" s="8" t="s">
        <v>176</v>
      </c>
      <c r="AZ117" s="8" t="s">
        <v>195</v>
      </c>
      <c r="BA117" s="13" t="s">
        <v>656</v>
      </c>
      <c r="BB117" s="13" t="s">
        <v>7</v>
      </c>
      <c r="BC117" s="13">
        <v>21</v>
      </c>
      <c r="BD117" s="13">
        <v>22</v>
      </c>
      <c r="DC117" s="6" t="s">
        <v>723</v>
      </c>
      <c r="DD117" s="6" t="s">
        <v>201</v>
      </c>
      <c r="DH117" s="6" t="str">
        <f>"A"&amp;EA117</f>
        <v>A1</v>
      </c>
      <c r="DI117" s="6" t="str">
        <f>"B"&amp;EA117</f>
        <v>B1</v>
      </c>
      <c r="DK117" s="6" t="s">
        <v>173</v>
      </c>
      <c r="DL117" s="6" t="str">
        <f>IF(DZ117&lt;&gt;"","CN2","")</f>
        <v>CN2</v>
      </c>
      <c r="DO117" s="9" t="s">
        <v>170</v>
      </c>
      <c r="DP117" s="6" t="s">
        <v>171</v>
      </c>
      <c r="DQ117" s="6" t="s">
        <v>645</v>
      </c>
      <c r="DS117" s="6" t="str">
        <f>IF(MID(EF117,2,1)="A","KS1","AKB331")</f>
        <v>AKB331</v>
      </c>
      <c r="DT117" s="10" t="str">
        <f>DQ117&amp;"-"&amp;DX117&amp;"-"&amp;DY117&amp;"/"&amp;BA117&amp;"-"&amp;DD117&amp;"-"&amp;DK117</f>
        <v>FCS0111-3-7/1S–MC–127-F2-CN1</v>
      </c>
      <c r="DU117" s="6" t="str">
        <f>IF(DL117="","",DQ117&amp;"-"&amp;DX117&amp;"-"&amp;DY117&amp;"/"&amp;BA117&amp;"-"&amp;DD117&amp;"-"&amp;DL117)</f>
        <v>FCS0111-3-7/1S–MC–127-F2-CN2</v>
      </c>
      <c r="DV117" s="19">
        <v>1</v>
      </c>
      <c r="DW117" s="20" t="str">
        <f>RIGHT(DQ117,2)</f>
        <v>11</v>
      </c>
      <c r="DX117" s="21">
        <v>3</v>
      </c>
      <c r="DY117" s="22">
        <v>7</v>
      </c>
      <c r="DZ117" s="23">
        <v>8</v>
      </c>
      <c r="EA117" s="23">
        <v>1</v>
      </c>
      <c r="ED117" s="9" t="str">
        <f>IF(DX117="1","AFV30D","ANB10D")</f>
        <v>ANB10D</v>
      </c>
      <c r="EF117" s="6" t="s">
        <v>672</v>
      </c>
      <c r="EH117" s="6" t="s">
        <v>722</v>
      </c>
      <c r="EI117" s="6" t="s">
        <v>679</v>
      </c>
      <c r="EJ117" s="12">
        <v>9</v>
      </c>
      <c r="EK117" s="12"/>
      <c r="EM117" s="12"/>
      <c r="EN117" s="25" t="s">
        <v>1121</v>
      </c>
      <c r="ET117" s="6" t="str">
        <f t="shared" si="40"/>
        <v>짝수</v>
      </c>
      <c r="EU117" s="12">
        <v>34</v>
      </c>
      <c r="EV117" s="45" t="str">
        <f t="shared" ca="1" si="49"/>
        <v>D</v>
      </c>
      <c r="EW117" s="6">
        <f t="shared" ca="1" si="41"/>
        <v>68</v>
      </c>
      <c r="FR117" s="6">
        <v>1</v>
      </c>
      <c r="FS117" s="6">
        <f t="shared" si="42"/>
        <v>1</v>
      </c>
      <c r="FT117" s="6" t="str">
        <f t="shared" si="43"/>
        <v/>
      </c>
      <c r="FU117" s="6" t="str">
        <f t="shared" ca="1" si="50"/>
        <v>F2-11</v>
      </c>
      <c r="FV117" s="6" t="str">
        <f t="shared" ca="1" si="44"/>
        <v>F2-12</v>
      </c>
      <c r="FW117" s="6" t="str">
        <f t="shared" ca="1" si="59"/>
        <v/>
      </c>
      <c r="FX117" s="6" t="str">
        <f t="shared" ca="1" si="60"/>
        <v/>
      </c>
      <c r="FY117" s="6" t="str">
        <f t="shared" ca="1" si="61"/>
        <v/>
      </c>
      <c r="FZ117" s="6" t="str">
        <f t="shared" ca="1" si="62"/>
        <v/>
      </c>
    </row>
    <row r="118" spans="1:182" ht="15.95" customHeight="1">
      <c r="A118" s="6">
        <v>196</v>
      </c>
      <c r="B118" s="6" t="s">
        <v>175</v>
      </c>
      <c r="E118" s="6" t="s">
        <v>681</v>
      </c>
      <c r="F118" s="6" t="s">
        <v>1370</v>
      </c>
      <c r="G118" s="6" t="s">
        <v>1290</v>
      </c>
      <c r="H118" s="7" t="s">
        <v>1291</v>
      </c>
      <c r="I118" s="7"/>
      <c r="J118" s="6" t="e">
        <v>#N/A</v>
      </c>
      <c r="K118" s="6" t="e">
        <v>#N/A</v>
      </c>
      <c r="N118" s="6" t="e">
        <v>#N/A</v>
      </c>
      <c r="O118" s="6" t="e">
        <v>#N/A</v>
      </c>
      <c r="R118" s="101" t="e">
        <v>#N/A</v>
      </c>
      <c r="Y118" s="6" t="e">
        <v>#N/A</v>
      </c>
      <c r="Z118" s="6" t="e">
        <v>#N/A</v>
      </c>
      <c r="AA118" s="6" t="e">
        <v>#N/A</v>
      </c>
      <c r="AD118" s="6" t="e">
        <v>#N/A</v>
      </c>
      <c r="AE118" s="6" t="e">
        <v>#N/A</v>
      </c>
      <c r="AG118" s="6" t="e">
        <v>#N/A</v>
      </c>
      <c r="AY118" s="8" t="s">
        <v>176</v>
      </c>
      <c r="AZ118" s="8" t="s">
        <v>195</v>
      </c>
      <c r="BA118" s="13" t="s">
        <v>656</v>
      </c>
      <c r="BB118" s="13" t="s">
        <v>200</v>
      </c>
      <c r="BC118" s="13">
        <v>7</v>
      </c>
      <c r="BD118" s="13">
        <v>8</v>
      </c>
      <c r="DC118" s="6" t="s">
        <v>644</v>
      </c>
      <c r="DD118" s="6" t="s">
        <v>187</v>
      </c>
      <c r="DH118" s="6" t="str">
        <f t="shared" ref="DH118:DH178" si="68">"A"&amp;EA118</f>
        <v>A4</v>
      </c>
      <c r="DI118" s="6" t="str">
        <f t="shared" ref="DI118:DI178" si="69">"B"&amp;EA118</f>
        <v>B4</v>
      </c>
      <c r="DK118" s="6" t="s">
        <v>173</v>
      </c>
      <c r="DL118" s="6" t="str">
        <f t="shared" ref="DL118:DL178" si="70">IF(DZ118&lt;&gt;"","CN2","")</f>
        <v/>
      </c>
      <c r="DO118" s="9" t="s">
        <v>170</v>
      </c>
      <c r="DP118" s="6" t="s">
        <v>171</v>
      </c>
      <c r="DQ118" s="6" t="s">
        <v>645</v>
      </c>
      <c r="DS118" s="6" t="str">
        <f t="shared" si="63"/>
        <v>AKB331</v>
      </c>
      <c r="DT118" s="10" t="str">
        <f t="shared" si="64"/>
        <v>FCS0111-3-5/1S–MC–127-R1-CN1</v>
      </c>
      <c r="DU118" s="6" t="str">
        <f t="shared" si="65"/>
        <v/>
      </c>
      <c r="DV118" s="19">
        <v>1</v>
      </c>
      <c r="DW118" s="20" t="str">
        <f t="shared" si="66"/>
        <v>11</v>
      </c>
      <c r="DX118" s="21">
        <v>3</v>
      </c>
      <c r="DY118" s="22">
        <v>5</v>
      </c>
      <c r="DZ118" s="23" t="s">
        <v>204</v>
      </c>
      <c r="EA118" s="23">
        <v>4</v>
      </c>
      <c r="ED118" s="9" t="str">
        <f t="shared" si="67"/>
        <v>ANB10D</v>
      </c>
      <c r="EF118" s="6" t="s">
        <v>647</v>
      </c>
      <c r="EH118" s="6" t="s">
        <v>681</v>
      </c>
      <c r="EI118" s="6" t="s">
        <v>682</v>
      </c>
      <c r="EJ118" s="12">
        <v>9</v>
      </c>
      <c r="EK118" s="12"/>
      <c r="EM118" s="12"/>
      <c r="EN118" s="25" t="s">
        <v>1121</v>
      </c>
      <c r="EP118" s="6" t="s">
        <v>1153</v>
      </c>
      <c r="ER118" s="6" t="str">
        <f>MID(EH118,3,8)</f>
        <v>P4005A</v>
      </c>
      <c r="ET118" s="6" t="str">
        <f t="shared" si="40"/>
        <v>홀수</v>
      </c>
      <c r="EU118" s="12">
        <v>35</v>
      </c>
      <c r="EV118" s="45" t="str">
        <f t="shared" ca="1" si="49"/>
        <v>A</v>
      </c>
      <c r="EW118" s="6">
        <f t="shared" ca="1" si="41"/>
        <v>65</v>
      </c>
      <c r="FR118" s="6">
        <v>1</v>
      </c>
      <c r="FS118" s="6" t="str">
        <f t="shared" si="42"/>
        <v/>
      </c>
      <c r="FT118" s="6">
        <f t="shared" si="43"/>
        <v>1</v>
      </c>
      <c r="FU118" s="6" t="str">
        <f t="shared" ca="1" si="50"/>
        <v/>
      </c>
      <c r="FV118" s="6" t="str">
        <f t="shared" ca="1" si="44"/>
        <v/>
      </c>
      <c r="FW118" s="6" t="str">
        <f t="shared" ca="1" si="59"/>
        <v>R1-11</v>
      </c>
      <c r="FX118" s="6" t="str">
        <f t="shared" ca="1" si="60"/>
        <v>R1-12</v>
      </c>
      <c r="FY118" s="6" t="str">
        <f t="shared" ca="1" si="61"/>
        <v>R1-21</v>
      </c>
      <c r="FZ118" s="6" t="str">
        <f t="shared" ca="1" si="62"/>
        <v>R1-22</v>
      </c>
    </row>
    <row r="119" spans="1:182" ht="15.95" customHeight="1">
      <c r="A119" s="6">
        <v>260</v>
      </c>
      <c r="B119" s="6" t="s">
        <v>175</v>
      </c>
      <c r="E119" s="6" t="s">
        <v>725</v>
      </c>
      <c r="F119" s="6" t="s">
        <v>1371</v>
      </c>
      <c r="G119" s="6" t="s">
        <v>1290</v>
      </c>
      <c r="H119" s="7" t="s">
        <v>1291</v>
      </c>
      <c r="I119" s="7"/>
      <c r="J119" s="6" t="e">
        <v>#N/A</v>
      </c>
      <c r="K119" s="6" t="e">
        <v>#N/A</v>
      </c>
      <c r="N119" s="6" t="e">
        <v>#N/A</v>
      </c>
      <c r="O119" s="6" t="e">
        <v>#N/A</v>
      </c>
      <c r="R119" s="101" t="e">
        <v>#N/A</v>
      </c>
      <c r="Y119" s="6" t="e">
        <v>#N/A</v>
      </c>
      <c r="Z119" s="6" t="e">
        <v>#N/A</v>
      </c>
      <c r="AA119" s="6" t="e">
        <v>#N/A</v>
      </c>
      <c r="AD119" s="6" t="e">
        <v>#N/A</v>
      </c>
      <c r="AE119" s="6" t="e">
        <v>#N/A</v>
      </c>
      <c r="AG119" s="6" t="e">
        <v>#N/A</v>
      </c>
      <c r="AY119" s="8" t="s">
        <v>176</v>
      </c>
      <c r="AZ119" s="8" t="s">
        <v>195</v>
      </c>
      <c r="BA119" s="13" t="s">
        <v>656</v>
      </c>
      <c r="BB119" s="13" t="s">
        <v>7</v>
      </c>
      <c r="BC119" s="13">
        <v>27</v>
      </c>
      <c r="BD119" s="13">
        <v>28</v>
      </c>
      <c r="DC119" s="6" t="s">
        <v>723</v>
      </c>
      <c r="DD119" s="6" t="s">
        <v>201</v>
      </c>
      <c r="DH119" s="6" t="str">
        <f>"A"&amp;EA119</f>
        <v>A4</v>
      </c>
      <c r="DI119" s="6" t="str">
        <f>"B"&amp;EA119</f>
        <v>B4</v>
      </c>
      <c r="DK119" s="6" t="s">
        <v>173</v>
      </c>
      <c r="DL119" s="6" t="str">
        <f>IF(DZ119&lt;&gt;"","CN2","")</f>
        <v>CN2</v>
      </c>
      <c r="DO119" s="9" t="s">
        <v>170</v>
      </c>
      <c r="DP119" s="6" t="s">
        <v>171</v>
      </c>
      <c r="DQ119" s="6" t="s">
        <v>645</v>
      </c>
      <c r="DS119" s="6" t="str">
        <f>IF(MID(EF119,2,1)="A","KS1","AKB331")</f>
        <v>AKB331</v>
      </c>
      <c r="DT119" s="10" t="str">
        <f>DQ119&amp;"-"&amp;DX119&amp;"-"&amp;DY119&amp;"/"&amp;BA119&amp;"-"&amp;DD119&amp;"-"&amp;DK119</f>
        <v>FCS0111-3-7/1S–MC–127-F2-CN1</v>
      </c>
      <c r="DU119" s="6" t="str">
        <f>IF(DL119="","",DQ119&amp;"-"&amp;DX119&amp;"-"&amp;DY119&amp;"/"&amp;BA119&amp;"-"&amp;DD119&amp;"-"&amp;DL119)</f>
        <v>FCS0111-3-7/1S–MC–127-F2-CN2</v>
      </c>
      <c r="DV119" s="19">
        <v>1</v>
      </c>
      <c r="DW119" s="20" t="str">
        <f>RIGHT(DQ119,2)</f>
        <v>11</v>
      </c>
      <c r="DX119" s="21">
        <v>3</v>
      </c>
      <c r="DY119" s="22">
        <v>7</v>
      </c>
      <c r="DZ119" s="23">
        <v>8</v>
      </c>
      <c r="EA119" s="23">
        <v>4</v>
      </c>
      <c r="ED119" s="9" t="str">
        <f>IF(DX119="1","AFV30D","ANB10D")</f>
        <v>ANB10D</v>
      </c>
      <c r="EF119" s="6" t="s">
        <v>672</v>
      </c>
      <c r="EH119" s="6" t="s">
        <v>725</v>
      </c>
      <c r="EI119" s="6" t="s">
        <v>682</v>
      </c>
      <c r="EJ119" s="12">
        <v>9</v>
      </c>
      <c r="EK119" s="12"/>
      <c r="EM119" s="12"/>
      <c r="EN119" s="25" t="s">
        <v>1121</v>
      </c>
      <c r="ET119" s="6" t="str">
        <f t="shared" si="40"/>
        <v>홀수</v>
      </c>
      <c r="EU119" s="12">
        <v>35</v>
      </c>
      <c r="EV119" s="45" t="str">
        <f t="shared" ca="1" si="49"/>
        <v>B</v>
      </c>
      <c r="EW119" s="6">
        <f t="shared" ca="1" si="41"/>
        <v>66</v>
      </c>
      <c r="FA119" s="6" t="str">
        <f>ER118&amp;"INT"</f>
        <v>P4005AINT</v>
      </c>
      <c r="FR119" s="6">
        <v>1</v>
      </c>
      <c r="FS119" s="6">
        <f t="shared" si="42"/>
        <v>1</v>
      </c>
      <c r="FT119" s="6" t="str">
        <f t="shared" si="43"/>
        <v/>
      </c>
      <c r="FU119" s="6" t="str">
        <f t="shared" ca="1" si="50"/>
        <v>F2-11</v>
      </c>
      <c r="FV119" s="6" t="str">
        <f t="shared" ca="1" si="44"/>
        <v>F2-12</v>
      </c>
      <c r="FW119" s="6" t="str">
        <f t="shared" ca="1" si="59"/>
        <v/>
      </c>
      <c r="FX119" s="6" t="str">
        <f t="shared" ca="1" si="60"/>
        <v/>
      </c>
      <c r="FY119" s="6" t="str">
        <f t="shared" ca="1" si="61"/>
        <v/>
      </c>
      <c r="FZ119" s="6" t="str">
        <f t="shared" ca="1" si="62"/>
        <v/>
      </c>
    </row>
    <row r="120" spans="1:182" ht="15.95" customHeight="1">
      <c r="A120" s="6">
        <v>198</v>
      </c>
      <c r="B120" s="6" t="s">
        <v>175</v>
      </c>
      <c r="E120" s="6" t="s">
        <v>683</v>
      </c>
      <c r="F120" s="6" t="s">
        <v>1372</v>
      </c>
      <c r="G120" s="6" t="s">
        <v>1290</v>
      </c>
      <c r="H120" s="7" t="s">
        <v>1291</v>
      </c>
      <c r="I120" s="7"/>
      <c r="J120" s="6" t="e">
        <v>#N/A</v>
      </c>
      <c r="K120" s="6" t="e">
        <v>#N/A</v>
      </c>
      <c r="N120" s="6" t="e">
        <v>#N/A</v>
      </c>
      <c r="O120" s="6" t="e">
        <v>#N/A</v>
      </c>
      <c r="R120" s="101" t="e">
        <v>#N/A</v>
      </c>
      <c r="Y120" s="6" t="e">
        <v>#N/A</v>
      </c>
      <c r="Z120" s="6" t="e">
        <v>#N/A</v>
      </c>
      <c r="AA120" s="6" t="e">
        <v>#N/A</v>
      </c>
      <c r="AD120" s="6" t="e">
        <v>#N/A</v>
      </c>
      <c r="AE120" s="6" t="e">
        <v>#N/A</v>
      </c>
      <c r="AG120" s="6" t="e">
        <v>#N/A</v>
      </c>
      <c r="AY120" s="8" t="s">
        <v>176</v>
      </c>
      <c r="AZ120" s="8" t="s">
        <v>195</v>
      </c>
      <c r="BA120" s="13" t="s">
        <v>656</v>
      </c>
      <c r="BB120" s="13" t="s">
        <v>200</v>
      </c>
      <c r="BC120" s="13">
        <v>11</v>
      </c>
      <c r="BD120" s="13">
        <v>12</v>
      </c>
      <c r="DC120" s="6" t="s">
        <v>644</v>
      </c>
      <c r="DD120" s="6" t="s">
        <v>187</v>
      </c>
      <c r="DH120" s="6" t="str">
        <f t="shared" si="68"/>
        <v>A6</v>
      </c>
      <c r="DI120" s="6" t="str">
        <f t="shared" si="69"/>
        <v>B6</v>
      </c>
      <c r="DK120" s="6" t="s">
        <v>173</v>
      </c>
      <c r="DL120" s="6" t="str">
        <f t="shared" si="70"/>
        <v/>
      </c>
      <c r="DO120" s="9" t="s">
        <v>170</v>
      </c>
      <c r="DP120" s="6" t="s">
        <v>171</v>
      </c>
      <c r="DQ120" s="6" t="s">
        <v>645</v>
      </c>
      <c r="DS120" s="6" t="str">
        <f t="shared" si="63"/>
        <v>AKB331</v>
      </c>
      <c r="DT120" s="10" t="str">
        <f t="shared" si="64"/>
        <v>FCS0111-3-5/1S–MC–127-R1-CN1</v>
      </c>
      <c r="DU120" s="6" t="str">
        <f t="shared" si="65"/>
        <v/>
      </c>
      <c r="DV120" s="19">
        <v>1</v>
      </c>
      <c r="DW120" s="20" t="str">
        <f t="shared" si="66"/>
        <v>11</v>
      </c>
      <c r="DX120" s="21">
        <v>3</v>
      </c>
      <c r="DY120" s="22">
        <v>5</v>
      </c>
      <c r="DZ120" s="23" t="s">
        <v>204</v>
      </c>
      <c r="EA120" s="23">
        <v>6</v>
      </c>
      <c r="ED120" s="9" t="str">
        <f t="shared" si="67"/>
        <v>ANB10D</v>
      </c>
      <c r="EF120" s="6" t="s">
        <v>647</v>
      </c>
      <c r="EH120" s="6" t="s">
        <v>683</v>
      </c>
      <c r="EI120" s="6" t="s">
        <v>682</v>
      </c>
      <c r="EJ120" s="12">
        <v>9</v>
      </c>
      <c r="EK120" s="12"/>
      <c r="EM120" s="12"/>
      <c r="EN120" s="25" t="s">
        <v>1121</v>
      </c>
      <c r="ET120" s="6" t="str">
        <f t="shared" si="40"/>
        <v>홀수</v>
      </c>
      <c r="EU120" s="12">
        <v>35</v>
      </c>
      <c r="EV120" s="45" t="str">
        <f t="shared" ca="1" si="49"/>
        <v>C</v>
      </c>
      <c r="EW120" s="6">
        <f t="shared" ca="1" si="41"/>
        <v>67</v>
      </c>
      <c r="FR120" s="6">
        <v>1</v>
      </c>
      <c r="FS120" s="6" t="str">
        <f t="shared" si="42"/>
        <v/>
      </c>
      <c r="FT120" s="6">
        <f t="shared" si="43"/>
        <v>1</v>
      </c>
      <c r="FU120" s="6" t="str">
        <f t="shared" ca="1" si="50"/>
        <v/>
      </c>
      <c r="FV120" s="6" t="str">
        <f t="shared" ca="1" si="44"/>
        <v/>
      </c>
      <c r="FW120" s="6" t="str">
        <f t="shared" ref="FW120:FW151" ca="1" si="71">IF(AND(FT120=1,FU120=""),DD120&amp;"-11",IF(AND(FT120=1,FU120&lt;&gt;""),DD120&amp;"-21",""))</f>
        <v>R1-11</v>
      </c>
      <c r="FX120" s="6" t="str">
        <f t="shared" ref="FX120:FX151" ca="1" si="72">IF(AND(FT120=1,FU120=""),DD120&amp;"-12",IF(AND(FT120=1,FU120&lt;&gt;""),DD120&amp;"-22",""))</f>
        <v>R1-12</v>
      </c>
      <c r="FY120" s="6" t="str">
        <f t="shared" ref="FY120:FY151" ca="1" si="73">IF(AND(FS120="",OFFSET(FS120,0,1)="",DC120="A1BA4D"),"",IF(DC120="A1BD5D",LEFT(FW120,3)&amp;"21",FW120))</f>
        <v>R1-21</v>
      </c>
      <c r="FZ120" s="6" t="str">
        <f t="shared" ref="FZ120:FZ151" ca="1" si="74" xml:space="preserve">
IF(AND(FS120="",OFFSET(FS120,0,1)="",DC120="A1BA4D"),"",IF(DC120="A1BD5D",LEFT(FW120,3)&amp;"22",FW120))</f>
        <v>R1-22</v>
      </c>
    </row>
    <row r="121" spans="1:182" ht="15.95" customHeight="1">
      <c r="A121" s="6">
        <v>262</v>
      </c>
      <c r="B121" s="6" t="s">
        <v>175</v>
      </c>
      <c r="E121" s="6" t="s">
        <v>726</v>
      </c>
      <c r="F121" s="6" t="s">
        <v>1373</v>
      </c>
      <c r="G121" s="6" t="s">
        <v>1290</v>
      </c>
      <c r="H121" s="7" t="s">
        <v>1291</v>
      </c>
      <c r="I121" s="7"/>
      <c r="J121" s="6" t="e">
        <v>#N/A</v>
      </c>
      <c r="K121" s="6" t="e">
        <v>#N/A</v>
      </c>
      <c r="N121" s="6" t="e">
        <v>#N/A</v>
      </c>
      <c r="O121" s="6" t="e">
        <v>#N/A</v>
      </c>
      <c r="R121" s="101" t="e">
        <v>#N/A</v>
      </c>
      <c r="Y121" s="6" t="e">
        <v>#N/A</v>
      </c>
      <c r="Z121" s="6" t="e">
        <v>#N/A</v>
      </c>
      <c r="AA121" s="6" t="e">
        <v>#N/A</v>
      </c>
      <c r="AD121" s="6" t="e">
        <v>#N/A</v>
      </c>
      <c r="AE121" s="6" t="e">
        <v>#N/A</v>
      </c>
      <c r="AG121" s="6" t="e">
        <v>#N/A</v>
      </c>
      <c r="AY121" s="8" t="s">
        <v>176</v>
      </c>
      <c r="AZ121" s="8" t="s">
        <v>195</v>
      </c>
      <c r="BA121" s="13" t="s">
        <v>656</v>
      </c>
      <c r="BB121" s="13" t="s">
        <v>7</v>
      </c>
      <c r="BC121" s="13">
        <v>31</v>
      </c>
      <c r="BD121" s="13">
        <v>32</v>
      </c>
      <c r="DC121" s="6" t="s">
        <v>723</v>
      </c>
      <c r="DD121" s="6" t="s">
        <v>201</v>
      </c>
      <c r="DH121" s="6" t="str">
        <f>"A"&amp;EA121</f>
        <v>A6</v>
      </c>
      <c r="DI121" s="6" t="str">
        <f>"B"&amp;EA121</f>
        <v>B6</v>
      </c>
      <c r="DK121" s="6" t="s">
        <v>173</v>
      </c>
      <c r="DL121" s="6" t="str">
        <f>IF(DZ121&lt;&gt;"","CN2","")</f>
        <v>CN2</v>
      </c>
      <c r="DO121" s="9" t="s">
        <v>170</v>
      </c>
      <c r="DP121" s="6" t="s">
        <v>171</v>
      </c>
      <c r="DQ121" s="6" t="s">
        <v>645</v>
      </c>
      <c r="DS121" s="6" t="str">
        <f>IF(MID(EF121,2,1)="A","KS1","AKB331")</f>
        <v>AKB331</v>
      </c>
      <c r="DT121" s="10" t="str">
        <f>DQ121&amp;"-"&amp;DX121&amp;"-"&amp;DY121&amp;"/"&amp;BA121&amp;"-"&amp;DD121&amp;"-"&amp;DK121</f>
        <v>FCS0111-3-7/1S–MC–127-F2-CN1</v>
      </c>
      <c r="DU121" s="6" t="str">
        <f>IF(DL121="","",DQ121&amp;"-"&amp;DX121&amp;"-"&amp;DY121&amp;"/"&amp;BA121&amp;"-"&amp;DD121&amp;"-"&amp;DL121)</f>
        <v>FCS0111-3-7/1S–MC–127-F2-CN2</v>
      </c>
      <c r="DV121" s="19">
        <v>1</v>
      </c>
      <c r="DW121" s="20" t="str">
        <f>RIGHT(DQ121,2)</f>
        <v>11</v>
      </c>
      <c r="DX121" s="21">
        <v>3</v>
      </c>
      <c r="DY121" s="22">
        <v>7</v>
      </c>
      <c r="DZ121" s="23">
        <v>8</v>
      </c>
      <c r="EA121" s="23">
        <v>6</v>
      </c>
      <c r="ED121" s="9" t="str">
        <f>IF(DX121="1","AFV30D","ANB10D")</f>
        <v>ANB10D</v>
      </c>
      <c r="EF121" s="6" t="s">
        <v>672</v>
      </c>
      <c r="EH121" s="6" t="s">
        <v>726</v>
      </c>
      <c r="EI121" s="6" t="s">
        <v>682</v>
      </c>
      <c r="EJ121" s="12">
        <v>9</v>
      </c>
      <c r="EK121" s="12"/>
      <c r="EM121" s="12"/>
      <c r="EN121" s="25" t="s">
        <v>1121</v>
      </c>
      <c r="ET121" s="6" t="str">
        <f t="shared" si="40"/>
        <v>홀수</v>
      </c>
      <c r="EU121" s="12">
        <v>35</v>
      </c>
      <c r="EV121" s="45" t="str">
        <f t="shared" ca="1" si="49"/>
        <v>D</v>
      </c>
      <c r="EW121" s="6">
        <f t="shared" ca="1" si="41"/>
        <v>68</v>
      </c>
      <c r="FR121" s="6">
        <v>1</v>
      </c>
      <c r="FS121" s="6">
        <f t="shared" si="42"/>
        <v>1</v>
      </c>
      <c r="FT121" s="6" t="str">
        <f t="shared" si="43"/>
        <v/>
      </c>
      <c r="FU121" s="6" t="str">
        <f t="shared" ca="1" si="50"/>
        <v>F2-11</v>
      </c>
      <c r="FV121" s="6" t="str">
        <f t="shared" ca="1" si="44"/>
        <v>F2-12</v>
      </c>
      <c r="FW121" s="6" t="str">
        <f t="shared" ca="1" si="71"/>
        <v/>
      </c>
      <c r="FX121" s="6" t="str">
        <f t="shared" ca="1" si="72"/>
        <v/>
      </c>
      <c r="FY121" s="6" t="str">
        <f t="shared" ca="1" si="73"/>
        <v/>
      </c>
      <c r="FZ121" s="6" t="str">
        <f t="shared" ca="1" si="74"/>
        <v/>
      </c>
    </row>
    <row r="122" spans="1:182" ht="15.95" customHeight="1">
      <c r="A122" s="6">
        <v>200</v>
      </c>
      <c r="B122" s="6" t="s">
        <v>175</v>
      </c>
      <c r="E122" s="6" t="s">
        <v>684</v>
      </c>
      <c r="F122" s="6" t="s">
        <v>1374</v>
      </c>
      <c r="G122" s="6" t="s">
        <v>1290</v>
      </c>
      <c r="H122" s="7" t="s">
        <v>1291</v>
      </c>
      <c r="I122" s="7"/>
      <c r="J122" s="6" t="e">
        <v>#N/A</v>
      </c>
      <c r="K122" s="6" t="e">
        <v>#N/A</v>
      </c>
      <c r="N122" s="6" t="e">
        <v>#N/A</v>
      </c>
      <c r="O122" s="6" t="e">
        <v>#N/A</v>
      </c>
      <c r="R122" s="101" t="e">
        <v>#N/A</v>
      </c>
      <c r="Y122" s="6" t="e">
        <v>#N/A</v>
      </c>
      <c r="Z122" s="6" t="e">
        <v>#N/A</v>
      </c>
      <c r="AA122" s="6" t="e">
        <v>#N/A</v>
      </c>
      <c r="AD122" s="6" t="e">
        <v>#N/A</v>
      </c>
      <c r="AE122" s="6" t="e">
        <v>#N/A</v>
      </c>
      <c r="AG122" s="6" t="e">
        <v>#N/A</v>
      </c>
      <c r="AY122" s="8" t="s">
        <v>176</v>
      </c>
      <c r="AZ122" s="8" t="s">
        <v>195</v>
      </c>
      <c r="BA122" s="13" t="s">
        <v>656</v>
      </c>
      <c r="BB122" s="13" t="s">
        <v>200</v>
      </c>
      <c r="BC122" s="13">
        <v>15</v>
      </c>
      <c r="BD122" s="13">
        <v>16</v>
      </c>
      <c r="DC122" s="6" t="s">
        <v>644</v>
      </c>
      <c r="DD122" s="6" t="s">
        <v>187</v>
      </c>
      <c r="DH122" s="6" t="str">
        <f t="shared" si="68"/>
        <v>A8</v>
      </c>
      <c r="DI122" s="6" t="str">
        <f t="shared" si="69"/>
        <v>B8</v>
      </c>
      <c r="DK122" s="6" t="s">
        <v>173</v>
      </c>
      <c r="DL122" s="6" t="str">
        <f t="shared" si="70"/>
        <v/>
      </c>
      <c r="DO122" s="9" t="s">
        <v>170</v>
      </c>
      <c r="DP122" s="6" t="s">
        <v>171</v>
      </c>
      <c r="DQ122" s="6" t="s">
        <v>645</v>
      </c>
      <c r="DS122" s="6" t="str">
        <f t="shared" si="63"/>
        <v>AKB331</v>
      </c>
      <c r="DT122" s="10" t="str">
        <f t="shared" si="64"/>
        <v>FCS0111-3-5/1S–MC–127-R1-CN1</v>
      </c>
      <c r="DU122" s="6" t="str">
        <f t="shared" si="65"/>
        <v/>
      </c>
      <c r="DV122" s="19">
        <v>1</v>
      </c>
      <c r="DW122" s="20" t="str">
        <f t="shared" si="66"/>
        <v>11</v>
      </c>
      <c r="DX122" s="21">
        <v>3</v>
      </c>
      <c r="DY122" s="22">
        <v>5</v>
      </c>
      <c r="DZ122" s="23" t="s">
        <v>204</v>
      </c>
      <c r="EA122" s="23">
        <v>8</v>
      </c>
      <c r="ED122" s="9" t="str">
        <f t="shared" si="67"/>
        <v>ANB10D</v>
      </c>
      <c r="EF122" s="6" t="s">
        <v>647</v>
      </c>
      <c r="EH122" s="6" t="s">
        <v>684</v>
      </c>
      <c r="EI122" s="6" t="s">
        <v>1051</v>
      </c>
      <c r="EJ122" s="12">
        <v>9</v>
      </c>
      <c r="EK122" s="12"/>
      <c r="EM122" s="12"/>
      <c r="EN122" s="25" t="s">
        <v>1121</v>
      </c>
      <c r="EP122" s="6" t="s">
        <v>1153</v>
      </c>
      <c r="ER122" s="6" t="str">
        <f>MID(EH122,3,8)</f>
        <v>P4006</v>
      </c>
      <c r="ET122" s="6" t="str">
        <f t="shared" si="40"/>
        <v>짝수</v>
      </c>
      <c r="EU122" s="12">
        <v>36</v>
      </c>
      <c r="EV122" s="45" t="str">
        <f t="shared" ca="1" si="49"/>
        <v>A</v>
      </c>
      <c r="EW122" s="6">
        <f t="shared" ca="1" si="41"/>
        <v>65</v>
      </c>
      <c r="FR122" s="6">
        <v>1</v>
      </c>
      <c r="FS122" s="6" t="str">
        <f t="shared" si="42"/>
        <v/>
      </c>
      <c r="FT122" s="6">
        <f t="shared" si="43"/>
        <v>1</v>
      </c>
      <c r="FU122" s="6" t="str">
        <f t="shared" ca="1" si="50"/>
        <v/>
      </c>
      <c r="FV122" s="6" t="str">
        <f t="shared" ca="1" si="44"/>
        <v/>
      </c>
      <c r="FW122" s="6" t="str">
        <f t="shared" ca="1" si="71"/>
        <v>R1-11</v>
      </c>
      <c r="FX122" s="6" t="str">
        <f t="shared" ca="1" si="72"/>
        <v>R1-12</v>
      </c>
      <c r="FY122" s="6" t="str">
        <f t="shared" ca="1" si="73"/>
        <v>R1-21</v>
      </c>
      <c r="FZ122" s="6" t="str">
        <f t="shared" ca="1" si="74"/>
        <v>R1-22</v>
      </c>
    </row>
    <row r="123" spans="1:182" ht="15.95" customHeight="1">
      <c r="A123" s="6">
        <v>201</v>
      </c>
      <c r="B123" s="6" t="s">
        <v>175</v>
      </c>
      <c r="E123" s="6" t="s">
        <v>686</v>
      </c>
      <c r="F123" s="6" t="s">
        <v>1375</v>
      </c>
      <c r="G123" s="6" t="s">
        <v>1290</v>
      </c>
      <c r="H123" s="7" t="s">
        <v>1291</v>
      </c>
      <c r="I123" s="7"/>
      <c r="J123" s="6" t="e">
        <v>#N/A</v>
      </c>
      <c r="K123" s="6" t="e">
        <v>#N/A</v>
      </c>
      <c r="N123" s="6" t="e">
        <v>#N/A</v>
      </c>
      <c r="O123" s="6" t="e">
        <v>#N/A</v>
      </c>
      <c r="R123" s="101" t="e">
        <v>#N/A</v>
      </c>
      <c r="Y123" s="6" t="e">
        <v>#N/A</v>
      </c>
      <c r="Z123" s="6" t="e">
        <v>#N/A</v>
      </c>
      <c r="AA123" s="6" t="e">
        <v>#N/A</v>
      </c>
      <c r="AD123" s="6" t="e">
        <v>#N/A</v>
      </c>
      <c r="AE123" s="6" t="e">
        <v>#N/A</v>
      </c>
      <c r="AG123" s="6" t="e">
        <v>#N/A</v>
      </c>
      <c r="AY123" s="8" t="s">
        <v>176</v>
      </c>
      <c r="AZ123" s="8" t="s">
        <v>195</v>
      </c>
      <c r="BA123" s="13" t="s">
        <v>656</v>
      </c>
      <c r="BB123" s="13" t="s">
        <v>200</v>
      </c>
      <c r="BC123" s="13">
        <v>17</v>
      </c>
      <c r="BD123" s="13">
        <v>18</v>
      </c>
      <c r="DC123" s="6" t="s">
        <v>644</v>
      </c>
      <c r="DD123" s="6" t="s">
        <v>187</v>
      </c>
      <c r="DH123" s="6" t="str">
        <f>"A"&amp;EA123</f>
        <v>A9</v>
      </c>
      <c r="DI123" s="6" t="str">
        <f>"B"&amp;EA123</f>
        <v>B9</v>
      </c>
      <c r="DK123" s="6" t="s">
        <v>173</v>
      </c>
      <c r="DL123" s="6" t="str">
        <f>IF(DZ123&lt;&gt;"","CN2","")</f>
        <v/>
      </c>
      <c r="DO123" s="9" t="s">
        <v>170</v>
      </c>
      <c r="DP123" s="6" t="s">
        <v>171</v>
      </c>
      <c r="DQ123" s="6" t="s">
        <v>645</v>
      </c>
      <c r="DS123" s="6" t="str">
        <f>IF(MID(EF123,2,1)="A","KS1","AKB331")</f>
        <v>AKB331</v>
      </c>
      <c r="DT123" s="10" t="str">
        <f>DQ123&amp;"-"&amp;DX123&amp;"-"&amp;DY123&amp;"/"&amp;BA123&amp;"-"&amp;DD123&amp;"-"&amp;DK123</f>
        <v>FCS0111-3-5/1S–MC–127-R1-CN1</v>
      </c>
      <c r="DU123" s="6" t="str">
        <f>IF(DL123="","",DQ123&amp;"-"&amp;DX123&amp;"-"&amp;DY123&amp;"/"&amp;BA123&amp;"-"&amp;DD123&amp;"-"&amp;DL123)</f>
        <v/>
      </c>
      <c r="DV123" s="19">
        <v>1</v>
      </c>
      <c r="DW123" s="20" t="str">
        <f>RIGHT(DQ123,2)</f>
        <v>11</v>
      </c>
      <c r="DX123" s="21">
        <v>3</v>
      </c>
      <c r="DY123" s="22">
        <v>5</v>
      </c>
      <c r="DZ123" s="23" t="s">
        <v>204</v>
      </c>
      <c r="EA123" s="23">
        <v>9</v>
      </c>
      <c r="ED123" s="9" t="str">
        <f>IF(DX123="1","AFV30D","ANB10D")</f>
        <v>ANB10D</v>
      </c>
      <c r="EF123" s="6" t="s">
        <v>647</v>
      </c>
      <c r="EH123" s="6" t="s">
        <v>686</v>
      </c>
      <c r="EI123" s="6" t="s">
        <v>1051</v>
      </c>
      <c r="EJ123" s="12">
        <v>9</v>
      </c>
      <c r="EK123" s="12"/>
      <c r="EM123" s="12"/>
      <c r="EN123" s="25" t="s">
        <v>1121</v>
      </c>
      <c r="ET123" s="6" t="str">
        <f t="shared" si="40"/>
        <v>짝수</v>
      </c>
      <c r="EU123" s="12">
        <v>36</v>
      </c>
      <c r="EV123" s="45" t="str">
        <f t="shared" ca="1" si="49"/>
        <v>B</v>
      </c>
      <c r="EW123" s="6">
        <f t="shared" ca="1" si="41"/>
        <v>66</v>
      </c>
      <c r="FA123" s="6" t="str">
        <f>ER122&amp;"INT"</f>
        <v>P4006INT</v>
      </c>
      <c r="FR123" s="6">
        <v>1</v>
      </c>
      <c r="FS123" s="6" t="str">
        <f t="shared" si="42"/>
        <v/>
      </c>
      <c r="FT123" s="6">
        <f t="shared" si="43"/>
        <v>1</v>
      </c>
      <c r="FU123" s="6" t="str">
        <f t="shared" ca="1" si="50"/>
        <v/>
      </c>
      <c r="FV123" s="6" t="str">
        <f t="shared" ca="1" si="44"/>
        <v/>
      </c>
      <c r="FW123" s="6" t="str">
        <f t="shared" ca="1" si="71"/>
        <v>R1-11</v>
      </c>
      <c r="FX123" s="6" t="str">
        <f t="shared" ca="1" si="72"/>
        <v>R1-12</v>
      </c>
      <c r="FY123" s="6" t="str">
        <f t="shared" ca="1" si="73"/>
        <v>R1-21</v>
      </c>
      <c r="FZ123" s="6" t="str">
        <f t="shared" ca="1" si="74"/>
        <v>R1-22</v>
      </c>
    </row>
    <row r="124" spans="1:182" ht="15.95" customHeight="1">
      <c r="A124" s="6">
        <v>265</v>
      </c>
      <c r="B124" s="6" t="s">
        <v>175</v>
      </c>
      <c r="E124" s="6" t="s">
        <v>728</v>
      </c>
      <c r="F124" s="6" t="s">
        <v>1376</v>
      </c>
      <c r="G124" s="6" t="s">
        <v>1290</v>
      </c>
      <c r="H124" s="7" t="s">
        <v>1291</v>
      </c>
      <c r="I124" s="7"/>
      <c r="J124" s="6" t="e">
        <v>#N/A</v>
      </c>
      <c r="K124" s="6" t="e">
        <v>#N/A</v>
      </c>
      <c r="N124" s="6" t="e">
        <v>#N/A</v>
      </c>
      <c r="O124" s="6" t="e">
        <v>#N/A</v>
      </c>
      <c r="R124" s="101" t="e">
        <v>#N/A</v>
      </c>
      <c r="Y124" s="6" t="e">
        <v>#N/A</v>
      </c>
      <c r="Z124" s="6" t="e">
        <v>#N/A</v>
      </c>
      <c r="AA124" s="6" t="e">
        <v>#N/A</v>
      </c>
      <c r="AD124" s="6" t="e">
        <v>#N/A</v>
      </c>
      <c r="AE124" s="6" t="e">
        <v>#N/A</v>
      </c>
      <c r="AG124" s="6" t="e">
        <v>#N/A</v>
      </c>
      <c r="AY124" s="8" t="s">
        <v>176</v>
      </c>
      <c r="AZ124" s="8" t="s">
        <v>195</v>
      </c>
      <c r="BA124" s="13" t="s">
        <v>656</v>
      </c>
      <c r="BB124" s="13" t="s">
        <v>7</v>
      </c>
      <c r="BC124" s="13">
        <v>37</v>
      </c>
      <c r="BD124" s="13">
        <v>38</v>
      </c>
      <c r="DC124" s="6" t="s">
        <v>723</v>
      </c>
      <c r="DD124" s="6" t="s">
        <v>201</v>
      </c>
      <c r="DH124" s="6" t="str">
        <f>"A"&amp;EA124</f>
        <v>A9</v>
      </c>
      <c r="DI124" s="6" t="str">
        <f>"B"&amp;EA124</f>
        <v>B9</v>
      </c>
      <c r="DK124" s="6" t="s">
        <v>173</v>
      </c>
      <c r="DL124" s="6" t="str">
        <f>IF(DZ124&lt;&gt;"","CN2","")</f>
        <v>CN2</v>
      </c>
      <c r="DO124" s="9" t="s">
        <v>170</v>
      </c>
      <c r="DP124" s="6" t="s">
        <v>171</v>
      </c>
      <c r="DQ124" s="6" t="s">
        <v>645</v>
      </c>
      <c r="DS124" s="6" t="str">
        <f>IF(MID(EF124,2,1)="A","KS1","AKB331")</f>
        <v>AKB331</v>
      </c>
      <c r="DT124" s="10" t="str">
        <f>DQ124&amp;"-"&amp;DX124&amp;"-"&amp;DY124&amp;"/"&amp;BA124&amp;"-"&amp;DD124&amp;"-"&amp;DK124</f>
        <v>FCS0111-3-7/1S–MC–127-F2-CN1</v>
      </c>
      <c r="DU124" s="6" t="str">
        <f>IF(DL124="","",DQ124&amp;"-"&amp;DX124&amp;"-"&amp;DY124&amp;"/"&amp;BA124&amp;"-"&amp;DD124&amp;"-"&amp;DL124)</f>
        <v>FCS0111-3-7/1S–MC–127-F2-CN2</v>
      </c>
      <c r="DV124" s="19">
        <v>1</v>
      </c>
      <c r="DW124" s="20" t="str">
        <f>RIGHT(DQ124,2)</f>
        <v>11</v>
      </c>
      <c r="DX124" s="21">
        <v>3</v>
      </c>
      <c r="DY124" s="22">
        <v>7</v>
      </c>
      <c r="DZ124" s="23">
        <v>8</v>
      </c>
      <c r="EA124" s="23">
        <v>9</v>
      </c>
      <c r="ED124" s="9" t="str">
        <f>IF(DX124="1","AFV30D","ANB10D")</f>
        <v>ANB10D</v>
      </c>
      <c r="EF124" s="6" t="s">
        <v>672</v>
      </c>
      <c r="EH124" s="6" t="s">
        <v>728</v>
      </c>
      <c r="EI124" s="6" t="s">
        <v>1051</v>
      </c>
      <c r="EJ124" s="12">
        <v>9</v>
      </c>
      <c r="EK124" s="12"/>
      <c r="EM124" s="12"/>
      <c r="EN124" s="25" t="s">
        <v>1121</v>
      </c>
      <c r="ET124" s="6" t="str">
        <f t="shared" si="40"/>
        <v>짝수</v>
      </c>
      <c r="EU124" s="12">
        <v>36</v>
      </c>
      <c r="EV124" s="45" t="str">
        <f t="shared" ca="1" si="49"/>
        <v>C</v>
      </c>
      <c r="EW124" s="6">
        <f t="shared" ca="1" si="41"/>
        <v>67</v>
      </c>
      <c r="FR124" s="6">
        <v>1</v>
      </c>
      <c r="FS124" s="6">
        <f t="shared" si="42"/>
        <v>1</v>
      </c>
      <c r="FT124" s="6" t="str">
        <f t="shared" si="43"/>
        <v/>
      </c>
      <c r="FU124" s="6" t="str">
        <f t="shared" ca="1" si="50"/>
        <v>F2-11</v>
      </c>
      <c r="FV124" s="6" t="str">
        <f t="shared" ca="1" si="44"/>
        <v>F2-12</v>
      </c>
      <c r="FW124" s="6" t="str">
        <f t="shared" ca="1" si="71"/>
        <v/>
      </c>
      <c r="FX124" s="6" t="str">
        <f t="shared" ca="1" si="72"/>
        <v/>
      </c>
      <c r="FY124" s="6" t="str">
        <f t="shared" ca="1" si="73"/>
        <v/>
      </c>
      <c r="FZ124" s="6" t="str">
        <f t="shared" ca="1" si="74"/>
        <v/>
      </c>
    </row>
    <row r="125" spans="1:182" ht="15.95" customHeight="1">
      <c r="A125" s="6">
        <v>264</v>
      </c>
      <c r="B125" s="6" t="s">
        <v>175</v>
      </c>
      <c r="E125" s="6" t="s">
        <v>727</v>
      </c>
      <c r="F125" s="6" t="s">
        <v>1377</v>
      </c>
      <c r="G125" s="6" t="s">
        <v>1290</v>
      </c>
      <c r="H125" s="7" t="s">
        <v>1291</v>
      </c>
      <c r="I125" s="7"/>
      <c r="J125" s="6" t="e">
        <v>#N/A</v>
      </c>
      <c r="K125" s="6" t="e">
        <v>#N/A</v>
      </c>
      <c r="N125" s="6" t="e">
        <v>#N/A</v>
      </c>
      <c r="O125" s="6" t="e">
        <v>#N/A</v>
      </c>
      <c r="R125" s="101" t="e">
        <v>#N/A</v>
      </c>
      <c r="Y125" s="6" t="e">
        <v>#N/A</v>
      </c>
      <c r="Z125" s="6" t="e">
        <v>#N/A</v>
      </c>
      <c r="AA125" s="6" t="e">
        <v>#N/A</v>
      </c>
      <c r="AD125" s="6" t="e">
        <v>#N/A</v>
      </c>
      <c r="AE125" s="6" t="e">
        <v>#N/A</v>
      </c>
      <c r="AG125" s="6" t="e">
        <v>#N/A</v>
      </c>
      <c r="AY125" s="8" t="s">
        <v>176</v>
      </c>
      <c r="AZ125" s="8" t="s">
        <v>195</v>
      </c>
      <c r="BA125" s="13" t="s">
        <v>656</v>
      </c>
      <c r="BB125" s="13" t="s">
        <v>7</v>
      </c>
      <c r="BC125" s="13">
        <v>35</v>
      </c>
      <c r="BD125" s="13">
        <v>36</v>
      </c>
      <c r="DC125" s="6" t="s">
        <v>723</v>
      </c>
      <c r="DD125" s="6" t="s">
        <v>201</v>
      </c>
      <c r="DH125" s="6" t="str">
        <f>"A"&amp;EA125</f>
        <v>A8</v>
      </c>
      <c r="DI125" s="6" t="str">
        <f>"B"&amp;EA125</f>
        <v>B8</v>
      </c>
      <c r="DK125" s="6" t="s">
        <v>173</v>
      </c>
      <c r="DL125" s="6" t="str">
        <f>IF(DZ125&lt;&gt;"","CN2","")</f>
        <v>CN2</v>
      </c>
      <c r="DO125" s="9" t="s">
        <v>170</v>
      </c>
      <c r="DP125" s="6" t="s">
        <v>171</v>
      </c>
      <c r="DQ125" s="6" t="s">
        <v>645</v>
      </c>
      <c r="DS125" s="6" t="str">
        <f>IF(MID(EF125,2,1)="A","KS1","AKB331")</f>
        <v>AKB331</v>
      </c>
      <c r="DT125" s="10" t="str">
        <f>DQ125&amp;"-"&amp;DX125&amp;"-"&amp;DY125&amp;"/"&amp;BA125&amp;"-"&amp;DD125&amp;"-"&amp;DK125</f>
        <v>FCS0111-3-7/1S–MC–127-F2-CN1</v>
      </c>
      <c r="DU125" s="6" t="str">
        <f>IF(DL125="","",DQ125&amp;"-"&amp;DX125&amp;"-"&amp;DY125&amp;"/"&amp;BA125&amp;"-"&amp;DD125&amp;"-"&amp;DL125)</f>
        <v>FCS0111-3-7/1S–MC–127-F2-CN2</v>
      </c>
      <c r="DV125" s="19">
        <v>1</v>
      </c>
      <c r="DW125" s="20" t="str">
        <f>RIGHT(DQ125,2)</f>
        <v>11</v>
      </c>
      <c r="DX125" s="21">
        <v>3</v>
      </c>
      <c r="DY125" s="22">
        <v>7</v>
      </c>
      <c r="DZ125" s="23">
        <v>8</v>
      </c>
      <c r="EA125" s="23">
        <v>8</v>
      </c>
      <c r="ED125" s="9" t="str">
        <f>IF(DX125="1","AFV30D","ANB10D")</f>
        <v>ANB10D</v>
      </c>
      <c r="EF125" s="6" t="s">
        <v>672</v>
      </c>
      <c r="EH125" s="6" t="s">
        <v>727</v>
      </c>
      <c r="EI125" s="6" t="s">
        <v>1051</v>
      </c>
      <c r="EJ125" s="12">
        <v>9</v>
      </c>
      <c r="EK125" s="12"/>
      <c r="EM125" s="12"/>
      <c r="EN125" s="25" t="s">
        <v>1121</v>
      </c>
      <c r="ET125" s="6" t="str">
        <f t="shared" si="40"/>
        <v>짝수</v>
      </c>
      <c r="EU125" s="12">
        <v>36</v>
      </c>
      <c r="EV125" s="45" t="str">
        <f t="shared" ca="1" si="49"/>
        <v>D</v>
      </c>
      <c r="EW125" s="6">
        <f t="shared" ca="1" si="41"/>
        <v>68</v>
      </c>
      <c r="FR125" s="6">
        <v>1</v>
      </c>
      <c r="FS125" s="6">
        <f t="shared" si="42"/>
        <v>1</v>
      </c>
      <c r="FT125" s="6" t="str">
        <f t="shared" si="43"/>
        <v/>
      </c>
      <c r="FU125" s="6" t="str">
        <f t="shared" ca="1" si="50"/>
        <v>F2-11</v>
      </c>
      <c r="FV125" s="6" t="str">
        <f t="shared" ca="1" si="44"/>
        <v>F2-12</v>
      </c>
      <c r="FW125" s="6" t="str">
        <f t="shared" ca="1" si="71"/>
        <v/>
      </c>
      <c r="FX125" s="6" t="str">
        <f t="shared" ca="1" si="72"/>
        <v/>
      </c>
      <c r="FY125" s="6" t="str">
        <f t="shared" ca="1" si="73"/>
        <v/>
      </c>
      <c r="FZ125" s="6" t="str">
        <f t="shared" ca="1" si="74"/>
        <v/>
      </c>
    </row>
    <row r="126" spans="1:182" ht="15.95" customHeight="1">
      <c r="A126" s="6">
        <v>203</v>
      </c>
      <c r="B126" s="6" t="s">
        <v>175</v>
      </c>
      <c r="E126" s="6" t="s">
        <v>687</v>
      </c>
      <c r="F126" s="6" t="s">
        <v>1378</v>
      </c>
      <c r="G126" s="6" t="s">
        <v>1290</v>
      </c>
      <c r="H126" s="7" t="s">
        <v>1291</v>
      </c>
      <c r="I126" s="7"/>
      <c r="J126" s="6" t="e">
        <v>#N/A</v>
      </c>
      <c r="K126" s="6" t="e">
        <v>#N/A</v>
      </c>
      <c r="N126" s="6" t="e">
        <v>#N/A</v>
      </c>
      <c r="O126" s="6" t="e">
        <v>#N/A</v>
      </c>
      <c r="R126" s="101" t="e">
        <v>#N/A</v>
      </c>
      <c r="Y126" s="6" t="e">
        <v>#N/A</v>
      </c>
      <c r="Z126" s="6" t="e">
        <v>#N/A</v>
      </c>
      <c r="AA126" s="6" t="e">
        <v>#N/A</v>
      </c>
      <c r="AD126" s="6" t="e">
        <v>#N/A</v>
      </c>
      <c r="AE126" s="6" t="e">
        <v>#N/A</v>
      </c>
      <c r="AG126" s="6" t="e">
        <v>#N/A</v>
      </c>
      <c r="AY126" s="8" t="s">
        <v>176</v>
      </c>
      <c r="AZ126" s="8" t="s">
        <v>195</v>
      </c>
      <c r="BA126" s="13" t="s">
        <v>656</v>
      </c>
      <c r="BB126" s="13" t="s">
        <v>200</v>
      </c>
      <c r="BC126" s="13">
        <v>21</v>
      </c>
      <c r="BD126" s="13">
        <v>22</v>
      </c>
      <c r="DC126" s="6" t="s">
        <v>644</v>
      </c>
      <c r="DD126" s="6" t="s">
        <v>187</v>
      </c>
      <c r="DH126" s="6" t="str">
        <f t="shared" si="68"/>
        <v>A11</v>
      </c>
      <c r="DI126" s="6" t="str">
        <f t="shared" si="69"/>
        <v>B11</v>
      </c>
      <c r="DK126" s="6" t="s">
        <v>173</v>
      </c>
      <c r="DL126" s="6" t="str">
        <f t="shared" si="70"/>
        <v/>
      </c>
      <c r="DO126" s="9" t="s">
        <v>170</v>
      </c>
      <c r="DP126" s="6" t="s">
        <v>171</v>
      </c>
      <c r="DQ126" s="6" t="s">
        <v>645</v>
      </c>
      <c r="DS126" s="6" t="str">
        <f t="shared" si="63"/>
        <v>AKB331</v>
      </c>
      <c r="DT126" s="10" t="str">
        <f t="shared" si="64"/>
        <v>FCS0111-3-5/1S–MC–127-R1-CN1</v>
      </c>
      <c r="DU126" s="6" t="str">
        <f t="shared" si="65"/>
        <v/>
      </c>
      <c r="DV126" s="19">
        <v>1</v>
      </c>
      <c r="DW126" s="20" t="str">
        <f t="shared" si="66"/>
        <v>11</v>
      </c>
      <c r="DX126" s="21">
        <v>3</v>
      </c>
      <c r="DY126" s="22">
        <v>5</v>
      </c>
      <c r="DZ126" s="23" t="s">
        <v>204</v>
      </c>
      <c r="EA126" s="23">
        <v>11</v>
      </c>
      <c r="ED126" s="9" t="str">
        <f t="shared" si="67"/>
        <v>ANB10D</v>
      </c>
      <c r="EF126" s="6" t="s">
        <v>647</v>
      </c>
      <c r="EH126" s="6" t="s">
        <v>687</v>
      </c>
      <c r="EI126" s="6" t="s">
        <v>1051</v>
      </c>
      <c r="EJ126" s="12">
        <v>12</v>
      </c>
      <c r="EK126" s="12"/>
      <c r="EM126" s="12"/>
      <c r="EN126" s="12" t="s">
        <v>1121</v>
      </c>
      <c r="EP126" s="6" t="s">
        <v>1154</v>
      </c>
      <c r="ER126" s="6" t="str">
        <f>MID(EH126,3,6)</f>
        <v>P4007A</v>
      </c>
      <c r="ET126" s="6" t="str">
        <f t="shared" si="40"/>
        <v>홀수</v>
      </c>
      <c r="EU126" s="12">
        <v>37</v>
      </c>
      <c r="EV126" s="45" t="str">
        <f t="shared" ca="1" si="49"/>
        <v>A</v>
      </c>
      <c r="EW126" s="6">
        <f t="shared" ca="1" si="41"/>
        <v>65</v>
      </c>
      <c r="EZ126" s="6" t="str">
        <f>ER126&amp;"INT"</f>
        <v>P4007AINT</v>
      </c>
      <c r="FA126" s="6" t="str">
        <f>ER126&amp;"INT"</f>
        <v>P4007AINT</v>
      </c>
      <c r="FR126" s="6">
        <v>1</v>
      </c>
      <c r="FS126" s="6" t="str">
        <f t="shared" si="42"/>
        <v/>
      </c>
      <c r="FT126" s="6">
        <f t="shared" si="43"/>
        <v>1</v>
      </c>
      <c r="FU126" s="6" t="str">
        <f t="shared" ca="1" si="50"/>
        <v/>
      </c>
      <c r="FV126" s="6" t="str">
        <f t="shared" ca="1" si="44"/>
        <v/>
      </c>
      <c r="FW126" s="6" t="str">
        <f t="shared" ca="1" si="71"/>
        <v>R1-11</v>
      </c>
      <c r="FX126" s="6" t="str">
        <f t="shared" ca="1" si="72"/>
        <v>R1-12</v>
      </c>
      <c r="FY126" s="6" t="str">
        <f t="shared" ca="1" si="73"/>
        <v>R1-21</v>
      </c>
      <c r="FZ126" s="6" t="str">
        <f t="shared" ca="1" si="74"/>
        <v>R1-22</v>
      </c>
    </row>
    <row r="127" spans="1:182" ht="15.95" customHeight="1">
      <c r="A127" s="6">
        <v>267</v>
      </c>
      <c r="B127" s="6" t="s">
        <v>175</v>
      </c>
      <c r="E127" s="6" t="s">
        <v>729</v>
      </c>
      <c r="F127" s="6" t="s">
        <v>1379</v>
      </c>
      <c r="G127" s="6" t="s">
        <v>1290</v>
      </c>
      <c r="H127" s="7" t="s">
        <v>1291</v>
      </c>
      <c r="I127" s="7"/>
      <c r="J127" s="6" t="e">
        <v>#N/A</v>
      </c>
      <c r="K127" s="6" t="e">
        <v>#N/A</v>
      </c>
      <c r="N127" s="6" t="e">
        <v>#N/A</v>
      </c>
      <c r="O127" s="6" t="e">
        <v>#N/A</v>
      </c>
      <c r="R127" s="101" t="e">
        <v>#N/A</v>
      </c>
      <c r="Y127" s="6" t="e">
        <v>#N/A</v>
      </c>
      <c r="Z127" s="6" t="e">
        <v>#N/A</v>
      </c>
      <c r="AA127" s="6" t="e">
        <v>#N/A</v>
      </c>
      <c r="AD127" s="6" t="e">
        <v>#N/A</v>
      </c>
      <c r="AE127" s="6" t="e">
        <v>#N/A</v>
      </c>
      <c r="AG127" s="6" t="e">
        <v>#N/A</v>
      </c>
      <c r="AY127" s="8" t="s">
        <v>176</v>
      </c>
      <c r="AZ127" s="8" t="s">
        <v>195</v>
      </c>
      <c r="BA127" s="13" t="s">
        <v>656</v>
      </c>
      <c r="BB127" s="13" t="s">
        <v>7</v>
      </c>
      <c r="BC127" s="13">
        <v>41</v>
      </c>
      <c r="BD127" s="13">
        <v>42</v>
      </c>
      <c r="DC127" s="6" t="s">
        <v>723</v>
      </c>
      <c r="DD127" s="6" t="s">
        <v>201</v>
      </c>
      <c r="DH127" s="6" t="str">
        <f>"A"&amp;EA127</f>
        <v>A11</v>
      </c>
      <c r="DI127" s="6" t="str">
        <f>"B"&amp;EA127</f>
        <v>B11</v>
      </c>
      <c r="DK127" s="6" t="s">
        <v>173</v>
      </c>
      <c r="DL127" s="6" t="str">
        <f>IF(DZ127&lt;&gt;"","CN2","")</f>
        <v>CN2</v>
      </c>
      <c r="DO127" s="9" t="s">
        <v>170</v>
      </c>
      <c r="DP127" s="6" t="s">
        <v>171</v>
      </c>
      <c r="DQ127" s="6" t="s">
        <v>645</v>
      </c>
      <c r="DS127" s="6" t="str">
        <f>IF(MID(EF127,2,1)="A","KS1","AKB331")</f>
        <v>AKB331</v>
      </c>
      <c r="DT127" s="10" t="str">
        <f>DQ127&amp;"-"&amp;DX127&amp;"-"&amp;DY127&amp;"/"&amp;BA127&amp;"-"&amp;DD127&amp;"-"&amp;DK127</f>
        <v>FCS0111-3-7/1S–MC–127-F2-CN1</v>
      </c>
      <c r="DU127" s="6" t="str">
        <f>IF(DL127="","",DQ127&amp;"-"&amp;DX127&amp;"-"&amp;DY127&amp;"/"&amp;BA127&amp;"-"&amp;DD127&amp;"-"&amp;DL127)</f>
        <v>FCS0111-3-7/1S–MC–127-F2-CN2</v>
      </c>
      <c r="DV127" s="19">
        <v>1</v>
      </c>
      <c r="DW127" s="20" t="str">
        <f>RIGHT(DQ127,2)</f>
        <v>11</v>
      </c>
      <c r="DX127" s="21">
        <v>3</v>
      </c>
      <c r="DY127" s="22">
        <v>7</v>
      </c>
      <c r="DZ127" s="23">
        <v>8</v>
      </c>
      <c r="EA127" s="23">
        <v>11</v>
      </c>
      <c r="ED127" s="9" t="str">
        <f>IF(DX127="1","AFV30D","ANB10D")</f>
        <v>ANB10D</v>
      </c>
      <c r="EF127" s="6" t="s">
        <v>672</v>
      </c>
      <c r="EH127" s="6" t="s">
        <v>729</v>
      </c>
      <c r="EI127" s="6" t="s">
        <v>1051</v>
      </c>
      <c r="EJ127" s="12">
        <v>12</v>
      </c>
      <c r="EK127" s="12"/>
      <c r="EM127" s="12"/>
      <c r="EN127" s="12" t="s">
        <v>1121</v>
      </c>
      <c r="ET127" s="6" t="str">
        <f t="shared" si="40"/>
        <v>홀수</v>
      </c>
      <c r="EU127" s="12">
        <v>37</v>
      </c>
      <c r="EV127" s="45" t="str">
        <f t="shared" ca="1" si="49"/>
        <v>B</v>
      </c>
      <c r="EW127" s="6">
        <f t="shared" ca="1" si="41"/>
        <v>66</v>
      </c>
      <c r="FR127" s="6">
        <v>1</v>
      </c>
      <c r="FS127" s="6">
        <f t="shared" si="42"/>
        <v>1</v>
      </c>
      <c r="FT127" s="6" t="str">
        <f t="shared" si="43"/>
        <v/>
      </c>
      <c r="FU127" s="6" t="str">
        <f t="shared" ca="1" si="50"/>
        <v>F2-11</v>
      </c>
      <c r="FV127" s="6" t="str">
        <f t="shared" ca="1" si="44"/>
        <v>F2-12</v>
      </c>
      <c r="FW127" s="6" t="str">
        <f t="shared" ca="1" si="71"/>
        <v/>
      </c>
      <c r="FX127" s="6" t="str">
        <f t="shared" ca="1" si="72"/>
        <v/>
      </c>
      <c r="FY127" s="6" t="str">
        <f t="shared" ca="1" si="73"/>
        <v/>
      </c>
      <c r="FZ127" s="6" t="str">
        <f t="shared" ca="1" si="74"/>
        <v/>
      </c>
    </row>
    <row r="128" spans="1:182" ht="15.95" customHeight="1">
      <c r="A128" s="6">
        <v>205</v>
      </c>
      <c r="B128" s="6" t="s">
        <v>175</v>
      </c>
      <c r="E128" s="6" t="s">
        <v>688</v>
      </c>
      <c r="F128" s="6" t="s">
        <v>1380</v>
      </c>
      <c r="G128" s="6" t="s">
        <v>1290</v>
      </c>
      <c r="H128" s="7" t="s">
        <v>1291</v>
      </c>
      <c r="I128" s="7"/>
      <c r="J128" s="6" t="e">
        <v>#N/A</v>
      </c>
      <c r="K128" s="6" t="e">
        <v>#N/A</v>
      </c>
      <c r="N128" s="6" t="e">
        <v>#N/A</v>
      </c>
      <c r="O128" s="6" t="e">
        <v>#N/A</v>
      </c>
      <c r="R128" s="101" t="e">
        <v>#N/A</v>
      </c>
      <c r="Y128" s="6" t="e">
        <v>#N/A</v>
      </c>
      <c r="Z128" s="6" t="e">
        <v>#N/A</v>
      </c>
      <c r="AA128" s="6" t="e">
        <v>#N/A</v>
      </c>
      <c r="AD128" s="6" t="e">
        <v>#N/A</v>
      </c>
      <c r="AE128" s="6" t="e">
        <v>#N/A</v>
      </c>
      <c r="AG128" s="6" t="e">
        <v>#N/A</v>
      </c>
      <c r="AY128" s="8" t="s">
        <v>176</v>
      </c>
      <c r="AZ128" s="8" t="s">
        <v>195</v>
      </c>
      <c r="BA128" s="13" t="s">
        <v>656</v>
      </c>
      <c r="BB128" s="13" t="s">
        <v>200</v>
      </c>
      <c r="BC128" s="13">
        <v>25</v>
      </c>
      <c r="BD128" s="13">
        <v>26</v>
      </c>
      <c r="DC128" s="6" t="s">
        <v>644</v>
      </c>
      <c r="DD128" s="6" t="s">
        <v>187</v>
      </c>
      <c r="DH128" s="6" t="str">
        <f t="shared" si="68"/>
        <v>A13</v>
      </c>
      <c r="DI128" s="6" t="str">
        <f t="shared" si="69"/>
        <v>B13</v>
      </c>
      <c r="DK128" s="6" t="s">
        <v>173</v>
      </c>
      <c r="DL128" s="6" t="str">
        <f t="shared" si="70"/>
        <v/>
      </c>
      <c r="DO128" s="9" t="s">
        <v>170</v>
      </c>
      <c r="DP128" s="6" t="s">
        <v>171</v>
      </c>
      <c r="DQ128" s="6" t="s">
        <v>645</v>
      </c>
      <c r="DS128" s="6" t="str">
        <f t="shared" si="63"/>
        <v>AKB331</v>
      </c>
      <c r="DT128" s="10" t="str">
        <f t="shared" si="64"/>
        <v>FCS0111-3-5/1S–MC–127-R1-CN1</v>
      </c>
      <c r="DU128" s="6" t="str">
        <f t="shared" si="65"/>
        <v/>
      </c>
      <c r="DV128" s="19">
        <v>1</v>
      </c>
      <c r="DW128" s="20" t="str">
        <f t="shared" si="66"/>
        <v>11</v>
      </c>
      <c r="DX128" s="21">
        <v>3</v>
      </c>
      <c r="DY128" s="22">
        <v>5</v>
      </c>
      <c r="DZ128" s="23" t="s">
        <v>204</v>
      </c>
      <c r="EA128" s="23">
        <v>13</v>
      </c>
      <c r="ED128" s="9" t="str">
        <f t="shared" si="67"/>
        <v>ANB10D</v>
      </c>
      <c r="EF128" s="6" t="s">
        <v>647</v>
      </c>
      <c r="EH128" s="6" t="s">
        <v>688</v>
      </c>
      <c r="EI128" s="6" t="s">
        <v>1051</v>
      </c>
      <c r="EJ128" s="12">
        <v>12</v>
      </c>
      <c r="EK128" s="12"/>
      <c r="EM128" s="12"/>
      <c r="EN128" s="12" t="s">
        <v>1121</v>
      </c>
      <c r="EP128" s="6" t="s">
        <v>1154</v>
      </c>
      <c r="ER128" s="6" t="str">
        <f>MID(EH128,3,6)</f>
        <v>P4007B</v>
      </c>
      <c r="ET128" s="6" t="str">
        <f t="shared" si="40"/>
        <v>홀수</v>
      </c>
      <c r="EU128" s="12">
        <v>37</v>
      </c>
      <c r="EV128" s="45" t="str">
        <f t="shared" ca="1" si="49"/>
        <v>C</v>
      </c>
      <c r="EW128" s="6">
        <f t="shared" ca="1" si="41"/>
        <v>67</v>
      </c>
      <c r="EZ128" s="6" t="str">
        <f>ER128&amp;"INT"</f>
        <v>P4007BINT</v>
      </c>
      <c r="FA128" s="6" t="str">
        <f>ER128&amp;"INT"</f>
        <v>P4007BINT</v>
      </c>
      <c r="FR128" s="6">
        <v>1</v>
      </c>
      <c r="FS128" s="6" t="str">
        <f t="shared" si="42"/>
        <v/>
      </c>
      <c r="FT128" s="6">
        <f t="shared" si="43"/>
        <v>1</v>
      </c>
      <c r="FU128" s="6" t="str">
        <f t="shared" ca="1" si="50"/>
        <v/>
      </c>
      <c r="FV128" s="6" t="str">
        <f t="shared" ca="1" si="44"/>
        <v/>
      </c>
      <c r="FW128" s="6" t="str">
        <f t="shared" ca="1" si="71"/>
        <v>R1-11</v>
      </c>
      <c r="FX128" s="6" t="str">
        <f t="shared" ca="1" si="72"/>
        <v>R1-12</v>
      </c>
      <c r="FY128" s="6" t="str">
        <f t="shared" ca="1" si="73"/>
        <v>R1-21</v>
      </c>
      <c r="FZ128" s="6" t="str">
        <f t="shared" ca="1" si="74"/>
        <v>R1-22</v>
      </c>
    </row>
    <row r="129" spans="1:182" ht="15.95" customHeight="1">
      <c r="A129" s="6">
        <v>269</v>
      </c>
      <c r="B129" s="6" t="s">
        <v>175</v>
      </c>
      <c r="E129" s="6" t="s">
        <v>730</v>
      </c>
      <c r="F129" s="6" t="s">
        <v>1381</v>
      </c>
      <c r="G129" s="6" t="s">
        <v>1290</v>
      </c>
      <c r="H129" s="7" t="s">
        <v>1291</v>
      </c>
      <c r="I129" s="7"/>
      <c r="J129" s="6" t="e">
        <v>#N/A</v>
      </c>
      <c r="K129" s="6" t="e">
        <v>#N/A</v>
      </c>
      <c r="N129" s="6" t="e">
        <v>#N/A</v>
      </c>
      <c r="O129" s="6" t="e">
        <v>#N/A</v>
      </c>
      <c r="R129" s="101" t="e">
        <v>#N/A</v>
      </c>
      <c r="Y129" s="6" t="e">
        <v>#N/A</v>
      </c>
      <c r="Z129" s="6" t="e">
        <v>#N/A</v>
      </c>
      <c r="AA129" s="6" t="e">
        <v>#N/A</v>
      </c>
      <c r="AD129" s="6" t="e">
        <v>#N/A</v>
      </c>
      <c r="AE129" s="6" t="e">
        <v>#N/A</v>
      </c>
      <c r="AG129" s="6" t="e">
        <v>#N/A</v>
      </c>
      <c r="AY129" s="8" t="s">
        <v>176</v>
      </c>
      <c r="AZ129" s="8" t="s">
        <v>195</v>
      </c>
      <c r="BA129" s="13" t="s">
        <v>656</v>
      </c>
      <c r="BB129" s="13" t="s">
        <v>7</v>
      </c>
      <c r="BC129" s="13">
        <v>45</v>
      </c>
      <c r="BD129" s="13">
        <v>46</v>
      </c>
      <c r="DC129" s="6" t="s">
        <v>723</v>
      </c>
      <c r="DD129" s="6" t="s">
        <v>201</v>
      </c>
      <c r="DH129" s="6" t="str">
        <f>"A"&amp;EA129</f>
        <v>A13</v>
      </c>
      <c r="DI129" s="6" t="str">
        <f>"B"&amp;EA129</f>
        <v>B13</v>
      </c>
      <c r="DK129" s="6" t="s">
        <v>173</v>
      </c>
      <c r="DL129" s="6" t="str">
        <f>IF(DZ129&lt;&gt;"","CN2","")</f>
        <v>CN2</v>
      </c>
      <c r="DO129" s="9" t="s">
        <v>170</v>
      </c>
      <c r="DP129" s="6" t="s">
        <v>171</v>
      </c>
      <c r="DQ129" s="6" t="s">
        <v>645</v>
      </c>
      <c r="DS129" s="6" t="str">
        <f>IF(MID(EF129,2,1)="A","KS1","AKB331")</f>
        <v>AKB331</v>
      </c>
      <c r="DT129" s="10" t="str">
        <f>DQ129&amp;"-"&amp;DX129&amp;"-"&amp;DY129&amp;"/"&amp;BA129&amp;"-"&amp;DD129&amp;"-"&amp;DK129</f>
        <v>FCS0111-3-7/1S–MC–127-F2-CN1</v>
      </c>
      <c r="DU129" s="6" t="str">
        <f>IF(DL129="","",DQ129&amp;"-"&amp;DX129&amp;"-"&amp;DY129&amp;"/"&amp;BA129&amp;"-"&amp;DD129&amp;"-"&amp;DL129)</f>
        <v>FCS0111-3-7/1S–MC–127-F2-CN2</v>
      </c>
      <c r="DV129" s="19">
        <v>1</v>
      </c>
      <c r="DW129" s="20" t="str">
        <f>RIGHT(DQ129,2)</f>
        <v>11</v>
      </c>
      <c r="DX129" s="21">
        <v>3</v>
      </c>
      <c r="DY129" s="22">
        <v>7</v>
      </c>
      <c r="DZ129" s="23">
        <v>8</v>
      </c>
      <c r="EA129" s="23">
        <v>13</v>
      </c>
      <c r="ED129" s="9" t="str">
        <f>IF(DX129="1","AFV30D","ANB10D")</f>
        <v>ANB10D</v>
      </c>
      <c r="EF129" s="6" t="s">
        <v>672</v>
      </c>
      <c r="EH129" s="6" t="s">
        <v>730</v>
      </c>
      <c r="EI129" s="6" t="s">
        <v>1051</v>
      </c>
      <c r="EJ129" s="12">
        <v>12</v>
      </c>
      <c r="EK129" s="12"/>
      <c r="EM129" s="12"/>
      <c r="EN129" s="12" t="s">
        <v>1121</v>
      </c>
      <c r="ET129" s="6" t="str">
        <f t="shared" si="40"/>
        <v>홀수</v>
      </c>
      <c r="EU129" s="12">
        <v>37</v>
      </c>
      <c r="EV129" s="45" t="str">
        <f t="shared" ca="1" si="49"/>
        <v>D</v>
      </c>
      <c r="EW129" s="6">
        <f t="shared" ca="1" si="41"/>
        <v>68</v>
      </c>
      <c r="FR129" s="6">
        <v>1</v>
      </c>
      <c r="FS129" s="6">
        <f t="shared" si="42"/>
        <v>1</v>
      </c>
      <c r="FT129" s="6" t="str">
        <f t="shared" si="43"/>
        <v/>
      </c>
      <c r="FU129" s="6" t="str">
        <f t="shared" ca="1" si="50"/>
        <v>F2-11</v>
      </c>
      <c r="FV129" s="6" t="str">
        <f t="shared" ca="1" si="44"/>
        <v>F2-12</v>
      </c>
      <c r="FW129" s="6" t="str">
        <f t="shared" ca="1" si="71"/>
        <v/>
      </c>
      <c r="FX129" s="6" t="str">
        <f t="shared" ca="1" si="72"/>
        <v/>
      </c>
      <c r="FY129" s="6" t="str">
        <f t="shared" ca="1" si="73"/>
        <v/>
      </c>
      <c r="FZ129" s="6" t="str">
        <f t="shared" ca="1" si="74"/>
        <v/>
      </c>
    </row>
    <row r="130" spans="1:182" ht="15.95" customHeight="1">
      <c r="A130" s="6">
        <v>207</v>
      </c>
      <c r="B130" s="6" t="s">
        <v>175</v>
      </c>
      <c r="E130" s="6" t="s">
        <v>689</v>
      </c>
      <c r="F130" s="6" t="s">
        <v>1382</v>
      </c>
      <c r="G130" s="6" t="s">
        <v>1290</v>
      </c>
      <c r="H130" s="7" t="s">
        <v>1291</v>
      </c>
      <c r="I130" s="7"/>
      <c r="J130" s="6" t="e">
        <v>#N/A</v>
      </c>
      <c r="K130" s="6" t="e">
        <v>#N/A</v>
      </c>
      <c r="N130" s="6" t="e">
        <v>#N/A</v>
      </c>
      <c r="O130" s="6" t="e">
        <v>#N/A</v>
      </c>
      <c r="R130" s="101" t="e">
        <v>#N/A</v>
      </c>
      <c r="Y130" s="6" t="e">
        <v>#N/A</v>
      </c>
      <c r="Z130" s="6" t="e">
        <v>#N/A</v>
      </c>
      <c r="AA130" s="6" t="e">
        <v>#N/A</v>
      </c>
      <c r="AD130" s="6" t="e">
        <v>#N/A</v>
      </c>
      <c r="AE130" s="6" t="e">
        <v>#N/A</v>
      </c>
      <c r="AG130" s="6" t="e">
        <v>#N/A</v>
      </c>
      <c r="AY130" s="8" t="s">
        <v>176</v>
      </c>
      <c r="AZ130" s="8" t="s">
        <v>195</v>
      </c>
      <c r="BA130" s="13" t="s">
        <v>656</v>
      </c>
      <c r="BB130" s="13" t="s">
        <v>200</v>
      </c>
      <c r="BC130" s="13">
        <v>29</v>
      </c>
      <c r="BD130" s="13">
        <v>30</v>
      </c>
      <c r="DC130" s="6" t="s">
        <v>644</v>
      </c>
      <c r="DD130" s="6" t="s">
        <v>187</v>
      </c>
      <c r="DH130" s="6" t="str">
        <f t="shared" si="68"/>
        <v>A15</v>
      </c>
      <c r="DI130" s="6" t="str">
        <f t="shared" si="69"/>
        <v>B15</v>
      </c>
      <c r="DK130" s="6" t="s">
        <v>173</v>
      </c>
      <c r="DL130" s="6" t="str">
        <f t="shared" si="70"/>
        <v/>
      </c>
      <c r="DO130" s="9" t="s">
        <v>170</v>
      </c>
      <c r="DP130" s="6" t="s">
        <v>171</v>
      </c>
      <c r="DQ130" s="6" t="s">
        <v>645</v>
      </c>
      <c r="DS130" s="6" t="str">
        <f t="shared" si="63"/>
        <v>AKB331</v>
      </c>
      <c r="DT130" s="10" t="str">
        <f t="shared" si="64"/>
        <v>FCS0111-3-5/1S–MC–127-R1-CN1</v>
      </c>
      <c r="DU130" s="6" t="str">
        <f t="shared" si="65"/>
        <v/>
      </c>
      <c r="DV130" s="19">
        <v>1</v>
      </c>
      <c r="DW130" s="20" t="str">
        <f t="shared" si="66"/>
        <v>11</v>
      </c>
      <c r="DX130" s="21">
        <v>3</v>
      </c>
      <c r="DY130" s="22">
        <v>5</v>
      </c>
      <c r="DZ130" s="23" t="s">
        <v>204</v>
      </c>
      <c r="EA130" s="23">
        <v>15</v>
      </c>
      <c r="ED130" s="9" t="str">
        <f t="shared" si="67"/>
        <v>ANB10D</v>
      </c>
      <c r="EF130" s="6" t="s">
        <v>647</v>
      </c>
      <c r="EH130" s="6" t="s">
        <v>689</v>
      </c>
      <c r="EI130" s="6" t="s">
        <v>690</v>
      </c>
      <c r="EJ130" s="12">
        <v>9</v>
      </c>
      <c r="EK130" s="12"/>
      <c r="EM130" s="12"/>
      <c r="EN130" s="25" t="s">
        <v>1121</v>
      </c>
      <c r="EP130" s="6" t="s">
        <v>1153</v>
      </c>
      <c r="ER130" s="6" t="str">
        <f>MID(EH130,3,8)</f>
        <v>P4010A</v>
      </c>
      <c r="ET130" s="6" t="str">
        <f t="shared" ref="ET130:ET193" si="75">IF(MOD(EU130,2) = 0, "짝수", "홀수")</f>
        <v>짝수</v>
      </c>
      <c r="EU130" s="12">
        <v>38</v>
      </c>
      <c r="EV130" s="45" t="str">
        <f t="shared" ca="1" si="49"/>
        <v>A</v>
      </c>
      <c r="EW130" s="6">
        <f t="shared" ref="EW130:EW193" ca="1" si="76">IF(EV130="A",65,IF(EV130="B",66,IF(EV130="C",67,68)))</f>
        <v>65</v>
      </c>
      <c r="FR130" s="6">
        <v>1</v>
      </c>
      <c r="FS130" s="6" t="str">
        <f t="shared" si="42"/>
        <v/>
      </c>
      <c r="FT130" s="6">
        <f t="shared" si="43"/>
        <v>1</v>
      </c>
      <c r="FU130" s="6" t="str">
        <f t="shared" ca="1" si="50"/>
        <v/>
      </c>
      <c r="FV130" s="6" t="str">
        <f t="shared" ca="1" si="44"/>
        <v/>
      </c>
      <c r="FW130" s="6" t="str">
        <f t="shared" ca="1" si="71"/>
        <v>R1-11</v>
      </c>
      <c r="FX130" s="6" t="str">
        <f t="shared" ca="1" si="72"/>
        <v>R1-12</v>
      </c>
      <c r="FY130" s="6" t="str">
        <f t="shared" ca="1" si="73"/>
        <v>R1-21</v>
      </c>
      <c r="FZ130" s="6" t="str">
        <f t="shared" ca="1" si="74"/>
        <v>R1-22</v>
      </c>
    </row>
    <row r="131" spans="1:182" ht="15.95" customHeight="1">
      <c r="A131" s="6">
        <v>208</v>
      </c>
      <c r="B131" s="6" t="s">
        <v>175</v>
      </c>
      <c r="E131" s="6" t="s">
        <v>691</v>
      </c>
      <c r="F131" s="6" t="s">
        <v>1383</v>
      </c>
      <c r="G131" s="6" t="s">
        <v>1290</v>
      </c>
      <c r="H131" s="7" t="s">
        <v>1291</v>
      </c>
      <c r="I131" s="7"/>
      <c r="J131" s="6" t="e">
        <v>#N/A</v>
      </c>
      <c r="K131" s="6" t="e">
        <v>#N/A</v>
      </c>
      <c r="N131" s="6" t="e">
        <v>#N/A</v>
      </c>
      <c r="O131" s="6" t="e">
        <v>#N/A</v>
      </c>
      <c r="R131" s="101" t="e">
        <v>#N/A</v>
      </c>
      <c r="Y131" s="6" t="e">
        <v>#N/A</v>
      </c>
      <c r="Z131" s="6" t="e">
        <v>#N/A</v>
      </c>
      <c r="AA131" s="6" t="e">
        <v>#N/A</v>
      </c>
      <c r="AD131" s="6" t="e">
        <v>#N/A</v>
      </c>
      <c r="AE131" s="6" t="e">
        <v>#N/A</v>
      </c>
      <c r="AG131" s="6" t="e">
        <v>#N/A</v>
      </c>
      <c r="AY131" s="8" t="s">
        <v>176</v>
      </c>
      <c r="AZ131" s="8" t="s">
        <v>195</v>
      </c>
      <c r="BA131" s="13" t="s">
        <v>656</v>
      </c>
      <c r="BB131" s="13" t="s">
        <v>200</v>
      </c>
      <c r="BC131" s="13">
        <v>31</v>
      </c>
      <c r="BD131" s="13">
        <v>32</v>
      </c>
      <c r="DC131" s="6" t="s">
        <v>644</v>
      </c>
      <c r="DD131" s="6" t="s">
        <v>187</v>
      </c>
      <c r="DH131" s="6" t="str">
        <f>"A"&amp;EA131</f>
        <v>A16</v>
      </c>
      <c r="DI131" s="6" t="str">
        <f>"B"&amp;EA131</f>
        <v>B16</v>
      </c>
      <c r="DK131" s="6" t="s">
        <v>173</v>
      </c>
      <c r="DL131" s="6" t="str">
        <f>IF(DZ131&lt;&gt;"","CN2","")</f>
        <v/>
      </c>
      <c r="DO131" s="9" t="s">
        <v>170</v>
      </c>
      <c r="DP131" s="6" t="s">
        <v>171</v>
      </c>
      <c r="DQ131" s="6" t="s">
        <v>645</v>
      </c>
      <c r="DS131" s="6" t="str">
        <f>IF(MID(EF131,2,1)="A","KS1","AKB331")</f>
        <v>AKB331</v>
      </c>
      <c r="DT131" s="10" t="str">
        <f>DQ131&amp;"-"&amp;DX131&amp;"-"&amp;DY131&amp;"/"&amp;BA131&amp;"-"&amp;DD131&amp;"-"&amp;DK131</f>
        <v>FCS0111-3-5/1S–MC–127-R1-CN1</v>
      </c>
      <c r="DU131" s="6" t="str">
        <f>IF(DL131="","",DQ131&amp;"-"&amp;DX131&amp;"-"&amp;DY131&amp;"/"&amp;BA131&amp;"-"&amp;DD131&amp;"-"&amp;DL131)</f>
        <v/>
      </c>
      <c r="DV131" s="19">
        <v>1</v>
      </c>
      <c r="DW131" s="20" t="str">
        <f>RIGHT(DQ131,2)</f>
        <v>11</v>
      </c>
      <c r="DX131" s="21">
        <v>3</v>
      </c>
      <c r="DY131" s="22">
        <v>5</v>
      </c>
      <c r="DZ131" s="23" t="s">
        <v>204</v>
      </c>
      <c r="EA131" s="23">
        <v>16</v>
      </c>
      <c r="ED131" s="9" t="str">
        <f>IF(DX131="1","AFV30D","ANB10D")</f>
        <v>ANB10D</v>
      </c>
      <c r="EF131" s="6" t="s">
        <v>647</v>
      </c>
      <c r="EH131" s="6" t="s">
        <v>1122</v>
      </c>
      <c r="EI131" s="6" t="s">
        <v>690</v>
      </c>
      <c r="EJ131" s="12">
        <v>9</v>
      </c>
      <c r="EK131" s="12"/>
      <c r="EM131" s="12"/>
      <c r="EN131" s="25" t="s">
        <v>1121</v>
      </c>
      <c r="ET131" s="6" t="str">
        <f t="shared" si="75"/>
        <v>짝수</v>
      </c>
      <c r="EU131" s="12">
        <v>38</v>
      </c>
      <c r="EV131" s="45" t="str">
        <f t="shared" ca="1" si="49"/>
        <v>B</v>
      </c>
      <c r="EW131" s="6">
        <f t="shared" ca="1" si="76"/>
        <v>66</v>
      </c>
      <c r="FA131" s="6" t="str">
        <f>ER130&amp;"INT"</f>
        <v>P4010AINT</v>
      </c>
      <c r="FR131" s="6">
        <v>1</v>
      </c>
      <c r="FS131" s="6" t="str">
        <f t="shared" ref="FS131:FS194" si="77">IF(OR(DC131="A1BA4D",DC131="A1BD5D"),"",1)</f>
        <v/>
      </c>
      <c r="FT131" s="6">
        <f t="shared" ref="FT131:FT194" si="78">IF(OR(DC131="A1BA4D",DC131="ARM55D"),"",1)</f>
        <v>1</v>
      </c>
      <c r="FU131" s="6" t="str">
        <f t="shared" ca="1" si="50"/>
        <v/>
      </c>
      <c r="FV131" s="6" t="str">
        <f t="shared" ref="FV131:FV194" ca="1" si="79">IF(AND(FS131="",OFFSET(FS131,0,1)="",DC131="A1BA4D"),"",IF(DC131="A1BD5D","",DD131&amp;"-12"))</f>
        <v/>
      </c>
      <c r="FW131" s="6" t="str">
        <f t="shared" ca="1" si="71"/>
        <v>R1-11</v>
      </c>
      <c r="FX131" s="6" t="str">
        <f t="shared" ca="1" si="72"/>
        <v>R1-12</v>
      </c>
      <c r="FY131" s="6" t="str">
        <f t="shared" ca="1" si="73"/>
        <v>R1-21</v>
      </c>
      <c r="FZ131" s="6" t="str">
        <f t="shared" ca="1" si="74"/>
        <v>R1-22</v>
      </c>
    </row>
    <row r="132" spans="1:182" ht="15.95" customHeight="1">
      <c r="A132" s="6">
        <v>272</v>
      </c>
      <c r="B132" s="6" t="s">
        <v>175</v>
      </c>
      <c r="E132" s="6" t="s">
        <v>732</v>
      </c>
      <c r="F132" s="6" t="s">
        <v>1384</v>
      </c>
      <c r="G132" s="6" t="s">
        <v>1290</v>
      </c>
      <c r="H132" s="7" t="s">
        <v>1291</v>
      </c>
      <c r="I132" s="7"/>
      <c r="J132" s="6" t="e">
        <v>#N/A</v>
      </c>
      <c r="K132" s="6" t="e">
        <v>#N/A</v>
      </c>
      <c r="N132" s="6" t="e">
        <v>#N/A</v>
      </c>
      <c r="O132" s="6" t="e">
        <v>#N/A</v>
      </c>
      <c r="R132" s="101" t="e">
        <v>#N/A</v>
      </c>
      <c r="Y132" s="6" t="e">
        <v>#N/A</v>
      </c>
      <c r="Z132" s="6" t="e">
        <v>#N/A</v>
      </c>
      <c r="AA132" s="6" t="e">
        <v>#N/A</v>
      </c>
      <c r="AD132" s="6" t="e">
        <v>#N/A</v>
      </c>
      <c r="AE132" s="6" t="e">
        <v>#N/A</v>
      </c>
      <c r="AG132" s="6" t="e">
        <v>#N/A</v>
      </c>
      <c r="AY132" s="8" t="s">
        <v>176</v>
      </c>
      <c r="AZ132" s="8" t="s">
        <v>195</v>
      </c>
      <c r="BA132" s="13" t="s">
        <v>656</v>
      </c>
      <c r="BB132" s="13" t="s">
        <v>7</v>
      </c>
      <c r="BC132" s="13">
        <v>51</v>
      </c>
      <c r="BD132" s="13">
        <v>52</v>
      </c>
      <c r="DC132" s="6" t="s">
        <v>723</v>
      </c>
      <c r="DD132" s="6" t="s">
        <v>201</v>
      </c>
      <c r="DH132" s="6" t="str">
        <f>"A"&amp;EA132</f>
        <v>A16</v>
      </c>
      <c r="DI132" s="6" t="str">
        <f>"B"&amp;EA132</f>
        <v>B16</v>
      </c>
      <c r="DK132" s="6" t="s">
        <v>173</v>
      </c>
      <c r="DL132" s="6" t="str">
        <f>IF(DZ132&lt;&gt;"","CN2","")</f>
        <v>CN2</v>
      </c>
      <c r="DO132" s="9" t="s">
        <v>170</v>
      </c>
      <c r="DP132" s="6" t="s">
        <v>171</v>
      </c>
      <c r="DQ132" s="6" t="s">
        <v>645</v>
      </c>
      <c r="DS132" s="6" t="str">
        <f>IF(MID(EF132,2,1)="A","KS1","AKB331")</f>
        <v>AKB331</v>
      </c>
      <c r="DT132" s="10" t="str">
        <f>DQ132&amp;"-"&amp;DX132&amp;"-"&amp;DY132&amp;"/"&amp;BA132&amp;"-"&amp;DD132&amp;"-"&amp;DK132</f>
        <v>FCS0111-3-7/1S–MC–127-F2-CN1</v>
      </c>
      <c r="DU132" s="6" t="str">
        <f>IF(DL132="","",DQ132&amp;"-"&amp;DX132&amp;"-"&amp;DY132&amp;"/"&amp;BA132&amp;"-"&amp;DD132&amp;"-"&amp;DL132)</f>
        <v>FCS0111-3-7/1S–MC–127-F2-CN2</v>
      </c>
      <c r="DV132" s="19">
        <v>1</v>
      </c>
      <c r="DW132" s="20" t="str">
        <f>RIGHT(DQ132,2)</f>
        <v>11</v>
      </c>
      <c r="DX132" s="21">
        <v>3</v>
      </c>
      <c r="DY132" s="22">
        <v>7</v>
      </c>
      <c r="DZ132" s="23">
        <v>8</v>
      </c>
      <c r="EA132" s="23">
        <v>16</v>
      </c>
      <c r="ED132" s="9" t="str">
        <f>IF(DX132="1","AFV30D","ANB10D")</f>
        <v>ANB10D</v>
      </c>
      <c r="EF132" s="6" t="s">
        <v>672</v>
      </c>
      <c r="EH132" s="6" t="s">
        <v>732</v>
      </c>
      <c r="EI132" s="6" t="s">
        <v>690</v>
      </c>
      <c r="EJ132" s="12">
        <v>9</v>
      </c>
      <c r="EK132" s="12"/>
      <c r="EM132" s="12"/>
      <c r="EN132" s="25" t="s">
        <v>1121</v>
      </c>
      <c r="ET132" s="6" t="str">
        <f t="shared" si="75"/>
        <v>짝수</v>
      </c>
      <c r="EU132" s="12">
        <v>38</v>
      </c>
      <c r="EV132" s="45" t="str">
        <f t="shared" ca="1" si="49"/>
        <v>C</v>
      </c>
      <c r="EW132" s="6">
        <f t="shared" ca="1" si="76"/>
        <v>67</v>
      </c>
      <c r="FR132" s="6">
        <v>1</v>
      </c>
      <c r="FS132" s="6">
        <f t="shared" si="77"/>
        <v>1</v>
      </c>
      <c r="FT132" s="6" t="str">
        <f t="shared" si="78"/>
        <v/>
      </c>
      <c r="FU132" s="6" t="str">
        <f t="shared" ca="1" si="50"/>
        <v>F2-11</v>
      </c>
      <c r="FV132" s="6" t="str">
        <f t="shared" ca="1" si="79"/>
        <v>F2-12</v>
      </c>
      <c r="FW132" s="6" t="str">
        <f t="shared" ca="1" si="71"/>
        <v/>
      </c>
      <c r="FX132" s="6" t="str">
        <f t="shared" ca="1" si="72"/>
        <v/>
      </c>
      <c r="FY132" s="6" t="str">
        <f t="shared" ca="1" si="73"/>
        <v/>
      </c>
      <c r="FZ132" s="6" t="str">
        <f t="shared" ca="1" si="74"/>
        <v/>
      </c>
    </row>
    <row r="133" spans="1:182" ht="15.95" customHeight="1">
      <c r="A133" s="6">
        <v>271</v>
      </c>
      <c r="B133" s="6" t="s">
        <v>175</v>
      </c>
      <c r="E133" s="6" t="s">
        <v>731</v>
      </c>
      <c r="F133" s="6" t="s">
        <v>1385</v>
      </c>
      <c r="G133" s="6" t="s">
        <v>1290</v>
      </c>
      <c r="H133" s="7" t="s">
        <v>1291</v>
      </c>
      <c r="I133" s="7"/>
      <c r="J133" s="6" t="e">
        <v>#N/A</v>
      </c>
      <c r="K133" s="6" t="e">
        <v>#N/A</v>
      </c>
      <c r="N133" s="6" t="e">
        <v>#N/A</v>
      </c>
      <c r="O133" s="6" t="e">
        <v>#N/A</v>
      </c>
      <c r="R133" s="101" t="e">
        <v>#N/A</v>
      </c>
      <c r="Y133" s="6" t="e">
        <v>#N/A</v>
      </c>
      <c r="Z133" s="6" t="e">
        <v>#N/A</v>
      </c>
      <c r="AA133" s="6" t="e">
        <v>#N/A</v>
      </c>
      <c r="AD133" s="6" t="e">
        <v>#N/A</v>
      </c>
      <c r="AE133" s="6" t="e">
        <v>#N/A</v>
      </c>
      <c r="AG133" s="6" t="e">
        <v>#N/A</v>
      </c>
      <c r="AY133" s="8" t="s">
        <v>176</v>
      </c>
      <c r="AZ133" s="8" t="s">
        <v>195</v>
      </c>
      <c r="BA133" s="13" t="s">
        <v>656</v>
      </c>
      <c r="BB133" s="13" t="s">
        <v>7</v>
      </c>
      <c r="BC133" s="13">
        <v>49</v>
      </c>
      <c r="BD133" s="13">
        <v>50</v>
      </c>
      <c r="DC133" s="6" t="s">
        <v>723</v>
      </c>
      <c r="DD133" s="6" t="s">
        <v>201</v>
      </c>
      <c r="DH133" s="6" t="str">
        <f>"A"&amp;EA133</f>
        <v>A15</v>
      </c>
      <c r="DI133" s="6" t="str">
        <f>"B"&amp;EA133</f>
        <v>B15</v>
      </c>
      <c r="DK133" s="6" t="s">
        <v>173</v>
      </c>
      <c r="DL133" s="6" t="str">
        <f>IF(DZ133&lt;&gt;"","CN2","")</f>
        <v>CN2</v>
      </c>
      <c r="DO133" s="9" t="s">
        <v>170</v>
      </c>
      <c r="DP133" s="6" t="s">
        <v>171</v>
      </c>
      <c r="DQ133" s="6" t="s">
        <v>645</v>
      </c>
      <c r="DS133" s="6" t="str">
        <f>IF(MID(EF133,2,1)="A","KS1","AKB331")</f>
        <v>AKB331</v>
      </c>
      <c r="DT133" s="10" t="str">
        <f>DQ133&amp;"-"&amp;DX133&amp;"-"&amp;DY133&amp;"/"&amp;BA133&amp;"-"&amp;DD133&amp;"-"&amp;DK133</f>
        <v>FCS0111-3-7/1S–MC–127-F2-CN1</v>
      </c>
      <c r="DU133" s="6" t="str">
        <f>IF(DL133="","",DQ133&amp;"-"&amp;DX133&amp;"-"&amp;DY133&amp;"/"&amp;BA133&amp;"-"&amp;DD133&amp;"-"&amp;DL133)</f>
        <v>FCS0111-3-7/1S–MC–127-F2-CN2</v>
      </c>
      <c r="DV133" s="19">
        <v>1</v>
      </c>
      <c r="DW133" s="20" t="str">
        <f>RIGHT(DQ133,2)</f>
        <v>11</v>
      </c>
      <c r="DX133" s="21">
        <v>3</v>
      </c>
      <c r="DY133" s="22">
        <v>7</v>
      </c>
      <c r="DZ133" s="23">
        <v>8</v>
      </c>
      <c r="EA133" s="23">
        <v>15</v>
      </c>
      <c r="ED133" s="9" t="str">
        <f>IF(DX133="1","AFV30D","ANB10D")</f>
        <v>ANB10D</v>
      </c>
      <c r="EF133" s="6" t="s">
        <v>672</v>
      </c>
      <c r="EH133" s="6" t="s">
        <v>731</v>
      </c>
      <c r="EI133" s="6" t="s">
        <v>690</v>
      </c>
      <c r="EJ133" s="12">
        <v>9</v>
      </c>
      <c r="EK133" s="12"/>
      <c r="EM133" s="12"/>
      <c r="EN133" s="25" t="s">
        <v>1121</v>
      </c>
      <c r="ET133" s="6" t="str">
        <f t="shared" si="75"/>
        <v>짝수</v>
      </c>
      <c r="EU133" s="12">
        <v>38</v>
      </c>
      <c r="EV133" s="45" t="str">
        <f t="shared" ca="1" si="49"/>
        <v>D</v>
      </c>
      <c r="EW133" s="6">
        <f t="shared" ca="1" si="76"/>
        <v>68</v>
      </c>
      <c r="FR133" s="6">
        <v>1</v>
      </c>
      <c r="FS133" s="6">
        <f t="shared" si="77"/>
        <v>1</v>
      </c>
      <c r="FT133" s="6" t="str">
        <f t="shared" si="78"/>
        <v/>
      </c>
      <c r="FU133" s="6" t="str">
        <f t="shared" ca="1" si="50"/>
        <v>F2-11</v>
      </c>
      <c r="FV133" s="6" t="str">
        <f t="shared" ca="1" si="79"/>
        <v>F2-12</v>
      </c>
      <c r="FW133" s="6" t="str">
        <f t="shared" ca="1" si="71"/>
        <v/>
      </c>
      <c r="FX133" s="6" t="str">
        <f t="shared" ca="1" si="72"/>
        <v/>
      </c>
      <c r="FY133" s="6" t="str">
        <f t="shared" ca="1" si="73"/>
        <v/>
      </c>
      <c r="FZ133" s="6" t="str">
        <f t="shared" ca="1" si="74"/>
        <v/>
      </c>
    </row>
    <row r="134" spans="1:182" ht="15.95" customHeight="1">
      <c r="A134" s="6">
        <v>210</v>
      </c>
      <c r="B134" s="6" t="s">
        <v>175</v>
      </c>
      <c r="E134" s="6" t="s">
        <v>692</v>
      </c>
      <c r="F134" s="6" t="s">
        <v>1386</v>
      </c>
      <c r="G134" s="6" t="s">
        <v>1290</v>
      </c>
      <c r="H134" s="7" t="s">
        <v>1291</v>
      </c>
      <c r="I134" s="7"/>
      <c r="J134" s="6" t="e">
        <v>#N/A</v>
      </c>
      <c r="K134" s="6" t="e">
        <v>#N/A</v>
      </c>
      <c r="N134" s="6" t="e">
        <v>#N/A</v>
      </c>
      <c r="O134" s="6" t="e">
        <v>#N/A</v>
      </c>
      <c r="R134" s="101" t="e">
        <v>#N/A</v>
      </c>
      <c r="Y134" s="6" t="e">
        <v>#N/A</v>
      </c>
      <c r="Z134" s="6" t="e">
        <v>#N/A</v>
      </c>
      <c r="AA134" s="6" t="e">
        <v>#N/A</v>
      </c>
      <c r="AD134" s="6" t="e">
        <v>#N/A</v>
      </c>
      <c r="AE134" s="6" t="e">
        <v>#N/A</v>
      </c>
      <c r="AG134" s="6" t="e">
        <v>#N/A</v>
      </c>
      <c r="AY134" s="8" t="s">
        <v>176</v>
      </c>
      <c r="AZ134" s="8" t="s">
        <v>195</v>
      </c>
      <c r="BA134" s="13" t="s">
        <v>656</v>
      </c>
      <c r="BB134" s="13" t="s">
        <v>200</v>
      </c>
      <c r="BC134" s="13">
        <v>35</v>
      </c>
      <c r="BD134" s="13">
        <v>36</v>
      </c>
      <c r="DC134" s="6" t="s">
        <v>644</v>
      </c>
      <c r="DD134" s="6" t="s">
        <v>187</v>
      </c>
      <c r="DH134" s="6" t="str">
        <f t="shared" si="68"/>
        <v>A18</v>
      </c>
      <c r="DI134" s="6" t="str">
        <f t="shared" si="69"/>
        <v>B18</v>
      </c>
      <c r="DK134" s="6" t="s">
        <v>173</v>
      </c>
      <c r="DL134" s="6" t="str">
        <f t="shared" si="70"/>
        <v/>
      </c>
      <c r="DO134" s="9" t="s">
        <v>170</v>
      </c>
      <c r="DP134" s="6" t="s">
        <v>171</v>
      </c>
      <c r="DQ134" s="6" t="s">
        <v>645</v>
      </c>
      <c r="DS134" s="6" t="str">
        <f t="shared" si="63"/>
        <v>AKB331</v>
      </c>
      <c r="DT134" s="10" t="str">
        <f t="shared" si="64"/>
        <v>FCS0111-3-5/1S–MC–127-R1-CN1</v>
      </c>
      <c r="DU134" s="6" t="str">
        <f t="shared" si="65"/>
        <v/>
      </c>
      <c r="DV134" s="19">
        <v>1</v>
      </c>
      <c r="DW134" s="20" t="str">
        <f t="shared" si="66"/>
        <v>11</v>
      </c>
      <c r="DX134" s="21">
        <v>3</v>
      </c>
      <c r="DY134" s="22">
        <v>5</v>
      </c>
      <c r="DZ134" s="23" t="s">
        <v>204</v>
      </c>
      <c r="EA134" s="23">
        <v>18</v>
      </c>
      <c r="ED134" s="9" t="str">
        <f t="shared" si="67"/>
        <v>ANB10D</v>
      </c>
      <c r="EF134" s="6" t="s">
        <v>647</v>
      </c>
      <c r="EH134" s="6" t="s">
        <v>692</v>
      </c>
      <c r="EI134" s="6" t="s">
        <v>690</v>
      </c>
      <c r="EJ134" s="12">
        <v>9</v>
      </c>
      <c r="EK134" s="12"/>
      <c r="EM134" s="12"/>
      <c r="EN134" s="25" t="s">
        <v>1121</v>
      </c>
      <c r="EP134" s="6" t="s">
        <v>1153</v>
      </c>
      <c r="ER134" s="6" t="str">
        <f>MID(EH134,3,8)</f>
        <v>P4010B</v>
      </c>
      <c r="ET134" s="6" t="str">
        <f t="shared" si="75"/>
        <v>홀수</v>
      </c>
      <c r="EU134" s="12">
        <v>39</v>
      </c>
      <c r="EV134" s="45" t="str">
        <f t="shared" ca="1" si="49"/>
        <v>A</v>
      </c>
      <c r="EW134" s="6">
        <f t="shared" ca="1" si="76"/>
        <v>65</v>
      </c>
      <c r="FR134" s="6">
        <v>1</v>
      </c>
      <c r="FS134" s="6" t="str">
        <f t="shared" si="77"/>
        <v/>
      </c>
      <c r="FT134" s="6">
        <f t="shared" si="78"/>
        <v>1</v>
      </c>
      <c r="FU134" s="6" t="str">
        <f t="shared" ca="1" si="50"/>
        <v/>
      </c>
      <c r="FV134" s="6" t="str">
        <f t="shared" ca="1" si="79"/>
        <v/>
      </c>
      <c r="FW134" s="6" t="str">
        <f t="shared" ca="1" si="71"/>
        <v>R1-11</v>
      </c>
      <c r="FX134" s="6" t="str">
        <f t="shared" ca="1" si="72"/>
        <v>R1-12</v>
      </c>
      <c r="FY134" s="6" t="str">
        <f t="shared" ca="1" si="73"/>
        <v>R1-21</v>
      </c>
      <c r="FZ134" s="6" t="str">
        <f t="shared" ca="1" si="74"/>
        <v>R1-22</v>
      </c>
    </row>
    <row r="135" spans="1:182" ht="15.95" customHeight="1">
      <c r="A135" s="6">
        <v>211</v>
      </c>
      <c r="B135" s="6" t="s">
        <v>175</v>
      </c>
      <c r="E135" s="6" t="s">
        <v>695</v>
      </c>
      <c r="F135" s="6" t="s">
        <v>1387</v>
      </c>
      <c r="G135" s="6" t="s">
        <v>1290</v>
      </c>
      <c r="H135" s="7" t="s">
        <v>1291</v>
      </c>
      <c r="I135" s="7"/>
      <c r="J135" s="6" t="e">
        <v>#N/A</v>
      </c>
      <c r="K135" s="6" t="e">
        <v>#N/A</v>
      </c>
      <c r="N135" s="6" t="e">
        <v>#N/A</v>
      </c>
      <c r="O135" s="6" t="e">
        <v>#N/A</v>
      </c>
      <c r="R135" s="101" t="e">
        <v>#N/A</v>
      </c>
      <c r="Y135" s="6" t="e">
        <v>#N/A</v>
      </c>
      <c r="Z135" s="6" t="e">
        <v>#N/A</v>
      </c>
      <c r="AA135" s="6" t="e">
        <v>#N/A</v>
      </c>
      <c r="AD135" s="6" t="e">
        <v>#N/A</v>
      </c>
      <c r="AE135" s="6" t="e">
        <v>#N/A</v>
      </c>
      <c r="AG135" s="6" t="e">
        <v>#N/A</v>
      </c>
      <c r="AY135" s="8" t="s">
        <v>176</v>
      </c>
      <c r="AZ135" s="8" t="s">
        <v>195</v>
      </c>
      <c r="BA135" s="13" t="s">
        <v>656</v>
      </c>
      <c r="BB135" s="13" t="s">
        <v>200</v>
      </c>
      <c r="BC135" s="13">
        <v>37</v>
      </c>
      <c r="BD135" s="13">
        <v>38</v>
      </c>
      <c r="DC135" s="6" t="s">
        <v>644</v>
      </c>
      <c r="DD135" s="6" t="s">
        <v>187</v>
      </c>
      <c r="DH135" s="6" t="str">
        <f>"A"&amp;EA135</f>
        <v>A19</v>
      </c>
      <c r="DI135" s="6" t="str">
        <f>"B"&amp;EA135</f>
        <v>B19</v>
      </c>
      <c r="DK135" s="6" t="s">
        <v>173</v>
      </c>
      <c r="DL135" s="6" t="str">
        <f>IF(DZ135&lt;&gt;"","CN2","")</f>
        <v/>
      </c>
      <c r="DO135" s="9" t="s">
        <v>170</v>
      </c>
      <c r="DP135" s="6" t="s">
        <v>171</v>
      </c>
      <c r="DQ135" s="6" t="s">
        <v>645</v>
      </c>
      <c r="DS135" s="6" t="str">
        <f>IF(MID(EF135,2,1)="A","KS1","AKB331")</f>
        <v>AKB331</v>
      </c>
      <c r="DT135" s="10" t="str">
        <f>DQ135&amp;"-"&amp;DX135&amp;"-"&amp;DY135&amp;"/"&amp;BA135&amp;"-"&amp;DD135&amp;"-"&amp;DK135</f>
        <v>FCS0111-3-5/1S–MC–127-R1-CN1</v>
      </c>
      <c r="DU135" s="6" t="str">
        <f>IF(DL135="","",DQ135&amp;"-"&amp;DX135&amp;"-"&amp;DY135&amp;"/"&amp;BA135&amp;"-"&amp;DD135&amp;"-"&amp;DL135)</f>
        <v/>
      </c>
      <c r="DV135" s="19">
        <v>1</v>
      </c>
      <c r="DW135" s="20" t="str">
        <f>RIGHT(DQ135,2)</f>
        <v>11</v>
      </c>
      <c r="DX135" s="21">
        <v>3</v>
      </c>
      <c r="DY135" s="22">
        <v>5</v>
      </c>
      <c r="DZ135" s="23" t="s">
        <v>204</v>
      </c>
      <c r="EA135" s="23">
        <v>19</v>
      </c>
      <c r="ED135" s="9" t="str">
        <f>IF(DX135="1","AFV30D","ANB10D")</f>
        <v>ANB10D</v>
      </c>
      <c r="EF135" s="6" t="s">
        <v>647</v>
      </c>
      <c r="EH135" s="6" t="s">
        <v>695</v>
      </c>
      <c r="EI135" s="6" t="s">
        <v>690</v>
      </c>
      <c r="EJ135" s="12">
        <v>9</v>
      </c>
      <c r="EK135" s="12"/>
      <c r="EM135" s="12"/>
      <c r="EN135" s="25" t="s">
        <v>1121</v>
      </c>
      <c r="ET135" s="6" t="str">
        <f t="shared" si="75"/>
        <v>홀수</v>
      </c>
      <c r="EU135" s="12">
        <v>39</v>
      </c>
      <c r="EV135" s="45" t="str">
        <f t="shared" ref="EV135:EV198" ca="1" si="80">IF(EU135=OFFSET(EU135,-1,0),CHAR(EW134+1),"A")</f>
        <v>B</v>
      </c>
      <c r="EW135" s="6">
        <f t="shared" ca="1" si="76"/>
        <v>66</v>
      </c>
      <c r="FA135" s="6" t="str">
        <f>ER134&amp;"INT"</f>
        <v>P4010BINT</v>
      </c>
      <c r="FR135" s="6">
        <v>1</v>
      </c>
      <c r="FS135" s="6" t="str">
        <f t="shared" si="77"/>
        <v/>
      </c>
      <c r="FT135" s="6">
        <f t="shared" si="78"/>
        <v>1</v>
      </c>
      <c r="FU135" s="6" t="str">
        <f t="shared" ca="1" si="50"/>
        <v/>
      </c>
      <c r="FV135" s="6" t="str">
        <f t="shared" ca="1" si="79"/>
        <v/>
      </c>
      <c r="FW135" s="6" t="str">
        <f t="shared" ca="1" si="71"/>
        <v>R1-11</v>
      </c>
      <c r="FX135" s="6" t="str">
        <f t="shared" ca="1" si="72"/>
        <v>R1-12</v>
      </c>
      <c r="FY135" s="6" t="str">
        <f t="shared" ca="1" si="73"/>
        <v>R1-21</v>
      </c>
      <c r="FZ135" s="6" t="str">
        <f t="shared" ca="1" si="74"/>
        <v>R1-22</v>
      </c>
    </row>
    <row r="136" spans="1:182" ht="15.95" customHeight="1">
      <c r="A136" s="6">
        <v>275</v>
      </c>
      <c r="B136" s="6" t="s">
        <v>175</v>
      </c>
      <c r="E136" s="6" t="s">
        <v>734</v>
      </c>
      <c r="F136" s="6" t="s">
        <v>1388</v>
      </c>
      <c r="G136" s="6" t="s">
        <v>1290</v>
      </c>
      <c r="H136" s="7" t="s">
        <v>1291</v>
      </c>
      <c r="I136" s="7"/>
      <c r="J136" s="6" t="e">
        <v>#N/A</v>
      </c>
      <c r="K136" s="6" t="e">
        <v>#N/A</v>
      </c>
      <c r="N136" s="6" t="e">
        <v>#N/A</v>
      </c>
      <c r="O136" s="6" t="e">
        <v>#N/A</v>
      </c>
      <c r="R136" s="101" t="e">
        <v>#N/A</v>
      </c>
      <c r="Y136" s="6" t="e">
        <v>#N/A</v>
      </c>
      <c r="Z136" s="6" t="e">
        <v>#N/A</v>
      </c>
      <c r="AA136" s="6" t="e">
        <v>#N/A</v>
      </c>
      <c r="AD136" s="6" t="e">
        <v>#N/A</v>
      </c>
      <c r="AE136" s="6" t="e">
        <v>#N/A</v>
      </c>
      <c r="AG136" s="6" t="e">
        <v>#N/A</v>
      </c>
      <c r="AY136" s="8" t="s">
        <v>176</v>
      </c>
      <c r="AZ136" s="8" t="s">
        <v>195</v>
      </c>
      <c r="BA136" s="13" t="s">
        <v>656</v>
      </c>
      <c r="BB136" s="13" t="s">
        <v>7</v>
      </c>
      <c r="BC136" s="13">
        <v>57</v>
      </c>
      <c r="BD136" s="13">
        <v>58</v>
      </c>
      <c r="DC136" s="6" t="s">
        <v>723</v>
      </c>
      <c r="DD136" s="6" t="s">
        <v>201</v>
      </c>
      <c r="DH136" s="6" t="str">
        <f>"A"&amp;EA136</f>
        <v>A19</v>
      </c>
      <c r="DI136" s="6" t="str">
        <f>"B"&amp;EA136</f>
        <v>B19</v>
      </c>
      <c r="DK136" s="6" t="s">
        <v>173</v>
      </c>
      <c r="DL136" s="6" t="str">
        <f>IF(DZ136&lt;&gt;"","CN2","")</f>
        <v>CN2</v>
      </c>
      <c r="DO136" s="9" t="s">
        <v>170</v>
      </c>
      <c r="DP136" s="6" t="s">
        <v>171</v>
      </c>
      <c r="DQ136" s="6" t="s">
        <v>645</v>
      </c>
      <c r="DS136" s="6" t="str">
        <f>IF(MID(EF136,2,1)="A","KS1","AKB331")</f>
        <v>AKB331</v>
      </c>
      <c r="DT136" s="10" t="str">
        <f>DQ136&amp;"-"&amp;DX136&amp;"-"&amp;DY136&amp;"/"&amp;BA136&amp;"-"&amp;DD136&amp;"-"&amp;DK136</f>
        <v>FCS0111-3-7/1S–MC–127-F2-CN1</v>
      </c>
      <c r="DU136" s="6" t="str">
        <f>IF(DL136="","",DQ136&amp;"-"&amp;DX136&amp;"-"&amp;DY136&amp;"/"&amp;BA136&amp;"-"&amp;DD136&amp;"-"&amp;DL136)</f>
        <v>FCS0111-3-7/1S–MC–127-F2-CN2</v>
      </c>
      <c r="DV136" s="19">
        <v>1</v>
      </c>
      <c r="DW136" s="20" t="str">
        <f>RIGHT(DQ136,2)</f>
        <v>11</v>
      </c>
      <c r="DX136" s="21">
        <v>3</v>
      </c>
      <c r="DY136" s="22">
        <v>7</v>
      </c>
      <c r="DZ136" s="23">
        <v>8</v>
      </c>
      <c r="EA136" s="23">
        <v>19</v>
      </c>
      <c r="ED136" s="9" t="str">
        <f>IF(DX136="1","AFV30D","ANB10D")</f>
        <v>ANB10D</v>
      </c>
      <c r="EF136" s="6" t="s">
        <v>672</v>
      </c>
      <c r="EH136" s="6" t="s">
        <v>734</v>
      </c>
      <c r="EI136" s="6" t="s">
        <v>690</v>
      </c>
      <c r="EJ136" s="12">
        <v>9</v>
      </c>
      <c r="EK136" s="12"/>
      <c r="EM136" s="12"/>
      <c r="EN136" s="25" t="s">
        <v>1121</v>
      </c>
      <c r="ET136" s="6" t="str">
        <f t="shared" si="75"/>
        <v>홀수</v>
      </c>
      <c r="EU136" s="12">
        <v>39</v>
      </c>
      <c r="EV136" s="45" t="str">
        <f t="shared" ca="1" si="80"/>
        <v>C</v>
      </c>
      <c r="EW136" s="6">
        <f t="shared" ca="1" si="76"/>
        <v>67</v>
      </c>
      <c r="FR136" s="6">
        <v>1</v>
      </c>
      <c r="FS136" s="6">
        <f t="shared" si="77"/>
        <v>1</v>
      </c>
      <c r="FT136" s="6" t="str">
        <f t="shared" si="78"/>
        <v/>
      </c>
      <c r="FU136" s="6" t="str">
        <f t="shared" ca="1" si="50"/>
        <v>F2-11</v>
      </c>
      <c r="FV136" s="6" t="str">
        <f t="shared" ca="1" si="79"/>
        <v>F2-12</v>
      </c>
      <c r="FW136" s="6" t="str">
        <f t="shared" ca="1" si="71"/>
        <v/>
      </c>
      <c r="FX136" s="6" t="str">
        <f t="shared" ca="1" si="72"/>
        <v/>
      </c>
      <c r="FY136" s="6" t="str">
        <f t="shared" ca="1" si="73"/>
        <v/>
      </c>
      <c r="FZ136" s="6" t="str">
        <f t="shared" ca="1" si="74"/>
        <v/>
      </c>
    </row>
    <row r="137" spans="1:182" ht="15.95" customHeight="1">
      <c r="A137" s="6">
        <v>274</v>
      </c>
      <c r="B137" s="6" t="s">
        <v>175</v>
      </c>
      <c r="E137" s="6" t="s">
        <v>733</v>
      </c>
      <c r="F137" s="6" t="s">
        <v>1389</v>
      </c>
      <c r="G137" s="6" t="s">
        <v>1290</v>
      </c>
      <c r="H137" s="7" t="s">
        <v>1291</v>
      </c>
      <c r="I137" s="7"/>
      <c r="J137" s="6" t="e">
        <v>#N/A</v>
      </c>
      <c r="K137" s="6" t="e">
        <v>#N/A</v>
      </c>
      <c r="N137" s="6" t="e">
        <v>#N/A</v>
      </c>
      <c r="O137" s="6" t="e">
        <v>#N/A</v>
      </c>
      <c r="R137" s="101" t="e">
        <v>#N/A</v>
      </c>
      <c r="Y137" s="6" t="e">
        <v>#N/A</v>
      </c>
      <c r="Z137" s="6" t="e">
        <v>#N/A</v>
      </c>
      <c r="AA137" s="6" t="e">
        <v>#N/A</v>
      </c>
      <c r="AD137" s="6" t="e">
        <v>#N/A</v>
      </c>
      <c r="AE137" s="6" t="e">
        <v>#N/A</v>
      </c>
      <c r="AG137" s="6" t="e">
        <v>#N/A</v>
      </c>
      <c r="AY137" s="8" t="s">
        <v>176</v>
      </c>
      <c r="AZ137" s="8" t="s">
        <v>195</v>
      </c>
      <c r="BA137" s="13" t="s">
        <v>656</v>
      </c>
      <c r="BB137" s="13" t="s">
        <v>7</v>
      </c>
      <c r="BC137" s="13">
        <v>55</v>
      </c>
      <c r="BD137" s="13">
        <v>56</v>
      </c>
      <c r="DC137" s="6" t="s">
        <v>723</v>
      </c>
      <c r="DD137" s="6" t="s">
        <v>201</v>
      </c>
      <c r="DH137" s="6" t="str">
        <f>"A"&amp;EA137</f>
        <v>A18</v>
      </c>
      <c r="DI137" s="6" t="str">
        <f>"B"&amp;EA137</f>
        <v>B18</v>
      </c>
      <c r="DK137" s="6" t="s">
        <v>173</v>
      </c>
      <c r="DL137" s="6" t="str">
        <f>IF(DZ137&lt;&gt;"","CN2","")</f>
        <v>CN2</v>
      </c>
      <c r="DO137" s="9" t="s">
        <v>170</v>
      </c>
      <c r="DP137" s="6" t="s">
        <v>171</v>
      </c>
      <c r="DQ137" s="6" t="s">
        <v>645</v>
      </c>
      <c r="DS137" s="6" t="str">
        <f>IF(MID(EF137,2,1)="A","KS1","AKB331")</f>
        <v>AKB331</v>
      </c>
      <c r="DT137" s="10" t="str">
        <f>DQ137&amp;"-"&amp;DX137&amp;"-"&amp;DY137&amp;"/"&amp;BA137&amp;"-"&amp;DD137&amp;"-"&amp;DK137</f>
        <v>FCS0111-3-7/1S–MC–127-F2-CN1</v>
      </c>
      <c r="DU137" s="6" t="str">
        <f>IF(DL137="","",DQ137&amp;"-"&amp;DX137&amp;"-"&amp;DY137&amp;"/"&amp;BA137&amp;"-"&amp;DD137&amp;"-"&amp;DL137)</f>
        <v>FCS0111-3-7/1S–MC–127-F2-CN2</v>
      </c>
      <c r="DV137" s="19">
        <v>1</v>
      </c>
      <c r="DW137" s="20" t="str">
        <f>RIGHT(DQ137,2)</f>
        <v>11</v>
      </c>
      <c r="DX137" s="21">
        <v>3</v>
      </c>
      <c r="DY137" s="22">
        <v>7</v>
      </c>
      <c r="DZ137" s="23">
        <v>8</v>
      </c>
      <c r="EA137" s="23">
        <v>18</v>
      </c>
      <c r="ED137" s="9" t="str">
        <f>IF(DX137="1","AFV30D","ANB10D")</f>
        <v>ANB10D</v>
      </c>
      <c r="EF137" s="6" t="s">
        <v>672</v>
      </c>
      <c r="EH137" s="6" t="s">
        <v>733</v>
      </c>
      <c r="EI137" s="6" t="s">
        <v>690</v>
      </c>
      <c r="EJ137" s="12">
        <v>9</v>
      </c>
      <c r="EK137" s="12"/>
      <c r="EM137" s="12"/>
      <c r="EN137" s="25" t="s">
        <v>1121</v>
      </c>
      <c r="ET137" s="6" t="str">
        <f t="shared" si="75"/>
        <v>홀수</v>
      </c>
      <c r="EU137" s="12">
        <v>39</v>
      </c>
      <c r="EV137" s="45" t="str">
        <f t="shared" ca="1" si="80"/>
        <v>D</v>
      </c>
      <c r="EW137" s="6">
        <f t="shared" ca="1" si="76"/>
        <v>68</v>
      </c>
      <c r="FR137" s="6">
        <v>1</v>
      </c>
      <c r="FS137" s="6">
        <f t="shared" si="77"/>
        <v>1</v>
      </c>
      <c r="FT137" s="6" t="str">
        <f t="shared" si="78"/>
        <v/>
      </c>
      <c r="FU137" s="6" t="str">
        <f t="shared" ca="1" si="50"/>
        <v>F2-11</v>
      </c>
      <c r="FV137" s="6" t="str">
        <f t="shared" ca="1" si="79"/>
        <v>F2-12</v>
      </c>
      <c r="FW137" s="6" t="str">
        <f t="shared" ca="1" si="71"/>
        <v/>
      </c>
      <c r="FX137" s="6" t="str">
        <f t="shared" ca="1" si="72"/>
        <v/>
      </c>
      <c r="FY137" s="6" t="str">
        <f t="shared" ca="1" si="73"/>
        <v/>
      </c>
      <c r="FZ137" s="6" t="str">
        <f t="shared" ca="1" si="74"/>
        <v/>
      </c>
    </row>
    <row r="138" spans="1:182" ht="15.95" customHeight="1">
      <c r="A138" s="6">
        <v>216</v>
      </c>
      <c r="B138" s="6" t="s">
        <v>175</v>
      </c>
      <c r="E138" s="6" t="s">
        <v>699</v>
      </c>
      <c r="F138" s="6" t="s">
        <v>1390</v>
      </c>
      <c r="G138" s="6" t="s">
        <v>1290</v>
      </c>
      <c r="H138" s="7" t="s">
        <v>1291</v>
      </c>
      <c r="I138" s="7"/>
      <c r="J138" s="6" t="e">
        <v>#N/A</v>
      </c>
      <c r="K138" s="6" t="e">
        <v>#N/A</v>
      </c>
      <c r="N138" s="6" t="e">
        <v>#N/A</v>
      </c>
      <c r="O138" s="6" t="e">
        <v>#N/A</v>
      </c>
      <c r="R138" s="101" t="e">
        <v>#N/A</v>
      </c>
      <c r="Y138" s="6" t="e">
        <v>#N/A</v>
      </c>
      <c r="Z138" s="6" t="e">
        <v>#N/A</v>
      </c>
      <c r="AA138" s="6" t="e">
        <v>#N/A</v>
      </c>
      <c r="AD138" s="6" t="e">
        <v>#N/A</v>
      </c>
      <c r="AE138" s="6" t="e">
        <v>#N/A</v>
      </c>
      <c r="AG138" s="6" t="e">
        <v>#N/A</v>
      </c>
      <c r="AY138" s="8" t="s">
        <v>176</v>
      </c>
      <c r="AZ138" s="8" t="s">
        <v>195</v>
      </c>
      <c r="BA138" s="13" t="s">
        <v>656</v>
      </c>
      <c r="BB138" s="13" t="s">
        <v>200</v>
      </c>
      <c r="BC138" s="13">
        <v>47</v>
      </c>
      <c r="BD138" s="13">
        <v>48</v>
      </c>
      <c r="DC138" s="6" t="s">
        <v>644</v>
      </c>
      <c r="DD138" s="6" t="s">
        <v>187</v>
      </c>
      <c r="DH138" s="6" t="str">
        <f t="shared" si="68"/>
        <v>A24</v>
      </c>
      <c r="DI138" s="6" t="str">
        <f t="shared" si="69"/>
        <v>B24</v>
      </c>
      <c r="DK138" s="6" t="s">
        <v>173</v>
      </c>
      <c r="DL138" s="6" t="str">
        <f t="shared" si="70"/>
        <v/>
      </c>
      <c r="DO138" s="9" t="s">
        <v>170</v>
      </c>
      <c r="DP138" s="6" t="s">
        <v>171</v>
      </c>
      <c r="DQ138" s="6" t="s">
        <v>645</v>
      </c>
      <c r="DS138" s="6" t="str">
        <f t="shared" si="63"/>
        <v>AKB331</v>
      </c>
      <c r="DT138" s="10" t="str">
        <f t="shared" si="64"/>
        <v>FCS0111-3-5/1S–MC–127-R1-CN1</v>
      </c>
      <c r="DU138" s="6" t="str">
        <f t="shared" si="65"/>
        <v/>
      </c>
      <c r="DV138" s="19">
        <v>1</v>
      </c>
      <c r="DW138" s="20" t="str">
        <f t="shared" si="66"/>
        <v>11</v>
      </c>
      <c r="DX138" s="21">
        <v>3</v>
      </c>
      <c r="DY138" s="22">
        <v>5</v>
      </c>
      <c r="DZ138" s="23" t="s">
        <v>204</v>
      </c>
      <c r="EA138" s="23">
        <v>24</v>
      </c>
      <c r="ED138" s="9" t="str">
        <f t="shared" si="67"/>
        <v>ANB10D</v>
      </c>
      <c r="EF138" s="6" t="s">
        <v>647</v>
      </c>
      <c r="EH138" s="6" t="s">
        <v>699</v>
      </c>
      <c r="EI138" s="6" t="s">
        <v>700</v>
      </c>
      <c r="EJ138" s="12">
        <v>9</v>
      </c>
      <c r="EK138" s="12"/>
      <c r="EM138" s="12"/>
      <c r="EN138" s="25" t="s">
        <v>1121</v>
      </c>
      <c r="EP138" s="6" t="s">
        <v>1153</v>
      </c>
      <c r="ER138" s="6" t="str">
        <f>MID(EH138,3,8)</f>
        <v>P4008A</v>
      </c>
      <c r="ET138" s="6" t="str">
        <f t="shared" si="75"/>
        <v>짝수</v>
      </c>
      <c r="EU138" s="12">
        <v>40</v>
      </c>
      <c r="EV138" s="45" t="str">
        <f t="shared" ca="1" si="80"/>
        <v>A</v>
      </c>
      <c r="EW138" s="6">
        <f t="shared" ca="1" si="76"/>
        <v>65</v>
      </c>
      <c r="FR138" s="6">
        <v>1</v>
      </c>
      <c r="FS138" s="6" t="str">
        <f t="shared" si="77"/>
        <v/>
      </c>
      <c r="FT138" s="6">
        <f t="shared" si="78"/>
        <v>1</v>
      </c>
      <c r="FU138" s="6" t="str">
        <f t="shared" ca="1" si="50"/>
        <v/>
      </c>
      <c r="FV138" s="6" t="str">
        <f t="shared" ca="1" si="79"/>
        <v/>
      </c>
      <c r="FW138" s="6" t="str">
        <f t="shared" ca="1" si="71"/>
        <v>R1-11</v>
      </c>
      <c r="FX138" s="6" t="str">
        <f t="shared" ca="1" si="72"/>
        <v>R1-12</v>
      </c>
      <c r="FY138" s="6" t="str">
        <f t="shared" ca="1" si="73"/>
        <v>R1-21</v>
      </c>
      <c r="FZ138" s="6" t="str">
        <f t="shared" ca="1" si="74"/>
        <v>R1-22</v>
      </c>
    </row>
    <row r="139" spans="1:182" ht="15.95" customHeight="1">
      <c r="A139" s="6">
        <v>217</v>
      </c>
      <c r="B139" s="6" t="s">
        <v>175</v>
      </c>
      <c r="E139" s="6" t="s">
        <v>701</v>
      </c>
      <c r="F139" s="6" t="s">
        <v>1391</v>
      </c>
      <c r="G139" s="6" t="s">
        <v>1290</v>
      </c>
      <c r="H139" s="7" t="s">
        <v>1291</v>
      </c>
      <c r="I139" s="7"/>
      <c r="J139" s="6" t="e">
        <v>#N/A</v>
      </c>
      <c r="K139" s="6" t="e">
        <v>#N/A</v>
      </c>
      <c r="N139" s="6" t="e">
        <v>#N/A</v>
      </c>
      <c r="O139" s="6" t="e">
        <v>#N/A</v>
      </c>
      <c r="R139" s="101" t="e">
        <v>#N/A</v>
      </c>
      <c r="Y139" s="6" t="e">
        <v>#N/A</v>
      </c>
      <c r="Z139" s="6" t="e">
        <v>#N/A</v>
      </c>
      <c r="AA139" s="6" t="e">
        <v>#N/A</v>
      </c>
      <c r="AD139" s="6" t="e">
        <v>#N/A</v>
      </c>
      <c r="AE139" s="6" t="e">
        <v>#N/A</v>
      </c>
      <c r="AG139" s="6" t="e">
        <v>#N/A</v>
      </c>
      <c r="AY139" s="8" t="s">
        <v>176</v>
      </c>
      <c r="AZ139" s="8" t="s">
        <v>195</v>
      </c>
      <c r="BA139" s="13" t="s">
        <v>656</v>
      </c>
      <c r="BB139" s="13" t="s">
        <v>200</v>
      </c>
      <c r="BC139" s="13">
        <v>49</v>
      </c>
      <c r="BD139" s="13">
        <v>50</v>
      </c>
      <c r="DC139" s="6" t="s">
        <v>644</v>
      </c>
      <c r="DD139" s="6" t="s">
        <v>187</v>
      </c>
      <c r="DH139" s="6" t="str">
        <f t="shared" si="68"/>
        <v>A25</v>
      </c>
      <c r="DI139" s="6" t="str">
        <f t="shared" si="69"/>
        <v>B25</v>
      </c>
      <c r="DK139" s="6" t="s">
        <v>173</v>
      </c>
      <c r="DL139" s="6" t="str">
        <f t="shared" si="70"/>
        <v/>
      </c>
      <c r="DO139" s="9" t="s">
        <v>170</v>
      </c>
      <c r="DP139" s="6" t="s">
        <v>171</v>
      </c>
      <c r="DQ139" s="6" t="s">
        <v>645</v>
      </c>
      <c r="DS139" s="6" t="str">
        <f t="shared" si="63"/>
        <v>AKB331</v>
      </c>
      <c r="DT139" s="10" t="str">
        <f t="shared" si="64"/>
        <v>FCS0111-3-5/1S–MC–127-R1-CN1</v>
      </c>
      <c r="DU139" s="6" t="str">
        <f t="shared" si="65"/>
        <v/>
      </c>
      <c r="DV139" s="19">
        <v>1</v>
      </c>
      <c r="DW139" s="20" t="str">
        <f t="shared" si="66"/>
        <v>11</v>
      </c>
      <c r="DX139" s="21">
        <v>3</v>
      </c>
      <c r="DY139" s="22">
        <v>5</v>
      </c>
      <c r="DZ139" s="23" t="s">
        <v>204</v>
      </c>
      <c r="EA139" s="23">
        <v>25</v>
      </c>
      <c r="ED139" s="9" t="str">
        <f t="shared" si="67"/>
        <v>ANB10D</v>
      </c>
      <c r="EF139" s="6" t="s">
        <v>647</v>
      </c>
      <c r="EH139" s="6" t="s">
        <v>701</v>
      </c>
      <c r="EI139" s="6" t="s">
        <v>700</v>
      </c>
      <c r="EJ139" s="12">
        <v>9</v>
      </c>
      <c r="EK139" s="12"/>
      <c r="EM139" s="12"/>
      <c r="EN139" s="25" t="s">
        <v>1121</v>
      </c>
      <c r="ET139" s="6" t="str">
        <f t="shared" si="75"/>
        <v>짝수</v>
      </c>
      <c r="EU139" s="12">
        <v>40</v>
      </c>
      <c r="EV139" s="45" t="str">
        <f t="shared" ca="1" si="80"/>
        <v>B</v>
      </c>
      <c r="EW139" s="6">
        <f t="shared" ca="1" si="76"/>
        <v>66</v>
      </c>
      <c r="FA139" s="6" t="str">
        <f>ER138&amp;"INT"</f>
        <v>P4008AINT</v>
      </c>
      <c r="FR139" s="6">
        <v>1</v>
      </c>
      <c r="FS139" s="6" t="str">
        <f t="shared" si="77"/>
        <v/>
      </c>
      <c r="FT139" s="6">
        <f t="shared" si="78"/>
        <v>1</v>
      </c>
      <c r="FU139" s="6" t="str">
        <f t="shared" ref="FU139:FU202" ca="1" si="81">IF(AND(FS139="",OFFSET(FS139,0,1)="",DC139="A1BA4D"),"",IF(DC139="A1BD5D","",DD139&amp;"-11"))</f>
        <v/>
      </c>
      <c r="FV139" s="6" t="str">
        <f t="shared" ca="1" si="79"/>
        <v/>
      </c>
      <c r="FW139" s="6" t="str">
        <f t="shared" ca="1" si="71"/>
        <v>R1-11</v>
      </c>
      <c r="FX139" s="6" t="str">
        <f t="shared" ca="1" si="72"/>
        <v>R1-12</v>
      </c>
      <c r="FY139" s="6" t="str">
        <f t="shared" ca="1" si="73"/>
        <v>R1-21</v>
      </c>
      <c r="FZ139" s="6" t="str">
        <f t="shared" ca="1" si="74"/>
        <v>R1-22</v>
      </c>
    </row>
    <row r="140" spans="1:182" ht="15.95" customHeight="1">
      <c r="A140" s="6">
        <v>282</v>
      </c>
      <c r="B140" s="6" t="s">
        <v>175</v>
      </c>
      <c r="E140" s="6" t="s">
        <v>738</v>
      </c>
      <c r="F140" s="6" t="s">
        <v>1392</v>
      </c>
      <c r="G140" s="6" t="s">
        <v>1290</v>
      </c>
      <c r="H140" s="7" t="s">
        <v>1291</v>
      </c>
      <c r="I140" s="7"/>
      <c r="J140" s="6" t="e">
        <v>#N/A</v>
      </c>
      <c r="K140" s="6" t="e">
        <v>#N/A</v>
      </c>
      <c r="N140" s="6" t="e">
        <v>#N/A</v>
      </c>
      <c r="O140" s="6" t="e">
        <v>#N/A</v>
      </c>
      <c r="R140" s="101" t="e">
        <v>#N/A</v>
      </c>
      <c r="Y140" s="6" t="e">
        <v>#N/A</v>
      </c>
      <c r="Z140" s="6" t="e">
        <v>#N/A</v>
      </c>
      <c r="AA140" s="6" t="e">
        <v>#N/A</v>
      </c>
      <c r="AD140" s="6" t="e">
        <v>#N/A</v>
      </c>
      <c r="AE140" s="6" t="e">
        <v>#N/A</v>
      </c>
      <c r="AG140" s="6" t="e">
        <v>#N/A</v>
      </c>
      <c r="AY140" s="8" t="s">
        <v>176</v>
      </c>
      <c r="AZ140" s="8" t="s">
        <v>195</v>
      </c>
      <c r="BA140" s="13" t="s">
        <v>656</v>
      </c>
      <c r="BB140" s="13" t="s">
        <v>7</v>
      </c>
      <c r="BC140" s="13">
        <v>71</v>
      </c>
      <c r="BD140" s="13">
        <v>72</v>
      </c>
      <c r="DC140" s="6" t="s">
        <v>723</v>
      </c>
      <c r="DD140" s="6" t="s">
        <v>201</v>
      </c>
      <c r="DH140" s="6" t="str">
        <f t="shared" ref="DH140:DH145" si="82">"A"&amp;EA140</f>
        <v>A26</v>
      </c>
      <c r="DI140" s="6" t="str">
        <f t="shared" ref="DI140:DI145" si="83">"B"&amp;EA140</f>
        <v>B26</v>
      </c>
      <c r="DK140" s="6" t="s">
        <v>173</v>
      </c>
      <c r="DL140" s="6" t="str">
        <f t="shared" ref="DL140:DL145" si="84">IF(DZ140&lt;&gt;"","CN2","")</f>
        <v>CN2</v>
      </c>
      <c r="DO140" s="9" t="s">
        <v>170</v>
      </c>
      <c r="DP140" s="6" t="s">
        <v>171</v>
      </c>
      <c r="DQ140" s="6" t="s">
        <v>645</v>
      </c>
      <c r="DS140" s="6" t="str">
        <f t="shared" ref="DS140:DS145" si="85">IF(MID(EF140,2,1)="A","KS1","AKB331")</f>
        <v>AKB331</v>
      </c>
      <c r="DT140" s="10" t="str">
        <f t="shared" ref="DT140:DT145" si="86">DQ140&amp;"-"&amp;DX140&amp;"-"&amp;DY140&amp;"/"&amp;BA140&amp;"-"&amp;DD140&amp;"-"&amp;DK140</f>
        <v>FCS0111-3-7/1S–MC–127-F2-CN1</v>
      </c>
      <c r="DU140" s="6" t="str">
        <f t="shared" ref="DU140:DU145" si="87">IF(DL140="","",DQ140&amp;"-"&amp;DX140&amp;"-"&amp;DY140&amp;"/"&amp;BA140&amp;"-"&amp;DD140&amp;"-"&amp;DL140)</f>
        <v>FCS0111-3-7/1S–MC–127-F2-CN2</v>
      </c>
      <c r="DV140" s="19">
        <v>1</v>
      </c>
      <c r="DW140" s="20" t="str">
        <f t="shared" ref="DW140:DW145" si="88">RIGHT(DQ140,2)</f>
        <v>11</v>
      </c>
      <c r="DX140" s="21">
        <v>3</v>
      </c>
      <c r="DY140" s="22">
        <v>7</v>
      </c>
      <c r="DZ140" s="23">
        <v>8</v>
      </c>
      <c r="EA140" s="23">
        <v>26</v>
      </c>
      <c r="ED140" s="9" t="str">
        <f t="shared" ref="ED140:ED145" si="89">IF(DX140="1","AFV30D","ANB10D")</f>
        <v>ANB10D</v>
      </c>
      <c r="EF140" s="6" t="s">
        <v>672</v>
      </c>
      <c r="EH140" s="6" t="s">
        <v>738</v>
      </c>
      <c r="EI140" s="6" t="s">
        <v>700</v>
      </c>
      <c r="EJ140" s="12">
        <v>9</v>
      </c>
      <c r="EK140" s="12"/>
      <c r="EM140" s="12"/>
      <c r="EN140" s="25" t="s">
        <v>1121</v>
      </c>
      <c r="ET140" s="6" t="str">
        <f t="shared" si="75"/>
        <v>짝수</v>
      </c>
      <c r="EU140" s="12">
        <v>40</v>
      </c>
      <c r="EV140" s="45" t="str">
        <f t="shared" ca="1" si="80"/>
        <v>C</v>
      </c>
      <c r="EW140" s="6">
        <f t="shared" ca="1" si="76"/>
        <v>67</v>
      </c>
      <c r="FR140" s="6">
        <v>1</v>
      </c>
      <c r="FS140" s="6">
        <f t="shared" si="77"/>
        <v>1</v>
      </c>
      <c r="FT140" s="6" t="str">
        <f t="shared" si="78"/>
        <v/>
      </c>
      <c r="FU140" s="6" t="str">
        <f t="shared" ca="1" si="81"/>
        <v>F2-11</v>
      </c>
      <c r="FV140" s="6" t="str">
        <f t="shared" ca="1" si="79"/>
        <v>F2-12</v>
      </c>
      <c r="FW140" s="6" t="str">
        <f t="shared" ca="1" si="71"/>
        <v/>
      </c>
      <c r="FX140" s="6" t="str">
        <f t="shared" ca="1" si="72"/>
        <v/>
      </c>
      <c r="FY140" s="6" t="str">
        <f t="shared" ca="1" si="73"/>
        <v/>
      </c>
      <c r="FZ140" s="6" t="str">
        <f t="shared" ca="1" si="74"/>
        <v/>
      </c>
    </row>
    <row r="141" spans="1:182" ht="15.95" customHeight="1">
      <c r="A141" s="6">
        <v>281</v>
      </c>
      <c r="B141" s="6" t="s">
        <v>175</v>
      </c>
      <c r="E141" s="6" t="s">
        <v>737</v>
      </c>
      <c r="F141" s="6" t="s">
        <v>1393</v>
      </c>
      <c r="G141" s="6" t="s">
        <v>1290</v>
      </c>
      <c r="H141" s="7" t="s">
        <v>1291</v>
      </c>
      <c r="I141" s="7"/>
      <c r="J141" s="6" t="e">
        <v>#N/A</v>
      </c>
      <c r="K141" s="6" t="e">
        <v>#N/A</v>
      </c>
      <c r="N141" s="6" t="e">
        <v>#N/A</v>
      </c>
      <c r="O141" s="6" t="e">
        <v>#N/A</v>
      </c>
      <c r="R141" s="101" t="e">
        <v>#N/A</v>
      </c>
      <c r="Y141" s="6" t="e">
        <v>#N/A</v>
      </c>
      <c r="Z141" s="6" t="e">
        <v>#N/A</v>
      </c>
      <c r="AA141" s="6" t="e">
        <v>#N/A</v>
      </c>
      <c r="AD141" s="6" t="e">
        <v>#N/A</v>
      </c>
      <c r="AE141" s="6" t="e">
        <v>#N/A</v>
      </c>
      <c r="AG141" s="6" t="e">
        <v>#N/A</v>
      </c>
      <c r="AY141" s="8" t="s">
        <v>176</v>
      </c>
      <c r="AZ141" s="8" t="s">
        <v>195</v>
      </c>
      <c r="BA141" s="13" t="s">
        <v>656</v>
      </c>
      <c r="BB141" s="13" t="s">
        <v>7</v>
      </c>
      <c r="BC141" s="13">
        <v>69</v>
      </c>
      <c r="BD141" s="13">
        <v>70</v>
      </c>
      <c r="DC141" s="6" t="s">
        <v>723</v>
      </c>
      <c r="DD141" s="6" t="s">
        <v>201</v>
      </c>
      <c r="DH141" s="6" t="str">
        <f t="shared" si="82"/>
        <v>A25</v>
      </c>
      <c r="DI141" s="6" t="str">
        <f t="shared" si="83"/>
        <v>B25</v>
      </c>
      <c r="DK141" s="6" t="s">
        <v>173</v>
      </c>
      <c r="DL141" s="6" t="str">
        <f t="shared" si="84"/>
        <v>CN2</v>
      </c>
      <c r="DO141" s="9" t="s">
        <v>170</v>
      </c>
      <c r="DP141" s="6" t="s">
        <v>171</v>
      </c>
      <c r="DQ141" s="6" t="s">
        <v>645</v>
      </c>
      <c r="DS141" s="6" t="str">
        <f t="shared" si="85"/>
        <v>AKB331</v>
      </c>
      <c r="DT141" s="10" t="str">
        <f t="shared" si="86"/>
        <v>FCS0111-3-7/1S–MC–127-F2-CN1</v>
      </c>
      <c r="DU141" s="6" t="str">
        <f t="shared" si="87"/>
        <v>FCS0111-3-7/1S–MC–127-F2-CN2</v>
      </c>
      <c r="DV141" s="19">
        <v>1</v>
      </c>
      <c r="DW141" s="20" t="str">
        <f t="shared" si="88"/>
        <v>11</v>
      </c>
      <c r="DX141" s="21">
        <v>3</v>
      </c>
      <c r="DY141" s="22">
        <v>7</v>
      </c>
      <c r="DZ141" s="23">
        <v>8</v>
      </c>
      <c r="EA141" s="23">
        <v>25</v>
      </c>
      <c r="ED141" s="9" t="str">
        <f t="shared" si="89"/>
        <v>ANB10D</v>
      </c>
      <c r="EF141" s="6" t="s">
        <v>672</v>
      </c>
      <c r="EH141" s="6" t="s">
        <v>737</v>
      </c>
      <c r="EI141" s="6" t="s">
        <v>700</v>
      </c>
      <c r="EJ141" s="12">
        <v>9</v>
      </c>
      <c r="EK141" s="12"/>
      <c r="EM141" s="12"/>
      <c r="EN141" s="25" t="s">
        <v>1121</v>
      </c>
      <c r="ET141" s="6" t="str">
        <f t="shared" si="75"/>
        <v>짝수</v>
      </c>
      <c r="EU141" s="12">
        <v>40</v>
      </c>
      <c r="EV141" s="45" t="str">
        <f t="shared" ca="1" si="80"/>
        <v>D</v>
      </c>
      <c r="EW141" s="6">
        <f t="shared" ca="1" si="76"/>
        <v>68</v>
      </c>
      <c r="FR141" s="6">
        <v>1</v>
      </c>
      <c r="FS141" s="6">
        <f t="shared" si="77"/>
        <v>1</v>
      </c>
      <c r="FT141" s="6" t="str">
        <f t="shared" si="78"/>
        <v/>
      </c>
      <c r="FU141" s="6" t="str">
        <f t="shared" ca="1" si="81"/>
        <v>F2-11</v>
      </c>
      <c r="FV141" s="6" t="str">
        <f t="shared" ca="1" si="79"/>
        <v>F2-12</v>
      </c>
      <c r="FW141" s="6" t="str">
        <f t="shared" ca="1" si="71"/>
        <v/>
      </c>
      <c r="FX141" s="6" t="str">
        <f t="shared" ca="1" si="72"/>
        <v/>
      </c>
      <c r="FY141" s="6" t="str">
        <f t="shared" ca="1" si="73"/>
        <v/>
      </c>
      <c r="FZ141" s="6" t="str">
        <f t="shared" ca="1" si="74"/>
        <v/>
      </c>
    </row>
    <row r="142" spans="1:182" ht="15.95" customHeight="1">
      <c r="A142" s="6">
        <v>213</v>
      </c>
      <c r="B142" s="6" t="s">
        <v>175</v>
      </c>
      <c r="E142" s="6" t="s">
        <v>696</v>
      </c>
      <c r="F142" s="6" t="s">
        <v>1394</v>
      </c>
      <c r="G142" s="6" t="s">
        <v>1290</v>
      </c>
      <c r="H142" s="7" t="s">
        <v>1291</v>
      </c>
      <c r="I142" s="7"/>
      <c r="J142" s="6" t="e">
        <v>#N/A</v>
      </c>
      <c r="K142" s="6" t="e">
        <v>#N/A</v>
      </c>
      <c r="N142" s="6" t="e">
        <v>#N/A</v>
      </c>
      <c r="O142" s="6" t="e">
        <v>#N/A</v>
      </c>
      <c r="R142" s="101" t="e">
        <v>#N/A</v>
      </c>
      <c r="Y142" s="6" t="e">
        <v>#N/A</v>
      </c>
      <c r="Z142" s="6" t="e">
        <v>#N/A</v>
      </c>
      <c r="AA142" s="6" t="e">
        <v>#N/A</v>
      </c>
      <c r="AD142" s="6" t="e">
        <v>#N/A</v>
      </c>
      <c r="AE142" s="6" t="e">
        <v>#N/A</v>
      </c>
      <c r="AG142" s="6" t="e">
        <v>#N/A</v>
      </c>
      <c r="AY142" s="8" t="s">
        <v>176</v>
      </c>
      <c r="AZ142" s="8" t="s">
        <v>195</v>
      </c>
      <c r="BA142" s="13" t="s">
        <v>656</v>
      </c>
      <c r="BB142" s="13" t="s">
        <v>200</v>
      </c>
      <c r="BC142" s="13">
        <v>41</v>
      </c>
      <c r="BD142" s="13">
        <v>42</v>
      </c>
      <c r="DC142" s="6" t="s">
        <v>644</v>
      </c>
      <c r="DD142" s="6" t="s">
        <v>187</v>
      </c>
      <c r="DH142" s="6" t="str">
        <f t="shared" si="82"/>
        <v>A21</v>
      </c>
      <c r="DI142" s="6" t="str">
        <f t="shared" si="83"/>
        <v>B21</v>
      </c>
      <c r="DK142" s="6" t="s">
        <v>173</v>
      </c>
      <c r="DL142" s="6" t="str">
        <f t="shared" si="84"/>
        <v/>
      </c>
      <c r="DO142" s="9" t="s">
        <v>170</v>
      </c>
      <c r="DP142" s="6" t="s">
        <v>171</v>
      </c>
      <c r="DQ142" s="6" t="s">
        <v>645</v>
      </c>
      <c r="DS142" s="6" t="str">
        <f t="shared" si="85"/>
        <v>AKB331</v>
      </c>
      <c r="DT142" s="10" t="str">
        <f t="shared" si="86"/>
        <v>FCS0111-3-5/1S–MC–127-R1-CN1</v>
      </c>
      <c r="DU142" s="6" t="str">
        <f t="shared" si="87"/>
        <v/>
      </c>
      <c r="DV142" s="19">
        <v>1</v>
      </c>
      <c r="DW142" s="20" t="str">
        <f t="shared" si="88"/>
        <v>11</v>
      </c>
      <c r="DX142" s="21">
        <v>3</v>
      </c>
      <c r="DY142" s="22">
        <v>5</v>
      </c>
      <c r="DZ142" s="23" t="s">
        <v>204</v>
      </c>
      <c r="EA142" s="23">
        <v>21</v>
      </c>
      <c r="ED142" s="9" t="str">
        <f t="shared" si="89"/>
        <v>ANB10D</v>
      </c>
      <c r="EF142" s="6" t="s">
        <v>647</v>
      </c>
      <c r="EH142" s="6" t="s">
        <v>696</v>
      </c>
      <c r="EI142" s="6" t="s">
        <v>697</v>
      </c>
      <c r="EJ142" s="12">
        <v>12</v>
      </c>
      <c r="EK142" s="12"/>
      <c r="EM142" s="12"/>
      <c r="EN142" s="12" t="s">
        <v>1121</v>
      </c>
      <c r="EP142" s="6" t="s">
        <v>1154</v>
      </c>
      <c r="ER142" s="6" t="str">
        <f>MID(EH142,3,6)</f>
        <v>P4011A</v>
      </c>
      <c r="ET142" s="6" t="str">
        <f t="shared" si="75"/>
        <v>홀수</v>
      </c>
      <c r="EU142" s="12">
        <v>41</v>
      </c>
      <c r="EV142" s="45" t="str">
        <f t="shared" ca="1" si="80"/>
        <v>A</v>
      </c>
      <c r="EW142" s="6">
        <f t="shared" ca="1" si="76"/>
        <v>65</v>
      </c>
      <c r="EZ142" s="6" t="str">
        <f>ER142&amp;"INT"</f>
        <v>P4011AINT</v>
      </c>
      <c r="FA142" s="6" t="str">
        <f>ER142&amp;"INT"</f>
        <v>P4011AINT</v>
      </c>
      <c r="FR142" s="6">
        <v>1</v>
      </c>
      <c r="FS142" s="6" t="str">
        <f t="shared" si="77"/>
        <v/>
      </c>
      <c r="FT142" s="6">
        <f t="shared" si="78"/>
        <v>1</v>
      </c>
      <c r="FU142" s="6" t="str">
        <f t="shared" ca="1" si="81"/>
        <v/>
      </c>
      <c r="FV142" s="6" t="str">
        <f t="shared" ca="1" si="79"/>
        <v/>
      </c>
      <c r="FW142" s="6" t="str">
        <f t="shared" ca="1" si="71"/>
        <v>R1-11</v>
      </c>
      <c r="FX142" s="6" t="str">
        <f t="shared" ca="1" si="72"/>
        <v>R1-12</v>
      </c>
      <c r="FY142" s="6" t="str">
        <f t="shared" ca="1" si="73"/>
        <v>R1-21</v>
      </c>
      <c r="FZ142" s="6" t="str">
        <f t="shared" ca="1" si="74"/>
        <v>R1-22</v>
      </c>
    </row>
    <row r="143" spans="1:182" ht="15.95" customHeight="1">
      <c r="A143" s="6">
        <v>277</v>
      </c>
      <c r="B143" s="6" t="s">
        <v>175</v>
      </c>
      <c r="E143" s="6" t="s">
        <v>735</v>
      </c>
      <c r="F143" s="6" t="s">
        <v>1395</v>
      </c>
      <c r="G143" s="6" t="s">
        <v>1290</v>
      </c>
      <c r="H143" s="7" t="s">
        <v>1291</v>
      </c>
      <c r="I143" s="7"/>
      <c r="J143" s="6" t="e">
        <v>#N/A</v>
      </c>
      <c r="K143" s="6" t="e">
        <v>#N/A</v>
      </c>
      <c r="N143" s="6" t="e">
        <v>#N/A</v>
      </c>
      <c r="O143" s="6" t="e">
        <v>#N/A</v>
      </c>
      <c r="R143" s="101" t="e">
        <v>#N/A</v>
      </c>
      <c r="Y143" s="6" t="e">
        <v>#N/A</v>
      </c>
      <c r="Z143" s="6" t="e">
        <v>#N/A</v>
      </c>
      <c r="AA143" s="6" t="e">
        <v>#N/A</v>
      </c>
      <c r="AD143" s="6" t="e">
        <v>#N/A</v>
      </c>
      <c r="AE143" s="6" t="e">
        <v>#N/A</v>
      </c>
      <c r="AG143" s="6" t="e">
        <v>#N/A</v>
      </c>
      <c r="AY143" s="8" t="s">
        <v>176</v>
      </c>
      <c r="AZ143" s="8" t="s">
        <v>195</v>
      </c>
      <c r="BA143" s="13" t="s">
        <v>656</v>
      </c>
      <c r="BB143" s="13" t="s">
        <v>7</v>
      </c>
      <c r="BC143" s="13">
        <v>61</v>
      </c>
      <c r="BD143" s="13">
        <v>62</v>
      </c>
      <c r="DC143" s="6" t="s">
        <v>723</v>
      </c>
      <c r="DD143" s="6" t="s">
        <v>201</v>
      </c>
      <c r="DH143" s="6" t="str">
        <f t="shared" si="82"/>
        <v>A21</v>
      </c>
      <c r="DI143" s="6" t="str">
        <f t="shared" si="83"/>
        <v>B21</v>
      </c>
      <c r="DK143" s="6" t="s">
        <v>173</v>
      </c>
      <c r="DL143" s="6" t="str">
        <f t="shared" si="84"/>
        <v>CN2</v>
      </c>
      <c r="DO143" s="9" t="s">
        <v>170</v>
      </c>
      <c r="DP143" s="6" t="s">
        <v>171</v>
      </c>
      <c r="DQ143" s="6" t="s">
        <v>645</v>
      </c>
      <c r="DS143" s="6" t="str">
        <f t="shared" si="85"/>
        <v>AKB331</v>
      </c>
      <c r="DT143" s="10" t="str">
        <f t="shared" si="86"/>
        <v>FCS0111-3-7/1S–MC–127-F2-CN1</v>
      </c>
      <c r="DU143" s="6" t="str">
        <f t="shared" si="87"/>
        <v>FCS0111-3-7/1S–MC–127-F2-CN2</v>
      </c>
      <c r="DV143" s="19">
        <v>1</v>
      </c>
      <c r="DW143" s="20" t="str">
        <f t="shared" si="88"/>
        <v>11</v>
      </c>
      <c r="DX143" s="21">
        <v>3</v>
      </c>
      <c r="DY143" s="22">
        <v>7</v>
      </c>
      <c r="DZ143" s="23">
        <v>8</v>
      </c>
      <c r="EA143" s="23">
        <v>21</v>
      </c>
      <c r="ED143" s="9" t="str">
        <f t="shared" si="89"/>
        <v>ANB10D</v>
      </c>
      <c r="EF143" s="6" t="s">
        <v>672</v>
      </c>
      <c r="EH143" s="6" t="s">
        <v>735</v>
      </c>
      <c r="EI143" s="6" t="s">
        <v>697</v>
      </c>
      <c r="EJ143" s="12">
        <v>12</v>
      </c>
      <c r="EK143" s="12"/>
      <c r="EM143" s="12"/>
      <c r="EN143" s="12" t="s">
        <v>1121</v>
      </c>
      <c r="ET143" s="6" t="str">
        <f t="shared" si="75"/>
        <v>홀수</v>
      </c>
      <c r="EU143" s="12">
        <v>41</v>
      </c>
      <c r="EV143" s="45" t="str">
        <f t="shared" ca="1" si="80"/>
        <v>B</v>
      </c>
      <c r="EW143" s="6">
        <f t="shared" ca="1" si="76"/>
        <v>66</v>
      </c>
      <c r="FR143" s="6">
        <v>1</v>
      </c>
      <c r="FS143" s="6">
        <f t="shared" si="77"/>
        <v>1</v>
      </c>
      <c r="FT143" s="6" t="str">
        <f t="shared" si="78"/>
        <v/>
      </c>
      <c r="FU143" s="6" t="str">
        <f t="shared" ca="1" si="81"/>
        <v>F2-11</v>
      </c>
      <c r="FV143" s="6" t="str">
        <f t="shared" ca="1" si="79"/>
        <v>F2-12</v>
      </c>
      <c r="FW143" s="6" t="str">
        <f t="shared" ca="1" si="71"/>
        <v/>
      </c>
      <c r="FX143" s="6" t="str">
        <f t="shared" ca="1" si="72"/>
        <v/>
      </c>
      <c r="FY143" s="6" t="str">
        <f t="shared" ca="1" si="73"/>
        <v/>
      </c>
      <c r="FZ143" s="6" t="str">
        <f t="shared" ca="1" si="74"/>
        <v/>
      </c>
    </row>
    <row r="144" spans="1:182" ht="15.95" customHeight="1">
      <c r="A144" s="6">
        <v>215</v>
      </c>
      <c r="B144" s="6" t="s">
        <v>175</v>
      </c>
      <c r="E144" s="6" t="s">
        <v>698</v>
      </c>
      <c r="F144" s="6" t="s">
        <v>1396</v>
      </c>
      <c r="G144" s="6" t="s">
        <v>1290</v>
      </c>
      <c r="H144" s="7" t="s">
        <v>1291</v>
      </c>
      <c r="I144" s="7"/>
      <c r="J144" s="6" t="e">
        <v>#N/A</v>
      </c>
      <c r="K144" s="6" t="e">
        <v>#N/A</v>
      </c>
      <c r="N144" s="6" t="e">
        <v>#N/A</v>
      </c>
      <c r="O144" s="6" t="e">
        <v>#N/A</v>
      </c>
      <c r="R144" s="101" t="e">
        <v>#N/A</v>
      </c>
      <c r="Y144" s="6" t="e">
        <v>#N/A</v>
      </c>
      <c r="Z144" s="6" t="e">
        <v>#N/A</v>
      </c>
      <c r="AA144" s="6" t="e">
        <v>#N/A</v>
      </c>
      <c r="AD144" s="6" t="e">
        <v>#N/A</v>
      </c>
      <c r="AE144" s="6" t="e">
        <v>#N/A</v>
      </c>
      <c r="AG144" s="6" t="e">
        <v>#N/A</v>
      </c>
      <c r="AY144" s="8" t="s">
        <v>176</v>
      </c>
      <c r="AZ144" s="8" t="s">
        <v>195</v>
      </c>
      <c r="BA144" s="13" t="s">
        <v>656</v>
      </c>
      <c r="BB144" s="13" t="s">
        <v>200</v>
      </c>
      <c r="BC144" s="13">
        <v>45</v>
      </c>
      <c r="BD144" s="13">
        <v>46</v>
      </c>
      <c r="DC144" s="6" t="s">
        <v>644</v>
      </c>
      <c r="DD144" s="6" t="s">
        <v>187</v>
      </c>
      <c r="DH144" s="6" t="str">
        <f t="shared" si="82"/>
        <v>A23</v>
      </c>
      <c r="DI144" s="6" t="str">
        <f t="shared" si="83"/>
        <v>B23</v>
      </c>
      <c r="DK144" s="6" t="s">
        <v>173</v>
      </c>
      <c r="DL144" s="6" t="str">
        <f t="shared" si="84"/>
        <v/>
      </c>
      <c r="DO144" s="9" t="s">
        <v>170</v>
      </c>
      <c r="DP144" s="6" t="s">
        <v>171</v>
      </c>
      <c r="DQ144" s="6" t="s">
        <v>645</v>
      </c>
      <c r="DS144" s="6" t="str">
        <f t="shared" si="85"/>
        <v>AKB331</v>
      </c>
      <c r="DT144" s="10" t="str">
        <f t="shared" si="86"/>
        <v>FCS0111-3-5/1S–MC–127-R1-CN1</v>
      </c>
      <c r="DU144" s="6" t="str">
        <f t="shared" si="87"/>
        <v/>
      </c>
      <c r="DV144" s="19">
        <v>1</v>
      </c>
      <c r="DW144" s="20" t="str">
        <f t="shared" si="88"/>
        <v>11</v>
      </c>
      <c r="DX144" s="21">
        <v>3</v>
      </c>
      <c r="DY144" s="22">
        <v>5</v>
      </c>
      <c r="DZ144" s="23" t="s">
        <v>204</v>
      </c>
      <c r="EA144" s="23">
        <v>23</v>
      </c>
      <c r="ED144" s="9" t="str">
        <f t="shared" si="89"/>
        <v>ANB10D</v>
      </c>
      <c r="EF144" s="6" t="s">
        <v>647</v>
      </c>
      <c r="EH144" s="6" t="s">
        <v>698</v>
      </c>
      <c r="EI144" s="6" t="s">
        <v>697</v>
      </c>
      <c r="EJ144" s="12">
        <v>12</v>
      </c>
      <c r="EK144" s="12"/>
      <c r="EM144" s="12"/>
      <c r="EN144" s="12" t="s">
        <v>1121</v>
      </c>
      <c r="EP144" s="6" t="s">
        <v>1154</v>
      </c>
      <c r="ER144" s="6" t="str">
        <f>MID(EH144,3,6)</f>
        <v>P4011B</v>
      </c>
      <c r="ET144" s="6" t="str">
        <f t="shared" si="75"/>
        <v>홀수</v>
      </c>
      <c r="EU144" s="12">
        <v>41</v>
      </c>
      <c r="EV144" s="45" t="str">
        <f t="shared" ca="1" si="80"/>
        <v>C</v>
      </c>
      <c r="EW144" s="6">
        <f t="shared" ca="1" si="76"/>
        <v>67</v>
      </c>
      <c r="EZ144" s="6" t="str">
        <f>ER144&amp;"INT"</f>
        <v>P4011BINT</v>
      </c>
      <c r="FA144" s="6" t="str">
        <f>ER144&amp;"INT"</f>
        <v>P4011BINT</v>
      </c>
      <c r="FR144" s="6">
        <v>1</v>
      </c>
      <c r="FS144" s="6" t="str">
        <f t="shared" si="77"/>
        <v/>
      </c>
      <c r="FT144" s="6">
        <f t="shared" si="78"/>
        <v>1</v>
      </c>
      <c r="FU144" s="6" t="str">
        <f t="shared" ca="1" si="81"/>
        <v/>
      </c>
      <c r="FV144" s="6" t="str">
        <f t="shared" ca="1" si="79"/>
        <v/>
      </c>
      <c r="FW144" s="6" t="str">
        <f t="shared" ca="1" si="71"/>
        <v>R1-11</v>
      </c>
      <c r="FX144" s="6" t="str">
        <f t="shared" ca="1" si="72"/>
        <v>R1-12</v>
      </c>
      <c r="FY144" s="6" t="str">
        <f t="shared" ca="1" si="73"/>
        <v>R1-21</v>
      </c>
      <c r="FZ144" s="6" t="str">
        <f t="shared" ca="1" si="74"/>
        <v>R1-22</v>
      </c>
    </row>
    <row r="145" spans="1:182" ht="15.95" customHeight="1">
      <c r="A145" s="6">
        <v>279</v>
      </c>
      <c r="B145" s="6" t="s">
        <v>175</v>
      </c>
      <c r="E145" s="6" t="s">
        <v>736</v>
      </c>
      <c r="F145" s="6" t="s">
        <v>1397</v>
      </c>
      <c r="G145" s="6" t="s">
        <v>1290</v>
      </c>
      <c r="H145" s="7" t="s">
        <v>1291</v>
      </c>
      <c r="I145" s="7"/>
      <c r="J145" s="6" t="e">
        <v>#N/A</v>
      </c>
      <c r="K145" s="6" t="e">
        <v>#N/A</v>
      </c>
      <c r="N145" s="6" t="e">
        <v>#N/A</v>
      </c>
      <c r="O145" s="6" t="e">
        <v>#N/A</v>
      </c>
      <c r="R145" s="101" t="e">
        <v>#N/A</v>
      </c>
      <c r="Y145" s="6" t="e">
        <v>#N/A</v>
      </c>
      <c r="Z145" s="6" t="e">
        <v>#N/A</v>
      </c>
      <c r="AA145" s="6" t="e">
        <v>#N/A</v>
      </c>
      <c r="AD145" s="6" t="e">
        <v>#N/A</v>
      </c>
      <c r="AE145" s="6" t="e">
        <v>#N/A</v>
      </c>
      <c r="AG145" s="6" t="e">
        <v>#N/A</v>
      </c>
      <c r="AY145" s="8" t="s">
        <v>176</v>
      </c>
      <c r="AZ145" s="8" t="s">
        <v>195</v>
      </c>
      <c r="BA145" s="13" t="s">
        <v>656</v>
      </c>
      <c r="BB145" s="13" t="s">
        <v>7</v>
      </c>
      <c r="BC145" s="13">
        <v>65</v>
      </c>
      <c r="BD145" s="13">
        <v>66</v>
      </c>
      <c r="DC145" s="6" t="s">
        <v>723</v>
      </c>
      <c r="DD145" s="6" t="s">
        <v>201</v>
      </c>
      <c r="DH145" s="6" t="str">
        <f t="shared" si="82"/>
        <v>A23</v>
      </c>
      <c r="DI145" s="6" t="str">
        <f t="shared" si="83"/>
        <v>B23</v>
      </c>
      <c r="DK145" s="6" t="s">
        <v>173</v>
      </c>
      <c r="DL145" s="6" t="str">
        <f t="shared" si="84"/>
        <v>CN2</v>
      </c>
      <c r="DO145" s="9" t="s">
        <v>170</v>
      </c>
      <c r="DP145" s="6" t="s">
        <v>171</v>
      </c>
      <c r="DQ145" s="6" t="s">
        <v>645</v>
      </c>
      <c r="DS145" s="6" t="str">
        <f t="shared" si="85"/>
        <v>AKB331</v>
      </c>
      <c r="DT145" s="10" t="str">
        <f t="shared" si="86"/>
        <v>FCS0111-3-7/1S–MC–127-F2-CN1</v>
      </c>
      <c r="DU145" s="6" t="str">
        <f t="shared" si="87"/>
        <v>FCS0111-3-7/1S–MC–127-F2-CN2</v>
      </c>
      <c r="DV145" s="19">
        <v>1</v>
      </c>
      <c r="DW145" s="20" t="str">
        <f t="shared" si="88"/>
        <v>11</v>
      </c>
      <c r="DX145" s="21">
        <v>3</v>
      </c>
      <c r="DY145" s="22">
        <v>7</v>
      </c>
      <c r="DZ145" s="23">
        <v>8</v>
      </c>
      <c r="EA145" s="23">
        <v>23</v>
      </c>
      <c r="ED145" s="9" t="str">
        <f t="shared" si="89"/>
        <v>ANB10D</v>
      </c>
      <c r="EF145" s="6" t="s">
        <v>672</v>
      </c>
      <c r="EH145" s="6" t="s">
        <v>736</v>
      </c>
      <c r="EI145" s="6" t="s">
        <v>697</v>
      </c>
      <c r="EJ145" s="12">
        <v>12</v>
      </c>
      <c r="EK145" s="12"/>
      <c r="EM145" s="12"/>
      <c r="EN145" s="12" t="s">
        <v>1121</v>
      </c>
      <c r="ET145" s="6" t="str">
        <f t="shared" si="75"/>
        <v>홀수</v>
      </c>
      <c r="EU145" s="12">
        <v>41</v>
      </c>
      <c r="EV145" s="45" t="str">
        <f t="shared" ca="1" si="80"/>
        <v>D</v>
      </c>
      <c r="EW145" s="6">
        <f t="shared" ca="1" si="76"/>
        <v>68</v>
      </c>
      <c r="FR145" s="6">
        <v>1</v>
      </c>
      <c r="FS145" s="6">
        <f t="shared" si="77"/>
        <v>1</v>
      </c>
      <c r="FT145" s="6" t="str">
        <f t="shared" si="78"/>
        <v/>
      </c>
      <c r="FU145" s="6" t="str">
        <f t="shared" ca="1" si="81"/>
        <v>F2-11</v>
      </c>
      <c r="FV145" s="6" t="str">
        <f t="shared" ca="1" si="79"/>
        <v>F2-12</v>
      </c>
      <c r="FW145" s="6" t="str">
        <f t="shared" ca="1" si="71"/>
        <v/>
      </c>
      <c r="FX145" s="6" t="str">
        <f t="shared" ca="1" si="72"/>
        <v/>
      </c>
      <c r="FY145" s="6" t="str">
        <f t="shared" ca="1" si="73"/>
        <v/>
      </c>
      <c r="FZ145" s="6" t="str">
        <f t="shared" ca="1" si="74"/>
        <v/>
      </c>
    </row>
    <row r="146" spans="1:182" ht="15.95" customHeight="1">
      <c r="A146" s="6">
        <v>218</v>
      </c>
      <c r="B146" s="6" t="s">
        <v>175</v>
      </c>
      <c r="E146" s="6" t="s">
        <v>1052</v>
      </c>
      <c r="F146" s="6" t="s">
        <v>1398</v>
      </c>
      <c r="G146" s="6" t="s">
        <v>1290</v>
      </c>
      <c r="H146" s="7" t="s">
        <v>1291</v>
      </c>
      <c r="I146" s="7"/>
      <c r="J146" s="6" t="e">
        <v>#N/A</v>
      </c>
      <c r="K146" s="6" t="e">
        <v>#N/A</v>
      </c>
      <c r="N146" s="6" t="e">
        <v>#N/A</v>
      </c>
      <c r="O146" s="6" t="e">
        <v>#N/A</v>
      </c>
      <c r="R146" s="101" t="e">
        <v>#N/A</v>
      </c>
      <c r="Y146" s="6" t="e">
        <v>#N/A</v>
      </c>
      <c r="Z146" s="6" t="e">
        <v>#N/A</v>
      </c>
      <c r="AA146" s="6" t="e">
        <v>#N/A</v>
      </c>
      <c r="AD146" s="6" t="e">
        <v>#N/A</v>
      </c>
      <c r="AE146" s="6" t="e">
        <v>#N/A</v>
      </c>
      <c r="AG146" s="6" t="e">
        <v>#N/A</v>
      </c>
      <c r="AY146" s="8" t="s">
        <v>176</v>
      </c>
      <c r="AZ146" s="8" t="s">
        <v>195</v>
      </c>
      <c r="BA146" s="13" t="s">
        <v>656</v>
      </c>
      <c r="BB146" s="13" t="s">
        <v>200</v>
      </c>
      <c r="BC146" s="13">
        <v>51</v>
      </c>
      <c r="BD146" s="13">
        <v>52</v>
      </c>
      <c r="DC146" s="6" t="s">
        <v>644</v>
      </c>
      <c r="DD146" s="6" t="s">
        <v>187</v>
      </c>
      <c r="DH146" s="6" t="str">
        <f t="shared" si="68"/>
        <v>A26</v>
      </c>
      <c r="DI146" s="6" t="str">
        <f t="shared" si="69"/>
        <v>B26</v>
      </c>
      <c r="DK146" s="6" t="s">
        <v>173</v>
      </c>
      <c r="DL146" s="6" t="str">
        <f t="shared" si="70"/>
        <v/>
      </c>
      <c r="DO146" s="9" t="s">
        <v>170</v>
      </c>
      <c r="DP146" s="6" t="s">
        <v>171</v>
      </c>
      <c r="DQ146" s="6" t="s">
        <v>645</v>
      </c>
      <c r="DS146" s="6" t="str">
        <f t="shared" si="63"/>
        <v>AKB331</v>
      </c>
      <c r="DT146" s="10" t="str">
        <f t="shared" si="64"/>
        <v>FCS0111-3-5/1S–MC–127-R1-CN1</v>
      </c>
      <c r="DU146" s="6" t="str">
        <f t="shared" si="65"/>
        <v/>
      </c>
      <c r="DV146" s="19">
        <v>1</v>
      </c>
      <c r="DW146" s="20" t="str">
        <f t="shared" si="66"/>
        <v>11</v>
      </c>
      <c r="DX146" s="21">
        <v>3</v>
      </c>
      <c r="DY146" s="22">
        <v>5</v>
      </c>
      <c r="DZ146" s="23" t="s">
        <v>204</v>
      </c>
      <c r="EA146" s="23">
        <v>26</v>
      </c>
      <c r="ED146" s="9" t="str">
        <f t="shared" si="67"/>
        <v>ANB10D</v>
      </c>
      <c r="EF146" s="6" t="s">
        <v>647</v>
      </c>
      <c r="EH146" s="6" t="s">
        <v>1052</v>
      </c>
      <c r="EI146" s="6" t="s">
        <v>1053</v>
      </c>
      <c r="EJ146" s="12">
        <v>100</v>
      </c>
      <c r="EN146" s="6" t="s">
        <v>1108</v>
      </c>
      <c r="EP146" s="6" t="s">
        <v>1148</v>
      </c>
      <c r="ET146" s="6" t="str">
        <f t="shared" si="75"/>
        <v>짝수</v>
      </c>
      <c r="EU146" s="12">
        <v>42</v>
      </c>
      <c r="EV146" s="45" t="str">
        <f t="shared" ca="1" si="80"/>
        <v>A</v>
      </c>
      <c r="EW146" s="6">
        <f t="shared" ca="1" si="76"/>
        <v>65</v>
      </c>
      <c r="FR146" s="6">
        <v>1</v>
      </c>
      <c r="FS146" s="6" t="str">
        <f t="shared" si="77"/>
        <v/>
      </c>
      <c r="FT146" s="6">
        <f t="shared" si="78"/>
        <v>1</v>
      </c>
      <c r="FU146" s="6" t="str">
        <f t="shared" ca="1" si="81"/>
        <v/>
      </c>
      <c r="FV146" s="6" t="str">
        <f t="shared" ca="1" si="79"/>
        <v/>
      </c>
      <c r="FW146" s="6" t="str">
        <f t="shared" ca="1" si="71"/>
        <v>R1-11</v>
      </c>
      <c r="FX146" s="6" t="str">
        <f t="shared" ca="1" si="72"/>
        <v>R1-12</v>
      </c>
      <c r="FY146" s="6" t="str">
        <f t="shared" ca="1" si="73"/>
        <v>R1-21</v>
      </c>
      <c r="FZ146" s="6" t="str">
        <f t="shared" ca="1" si="74"/>
        <v>R1-22</v>
      </c>
    </row>
    <row r="147" spans="1:182" ht="15.95" customHeight="1">
      <c r="A147" s="6">
        <v>219</v>
      </c>
      <c r="B147" s="6" t="s">
        <v>175</v>
      </c>
      <c r="E147" s="6" t="s">
        <v>1054</v>
      </c>
      <c r="F147" s="6" t="s">
        <v>1399</v>
      </c>
      <c r="G147" s="6" t="s">
        <v>1290</v>
      </c>
      <c r="H147" s="7" t="s">
        <v>1291</v>
      </c>
      <c r="I147" s="7"/>
      <c r="J147" s="6" t="e">
        <v>#N/A</v>
      </c>
      <c r="K147" s="6" t="e">
        <v>#N/A</v>
      </c>
      <c r="N147" s="6" t="e">
        <v>#N/A</v>
      </c>
      <c r="O147" s="6" t="e">
        <v>#N/A</v>
      </c>
      <c r="R147" s="101" t="e">
        <v>#N/A</v>
      </c>
      <c r="Y147" s="6" t="e">
        <v>#N/A</v>
      </c>
      <c r="Z147" s="6" t="e">
        <v>#N/A</v>
      </c>
      <c r="AA147" s="6" t="e">
        <v>#N/A</v>
      </c>
      <c r="AD147" s="6" t="e">
        <v>#N/A</v>
      </c>
      <c r="AE147" s="6" t="e">
        <v>#N/A</v>
      </c>
      <c r="AG147" s="6" t="e">
        <v>#N/A</v>
      </c>
      <c r="AY147" s="8" t="s">
        <v>176</v>
      </c>
      <c r="AZ147" s="8" t="s">
        <v>195</v>
      </c>
      <c r="BA147" s="13" t="s">
        <v>656</v>
      </c>
      <c r="BB147" s="13" t="s">
        <v>200</v>
      </c>
      <c r="BC147" s="13">
        <v>53</v>
      </c>
      <c r="BD147" s="13">
        <v>54</v>
      </c>
      <c r="DC147" s="6" t="s">
        <v>644</v>
      </c>
      <c r="DD147" s="6" t="s">
        <v>187</v>
      </c>
      <c r="DH147" s="6" t="str">
        <f t="shared" si="68"/>
        <v>A27</v>
      </c>
      <c r="DI147" s="6" t="str">
        <f t="shared" si="69"/>
        <v>B27</v>
      </c>
      <c r="DK147" s="6" t="s">
        <v>173</v>
      </c>
      <c r="DL147" s="6" t="str">
        <f t="shared" si="70"/>
        <v/>
      </c>
      <c r="DO147" s="9" t="s">
        <v>170</v>
      </c>
      <c r="DP147" s="6" t="s">
        <v>171</v>
      </c>
      <c r="DQ147" s="6" t="s">
        <v>645</v>
      </c>
      <c r="DS147" s="6" t="str">
        <f t="shared" si="63"/>
        <v>AKB331</v>
      </c>
      <c r="DT147" s="10" t="str">
        <f t="shared" si="64"/>
        <v>FCS0111-3-5/1S–MC–127-R1-CN1</v>
      </c>
      <c r="DU147" s="6" t="str">
        <f t="shared" si="65"/>
        <v/>
      </c>
      <c r="DV147" s="19">
        <v>1</v>
      </c>
      <c r="DW147" s="20" t="str">
        <f t="shared" si="66"/>
        <v>11</v>
      </c>
      <c r="DX147" s="21">
        <v>3</v>
      </c>
      <c r="DY147" s="22">
        <v>5</v>
      </c>
      <c r="DZ147" s="23" t="s">
        <v>204</v>
      </c>
      <c r="EA147" s="23">
        <v>27</v>
      </c>
      <c r="ED147" s="9" t="str">
        <f t="shared" si="67"/>
        <v>ANB10D</v>
      </c>
      <c r="EF147" s="6" t="s">
        <v>647</v>
      </c>
      <c r="EH147" s="6" t="s">
        <v>1054</v>
      </c>
      <c r="EI147" s="6" t="s">
        <v>1055</v>
      </c>
      <c r="EJ147" s="12">
        <v>100</v>
      </c>
      <c r="EN147" s="6" t="s">
        <v>1108</v>
      </c>
      <c r="EP147" s="6" t="s">
        <v>1148</v>
      </c>
      <c r="ET147" s="6" t="str">
        <f t="shared" si="75"/>
        <v>짝수</v>
      </c>
      <c r="EU147" s="12">
        <v>42</v>
      </c>
      <c r="EV147" s="45" t="str">
        <f t="shared" ca="1" si="80"/>
        <v>B</v>
      </c>
      <c r="EW147" s="6">
        <f t="shared" ca="1" si="76"/>
        <v>66</v>
      </c>
      <c r="FR147" s="6">
        <v>1</v>
      </c>
      <c r="FS147" s="6" t="str">
        <f t="shared" si="77"/>
        <v/>
      </c>
      <c r="FT147" s="6">
        <f t="shared" si="78"/>
        <v>1</v>
      </c>
      <c r="FU147" s="6" t="str">
        <f t="shared" ca="1" si="81"/>
        <v/>
      </c>
      <c r="FV147" s="6" t="str">
        <f t="shared" ca="1" si="79"/>
        <v/>
      </c>
      <c r="FW147" s="6" t="str">
        <f t="shared" ca="1" si="71"/>
        <v>R1-11</v>
      </c>
      <c r="FX147" s="6" t="str">
        <f t="shared" ca="1" si="72"/>
        <v>R1-12</v>
      </c>
      <c r="FY147" s="6" t="str">
        <f t="shared" ca="1" si="73"/>
        <v>R1-21</v>
      </c>
      <c r="FZ147" s="6" t="str">
        <f t="shared" ca="1" si="74"/>
        <v>R1-22</v>
      </c>
    </row>
    <row r="148" spans="1:182" ht="15.95" customHeight="1">
      <c r="A148" s="6">
        <v>225</v>
      </c>
      <c r="B148" s="6" t="s">
        <v>175</v>
      </c>
      <c r="E148" s="6" t="s">
        <v>702</v>
      </c>
      <c r="F148" s="6" t="s">
        <v>1400</v>
      </c>
      <c r="G148" s="6" t="s">
        <v>1290</v>
      </c>
      <c r="H148" s="7" t="s">
        <v>1291</v>
      </c>
      <c r="I148" s="7"/>
      <c r="J148" s="6" t="e">
        <v>#N/A</v>
      </c>
      <c r="K148" s="6" t="e">
        <v>#N/A</v>
      </c>
      <c r="N148" s="6" t="e">
        <v>#N/A</v>
      </c>
      <c r="O148" s="6" t="e">
        <v>#N/A</v>
      </c>
      <c r="R148" s="101" t="e">
        <v>#N/A</v>
      </c>
      <c r="Y148" s="6" t="e">
        <v>#N/A</v>
      </c>
      <c r="Z148" s="6" t="e">
        <v>#N/A</v>
      </c>
      <c r="AA148" s="6" t="e">
        <v>#N/A</v>
      </c>
      <c r="AD148" s="6" t="e">
        <v>#N/A</v>
      </c>
      <c r="AE148" s="6" t="e">
        <v>#N/A</v>
      </c>
      <c r="AG148" s="6" t="e">
        <v>#N/A</v>
      </c>
      <c r="AY148" s="8" t="s">
        <v>176</v>
      </c>
      <c r="AZ148" s="8" t="s">
        <v>195</v>
      </c>
      <c r="BA148" s="13" t="s">
        <v>656</v>
      </c>
      <c r="BB148" s="13" t="s">
        <v>200</v>
      </c>
      <c r="BC148" s="13">
        <v>57</v>
      </c>
      <c r="BD148" s="13">
        <v>58</v>
      </c>
      <c r="DC148" s="6" t="s">
        <v>644</v>
      </c>
      <c r="DD148" s="6" t="s">
        <v>188</v>
      </c>
      <c r="DH148" s="6" t="str">
        <f t="shared" si="68"/>
        <v>A1</v>
      </c>
      <c r="DI148" s="6" t="str">
        <f t="shared" si="69"/>
        <v>B1</v>
      </c>
      <c r="DK148" s="6" t="s">
        <v>173</v>
      </c>
      <c r="DL148" s="6" t="str">
        <f t="shared" si="70"/>
        <v/>
      </c>
      <c r="DO148" s="9" t="s">
        <v>170</v>
      </c>
      <c r="DP148" s="6" t="s">
        <v>171</v>
      </c>
      <c r="DQ148" s="6" t="s">
        <v>645</v>
      </c>
      <c r="DS148" s="6" t="str">
        <f t="shared" si="63"/>
        <v>AKB331</v>
      </c>
      <c r="DT148" s="10" t="str">
        <f t="shared" si="64"/>
        <v>FCS0111-3-6/1S–MC–127-R2-CN1</v>
      </c>
      <c r="DU148" s="6" t="str">
        <f t="shared" si="65"/>
        <v/>
      </c>
      <c r="DV148" s="19">
        <v>1</v>
      </c>
      <c r="DW148" s="20" t="str">
        <f t="shared" si="66"/>
        <v>11</v>
      </c>
      <c r="DX148" s="21">
        <v>3</v>
      </c>
      <c r="DY148" s="22">
        <v>6</v>
      </c>
      <c r="DZ148" s="23" t="s">
        <v>204</v>
      </c>
      <c r="EA148" s="23">
        <v>1</v>
      </c>
      <c r="ED148" s="9" t="str">
        <f t="shared" si="67"/>
        <v>ANB10D</v>
      </c>
      <c r="EF148" s="6" t="s">
        <v>647</v>
      </c>
      <c r="EH148" s="6" t="s">
        <v>702</v>
      </c>
      <c r="EI148" s="6" t="s">
        <v>700</v>
      </c>
      <c r="EJ148" s="12">
        <v>9</v>
      </c>
      <c r="EK148" s="12"/>
      <c r="EM148" s="12"/>
      <c r="EN148" s="25" t="s">
        <v>1121</v>
      </c>
      <c r="EP148" s="6" t="s">
        <v>1153</v>
      </c>
      <c r="ER148" s="6" t="str">
        <f>MID(EH148,3,8)</f>
        <v>P4008B</v>
      </c>
      <c r="ET148" s="6" t="str">
        <f t="shared" si="75"/>
        <v>홀수</v>
      </c>
      <c r="EU148" s="12">
        <v>43</v>
      </c>
      <c r="EV148" s="45" t="str">
        <f t="shared" ca="1" si="80"/>
        <v>A</v>
      </c>
      <c r="EW148" s="6">
        <f t="shared" ca="1" si="76"/>
        <v>65</v>
      </c>
      <c r="FR148" s="6">
        <v>1</v>
      </c>
      <c r="FS148" s="6" t="str">
        <f t="shared" si="77"/>
        <v/>
      </c>
      <c r="FT148" s="6">
        <f t="shared" si="78"/>
        <v>1</v>
      </c>
      <c r="FU148" s="6" t="str">
        <f t="shared" ca="1" si="81"/>
        <v/>
      </c>
      <c r="FV148" s="6" t="str">
        <f t="shared" ca="1" si="79"/>
        <v/>
      </c>
      <c r="FW148" s="6" t="str">
        <f t="shared" ca="1" si="71"/>
        <v>R2-11</v>
      </c>
      <c r="FX148" s="6" t="str">
        <f t="shared" ca="1" si="72"/>
        <v>R2-12</v>
      </c>
      <c r="FY148" s="6" t="str">
        <f t="shared" ca="1" si="73"/>
        <v>R2-21</v>
      </c>
      <c r="FZ148" s="6" t="str">
        <f t="shared" ca="1" si="74"/>
        <v>R2-22</v>
      </c>
    </row>
    <row r="149" spans="1:182" ht="15.95" customHeight="1">
      <c r="A149" s="6">
        <v>226</v>
      </c>
      <c r="B149" s="6" t="s">
        <v>175</v>
      </c>
      <c r="E149" s="6" t="s">
        <v>703</v>
      </c>
      <c r="F149" s="6" t="s">
        <v>1401</v>
      </c>
      <c r="G149" s="6" t="s">
        <v>1290</v>
      </c>
      <c r="H149" s="7" t="s">
        <v>1291</v>
      </c>
      <c r="I149" s="7"/>
      <c r="J149" s="6" t="e">
        <v>#N/A</v>
      </c>
      <c r="K149" s="6" t="e">
        <v>#N/A</v>
      </c>
      <c r="N149" s="6" t="e">
        <v>#N/A</v>
      </c>
      <c r="O149" s="6" t="e">
        <v>#N/A</v>
      </c>
      <c r="R149" s="101" t="e">
        <v>#N/A</v>
      </c>
      <c r="Y149" s="6" t="e">
        <v>#N/A</v>
      </c>
      <c r="Z149" s="6" t="e">
        <v>#N/A</v>
      </c>
      <c r="AA149" s="6" t="e">
        <v>#N/A</v>
      </c>
      <c r="AD149" s="6" t="e">
        <v>#N/A</v>
      </c>
      <c r="AE149" s="6" t="e">
        <v>#N/A</v>
      </c>
      <c r="AG149" s="6" t="e">
        <v>#N/A</v>
      </c>
      <c r="AY149" s="8" t="s">
        <v>176</v>
      </c>
      <c r="AZ149" s="8" t="s">
        <v>195</v>
      </c>
      <c r="BA149" s="13" t="s">
        <v>656</v>
      </c>
      <c r="BB149" s="13" t="s">
        <v>200</v>
      </c>
      <c r="BC149" s="13">
        <v>59</v>
      </c>
      <c r="BD149" s="13">
        <v>60</v>
      </c>
      <c r="DC149" s="6" t="s">
        <v>644</v>
      </c>
      <c r="DD149" s="6" t="s">
        <v>188</v>
      </c>
      <c r="DH149" s="6" t="str">
        <f>"A"&amp;EA149</f>
        <v>A2</v>
      </c>
      <c r="DI149" s="6" t="str">
        <f>"B"&amp;EA149</f>
        <v>B2</v>
      </c>
      <c r="DK149" s="6" t="s">
        <v>173</v>
      </c>
      <c r="DL149" s="6" t="str">
        <f>IF(DZ149&lt;&gt;"","CN2","")</f>
        <v/>
      </c>
      <c r="DO149" s="9" t="s">
        <v>170</v>
      </c>
      <c r="DP149" s="6" t="s">
        <v>171</v>
      </c>
      <c r="DQ149" s="6" t="s">
        <v>645</v>
      </c>
      <c r="DS149" s="6" t="str">
        <f>IF(MID(EF149,2,1)="A","KS1","AKB331")</f>
        <v>AKB331</v>
      </c>
      <c r="DT149" s="10" t="str">
        <f>DQ149&amp;"-"&amp;DX149&amp;"-"&amp;DY149&amp;"/"&amp;BA149&amp;"-"&amp;DD149&amp;"-"&amp;DK149</f>
        <v>FCS0111-3-6/1S–MC–127-R2-CN1</v>
      </c>
      <c r="DU149" s="6" t="str">
        <f>IF(DL149="","",DQ149&amp;"-"&amp;DX149&amp;"-"&amp;DY149&amp;"/"&amp;BA149&amp;"-"&amp;DD149&amp;"-"&amp;DL149)</f>
        <v/>
      </c>
      <c r="DV149" s="19">
        <v>1</v>
      </c>
      <c r="DW149" s="20" t="str">
        <f>RIGHT(DQ149,2)</f>
        <v>11</v>
      </c>
      <c r="DX149" s="21">
        <v>3</v>
      </c>
      <c r="DY149" s="22">
        <v>6</v>
      </c>
      <c r="DZ149" s="23" t="s">
        <v>204</v>
      </c>
      <c r="EA149" s="23">
        <v>2</v>
      </c>
      <c r="ED149" s="9" t="str">
        <f>IF(DX149="1","AFV30D","ANB10D")</f>
        <v>ANB10D</v>
      </c>
      <c r="EF149" s="6" t="s">
        <v>647</v>
      </c>
      <c r="EH149" s="6" t="s">
        <v>703</v>
      </c>
      <c r="EI149" s="6" t="s">
        <v>700</v>
      </c>
      <c r="EJ149" s="12">
        <v>9</v>
      </c>
      <c r="EK149" s="12"/>
      <c r="EM149" s="12"/>
      <c r="EN149" s="25" t="s">
        <v>1121</v>
      </c>
      <c r="ET149" s="6" t="str">
        <f t="shared" si="75"/>
        <v>홀수</v>
      </c>
      <c r="EU149" s="12">
        <v>43</v>
      </c>
      <c r="EV149" s="45" t="str">
        <f t="shared" ca="1" si="80"/>
        <v>B</v>
      </c>
      <c r="EW149" s="6">
        <f t="shared" ca="1" si="76"/>
        <v>66</v>
      </c>
      <c r="FA149" s="6" t="str">
        <f>ER148&amp;"INT"</f>
        <v>P4008BINT</v>
      </c>
      <c r="FR149" s="6">
        <v>1</v>
      </c>
      <c r="FS149" s="6" t="str">
        <f t="shared" si="77"/>
        <v/>
      </c>
      <c r="FT149" s="6">
        <f t="shared" si="78"/>
        <v>1</v>
      </c>
      <c r="FU149" s="6" t="str">
        <f t="shared" ca="1" si="81"/>
        <v/>
      </c>
      <c r="FV149" s="6" t="str">
        <f t="shared" ca="1" si="79"/>
        <v/>
      </c>
      <c r="FW149" s="6" t="str">
        <f t="shared" ca="1" si="71"/>
        <v>R2-11</v>
      </c>
      <c r="FX149" s="6" t="str">
        <f t="shared" ca="1" si="72"/>
        <v>R2-12</v>
      </c>
      <c r="FY149" s="6" t="str">
        <f t="shared" ca="1" si="73"/>
        <v>R2-21</v>
      </c>
      <c r="FZ149" s="6" t="str">
        <f t="shared" ca="1" si="74"/>
        <v>R2-22</v>
      </c>
    </row>
    <row r="150" spans="1:182" ht="15.95" customHeight="1">
      <c r="A150" s="6">
        <v>402</v>
      </c>
      <c r="B150" s="6" t="s">
        <v>175</v>
      </c>
      <c r="E150" s="6" t="s">
        <v>797</v>
      </c>
      <c r="F150" s="6" t="s">
        <v>1402</v>
      </c>
      <c r="G150" s="6" t="s">
        <v>1290</v>
      </c>
      <c r="H150" s="7" t="s">
        <v>1291</v>
      </c>
      <c r="I150" s="7"/>
      <c r="J150" s="6" t="e">
        <v>#N/A</v>
      </c>
      <c r="K150" s="6" t="e">
        <v>#N/A</v>
      </c>
      <c r="N150" s="6" t="e">
        <v>#N/A</v>
      </c>
      <c r="O150" s="6" t="e">
        <v>#N/A</v>
      </c>
      <c r="R150" s="101" t="e">
        <v>#N/A</v>
      </c>
      <c r="Y150" s="6" t="e">
        <v>#N/A</v>
      </c>
      <c r="Z150" s="6" t="e">
        <v>#N/A</v>
      </c>
      <c r="AA150" s="6" t="e">
        <v>#N/A</v>
      </c>
      <c r="AD150" s="6" t="e">
        <v>#N/A</v>
      </c>
      <c r="AE150" s="6" t="e">
        <v>#N/A</v>
      </c>
      <c r="AG150" s="6" t="e">
        <v>#N/A</v>
      </c>
      <c r="AY150" s="8" t="s">
        <v>176</v>
      </c>
      <c r="AZ150" s="8" t="s">
        <v>195</v>
      </c>
      <c r="BA150" s="13" t="s">
        <v>656</v>
      </c>
      <c r="BB150" s="13" t="s">
        <v>796</v>
      </c>
      <c r="BC150" s="13">
        <v>3</v>
      </c>
      <c r="BD150" s="13">
        <v>4</v>
      </c>
      <c r="DC150" s="6" t="s">
        <v>723</v>
      </c>
      <c r="DD150" s="6" t="s">
        <v>191</v>
      </c>
      <c r="DH150" s="6" t="str">
        <f>"A"&amp;EA150</f>
        <v>A2</v>
      </c>
      <c r="DI150" s="6" t="str">
        <f>"B"&amp;EA150</f>
        <v>B2</v>
      </c>
      <c r="DK150" s="6" t="s">
        <v>173</v>
      </c>
      <c r="DL150" s="6" t="str">
        <f>IF(DZ150&lt;&gt;"","CN2","")</f>
        <v>CN2</v>
      </c>
      <c r="DO150" s="9" t="s">
        <v>170</v>
      </c>
      <c r="DP150" s="6" t="s">
        <v>171</v>
      </c>
      <c r="DQ150" s="6" t="s">
        <v>645</v>
      </c>
      <c r="DS150" s="6" t="str">
        <f>IF(MID(EF150,2,1)="A","KS1","AKB331")</f>
        <v>AKB331</v>
      </c>
      <c r="DT150" s="10" t="str">
        <f>DQ150&amp;"-"&amp;DX150&amp;"-"&amp;DY150&amp;"/"&amp;BA150&amp;"-"&amp;DD150&amp;"-"&amp;DK150</f>
        <v>FCS0111-4-7/1S–MC–127-R5-CN1</v>
      </c>
      <c r="DU150" s="6" t="str">
        <f>IF(DL150="","",DQ150&amp;"-"&amp;DX150&amp;"-"&amp;DY150&amp;"/"&amp;BA150&amp;"-"&amp;DD150&amp;"-"&amp;DL150)</f>
        <v>FCS0111-4-7/1S–MC–127-R5-CN2</v>
      </c>
      <c r="DV150" s="19">
        <v>1</v>
      </c>
      <c r="DW150" s="20" t="str">
        <f>RIGHT(DQ150,2)</f>
        <v>11</v>
      </c>
      <c r="DX150" s="21">
        <v>4</v>
      </c>
      <c r="DY150" s="22">
        <v>7</v>
      </c>
      <c r="DZ150" s="23">
        <v>8</v>
      </c>
      <c r="EA150" s="23">
        <v>2</v>
      </c>
      <c r="ED150" s="9" t="str">
        <f>IF(DX150="1","AFV30D","ANB10D")</f>
        <v>ANB10D</v>
      </c>
      <c r="EF150" s="6" t="s">
        <v>672</v>
      </c>
      <c r="EH150" s="6" t="s">
        <v>797</v>
      </c>
      <c r="EI150" s="6" t="s">
        <v>700</v>
      </c>
      <c r="EJ150" s="12">
        <v>9</v>
      </c>
      <c r="EK150" s="12"/>
      <c r="EM150" s="12"/>
      <c r="EN150" s="25" t="s">
        <v>1121</v>
      </c>
      <c r="ET150" s="6" t="str">
        <f t="shared" si="75"/>
        <v>홀수</v>
      </c>
      <c r="EU150" s="12">
        <v>43</v>
      </c>
      <c r="EV150" s="45" t="str">
        <f t="shared" ca="1" si="80"/>
        <v>C</v>
      </c>
      <c r="EW150" s="6">
        <f t="shared" ca="1" si="76"/>
        <v>67</v>
      </c>
      <c r="FR150" s="6">
        <v>1</v>
      </c>
      <c r="FS150" s="6">
        <f t="shared" si="77"/>
        <v>1</v>
      </c>
      <c r="FT150" s="6" t="str">
        <f t="shared" si="78"/>
        <v/>
      </c>
      <c r="FU150" s="6" t="str">
        <f t="shared" ca="1" si="81"/>
        <v>R5-11</v>
      </c>
      <c r="FV150" s="6" t="str">
        <f t="shared" ca="1" si="79"/>
        <v>R5-12</v>
      </c>
      <c r="FW150" s="6" t="str">
        <f t="shared" ca="1" si="71"/>
        <v/>
      </c>
      <c r="FX150" s="6" t="str">
        <f t="shared" ca="1" si="72"/>
        <v/>
      </c>
      <c r="FY150" s="6" t="str">
        <f t="shared" ca="1" si="73"/>
        <v/>
      </c>
      <c r="FZ150" s="6" t="str">
        <f t="shared" ca="1" si="74"/>
        <v/>
      </c>
    </row>
    <row r="151" spans="1:182" ht="15.95" customHeight="1">
      <c r="A151" s="6">
        <v>401</v>
      </c>
      <c r="B151" s="6" t="s">
        <v>175</v>
      </c>
      <c r="E151" s="6" t="s">
        <v>795</v>
      </c>
      <c r="F151" s="6" t="s">
        <v>1403</v>
      </c>
      <c r="G151" s="6" t="s">
        <v>1290</v>
      </c>
      <c r="H151" s="7" t="s">
        <v>1291</v>
      </c>
      <c r="I151" s="7"/>
      <c r="J151" s="6" t="e">
        <v>#N/A</v>
      </c>
      <c r="K151" s="6" t="e">
        <v>#N/A</v>
      </c>
      <c r="N151" s="6" t="e">
        <v>#N/A</v>
      </c>
      <c r="O151" s="6" t="e">
        <v>#N/A</v>
      </c>
      <c r="R151" s="101" t="e">
        <v>#N/A</v>
      </c>
      <c r="Y151" s="6" t="e">
        <v>#N/A</v>
      </c>
      <c r="Z151" s="6" t="e">
        <v>#N/A</v>
      </c>
      <c r="AA151" s="6" t="e">
        <v>#N/A</v>
      </c>
      <c r="AD151" s="6" t="e">
        <v>#N/A</v>
      </c>
      <c r="AE151" s="6" t="e">
        <v>#N/A</v>
      </c>
      <c r="AG151" s="6" t="e">
        <v>#N/A</v>
      </c>
      <c r="AY151" s="8" t="s">
        <v>176</v>
      </c>
      <c r="AZ151" s="8" t="s">
        <v>195</v>
      </c>
      <c r="BA151" s="13" t="s">
        <v>656</v>
      </c>
      <c r="BB151" s="13" t="s">
        <v>796</v>
      </c>
      <c r="BC151" s="13">
        <v>1</v>
      </c>
      <c r="BD151" s="13">
        <v>2</v>
      </c>
      <c r="DC151" s="6" t="s">
        <v>723</v>
      </c>
      <c r="DD151" s="6" t="s">
        <v>191</v>
      </c>
      <c r="DH151" s="6" t="str">
        <f>"A"&amp;EA151</f>
        <v>A1</v>
      </c>
      <c r="DI151" s="6" t="str">
        <f>"B"&amp;EA151</f>
        <v>B1</v>
      </c>
      <c r="DK151" s="6" t="s">
        <v>173</v>
      </c>
      <c r="DL151" s="6" t="str">
        <f>IF(DZ151&lt;&gt;"","CN2","")</f>
        <v>CN2</v>
      </c>
      <c r="DO151" s="9" t="s">
        <v>170</v>
      </c>
      <c r="DP151" s="6" t="s">
        <v>171</v>
      </c>
      <c r="DQ151" s="6" t="s">
        <v>645</v>
      </c>
      <c r="DS151" s="6" t="str">
        <f>IF(MID(EF151,2,1)="A","KS1","AKB331")</f>
        <v>AKB331</v>
      </c>
      <c r="DT151" s="10" t="str">
        <f>DQ151&amp;"-"&amp;DX151&amp;"-"&amp;DY151&amp;"/"&amp;BA151&amp;"-"&amp;DD151&amp;"-"&amp;DK151</f>
        <v>FCS0111-4-7/1S–MC–127-R5-CN1</v>
      </c>
      <c r="DU151" s="6" t="str">
        <f>IF(DL151="","",DQ151&amp;"-"&amp;DX151&amp;"-"&amp;DY151&amp;"/"&amp;BA151&amp;"-"&amp;DD151&amp;"-"&amp;DL151)</f>
        <v>FCS0111-4-7/1S–MC–127-R5-CN2</v>
      </c>
      <c r="DV151" s="19">
        <v>1</v>
      </c>
      <c r="DW151" s="20" t="str">
        <f>RIGHT(DQ151,2)</f>
        <v>11</v>
      </c>
      <c r="DX151" s="21">
        <v>4</v>
      </c>
      <c r="DY151" s="22">
        <v>7</v>
      </c>
      <c r="DZ151" s="23">
        <v>8</v>
      </c>
      <c r="EA151" s="23">
        <v>1</v>
      </c>
      <c r="ED151" s="9" t="str">
        <f>IF(DX151="1","AFV30D","ANB10D")</f>
        <v>ANB10D</v>
      </c>
      <c r="EF151" s="6" t="s">
        <v>672</v>
      </c>
      <c r="EH151" s="6" t="s">
        <v>795</v>
      </c>
      <c r="EI151" s="6" t="s">
        <v>199</v>
      </c>
      <c r="EJ151" s="12">
        <v>9</v>
      </c>
      <c r="EK151" s="12"/>
      <c r="EM151" s="12"/>
      <c r="EN151" s="25" t="s">
        <v>1121</v>
      </c>
      <c r="ET151" s="6" t="str">
        <f t="shared" si="75"/>
        <v>홀수</v>
      </c>
      <c r="EU151" s="12">
        <v>43</v>
      </c>
      <c r="EV151" s="45" t="str">
        <f t="shared" ca="1" si="80"/>
        <v>D</v>
      </c>
      <c r="EW151" s="6">
        <f t="shared" ca="1" si="76"/>
        <v>68</v>
      </c>
      <c r="FR151" s="6">
        <v>1</v>
      </c>
      <c r="FS151" s="6">
        <f t="shared" si="77"/>
        <v>1</v>
      </c>
      <c r="FT151" s="6" t="str">
        <f t="shared" si="78"/>
        <v/>
      </c>
      <c r="FU151" s="6" t="str">
        <f t="shared" ca="1" si="81"/>
        <v>R5-11</v>
      </c>
      <c r="FV151" s="6" t="str">
        <f t="shared" ca="1" si="79"/>
        <v>R5-12</v>
      </c>
      <c r="FW151" s="6" t="str">
        <f t="shared" ca="1" si="71"/>
        <v/>
      </c>
      <c r="FX151" s="6" t="str">
        <f t="shared" ca="1" si="72"/>
        <v/>
      </c>
      <c r="FY151" s="6" t="str">
        <f t="shared" ca="1" si="73"/>
        <v/>
      </c>
      <c r="FZ151" s="6" t="str">
        <f t="shared" ca="1" si="74"/>
        <v/>
      </c>
    </row>
    <row r="152" spans="1:182" ht="15.95" customHeight="1">
      <c r="A152" s="6">
        <v>228</v>
      </c>
      <c r="B152" s="6" t="s">
        <v>175</v>
      </c>
      <c r="E152" s="6" t="s">
        <v>704</v>
      </c>
      <c r="F152" s="6" t="s">
        <v>1404</v>
      </c>
      <c r="G152" s="6" t="s">
        <v>1290</v>
      </c>
      <c r="H152" s="7" t="s">
        <v>1291</v>
      </c>
      <c r="I152" s="7"/>
      <c r="J152" s="6" t="e">
        <v>#N/A</v>
      </c>
      <c r="K152" s="6" t="e">
        <v>#N/A</v>
      </c>
      <c r="N152" s="6" t="e">
        <v>#N/A</v>
      </c>
      <c r="O152" s="6" t="e">
        <v>#N/A</v>
      </c>
      <c r="R152" s="101" t="e">
        <v>#N/A</v>
      </c>
      <c r="Y152" s="6" t="e">
        <v>#N/A</v>
      </c>
      <c r="Z152" s="6" t="e">
        <v>#N/A</v>
      </c>
      <c r="AA152" s="6" t="e">
        <v>#N/A</v>
      </c>
      <c r="AD152" s="6" t="e">
        <v>#N/A</v>
      </c>
      <c r="AE152" s="6" t="e">
        <v>#N/A</v>
      </c>
      <c r="AG152" s="6" t="e">
        <v>#N/A</v>
      </c>
      <c r="AY152" s="8" t="s">
        <v>176</v>
      </c>
      <c r="AZ152" s="8" t="s">
        <v>195</v>
      </c>
      <c r="BA152" s="13" t="s">
        <v>656</v>
      </c>
      <c r="BB152" s="13" t="s">
        <v>200</v>
      </c>
      <c r="BC152" s="13">
        <v>63</v>
      </c>
      <c r="BD152" s="13">
        <v>64</v>
      </c>
      <c r="DC152" s="6" t="s">
        <v>644</v>
      </c>
      <c r="DD152" s="6" t="s">
        <v>188</v>
      </c>
      <c r="DH152" s="6" t="str">
        <f t="shared" si="68"/>
        <v>A4</v>
      </c>
      <c r="DI152" s="6" t="str">
        <f t="shared" si="69"/>
        <v>B4</v>
      </c>
      <c r="DK152" s="6" t="s">
        <v>173</v>
      </c>
      <c r="DL152" s="6" t="str">
        <f t="shared" si="70"/>
        <v/>
      </c>
      <c r="DO152" s="9" t="s">
        <v>170</v>
      </c>
      <c r="DP152" s="6" t="s">
        <v>171</v>
      </c>
      <c r="DQ152" s="6" t="s">
        <v>645</v>
      </c>
      <c r="DS152" s="6" t="str">
        <f t="shared" si="63"/>
        <v>AKB331</v>
      </c>
      <c r="DT152" s="10" t="str">
        <f t="shared" si="64"/>
        <v>FCS0111-3-6/1S–MC–127-R2-CN1</v>
      </c>
      <c r="DU152" s="6" t="str">
        <f t="shared" si="65"/>
        <v/>
      </c>
      <c r="DV152" s="19">
        <v>1</v>
      </c>
      <c r="DW152" s="20" t="str">
        <f t="shared" si="66"/>
        <v>11</v>
      </c>
      <c r="DX152" s="21">
        <v>3</v>
      </c>
      <c r="DY152" s="22">
        <v>6</v>
      </c>
      <c r="DZ152" s="23" t="s">
        <v>204</v>
      </c>
      <c r="EA152" s="23">
        <v>4</v>
      </c>
      <c r="ED152" s="9" t="str">
        <f t="shared" si="67"/>
        <v>ANB10D</v>
      </c>
      <c r="EF152" s="6" t="s">
        <v>647</v>
      </c>
      <c r="EH152" s="6" t="s">
        <v>704</v>
      </c>
      <c r="EI152" s="6" t="s">
        <v>705</v>
      </c>
      <c r="EJ152" s="12">
        <v>12</v>
      </c>
      <c r="EK152" s="12"/>
      <c r="EM152" s="12"/>
      <c r="EN152" s="12" t="s">
        <v>1121</v>
      </c>
      <c r="EP152" s="6" t="s">
        <v>1154</v>
      </c>
      <c r="ER152" s="6" t="str">
        <f>MID(EH152,3,6)</f>
        <v>P4009A</v>
      </c>
      <c r="ET152" s="6" t="str">
        <f t="shared" si="75"/>
        <v>짝수</v>
      </c>
      <c r="EU152" s="12">
        <v>44</v>
      </c>
      <c r="EV152" s="45" t="str">
        <f t="shared" ca="1" si="80"/>
        <v>A</v>
      </c>
      <c r="EW152" s="6">
        <f t="shared" ca="1" si="76"/>
        <v>65</v>
      </c>
      <c r="EZ152" s="6" t="str">
        <f>ER152&amp;"INT"</f>
        <v>P4009AINT</v>
      </c>
      <c r="FA152" s="6" t="str">
        <f>ER152&amp;"INT"</f>
        <v>P4009AINT</v>
      </c>
      <c r="FR152" s="6">
        <v>1</v>
      </c>
      <c r="FS152" s="6" t="str">
        <f t="shared" si="77"/>
        <v/>
      </c>
      <c r="FT152" s="6">
        <f t="shared" si="78"/>
        <v>1</v>
      </c>
      <c r="FU152" s="6" t="str">
        <f t="shared" ca="1" si="81"/>
        <v/>
      </c>
      <c r="FV152" s="6" t="str">
        <f t="shared" ca="1" si="79"/>
        <v/>
      </c>
      <c r="FW152" s="6" t="str">
        <f t="shared" ref="FW152:FW183" ca="1" si="90">IF(AND(FT152=1,FU152=""),DD152&amp;"-11",IF(AND(FT152=1,FU152&lt;&gt;""),DD152&amp;"-21",""))</f>
        <v>R2-11</v>
      </c>
      <c r="FX152" s="6" t="str">
        <f t="shared" ref="FX152:FX183" ca="1" si="91">IF(AND(FT152=1,FU152=""),DD152&amp;"-12",IF(AND(FT152=1,FU152&lt;&gt;""),DD152&amp;"-22",""))</f>
        <v>R2-12</v>
      </c>
      <c r="FY152" s="6" t="str">
        <f t="shared" ref="FY152:FY183" ca="1" si="92">IF(AND(FS152="",OFFSET(FS152,0,1)="",DC152="A1BA4D"),"",IF(DC152="A1BD5D",LEFT(FW152,3)&amp;"21",FW152))</f>
        <v>R2-21</v>
      </c>
      <c r="FZ152" s="6" t="str">
        <f t="shared" ref="FZ152:FZ183" ca="1" si="93" xml:space="preserve">
IF(AND(FS152="",OFFSET(FS152,0,1)="",DC152="A1BA4D"),"",IF(DC152="A1BD5D",LEFT(FW152,3)&amp;"22",FW152))</f>
        <v>R2-22</v>
      </c>
    </row>
    <row r="153" spans="1:182" ht="15.95" customHeight="1">
      <c r="A153" s="6">
        <v>404</v>
      </c>
      <c r="B153" s="6" t="s">
        <v>175</v>
      </c>
      <c r="E153" s="6" t="s">
        <v>798</v>
      </c>
      <c r="F153" s="6" t="s">
        <v>1405</v>
      </c>
      <c r="G153" s="6" t="s">
        <v>1290</v>
      </c>
      <c r="H153" s="7" t="s">
        <v>1291</v>
      </c>
      <c r="I153" s="7"/>
      <c r="J153" s="6" t="e">
        <v>#N/A</v>
      </c>
      <c r="K153" s="6" t="e">
        <v>#N/A</v>
      </c>
      <c r="N153" s="6" t="e">
        <v>#N/A</v>
      </c>
      <c r="O153" s="6" t="e">
        <v>#N/A</v>
      </c>
      <c r="R153" s="101" t="e">
        <v>#N/A</v>
      </c>
      <c r="Y153" s="6" t="e">
        <v>#N/A</v>
      </c>
      <c r="Z153" s="6" t="e">
        <v>#N/A</v>
      </c>
      <c r="AA153" s="6" t="e">
        <v>#N/A</v>
      </c>
      <c r="AD153" s="6" t="e">
        <v>#N/A</v>
      </c>
      <c r="AE153" s="6" t="e">
        <v>#N/A</v>
      </c>
      <c r="AG153" s="6" t="e">
        <v>#N/A</v>
      </c>
      <c r="AY153" s="8" t="s">
        <v>176</v>
      </c>
      <c r="AZ153" s="8" t="s">
        <v>195</v>
      </c>
      <c r="BA153" s="13" t="s">
        <v>656</v>
      </c>
      <c r="BB153" s="13" t="s">
        <v>796</v>
      </c>
      <c r="BC153" s="13">
        <v>7</v>
      </c>
      <c r="BD153" s="13">
        <v>8</v>
      </c>
      <c r="DC153" s="6" t="s">
        <v>723</v>
      </c>
      <c r="DD153" s="6" t="s">
        <v>191</v>
      </c>
      <c r="DH153" s="6" t="str">
        <f>"A"&amp;EA153</f>
        <v>A4</v>
      </c>
      <c r="DI153" s="6" t="str">
        <f>"B"&amp;EA153</f>
        <v>B4</v>
      </c>
      <c r="DK153" s="6" t="s">
        <v>173</v>
      </c>
      <c r="DL153" s="6" t="str">
        <f>IF(DZ153&lt;&gt;"","CN2","")</f>
        <v>CN2</v>
      </c>
      <c r="DO153" s="9" t="s">
        <v>170</v>
      </c>
      <c r="DP153" s="6" t="s">
        <v>171</v>
      </c>
      <c r="DQ153" s="6" t="s">
        <v>645</v>
      </c>
      <c r="DS153" s="6" t="str">
        <f>IF(MID(EF153,2,1)="A","KS1","AKB331")</f>
        <v>AKB331</v>
      </c>
      <c r="DT153" s="10" t="str">
        <f>DQ153&amp;"-"&amp;DX153&amp;"-"&amp;DY153&amp;"/"&amp;BA153&amp;"-"&amp;DD153&amp;"-"&amp;DK153</f>
        <v>FCS0111-4-7/1S–MC–127-R5-CN1</v>
      </c>
      <c r="DU153" s="6" t="str">
        <f>IF(DL153="","",DQ153&amp;"-"&amp;DX153&amp;"-"&amp;DY153&amp;"/"&amp;BA153&amp;"-"&amp;DD153&amp;"-"&amp;DL153)</f>
        <v>FCS0111-4-7/1S–MC–127-R5-CN2</v>
      </c>
      <c r="DV153" s="19">
        <v>1</v>
      </c>
      <c r="DW153" s="20" t="str">
        <f>RIGHT(DQ153,2)</f>
        <v>11</v>
      </c>
      <c r="DX153" s="21">
        <v>4</v>
      </c>
      <c r="DY153" s="22">
        <v>7</v>
      </c>
      <c r="DZ153" s="23">
        <v>8</v>
      </c>
      <c r="EA153" s="23">
        <v>4</v>
      </c>
      <c r="ED153" s="9" t="str">
        <f>IF(DX153="1","AFV30D","ANB10D")</f>
        <v>ANB10D</v>
      </c>
      <c r="EF153" s="6" t="s">
        <v>672</v>
      </c>
      <c r="EH153" s="6" t="s">
        <v>798</v>
      </c>
      <c r="EI153" s="6" t="s">
        <v>705</v>
      </c>
      <c r="EJ153" s="12">
        <v>12</v>
      </c>
      <c r="EK153" s="12"/>
      <c r="EM153" s="12"/>
      <c r="EN153" s="12" t="s">
        <v>1121</v>
      </c>
      <c r="ET153" s="6" t="str">
        <f t="shared" si="75"/>
        <v>짝수</v>
      </c>
      <c r="EU153" s="12">
        <v>44</v>
      </c>
      <c r="EV153" s="45" t="str">
        <f t="shared" ca="1" si="80"/>
        <v>B</v>
      </c>
      <c r="EW153" s="6">
        <f t="shared" ca="1" si="76"/>
        <v>66</v>
      </c>
      <c r="FR153" s="6">
        <v>1</v>
      </c>
      <c r="FS153" s="6">
        <f t="shared" si="77"/>
        <v>1</v>
      </c>
      <c r="FT153" s="6" t="str">
        <f t="shared" si="78"/>
        <v/>
      </c>
      <c r="FU153" s="6" t="str">
        <f t="shared" ca="1" si="81"/>
        <v>R5-11</v>
      </c>
      <c r="FV153" s="6" t="str">
        <f t="shared" ca="1" si="79"/>
        <v>R5-12</v>
      </c>
      <c r="FW153" s="6" t="str">
        <f t="shared" ca="1" si="90"/>
        <v/>
      </c>
      <c r="FX153" s="6" t="str">
        <f t="shared" ca="1" si="91"/>
        <v/>
      </c>
      <c r="FY153" s="6" t="str">
        <f t="shared" ca="1" si="92"/>
        <v/>
      </c>
      <c r="FZ153" s="6" t="str">
        <f t="shared" ca="1" si="93"/>
        <v/>
      </c>
    </row>
    <row r="154" spans="1:182" ht="15.95" customHeight="1">
      <c r="A154" s="6">
        <v>230</v>
      </c>
      <c r="B154" s="6" t="s">
        <v>175</v>
      </c>
      <c r="E154" s="6" t="s">
        <v>706</v>
      </c>
      <c r="F154" s="6" t="s">
        <v>1406</v>
      </c>
      <c r="G154" s="6" t="s">
        <v>1290</v>
      </c>
      <c r="H154" s="7" t="s">
        <v>1291</v>
      </c>
      <c r="I154" s="7"/>
      <c r="J154" s="6" t="e">
        <v>#N/A</v>
      </c>
      <c r="K154" s="6" t="e">
        <v>#N/A</v>
      </c>
      <c r="N154" s="6" t="e">
        <v>#N/A</v>
      </c>
      <c r="O154" s="6" t="e">
        <v>#N/A</v>
      </c>
      <c r="R154" s="101" t="e">
        <v>#N/A</v>
      </c>
      <c r="Y154" s="6" t="e">
        <v>#N/A</v>
      </c>
      <c r="Z154" s="6" t="e">
        <v>#N/A</v>
      </c>
      <c r="AA154" s="6" t="e">
        <v>#N/A</v>
      </c>
      <c r="AD154" s="6" t="e">
        <v>#N/A</v>
      </c>
      <c r="AE154" s="6" t="e">
        <v>#N/A</v>
      </c>
      <c r="AG154" s="6" t="e">
        <v>#N/A</v>
      </c>
      <c r="AY154" s="8" t="s">
        <v>176</v>
      </c>
      <c r="AZ154" s="8" t="s">
        <v>195</v>
      </c>
      <c r="BA154" s="13" t="s">
        <v>656</v>
      </c>
      <c r="BB154" s="13" t="s">
        <v>200</v>
      </c>
      <c r="BC154" s="13">
        <v>67</v>
      </c>
      <c r="BD154" s="13">
        <v>68</v>
      </c>
      <c r="DC154" s="6" t="s">
        <v>644</v>
      </c>
      <c r="DD154" s="6" t="s">
        <v>188</v>
      </c>
      <c r="DH154" s="6" t="str">
        <f t="shared" si="68"/>
        <v>A6</v>
      </c>
      <c r="DI154" s="6" t="str">
        <f t="shared" si="69"/>
        <v>B6</v>
      </c>
      <c r="DK154" s="6" t="s">
        <v>173</v>
      </c>
      <c r="DL154" s="6" t="str">
        <f t="shared" si="70"/>
        <v/>
      </c>
      <c r="DO154" s="9" t="s">
        <v>170</v>
      </c>
      <c r="DP154" s="6" t="s">
        <v>171</v>
      </c>
      <c r="DQ154" s="6" t="s">
        <v>645</v>
      </c>
      <c r="DS154" s="6" t="str">
        <f t="shared" si="63"/>
        <v>AKB331</v>
      </c>
      <c r="DT154" s="10" t="str">
        <f t="shared" si="64"/>
        <v>FCS0111-3-6/1S–MC–127-R2-CN1</v>
      </c>
      <c r="DU154" s="6" t="str">
        <f t="shared" si="65"/>
        <v/>
      </c>
      <c r="DV154" s="19">
        <v>1</v>
      </c>
      <c r="DW154" s="20" t="str">
        <f t="shared" si="66"/>
        <v>11</v>
      </c>
      <c r="DX154" s="21">
        <v>3</v>
      </c>
      <c r="DY154" s="22">
        <v>6</v>
      </c>
      <c r="DZ154" s="23" t="s">
        <v>204</v>
      </c>
      <c r="EA154" s="23">
        <v>6</v>
      </c>
      <c r="ED154" s="9" t="str">
        <f t="shared" si="67"/>
        <v>ANB10D</v>
      </c>
      <c r="EF154" s="6" t="s">
        <v>647</v>
      </c>
      <c r="EH154" s="6" t="s">
        <v>1132</v>
      </c>
      <c r="EI154" s="6" t="s">
        <v>705</v>
      </c>
      <c r="EJ154" s="12">
        <v>12</v>
      </c>
      <c r="EK154" s="12"/>
      <c r="EM154" s="12"/>
      <c r="EN154" s="12" t="s">
        <v>1121</v>
      </c>
      <c r="EP154" s="6" t="s">
        <v>1154</v>
      </c>
      <c r="ER154" s="6" t="str">
        <f>MID(EH154,3,6)</f>
        <v>P4009B</v>
      </c>
      <c r="ET154" s="6" t="str">
        <f t="shared" si="75"/>
        <v>짝수</v>
      </c>
      <c r="EU154" s="12">
        <v>44</v>
      </c>
      <c r="EV154" s="45" t="str">
        <f t="shared" ca="1" si="80"/>
        <v>C</v>
      </c>
      <c r="EW154" s="6">
        <f t="shared" ca="1" si="76"/>
        <v>67</v>
      </c>
      <c r="EZ154" s="6" t="str">
        <f>ER154&amp;"INT"</f>
        <v>P4009BINT</v>
      </c>
      <c r="FA154" s="6" t="str">
        <f>ER154&amp;"INT"</f>
        <v>P4009BINT</v>
      </c>
      <c r="FR154" s="6">
        <v>1</v>
      </c>
      <c r="FS154" s="6" t="str">
        <f t="shared" si="77"/>
        <v/>
      </c>
      <c r="FT154" s="6">
        <f t="shared" si="78"/>
        <v>1</v>
      </c>
      <c r="FU154" s="6" t="str">
        <f t="shared" ca="1" si="81"/>
        <v/>
      </c>
      <c r="FV154" s="6" t="str">
        <f t="shared" ca="1" si="79"/>
        <v/>
      </c>
      <c r="FW154" s="6" t="str">
        <f t="shared" ca="1" si="90"/>
        <v>R2-11</v>
      </c>
      <c r="FX154" s="6" t="str">
        <f t="shared" ca="1" si="91"/>
        <v>R2-12</v>
      </c>
      <c r="FY154" s="6" t="str">
        <f t="shared" ca="1" si="92"/>
        <v>R2-21</v>
      </c>
      <c r="FZ154" s="6" t="str">
        <f t="shared" ca="1" si="93"/>
        <v>R2-22</v>
      </c>
    </row>
    <row r="155" spans="1:182" ht="15.95" customHeight="1">
      <c r="A155" s="6">
        <v>406</v>
      </c>
      <c r="B155" s="6" t="s">
        <v>175</v>
      </c>
      <c r="E155" s="6" t="s">
        <v>799</v>
      </c>
      <c r="F155" s="6" t="s">
        <v>1407</v>
      </c>
      <c r="G155" s="6" t="s">
        <v>1290</v>
      </c>
      <c r="H155" s="7" t="s">
        <v>1291</v>
      </c>
      <c r="I155" s="7"/>
      <c r="J155" s="6" t="e">
        <v>#N/A</v>
      </c>
      <c r="K155" s="6" t="e">
        <v>#N/A</v>
      </c>
      <c r="N155" s="6" t="e">
        <v>#N/A</v>
      </c>
      <c r="O155" s="6" t="e">
        <v>#N/A</v>
      </c>
      <c r="R155" s="101" t="e">
        <v>#N/A</v>
      </c>
      <c r="Y155" s="6" t="e">
        <v>#N/A</v>
      </c>
      <c r="Z155" s="6" t="e">
        <v>#N/A</v>
      </c>
      <c r="AA155" s="6" t="e">
        <v>#N/A</v>
      </c>
      <c r="AD155" s="6" t="e">
        <v>#N/A</v>
      </c>
      <c r="AE155" s="6" t="e">
        <v>#N/A</v>
      </c>
      <c r="AG155" s="6" t="e">
        <v>#N/A</v>
      </c>
      <c r="AY155" s="8" t="s">
        <v>176</v>
      </c>
      <c r="AZ155" s="8" t="s">
        <v>195</v>
      </c>
      <c r="BA155" s="13" t="s">
        <v>656</v>
      </c>
      <c r="BB155" s="13" t="s">
        <v>796</v>
      </c>
      <c r="BC155" s="13">
        <v>11</v>
      </c>
      <c r="BD155" s="13">
        <v>12</v>
      </c>
      <c r="DC155" s="6" t="s">
        <v>723</v>
      </c>
      <c r="DD155" s="6" t="s">
        <v>191</v>
      </c>
      <c r="DH155" s="6" t="str">
        <f>"A"&amp;EA155</f>
        <v>A6</v>
      </c>
      <c r="DI155" s="6" t="str">
        <f>"B"&amp;EA155</f>
        <v>B6</v>
      </c>
      <c r="DK155" s="6" t="s">
        <v>173</v>
      </c>
      <c r="DL155" s="6" t="str">
        <f>IF(DZ155&lt;&gt;"","CN2","")</f>
        <v>CN2</v>
      </c>
      <c r="DO155" s="9" t="s">
        <v>170</v>
      </c>
      <c r="DP155" s="6" t="s">
        <v>171</v>
      </c>
      <c r="DQ155" s="6" t="s">
        <v>645</v>
      </c>
      <c r="DS155" s="6" t="str">
        <f>IF(MID(EF155,2,1)="A","KS1","AKB331")</f>
        <v>AKB331</v>
      </c>
      <c r="DT155" s="10" t="str">
        <f>DQ155&amp;"-"&amp;DX155&amp;"-"&amp;DY155&amp;"/"&amp;BA155&amp;"-"&amp;DD155&amp;"-"&amp;DK155</f>
        <v>FCS0111-4-7/1S–MC–127-R5-CN1</v>
      </c>
      <c r="DU155" s="6" t="str">
        <f>IF(DL155="","",DQ155&amp;"-"&amp;DX155&amp;"-"&amp;DY155&amp;"/"&amp;BA155&amp;"-"&amp;DD155&amp;"-"&amp;DL155)</f>
        <v>FCS0111-4-7/1S–MC–127-R5-CN2</v>
      </c>
      <c r="DV155" s="19">
        <v>1</v>
      </c>
      <c r="DW155" s="20" t="str">
        <f>RIGHT(DQ155,2)</f>
        <v>11</v>
      </c>
      <c r="DX155" s="21">
        <v>4</v>
      </c>
      <c r="DY155" s="22">
        <v>7</v>
      </c>
      <c r="DZ155" s="23">
        <v>8</v>
      </c>
      <c r="EA155" s="23">
        <v>6</v>
      </c>
      <c r="ED155" s="9" t="str">
        <f>IF(DX155="1","AFV30D","ANB10D")</f>
        <v>ANB10D</v>
      </c>
      <c r="EF155" s="6" t="s">
        <v>672</v>
      </c>
      <c r="EH155" s="6" t="s">
        <v>799</v>
      </c>
      <c r="EI155" s="6" t="s">
        <v>705</v>
      </c>
      <c r="EJ155" s="12">
        <v>12</v>
      </c>
      <c r="EK155" s="12"/>
      <c r="EM155" s="12"/>
      <c r="EN155" s="12" t="s">
        <v>1121</v>
      </c>
      <c r="ET155" s="6" t="str">
        <f t="shared" si="75"/>
        <v>짝수</v>
      </c>
      <c r="EU155" s="12">
        <v>44</v>
      </c>
      <c r="EV155" s="45" t="str">
        <f t="shared" ca="1" si="80"/>
        <v>D</v>
      </c>
      <c r="EW155" s="6">
        <f t="shared" ca="1" si="76"/>
        <v>68</v>
      </c>
      <c r="FR155" s="6">
        <v>1</v>
      </c>
      <c r="FS155" s="6">
        <f t="shared" si="77"/>
        <v>1</v>
      </c>
      <c r="FT155" s="6" t="str">
        <f t="shared" si="78"/>
        <v/>
      </c>
      <c r="FU155" s="6" t="str">
        <f t="shared" ca="1" si="81"/>
        <v>R5-11</v>
      </c>
      <c r="FV155" s="6" t="str">
        <f t="shared" ca="1" si="79"/>
        <v>R5-12</v>
      </c>
      <c r="FW155" s="6" t="str">
        <f t="shared" ca="1" si="90"/>
        <v/>
      </c>
      <c r="FX155" s="6" t="str">
        <f t="shared" ca="1" si="91"/>
        <v/>
      </c>
      <c r="FY155" s="6" t="str">
        <f t="shared" ca="1" si="92"/>
        <v/>
      </c>
      <c r="FZ155" s="6" t="str">
        <f t="shared" ca="1" si="93"/>
        <v/>
      </c>
    </row>
    <row r="156" spans="1:182" s="26" customFormat="1" ht="15.95" customHeight="1">
      <c r="A156" s="26">
        <v>232</v>
      </c>
      <c r="B156" s="26" t="s">
        <v>175</v>
      </c>
      <c r="E156" s="26" t="s">
        <v>707</v>
      </c>
      <c r="F156" s="6" t="s">
        <v>1408</v>
      </c>
      <c r="G156" s="6" t="s">
        <v>1290</v>
      </c>
      <c r="H156" s="7" t="s">
        <v>1291</v>
      </c>
      <c r="I156" s="7"/>
      <c r="J156" s="6" t="e">
        <v>#N/A</v>
      </c>
      <c r="K156" s="6" t="e">
        <v>#N/A</v>
      </c>
      <c r="N156" s="6" t="e">
        <v>#N/A</v>
      </c>
      <c r="O156" s="6" t="e">
        <v>#N/A</v>
      </c>
      <c r="R156" s="101" t="e">
        <v>#N/A</v>
      </c>
      <c r="Y156" s="6" t="e">
        <v>#N/A</v>
      </c>
      <c r="Z156" s="6" t="e">
        <v>#N/A</v>
      </c>
      <c r="AA156" s="6" t="e">
        <v>#N/A</v>
      </c>
      <c r="AD156" s="6" t="e">
        <v>#N/A</v>
      </c>
      <c r="AE156" s="6" t="e">
        <v>#N/A</v>
      </c>
      <c r="AG156" s="6" t="e">
        <v>#N/A</v>
      </c>
      <c r="AH156" s="6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 t="s">
        <v>176</v>
      </c>
      <c r="AZ156" s="27" t="s">
        <v>195</v>
      </c>
      <c r="BA156" s="28" t="s">
        <v>656</v>
      </c>
      <c r="BB156" s="28" t="s">
        <v>200</v>
      </c>
      <c r="BC156" s="28">
        <v>71</v>
      </c>
      <c r="BD156" s="28">
        <v>72</v>
      </c>
      <c r="BE156" s="28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DC156" s="26" t="s">
        <v>644</v>
      </c>
      <c r="DD156" s="26" t="s">
        <v>188</v>
      </c>
      <c r="DH156" s="26" t="str">
        <f t="shared" si="68"/>
        <v>A8</v>
      </c>
      <c r="DI156" s="26" t="str">
        <f t="shared" si="69"/>
        <v>B8</v>
      </c>
      <c r="DK156" s="26" t="s">
        <v>173</v>
      </c>
      <c r="DL156" s="26" t="str">
        <f t="shared" si="70"/>
        <v/>
      </c>
      <c r="DO156" s="29" t="s">
        <v>170</v>
      </c>
      <c r="DP156" s="26" t="s">
        <v>171</v>
      </c>
      <c r="DQ156" s="26" t="s">
        <v>645</v>
      </c>
      <c r="DS156" s="26" t="str">
        <f t="shared" si="63"/>
        <v>AKB331</v>
      </c>
      <c r="DT156" s="30" t="str">
        <f t="shared" si="64"/>
        <v>FCS0111-3-6/1S–MC–127-R2-CN1</v>
      </c>
      <c r="DU156" s="26" t="str">
        <f t="shared" si="65"/>
        <v/>
      </c>
      <c r="DV156" s="31">
        <v>1</v>
      </c>
      <c r="DW156" s="32" t="str">
        <f t="shared" si="66"/>
        <v>11</v>
      </c>
      <c r="DX156" s="33">
        <v>3</v>
      </c>
      <c r="DY156" s="34">
        <v>6</v>
      </c>
      <c r="DZ156" s="35" t="s">
        <v>204</v>
      </c>
      <c r="EA156" s="35">
        <v>8</v>
      </c>
      <c r="ED156" s="29" t="str">
        <f t="shared" si="67"/>
        <v>ANB10D</v>
      </c>
      <c r="EF156" s="26" t="s">
        <v>647</v>
      </c>
      <c r="EH156" s="26" t="s">
        <v>707</v>
      </c>
      <c r="EI156" s="26" t="s">
        <v>648</v>
      </c>
      <c r="EJ156" s="12">
        <v>9</v>
      </c>
      <c r="EK156" s="12"/>
      <c r="EL156" s="12"/>
      <c r="EM156" s="12"/>
      <c r="EN156" s="25" t="s">
        <v>1121</v>
      </c>
      <c r="EO156" s="6"/>
      <c r="EP156" s="6" t="s">
        <v>1153</v>
      </c>
      <c r="EQ156" s="6"/>
      <c r="ER156" s="6" t="str">
        <f>MID(EH156,3,8)</f>
        <v>P4017</v>
      </c>
      <c r="ES156" s="6"/>
      <c r="ET156" s="6" t="str">
        <f t="shared" si="75"/>
        <v>홀수</v>
      </c>
      <c r="EU156" s="12">
        <v>45</v>
      </c>
      <c r="EV156" s="45" t="str">
        <f t="shared" ca="1" si="80"/>
        <v>A</v>
      </c>
      <c r="EW156" s="6">
        <f t="shared" ca="1" si="76"/>
        <v>65</v>
      </c>
      <c r="EX156" s="6"/>
      <c r="EY156" s="6"/>
      <c r="EZ156" s="6"/>
      <c r="FO156" s="36"/>
      <c r="FR156" s="26">
        <v>1</v>
      </c>
      <c r="FS156" s="26" t="str">
        <f t="shared" si="77"/>
        <v/>
      </c>
      <c r="FT156" s="26">
        <f t="shared" si="78"/>
        <v>1</v>
      </c>
      <c r="FU156" s="26" t="str">
        <f t="shared" ca="1" si="81"/>
        <v/>
      </c>
      <c r="FV156" s="26" t="str">
        <f t="shared" ca="1" si="79"/>
        <v/>
      </c>
      <c r="FW156" s="26" t="str">
        <f t="shared" ca="1" si="90"/>
        <v>R2-11</v>
      </c>
      <c r="FX156" s="26" t="str">
        <f t="shared" ca="1" si="91"/>
        <v>R2-12</v>
      </c>
      <c r="FY156" s="26" t="str">
        <f t="shared" ca="1" si="92"/>
        <v>R2-21</v>
      </c>
      <c r="FZ156" s="26" t="str">
        <f t="shared" ca="1" si="93"/>
        <v>R2-22</v>
      </c>
    </row>
    <row r="157" spans="1:182" s="26" customFormat="1" ht="15.95" customHeight="1">
      <c r="A157" s="26">
        <v>233</v>
      </c>
      <c r="B157" s="26" t="s">
        <v>175</v>
      </c>
      <c r="E157" s="26" t="s">
        <v>708</v>
      </c>
      <c r="F157" s="6" t="s">
        <v>1409</v>
      </c>
      <c r="G157" s="6" t="s">
        <v>1290</v>
      </c>
      <c r="H157" s="7" t="s">
        <v>1291</v>
      </c>
      <c r="I157" s="7"/>
      <c r="J157" s="6" t="e">
        <v>#N/A</v>
      </c>
      <c r="K157" s="6" t="e">
        <v>#N/A</v>
      </c>
      <c r="N157" s="6" t="e">
        <v>#N/A</v>
      </c>
      <c r="O157" s="6" t="e">
        <v>#N/A</v>
      </c>
      <c r="R157" s="101" t="e">
        <v>#N/A</v>
      </c>
      <c r="Y157" s="6" t="e">
        <v>#N/A</v>
      </c>
      <c r="Z157" s="6" t="e">
        <v>#N/A</v>
      </c>
      <c r="AA157" s="6" t="e">
        <v>#N/A</v>
      </c>
      <c r="AD157" s="6" t="e">
        <v>#N/A</v>
      </c>
      <c r="AE157" s="6" t="e">
        <v>#N/A</v>
      </c>
      <c r="AG157" s="6" t="e">
        <v>#N/A</v>
      </c>
      <c r="AH157" s="6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 t="s">
        <v>176</v>
      </c>
      <c r="AZ157" s="27" t="s">
        <v>195</v>
      </c>
      <c r="BA157" s="28" t="s">
        <v>656</v>
      </c>
      <c r="BB157" s="28" t="s">
        <v>200</v>
      </c>
      <c r="BC157" s="28">
        <v>73</v>
      </c>
      <c r="BD157" s="28">
        <v>74</v>
      </c>
      <c r="BE157" s="28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DC157" s="26" t="s">
        <v>644</v>
      </c>
      <c r="DD157" s="26" t="s">
        <v>188</v>
      </c>
      <c r="DH157" s="26" t="str">
        <f>"A"&amp;EA157</f>
        <v>A9</v>
      </c>
      <c r="DI157" s="26" t="str">
        <f>"B"&amp;EA157</f>
        <v>B9</v>
      </c>
      <c r="DK157" s="26" t="s">
        <v>173</v>
      </c>
      <c r="DL157" s="26" t="str">
        <f>IF(DZ157&lt;&gt;"","CN2","")</f>
        <v/>
      </c>
      <c r="DO157" s="29" t="s">
        <v>170</v>
      </c>
      <c r="DP157" s="26" t="s">
        <v>171</v>
      </c>
      <c r="DQ157" s="26" t="s">
        <v>645</v>
      </c>
      <c r="DS157" s="26" t="str">
        <f>IF(MID(EF157,2,1)="A","KS1","AKB331")</f>
        <v>AKB331</v>
      </c>
      <c r="DT157" s="30" t="str">
        <f>DQ157&amp;"-"&amp;DX157&amp;"-"&amp;DY157&amp;"/"&amp;BA157&amp;"-"&amp;DD157&amp;"-"&amp;DK157</f>
        <v>FCS0111-3-6/1S–MC–127-R2-CN1</v>
      </c>
      <c r="DU157" s="26" t="str">
        <f>IF(DL157="","",DQ157&amp;"-"&amp;DX157&amp;"-"&amp;DY157&amp;"/"&amp;BA157&amp;"-"&amp;DD157&amp;"-"&amp;DL157)</f>
        <v/>
      </c>
      <c r="DV157" s="31">
        <v>1</v>
      </c>
      <c r="DW157" s="32" t="str">
        <f>RIGHT(DQ157,2)</f>
        <v>11</v>
      </c>
      <c r="DX157" s="33">
        <v>3</v>
      </c>
      <c r="DY157" s="34">
        <v>6</v>
      </c>
      <c r="DZ157" s="35" t="s">
        <v>204</v>
      </c>
      <c r="EA157" s="35">
        <v>9</v>
      </c>
      <c r="ED157" s="29" t="str">
        <f>IF(DX157="1","AFV30D","ANB10D")</f>
        <v>ANB10D</v>
      </c>
      <c r="EF157" s="26" t="s">
        <v>647</v>
      </c>
      <c r="EH157" s="26" t="s">
        <v>708</v>
      </c>
      <c r="EI157" s="26" t="s">
        <v>648</v>
      </c>
      <c r="EJ157" s="12">
        <v>9</v>
      </c>
      <c r="EK157" s="12"/>
      <c r="EL157" s="12"/>
      <c r="EM157" s="12"/>
      <c r="EN157" s="25" t="s">
        <v>1121</v>
      </c>
      <c r="EO157" s="6"/>
      <c r="EP157" s="6"/>
      <c r="EQ157" s="6"/>
      <c r="ER157" s="6"/>
      <c r="ES157" s="6"/>
      <c r="ET157" s="6" t="str">
        <f t="shared" si="75"/>
        <v>홀수</v>
      </c>
      <c r="EU157" s="12">
        <v>45</v>
      </c>
      <c r="EV157" s="45" t="str">
        <f t="shared" ca="1" si="80"/>
        <v>B</v>
      </c>
      <c r="EW157" s="6">
        <f t="shared" ca="1" si="76"/>
        <v>66</v>
      </c>
      <c r="EX157" s="6"/>
      <c r="EY157" s="6"/>
      <c r="FA157" s="6" t="str">
        <f>ER156&amp;"INT"</f>
        <v>P4017INT</v>
      </c>
      <c r="FB157" s="6"/>
      <c r="FO157" s="36"/>
      <c r="FR157" s="26">
        <v>1</v>
      </c>
      <c r="FS157" s="26" t="str">
        <f t="shared" si="77"/>
        <v/>
      </c>
      <c r="FT157" s="26">
        <f t="shared" si="78"/>
        <v>1</v>
      </c>
      <c r="FU157" s="26" t="str">
        <f t="shared" ca="1" si="81"/>
        <v/>
      </c>
      <c r="FV157" s="26" t="str">
        <f t="shared" ca="1" si="79"/>
        <v/>
      </c>
      <c r="FW157" s="26" t="str">
        <f t="shared" ca="1" si="90"/>
        <v>R2-11</v>
      </c>
      <c r="FX157" s="26" t="str">
        <f t="shared" ca="1" si="91"/>
        <v>R2-12</v>
      </c>
      <c r="FY157" s="26" t="str">
        <f t="shared" ca="1" si="92"/>
        <v>R2-21</v>
      </c>
      <c r="FZ157" s="26" t="str">
        <f t="shared" ca="1" si="93"/>
        <v>R2-22</v>
      </c>
    </row>
    <row r="158" spans="1:182" s="26" customFormat="1" ht="15.95" customHeight="1">
      <c r="A158" s="26">
        <v>408</v>
      </c>
      <c r="B158" s="26" t="s">
        <v>175</v>
      </c>
      <c r="E158" s="26" t="s">
        <v>800</v>
      </c>
      <c r="F158" s="6" t="s">
        <v>1410</v>
      </c>
      <c r="G158" s="6" t="s">
        <v>1290</v>
      </c>
      <c r="H158" s="7" t="s">
        <v>1291</v>
      </c>
      <c r="I158" s="7"/>
      <c r="J158" s="6" t="e">
        <v>#N/A</v>
      </c>
      <c r="K158" s="6" t="e">
        <v>#N/A</v>
      </c>
      <c r="N158" s="6" t="e">
        <v>#N/A</v>
      </c>
      <c r="O158" s="6" t="e">
        <v>#N/A</v>
      </c>
      <c r="R158" s="101" t="e">
        <v>#N/A</v>
      </c>
      <c r="Y158" s="6" t="e">
        <v>#N/A</v>
      </c>
      <c r="Z158" s="6" t="e">
        <v>#N/A</v>
      </c>
      <c r="AA158" s="6" t="e">
        <v>#N/A</v>
      </c>
      <c r="AD158" s="6" t="e">
        <v>#N/A</v>
      </c>
      <c r="AE158" s="6" t="e">
        <v>#N/A</v>
      </c>
      <c r="AG158" s="6" t="e">
        <v>#N/A</v>
      </c>
      <c r="AH158" s="6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 t="s">
        <v>176</v>
      </c>
      <c r="AZ158" s="27" t="s">
        <v>195</v>
      </c>
      <c r="BA158" s="28" t="s">
        <v>656</v>
      </c>
      <c r="BB158" s="28" t="s">
        <v>796</v>
      </c>
      <c r="BC158" s="28">
        <v>15</v>
      </c>
      <c r="BD158" s="28">
        <v>16</v>
      </c>
      <c r="BE158" s="28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DC158" s="26" t="s">
        <v>723</v>
      </c>
      <c r="DD158" s="26" t="s">
        <v>191</v>
      </c>
      <c r="DH158" s="26" t="str">
        <f>"A"&amp;EA158</f>
        <v>A8</v>
      </c>
      <c r="DI158" s="26" t="str">
        <f>"B"&amp;EA158</f>
        <v>B8</v>
      </c>
      <c r="DK158" s="26" t="s">
        <v>173</v>
      </c>
      <c r="DL158" s="26" t="str">
        <f>IF(DZ158&lt;&gt;"","CN2","")</f>
        <v>CN2</v>
      </c>
      <c r="DO158" s="29" t="s">
        <v>170</v>
      </c>
      <c r="DP158" s="26" t="s">
        <v>171</v>
      </c>
      <c r="DQ158" s="26" t="s">
        <v>645</v>
      </c>
      <c r="DS158" s="26" t="str">
        <f>IF(MID(EF158,2,1)="A","KS1","AKB331")</f>
        <v>AKB331</v>
      </c>
      <c r="DT158" s="30" t="str">
        <f>DQ158&amp;"-"&amp;DX158&amp;"-"&amp;DY158&amp;"/"&amp;BA158&amp;"-"&amp;DD158&amp;"-"&amp;DK158</f>
        <v>FCS0111-4-7/1S–MC–127-R5-CN1</v>
      </c>
      <c r="DU158" s="26" t="str">
        <f>IF(DL158="","",DQ158&amp;"-"&amp;DX158&amp;"-"&amp;DY158&amp;"/"&amp;BA158&amp;"-"&amp;DD158&amp;"-"&amp;DL158)</f>
        <v>FCS0111-4-7/1S–MC–127-R5-CN2</v>
      </c>
      <c r="DV158" s="31">
        <v>1</v>
      </c>
      <c r="DW158" s="32" t="str">
        <f>RIGHT(DQ158,2)</f>
        <v>11</v>
      </c>
      <c r="DX158" s="33">
        <v>4</v>
      </c>
      <c r="DY158" s="34">
        <v>7</v>
      </c>
      <c r="DZ158" s="35">
        <v>8</v>
      </c>
      <c r="EA158" s="35">
        <v>8</v>
      </c>
      <c r="ED158" s="29" t="str">
        <f>IF(DX158="1","AFV30D","ANB10D")</f>
        <v>ANB10D</v>
      </c>
      <c r="EF158" s="26" t="s">
        <v>672</v>
      </c>
      <c r="EH158" s="26" t="s">
        <v>800</v>
      </c>
      <c r="EI158" s="26" t="s">
        <v>648</v>
      </c>
      <c r="EJ158" s="12">
        <v>9</v>
      </c>
      <c r="EK158" s="12"/>
      <c r="EL158" s="12"/>
      <c r="EM158" s="12"/>
      <c r="EN158" s="25" t="s">
        <v>1121</v>
      </c>
      <c r="EO158" s="6"/>
      <c r="EP158" s="6"/>
      <c r="EQ158" s="6"/>
      <c r="ER158" s="6"/>
      <c r="ES158" s="6"/>
      <c r="ET158" s="6" t="str">
        <f t="shared" si="75"/>
        <v>홀수</v>
      </c>
      <c r="EU158" s="12">
        <v>45</v>
      </c>
      <c r="EV158" s="45" t="str">
        <f t="shared" ca="1" si="80"/>
        <v>C</v>
      </c>
      <c r="EW158" s="6">
        <f t="shared" ca="1" si="76"/>
        <v>67</v>
      </c>
      <c r="EX158" s="6"/>
      <c r="EY158" s="6"/>
      <c r="EZ158" s="6"/>
      <c r="FO158" s="36"/>
      <c r="FR158" s="26">
        <v>1</v>
      </c>
      <c r="FS158" s="26">
        <f t="shared" si="77"/>
        <v>1</v>
      </c>
      <c r="FT158" s="26" t="str">
        <f t="shared" si="78"/>
        <v/>
      </c>
      <c r="FU158" s="26" t="str">
        <f t="shared" ca="1" si="81"/>
        <v>R5-11</v>
      </c>
      <c r="FV158" s="26" t="str">
        <f t="shared" ca="1" si="79"/>
        <v>R5-12</v>
      </c>
      <c r="FW158" s="26" t="str">
        <f t="shared" ca="1" si="90"/>
        <v/>
      </c>
      <c r="FX158" s="26" t="str">
        <f t="shared" ca="1" si="91"/>
        <v/>
      </c>
      <c r="FY158" s="26" t="str">
        <f t="shared" ca="1" si="92"/>
        <v/>
      </c>
      <c r="FZ158" s="26" t="str">
        <f t="shared" ca="1" si="93"/>
        <v/>
      </c>
    </row>
    <row r="159" spans="1:182" ht="15.95" customHeight="1">
      <c r="A159" s="6">
        <v>1021</v>
      </c>
      <c r="B159" s="6" t="s">
        <v>694</v>
      </c>
      <c r="E159" s="6" t="s">
        <v>1045</v>
      </c>
      <c r="F159" s="6" t="s">
        <v>1411</v>
      </c>
      <c r="G159" s="6" t="s">
        <v>1290</v>
      </c>
      <c r="H159" s="7" t="s">
        <v>1291</v>
      </c>
      <c r="I159" s="7" t="s">
        <v>1045</v>
      </c>
      <c r="J159" s="6" t="e">
        <v>#N/A</v>
      </c>
      <c r="K159" s="6" t="e">
        <v>#N/A</v>
      </c>
      <c r="N159" s="6" t="e">
        <v>#N/A</v>
      </c>
      <c r="O159" s="6" t="e">
        <v>#N/A</v>
      </c>
      <c r="R159" s="101" t="e">
        <v>#N/A</v>
      </c>
      <c r="Y159" s="6" t="e">
        <v>#N/A</v>
      </c>
      <c r="Z159" s="6" t="e">
        <v>#N/A</v>
      </c>
      <c r="AA159" s="6" t="e">
        <v>#N/A</v>
      </c>
      <c r="AD159" s="6" t="e">
        <v>#N/A</v>
      </c>
      <c r="AE159" s="6" t="e">
        <v>#N/A</v>
      </c>
      <c r="AG159" s="6" t="e">
        <v>#N/A</v>
      </c>
      <c r="AY159" s="8" t="s">
        <v>176</v>
      </c>
      <c r="AZ159" s="8" t="s">
        <v>195</v>
      </c>
      <c r="BA159" s="13" t="s">
        <v>1012</v>
      </c>
      <c r="BB159" s="13" t="s">
        <v>7</v>
      </c>
      <c r="BC159" s="13">
        <v>13</v>
      </c>
      <c r="BD159" s="13">
        <v>14</v>
      </c>
      <c r="DC159" s="6" t="s">
        <v>723</v>
      </c>
      <c r="DD159" s="6" t="s">
        <v>177</v>
      </c>
      <c r="DH159" s="6" t="str">
        <f>"A"&amp;EA159</f>
        <v>A13</v>
      </c>
      <c r="DI159" s="6" t="str">
        <f>"B"&amp;EA159</f>
        <v>B13</v>
      </c>
      <c r="DK159" s="6" t="s">
        <v>173</v>
      </c>
      <c r="DL159" s="6" t="str">
        <f>IF(DZ159&lt;&gt;"","CN2","")</f>
        <v>CN2</v>
      </c>
      <c r="DO159" s="9" t="s">
        <v>170</v>
      </c>
      <c r="DP159" s="6" t="s">
        <v>171</v>
      </c>
      <c r="DQ159" s="6" t="s">
        <v>1013</v>
      </c>
      <c r="DR159" s="6" t="e">
        <f>#REF!&amp;RIGHT(#REF!,3)</f>
        <v>#REF!</v>
      </c>
      <c r="DS159" s="6" t="str">
        <f>IF(MID(EF159,2,1)="A","KS1","AKB331")</f>
        <v>AKB331</v>
      </c>
      <c r="DT159" s="10" t="str">
        <f>DQ159&amp;"-"&amp;DX159&amp;"-"&amp;DY159&amp;"/"&amp;BA159&amp;"-"&amp;DD159&amp;"-"&amp;DK159</f>
        <v>FCS0112-2-7/1S–MC–119-F1-CN1</v>
      </c>
      <c r="DU159" s="6" t="str">
        <f>IF(DL159="","",DQ159&amp;"-"&amp;DX159&amp;"-"&amp;DY159&amp;"/"&amp;BA159&amp;"-"&amp;DD159&amp;"-"&amp;DL159)</f>
        <v>FCS0112-2-7/1S–MC–119-F1-CN2</v>
      </c>
      <c r="DV159" s="19">
        <v>1</v>
      </c>
      <c r="DW159" s="20" t="str">
        <f>RIGHT(DQ159,2)</f>
        <v>12</v>
      </c>
      <c r="DX159" s="20">
        <v>2</v>
      </c>
      <c r="DY159" s="21">
        <v>7</v>
      </c>
      <c r="DZ159" s="22">
        <v>8</v>
      </c>
      <c r="EA159" s="23">
        <v>13</v>
      </c>
      <c r="EB159" s="7">
        <v>29</v>
      </c>
      <c r="EC159" s="6">
        <v>1</v>
      </c>
      <c r="EE159" s="9" t="s">
        <v>693</v>
      </c>
      <c r="EF159" s="6" t="s">
        <v>672</v>
      </c>
      <c r="EG159" s="6" t="s">
        <v>672</v>
      </c>
      <c r="EH159" s="6" t="s">
        <v>1045</v>
      </c>
      <c r="EI159" s="6" t="s">
        <v>648</v>
      </c>
      <c r="EJ159" s="12">
        <v>9</v>
      </c>
      <c r="EK159" s="12"/>
      <c r="EM159" s="12"/>
      <c r="EN159" s="25" t="s">
        <v>1121</v>
      </c>
      <c r="ET159" s="6" t="str">
        <f t="shared" si="75"/>
        <v>홀수</v>
      </c>
      <c r="EU159" s="12">
        <v>45</v>
      </c>
      <c r="EV159" s="45" t="str">
        <f t="shared" ca="1" si="80"/>
        <v>D</v>
      </c>
      <c r="EW159" s="6">
        <f t="shared" ca="1" si="76"/>
        <v>68</v>
      </c>
      <c r="FB159" s="6" t="s">
        <v>1045</v>
      </c>
      <c r="FO159" s="6"/>
      <c r="FP159" s="11"/>
      <c r="FR159" s="6">
        <v>1</v>
      </c>
      <c r="FS159" s="6">
        <f t="shared" si="77"/>
        <v>1</v>
      </c>
      <c r="FT159" s="6" t="str">
        <f t="shared" si="78"/>
        <v/>
      </c>
      <c r="FU159" s="6" t="str">
        <f t="shared" ca="1" si="81"/>
        <v>F1-11</v>
      </c>
      <c r="FV159" s="6" t="str">
        <f t="shared" ca="1" si="79"/>
        <v>F1-12</v>
      </c>
      <c r="FW159" s="6" t="str">
        <f t="shared" ca="1" si="90"/>
        <v/>
      </c>
      <c r="FX159" s="6" t="str">
        <f t="shared" ca="1" si="91"/>
        <v/>
      </c>
      <c r="FY159" s="6" t="str">
        <f t="shared" ca="1" si="92"/>
        <v/>
      </c>
      <c r="FZ159" s="6" t="str">
        <f t="shared" ca="1" si="93"/>
        <v/>
      </c>
    </row>
    <row r="160" spans="1:182" ht="15.95" customHeight="1">
      <c r="A160" s="6">
        <v>235</v>
      </c>
      <c r="B160" s="6" t="s">
        <v>175</v>
      </c>
      <c r="E160" s="6" t="s">
        <v>709</v>
      </c>
      <c r="F160" s="6" t="s">
        <v>1412</v>
      </c>
      <c r="G160" s="6" t="s">
        <v>1290</v>
      </c>
      <c r="H160" s="7" t="s">
        <v>1291</v>
      </c>
      <c r="I160" s="7"/>
      <c r="J160" s="6" t="e">
        <v>#N/A</v>
      </c>
      <c r="K160" s="6" t="e">
        <v>#N/A</v>
      </c>
      <c r="N160" s="6" t="e">
        <v>#N/A</v>
      </c>
      <c r="O160" s="6" t="e">
        <v>#N/A</v>
      </c>
      <c r="R160" s="101" t="e">
        <v>#N/A</v>
      </c>
      <c r="Y160" s="6" t="e">
        <v>#N/A</v>
      </c>
      <c r="Z160" s="6" t="e">
        <v>#N/A</v>
      </c>
      <c r="AA160" s="6" t="e">
        <v>#N/A</v>
      </c>
      <c r="AD160" s="6" t="e">
        <v>#N/A</v>
      </c>
      <c r="AE160" s="6" t="e">
        <v>#N/A</v>
      </c>
      <c r="AG160" s="6" t="e">
        <v>#N/A</v>
      </c>
      <c r="AY160" s="8" t="s">
        <v>176</v>
      </c>
      <c r="AZ160" s="8" t="s">
        <v>195</v>
      </c>
      <c r="BA160" s="13" t="s">
        <v>656</v>
      </c>
      <c r="BB160" s="13" t="s">
        <v>200</v>
      </c>
      <c r="BC160" s="13">
        <v>77</v>
      </c>
      <c r="BD160" s="13">
        <v>78</v>
      </c>
      <c r="DC160" s="6" t="s">
        <v>644</v>
      </c>
      <c r="DD160" s="6" t="s">
        <v>188</v>
      </c>
      <c r="DH160" s="6" t="str">
        <f t="shared" si="68"/>
        <v>A11</v>
      </c>
      <c r="DI160" s="6" t="str">
        <f t="shared" si="69"/>
        <v>B11</v>
      </c>
      <c r="DK160" s="6" t="s">
        <v>173</v>
      </c>
      <c r="DL160" s="6" t="str">
        <f t="shared" si="70"/>
        <v/>
      </c>
      <c r="DO160" s="9" t="s">
        <v>170</v>
      </c>
      <c r="DP160" s="6" t="s">
        <v>171</v>
      </c>
      <c r="DQ160" s="6" t="s">
        <v>645</v>
      </c>
      <c r="DS160" s="6" t="str">
        <f t="shared" si="63"/>
        <v>AKB331</v>
      </c>
      <c r="DT160" s="10" t="str">
        <f t="shared" si="64"/>
        <v>FCS0111-3-6/1S–MC–127-R2-CN1</v>
      </c>
      <c r="DU160" s="6" t="str">
        <f t="shared" si="65"/>
        <v/>
      </c>
      <c r="DV160" s="19">
        <v>1</v>
      </c>
      <c r="DW160" s="20" t="str">
        <f t="shared" si="66"/>
        <v>11</v>
      </c>
      <c r="DX160" s="21">
        <v>3</v>
      </c>
      <c r="DY160" s="22">
        <v>6</v>
      </c>
      <c r="DZ160" s="23" t="s">
        <v>204</v>
      </c>
      <c r="EA160" s="23">
        <v>11</v>
      </c>
      <c r="ED160" s="9" t="str">
        <f t="shared" si="67"/>
        <v>ANB10D</v>
      </c>
      <c r="EF160" s="6" t="s">
        <v>647</v>
      </c>
      <c r="EH160" s="6" t="s">
        <v>709</v>
      </c>
      <c r="EI160" s="6" t="s">
        <v>710</v>
      </c>
      <c r="EJ160" s="12">
        <v>9</v>
      </c>
      <c r="EK160" s="12"/>
      <c r="EM160" s="12"/>
      <c r="EN160" s="25" t="s">
        <v>1121</v>
      </c>
      <c r="EP160" s="6" t="s">
        <v>1153</v>
      </c>
      <c r="ER160" s="6" t="str">
        <f>MID(EH160,3,8)</f>
        <v>P4026A</v>
      </c>
      <c r="ET160" s="6" t="str">
        <f t="shared" si="75"/>
        <v>짝수</v>
      </c>
      <c r="EU160" s="12">
        <v>46</v>
      </c>
      <c r="EV160" s="45" t="str">
        <f t="shared" ca="1" si="80"/>
        <v>A</v>
      </c>
      <c r="EW160" s="6">
        <f t="shared" ca="1" si="76"/>
        <v>65</v>
      </c>
      <c r="FR160" s="6">
        <v>1</v>
      </c>
      <c r="FS160" s="6" t="str">
        <f t="shared" si="77"/>
        <v/>
      </c>
      <c r="FT160" s="6">
        <f t="shared" si="78"/>
        <v>1</v>
      </c>
      <c r="FU160" s="6" t="str">
        <f t="shared" ca="1" si="81"/>
        <v/>
      </c>
      <c r="FV160" s="6" t="str">
        <f t="shared" ca="1" si="79"/>
        <v/>
      </c>
      <c r="FW160" s="6" t="str">
        <f t="shared" ca="1" si="90"/>
        <v>R2-11</v>
      </c>
      <c r="FX160" s="6" t="str">
        <f t="shared" ca="1" si="91"/>
        <v>R2-12</v>
      </c>
      <c r="FY160" s="6" t="str">
        <f t="shared" ca="1" si="92"/>
        <v>R2-21</v>
      </c>
      <c r="FZ160" s="6" t="str">
        <f t="shared" ca="1" si="93"/>
        <v>R2-22</v>
      </c>
    </row>
    <row r="161" spans="1:182" ht="15.95" customHeight="1">
      <c r="A161" s="6">
        <v>236</v>
      </c>
      <c r="B161" s="6" t="s">
        <v>175</v>
      </c>
      <c r="E161" s="6" t="s">
        <v>711</v>
      </c>
      <c r="F161" s="6" t="s">
        <v>1413</v>
      </c>
      <c r="G161" s="6" t="s">
        <v>1290</v>
      </c>
      <c r="H161" s="7" t="s">
        <v>1291</v>
      </c>
      <c r="I161" s="7"/>
      <c r="J161" s="6" t="e">
        <v>#N/A</v>
      </c>
      <c r="K161" s="6" t="e">
        <v>#N/A</v>
      </c>
      <c r="N161" s="6" t="e">
        <v>#N/A</v>
      </c>
      <c r="O161" s="6" t="e">
        <v>#N/A</v>
      </c>
      <c r="R161" s="101" t="e">
        <v>#N/A</v>
      </c>
      <c r="Y161" s="6" t="e">
        <v>#N/A</v>
      </c>
      <c r="Z161" s="6" t="e">
        <v>#N/A</v>
      </c>
      <c r="AA161" s="6" t="e">
        <v>#N/A</v>
      </c>
      <c r="AD161" s="6" t="e">
        <v>#N/A</v>
      </c>
      <c r="AE161" s="6" t="e">
        <v>#N/A</v>
      </c>
      <c r="AG161" s="6" t="e">
        <v>#N/A</v>
      </c>
      <c r="AY161" s="8" t="s">
        <v>176</v>
      </c>
      <c r="AZ161" s="8" t="s">
        <v>195</v>
      </c>
      <c r="BA161" s="13" t="s">
        <v>656</v>
      </c>
      <c r="BB161" s="13" t="s">
        <v>200</v>
      </c>
      <c r="BC161" s="13">
        <v>79</v>
      </c>
      <c r="BD161" s="13">
        <v>80</v>
      </c>
      <c r="DC161" s="6" t="s">
        <v>644</v>
      </c>
      <c r="DD161" s="6" t="s">
        <v>188</v>
      </c>
      <c r="DH161" s="6" t="str">
        <f>"A"&amp;EA161</f>
        <v>A12</v>
      </c>
      <c r="DI161" s="6" t="str">
        <f>"B"&amp;EA161</f>
        <v>B12</v>
      </c>
      <c r="DK161" s="6" t="s">
        <v>173</v>
      </c>
      <c r="DL161" s="6" t="str">
        <f>IF(DZ161&lt;&gt;"","CN2","")</f>
        <v/>
      </c>
      <c r="DO161" s="9" t="s">
        <v>170</v>
      </c>
      <c r="DP161" s="6" t="s">
        <v>171</v>
      </c>
      <c r="DQ161" s="6" t="s">
        <v>645</v>
      </c>
      <c r="DS161" s="6" t="str">
        <f>IF(MID(EF161,2,1)="A","KS1","AKB331")</f>
        <v>AKB331</v>
      </c>
      <c r="DT161" s="10" t="str">
        <f>DQ161&amp;"-"&amp;DX161&amp;"-"&amp;DY161&amp;"/"&amp;BA161&amp;"-"&amp;DD161&amp;"-"&amp;DK161</f>
        <v>FCS0111-3-6/1S–MC–127-R2-CN1</v>
      </c>
      <c r="DU161" s="6" t="str">
        <f>IF(DL161="","",DQ161&amp;"-"&amp;DX161&amp;"-"&amp;DY161&amp;"/"&amp;BA161&amp;"-"&amp;DD161&amp;"-"&amp;DL161)</f>
        <v/>
      </c>
      <c r="DV161" s="19">
        <v>1</v>
      </c>
      <c r="DW161" s="20" t="str">
        <f>RIGHT(DQ161,2)</f>
        <v>11</v>
      </c>
      <c r="DX161" s="21">
        <v>3</v>
      </c>
      <c r="DY161" s="22">
        <v>6</v>
      </c>
      <c r="DZ161" s="23" t="s">
        <v>204</v>
      </c>
      <c r="EA161" s="23">
        <v>12</v>
      </c>
      <c r="ED161" s="9" t="str">
        <f>IF(DX161="1","AFV30D","ANB10D")</f>
        <v>ANB10D</v>
      </c>
      <c r="EF161" s="6" t="s">
        <v>647</v>
      </c>
      <c r="EH161" s="6" t="s">
        <v>711</v>
      </c>
      <c r="EI161" s="6" t="s">
        <v>710</v>
      </c>
      <c r="EJ161" s="12">
        <v>9</v>
      </c>
      <c r="EK161" s="12"/>
      <c r="EM161" s="12"/>
      <c r="EN161" s="25" t="s">
        <v>1121</v>
      </c>
      <c r="ET161" s="6" t="str">
        <f t="shared" si="75"/>
        <v>짝수</v>
      </c>
      <c r="EU161" s="12">
        <v>46</v>
      </c>
      <c r="EV161" s="45" t="str">
        <f t="shared" ca="1" si="80"/>
        <v>B</v>
      </c>
      <c r="EW161" s="6">
        <f t="shared" ca="1" si="76"/>
        <v>66</v>
      </c>
      <c r="FA161" s="6" t="str">
        <f>ER160&amp;"INT"</f>
        <v>P4026AINT</v>
      </c>
      <c r="FR161" s="6">
        <v>1</v>
      </c>
      <c r="FS161" s="6" t="str">
        <f t="shared" si="77"/>
        <v/>
      </c>
      <c r="FT161" s="6">
        <f t="shared" si="78"/>
        <v>1</v>
      </c>
      <c r="FU161" s="6" t="str">
        <f t="shared" ca="1" si="81"/>
        <v/>
      </c>
      <c r="FV161" s="6" t="str">
        <f t="shared" ca="1" si="79"/>
        <v/>
      </c>
      <c r="FW161" s="6" t="str">
        <f t="shared" ca="1" si="90"/>
        <v>R2-11</v>
      </c>
      <c r="FX161" s="6" t="str">
        <f t="shared" ca="1" si="91"/>
        <v>R2-12</v>
      </c>
      <c r="FY161" s="6" t="str">
        <f t="shared" ca="1" si="92"/>
        <v>R2-21</v>
      </c>
      <c r="FZ161" s="6" t="str">
        <f t="shared" ca="1" si="93"/>
        <v>R2-22</v>
      </c>
    </row>
    <row r="162" spans="1:182" ht="15.95" customHeight="1">
      <c r="A162" s="6">
        <v>411</v>
      </c>
      <c r="B162" s="6" t="s">
        <v>175</v>
      </c>
      <c r="E162" s="6" t="s">
        <v>802</v>
      </c>
      <c r="F162" s="6" t="s">
        <v>1414</v>
      </c>
      <c r="G162" s="6" t="s">
        <v>1290</v>
      </c>
      <c r="H162" s="7" t="s">
        <v>1291</v>
      </c>
      <c r="I162" s="7"/>
      <c r="J162" s="6" t="e">
        <v>#N/A</v>
      </c>
      <c r="K162" s="6" t="e">
        <v>#N/A</v>
      </c>
      <c r="N162" s="6" t="e">
        <v>#N/A</v>
      </c>
      <c r="O162" s="6" t="e">
        <v>#N/A</v>
      </c>
      <c r="R162" s="101" t="e">
        <v>#N/A</v>
      </c>
      <c r="Y162" s="6" t="e">
        <v>#N/A</v>
      </c>
      <c r="Z162" s="6" t="e">
        <v>#N/A</v>
      </c>
      <c r="AA162" s="6" t="e">
        <v>#N/A</v>
      </c>
      <c r="AD162" s="6" t="e">
        <v>#N/A</v>
      </c>
      <c r="AE162" s="6" t="e">
        <v>#N/A</v>
      </c>
      <c r="AG162" s="6" t="e">
        <v>#N/A</v>
      </c>
      <c r="AY162" s="8" t="s">
        <v>176</v>
      </c>
      <c r="AZ162" s="8" t="s">
        <v>195</v>
      </c>
      <c r="BA162" s="13" t="s">
        <v>656</v>
      </c>
      <c r="BB162" s="13" t="s">
        <v>796</v>
      </c>
      <c r="BC162" s="13">
        <v>21</v>
      </c>
      <c r="BD162" s="13">
        <v>22</v>
      </c>
      <c r="DC162" s="6" t="s">
        <v>723</v>
      </c>
      <c r="DD162" s="6" t="s">
        <v>191</v>
      </c>
      <c r="DH162" s="6" t="str">
        <f>"A"&amp;EA162</f>
        <v>A11</v>
      </c>
      <c r="DI162" s="6" t="str">
        <f>"B"&amp;EA162</f>
        <v>B11</v>
      </c>
      <c r="DK162" s="6" t="s">
        <v>173</v>
      </c>
      <c r="DL162" s="6" t="str">
        <f>IF(DZ162&lt;&gt;"","CN2","")</f>
        <v>CN2</v>
      </c>
      <c r="DO162" s="9" t="s">
        <v>170</v>
      </c>
      <c r="DP162" s="6" t="s">
        <v>171</v>
      </c>
      <c r="DQ162" s="6" t="s">
        <v>645</v>
      </c>
      <c r="DS162" s="6" t="str">
        <f>IF(MID(EF162,2,1)="A","KS1","AKB331")</f>
        <v>AKB331</v>
      </c>
      <c r="DT162" s="10" t="str">
        <f>DQ162&amp;"-"&amp;DX162&amp;"-"&amp;DY162&amp;"/"&amp;BA162&amp;"-"&amp;DD162&amp;"-"&amp;DK162</f>
        <v>FCS0111-4-7/1S–MC–127-R5-CN1</v>
      </c>
      <c r="DU162" s="6" t="str">
        <f>IF(DL162="","",DQ162&amp;"-"&amp;DX162&amp;"-"&amp;DY162&amp;"/"&amp;BA162&amp;"-"&amp;DD162&amp;"-"&amp;DL162)</f>
        <v>FCS0111-4-7/1S–MC–127-R5-CN2</v>
      </c>
      <c r="DV162" s="19">
        <v>1</v>
      </c>
      <c r="DW162" s="20" t="str">
        <f>RIGHT(DQ162,2)</f>
        <v>11</v>
      </c>
      <c r="DX162" s="21">
        <v>4</v>
      </c>
      <c r="DY162" s="22">
        <v>7</v>
      </c>
      <c r="DZ162" s="23">
        <v>8</v>
      </c>
      <c r="EA162" s="23">
        <v>11</v>
      </c>
      <c r="ED162" s="9" t="str">
        <f>IF(DX162="1","AFV30D","ANB10D")</f>
        <v>ANB10D</v>
      </c>
      <c r="EF162" s="6" t="s">
        <v>672</v>
      </c>
      <c r="EH162" s="6" t="s">
        <v>802</v>
      </c>
      <c r="EI162" s="6" t="s">
        <v>710</v>
      </c>
      <c r="EJ162" s="12">
        <v>9</v>
      </c>
      <c r="EK162" s="12"/>
      <c r="EM162" s="12"/>
      <c r="EN162" s="25" t="s">
        <v>1121</v>
      </c>
      <c r="ET162" s="6" t="str">
        <f t="shared" si="75"/>
        <v>짝수</v>
      </c>
      <c r="EU162" s="12">
        <v>46</v>
      </c>
      <c r="EV162" s="45" t="str">
        <f t="shared" ca="1" si="80"/>
        <v>C</v>
      </c>
      <c r="EW162" s="6">
        <f t="shared" ca="1" si="76"/>
        <v>67</v>
      </c>
      <c r="FR162" s="6">
        <v>1</v>
      </c>
      <c r="FS162" s="6">
        <f t="shared" si="77"/>
        <v>1</v>
      </c>
      <c r="FT162" s="6" t="str">
        <f t="shared" si="78"/>
        <v/>
      </c>
      <c r="FU162" s="6" t="str">
        <f t="shared" ca="1" si="81"/>
        <v>R5-11</v>
      </c>
      <c r="FV162" s="6" t="str">
        <f t="shared" ca="1" si="79"/>
        <v>R5-12</v>
      </c>
      <c r="FW162" s="6" t="str">
        <f t="shared" ca="1" si="90"/>
        <v/>
      </c>
      <c r="FX162" s="6" t="str">
        <f t="shared" ca="1" si="91"/>
        <v/>
      </c>
      <c r="FY162" s="6" t="str">
        <f t="shared" ca="1" si="92"/>
        <v/>
      </c>
      <c r="FZ162" s="6" t="str">
        <f t="shared" ca="1" si="93"/>
        <v/>
      </c>
    </row>
    <row r="163" spans="1:182" ht="15.95" customHeight="1">
      <c r="A163" s="6">
        <v>410</v>
      </c>
      <c r="B163" s="6" t="s">
        <v>175</v>
      </c>
      <c r="E163" s="6" t="s">
        <v>801</v>
      </c>
      <c r="F163" s="6" t="s">
        <v>1415</v>
      </c>
      <c r="G163" s="6" t="s">
        <v>1290</v>
      </c>
      <c r="H163" s="7" t="s">
        <v>1291</v>
      </c>
      <c r="I163" s="7"/>
      <c r="J163" s="6" t="e">
        <v>#N/A</v>
      </c>
      <c r="K163" s="6" t="e">
        <v>#N/A</v>
      </c>
      <c r="N163" s="6" t="e">
        <v>#N/A</v>
      </c>
      <c r="O163" s="6" t="e">
        <v>#N/A</v>
      </c>
      <c r="R163" s="101" t="e">
        <v>#N/A</v>
      </c>
      <c r="Y163" s="6" t="e">
        <v>#N/A</v>
      </c>
      <c r="Z163" s="6" t="e">
        <v>#N/A</v>
      </c>
      <c r="AA163" s="6" t="e">
        <v>#N/A</v>
      </c>
      <c r="AD163" s="6" t="e">
        <v>#N/A</v>
      </c>
      <c r="AE163" s="6" t="e">
        <v>#N/A</v>
      </c>
      <c r="AG163" s="6" t="e">
        <v>#N/A</v>
      </c>
      <c r="AY163" s="8" t="s">
        <v>176</v>
      </c>
      <c r="AZ163" s="8" t="s">
        <v>195</v>
      </c>
      <c r="BA163" s="13" t="s">
        <v>656</v>
      </c>
      <c r="BB163" s="13" t="s">
        <v>796</v>
      </c>
      <c r="BC163" s="13">
        <v>19</v>
      </c>
      <c r="BD163" s="13">
        <v>20</v>
      </c>
      <c r="DC163" s="6" t="s">
        <v>723</v>
      </c>
      <c r="DD163" s="6" t="s">
        <v>191</v>
      </c>
      <c r="DH163" s="6" t="str">
        <f>"A"&amp;EA163</f>
        <v>A10</v>
      </c>
      <c r="DI163" s="6" t="str">
        <f>"B"&amp;EA163</f>
        <v>B10</v>
      </c>
      <c r="DK163" s="6" t="s">
        <v>173</v>
      </c>
      <c r="DL163" s="6" t="str">
        <f>IF(DZ163&lt;&gt;"","CN2","")</f>
        <v>CN2</v>
      </c>
      <c r="DO163" s="9" t="s">
        <v>170</v>
      </c>
      <c r="DP163" s="6" t="s">
        <v>171</v>
      </c>
      <c r="DQ163" s="6" t="s">
        <v>645</v>
      </c>
      <c r="DS163" s="6" t="str">
        <f>IF(MID(EF163,2,1)="A","KS1","AKB331")</f>
        <v>AKB331</v>
      </c>
      <c r="DT163" s="10" t="str">
        <f>DQ163&amp;"-"&amp;DX163&amp;"-"&amp;DY163&amp;"/"&amp;BA163&amp;"-"&amp;DD163&amp;"-"&amp;DK163</f>
        <v>FCS0111-4-7/1S–MC–127-R5-CN1</v>
      </c>
      <c r="DU163" s="6" t="str">
        <f>IF(DL163="","",DQ163&amp;"-"&amp;DX163&amp;"-"&amp;DY163&amp;"/"&amp;BA163&amp;"-"&amp;DD163&amp;"-"&amp;DL163)</f>
        <v>FCS0111-4-7/1S–MC–127-R5-CN2</v>
      </c>
      <c r="DV163" s="19">
        <v>1</v>
      </c>
      <c r="DW163" s="20" t="str">
        <f>RIGHT(DQ163,2)</f>
        <v>11</v>
      </c>
      <c r="DX163" s="21">
        <v>4</v>
      </c>
      <c r="DY163" s="22">
        <v>7</v>
      </c>
      <c r="DZ163" s="23">
        <v>8</v>
      </c>
      <c r="EA163" s="23">
        <v>10</v>
      </c>
      <c r="ED163" s="9" t="str">
        <f>IF(DX163="1","AFV30D","ANB10D")</f>
        <v>ANB10D</v>
      </c>
      <c r="EF163" s="6" t="s">
        <v>672</v>
      </c>
      <c r="EH163" s="6" t="s">
        <v>801</v>
      </c>
      <c r="EI163" s="6" t="s">
        <v>710</v>
      </c>
      <c r="EJ163" s="12">
        <v>9</v>
      </c>
      <c r="EK163" s="12"/>
      <c r="EM163" s="12"/>
      <c r="EN163" s="25" t="s">
        <v>1121</v>
      </c>
      <c r="ET163" s="6" t="str">
        <f t="shared" si="75"/>
        <v>짝수</v>
      </c>
      <c r="EU163" s="12">
        <v>46</v>
      </c>
      <c r="EV163" s="45" t="str">
        <f t="shared" ca="1" si="80"/>
        <v>D</v>
      </c>
      <c r="EW163" s="6">
        <f t="shared" ca="1" si="76"/>
        <v>68</v>
      </c>
      <c r="FR163" s="6">
        <v>1</v>
      </c>
      <c r="FS163" s="6">
        <f t="shared" si="77"/>
        <v>1</v>
      </c>
      <c r="FT163" s="6" t="str">
        <f t="shared" si="78"/>
        <v/>
      </c>
      <c r="FU163" s="6" t="str">
        <f t="shared" ca="1" si="81"/>
        <v>R5-11</v>
      </c>
      <c r="FV163" s="6" t="str">
        <f t="shared" ca="1" si="79"/>
        <v>R5-12</v>
      </c>
      <c r="FW163" s="6" t="str">
        <f t="shared" ca="1" si="90"/>
        <v/>
      </c>
      <c r="FX163" s="6" t="str">
        <f t="shared" ca="1" si="91"/>
        <v/>
      </c>
      <c r="FY163" s="6" t="str">
        <f t="shared" ca="1" si="92"/>
        <v/>
      </c>
      <c r="FZ163" s="6" t="str">
        <f t="shared" ca="1" si="93"/>
        <v/>
      </c>
    </row>
    <row r="164" spans="1:182" ht="15.95" customHeight="1">
      <c r="A164" s="6">
        <v>238</v>
      </c>
      <c r="B164" s="6" t="s">
        <v>175</v>
      </c>
      <c r="E164" s="6" t="s">
        <v>712</v>
      </c>
      <c r="F164" s="6" t="s">
        <v>1416</v>
      </c>
      <c r="G164" s="6" t="s">
        <v>1290</v>
      </c>
      <c r="H164" s="7" t="s">
        <v>1291</v>
      </c>
      <c r="I164" s="7"/>
      <c r="J164" s="6" t="e">
        <v>#N/A</v>
      </c>
      <c r="K164" s="6" t="e">
        <v>#N/A</v>
      </c>
      <c r="N164" s="6" t="e">
        <v>#N/A</v>
      </c>
      <c r="O164" s="6" t="e">
        <v>#N/A</v>
      </c>
      <c r="R164" s="101" t="e">
        <v>#N/A</v>
      </c>
      <c r="Y164" s="6" t="e">
        <v>#N/A</v>
      </c>
      <c r="Z164" s="6" t="e">
        <v>#N/A</v>
      </c>
      <c r="AA164" s="6" t="e">
        <v>#N/A</v>
      </c>
      <c r="AD164" s="6" t="e">
        <v>#N/A</v>
      </c>
      <c r="AE164" s="6" t="e">
        <v>#N/A</v>
      </c>
      <c r="AG164" s="6" t="e">
        <v>#N/A</v>
      </c>
      <c r="AY164" s="8" t="s">
        <v>176</v>
      </c>
      <c r="AZ164" s="8" t="s">
        <v>195</v>
      </c>
      <c r="BA164" s="13" t="s">
        <v>656</v>
      </c>
      <c r="BB164" s="13" t="s">
        <v>200</v>
      </c>
      <c r="BC164" s="13">
        <v>83</v>
      </c>
      <c r="BD164" s="13">
        <v>84</v>
      </c>
      <c r="DC164" s="6" t="s">
        <v>644</v>
      </c>
      <c r="DD164" s="6" t="s">
        <v>188</v>
      </c>
      <c r="DH164" s="6" t="str">
        <f t="shared" si="68"/>
        <v>A14</v>
      </c>
      <c r="DI164" s="6" t="str">
        <f t="shared" si="69"/>
        <v>B14</v>
      </c>
      <c r="DK164" s="6" t="s">
        <v>173</v>
      </c>
      <c r="DL164" s="6" t="str">
        <f t="shared" si="70"/>
        <v/>
      </c>
      <c r="DO164" s="9" t="s">
        <v>170</v>
      </c>
      <c r="DP164" s="6" t="s">
        <v>171</v>
      </c>
      <c r="DQ164" s="6" t="s">
        <v>645</v>
      </c>
      <c r="DS164" s="6" t="str">
        <f t="shared" si="63"/>
        <v>AKB331</v>
      </c>
      <c r="DT164" s="10" t="str">
        <f t="shared" si="64"/>
        <v>FCS0111-3-6/1S–MC–127-R2-CN1</v>
      </c>
      <c r="DU164" s="6" t="str">
        <f t="shared" si="65"/>
        <v/>
      </c>
      <c r="DV164" s="19">
        <v>1</v>
      </c>
      <c r="DW164" s="20" t="str">
        <f t="shared" si="66"/>
        <v>11</v>
      </c>
      <c r="DX164" s="21">
        <v>3</v>
      </c>
      <c r="DY164" s="22">
        <v>6</v>
      </c>
      <c r="DZ164" s="23" t="s">
        <v>204</v>
      </c>
      <c r="EA164" s="23">
        <v>14</v>
      </c>
      <c r="ED164" s="9" t="str">
        <f t="shared" si="67"/>
        <v>ANB10D</v>
      </c>
      <c r="EF164" s="6" t="s">
        <v>647</v>
      </c>
      <c r="EH164" s="6" t="s">
        <v>712</v>
      </c>
      <c r="EI164" s="6" t="s">
        <v>710</v>
      </c>
      <c r="EJ164" s="12">
        <v>9</v>
      </c>
      <c r="EK164" s="12"/>
      <c r="EM164" s="12"/>
      <c r="EN164" s="25" t="s">
        <v>1121</v>
      </c>
      <c r="EP164" s="6" t="s">
        <v>1153</v>
      </c>
      <c r="ER164" s="6" t="str">
        <f>MID(EH164,3,8)</f>
        <v>P4026B</v>
      </c>
      <c r="ET164" s="6" t="str">
        <f t="shared" si="75"/>
        <v>홀수</v>
      </c>
      <c r="EU164" s="12">
        <v>47</v>
      </c>
      <c r="EV164" s="45" t="str">
        <f t="shared" ca="1" si="80"/>
        <v>A</v>
      </c>
      <c r="EW164" s="6">
        <f t="shared" ca="1" si="76"/>
        <v>65</v>
      </c>
      <c r="FR164" s="6">
        <v>1</v>
      </c>
      <c r="FS164" s="6" t="str">
        <f t="shared" si="77"/>
        <v/>
      </c>
      <c r="FT164" s="6">
        <f t="shared" si="78"/>
        <v>1</v>
      </c>
      <c r="FU164" s="6" t="str">
        <f t="shared" ca="1" si="81"/>
        <v/>
      </c>
      <c r="FV164" s="6" t="str">
        <f t="shared" ca="1" si="79"/>
        <v/>
      </c>
      <c r="FW164" s="6" t="str">
        <f t="shared" ca="1" si="90"/>
        <v>R2-11</v>
      </c>
      <c r="FX164" s="6" t="str">
        <f t="shared" ca="1" si="91"/>
        <v>R2-12</v>
      </c>
      <c r="FY164" s="6" t="str">
        <f t="shared" ca="1" si="92"/>
        <v>R2-21</v>
      </c>
      <c r="FZ164" s="6" t="str">
        <f t="shared" ca="1" si="93"/>
        <v>R2-22</v>
      </c>
    </row>
    <row r="165" spans="1:182" ht="15.95" customHeight="1">
      <c r="A165" s="6">
        <v>239</v>
      </c>
      <c r="B165" s="6" t="s">
        <v>175</v>
      </c>
      <c r="E165" s="6" t="s">
        <v>713</v>
      </c>
      <c r="F165" s="6" t="s">
        <v>1417</v>
      </c>
      <c r="G165" s="6" t="s">
        <v>1290</v>
      </c>
      <c r="H165" s="7" t="s">
        <v>1291</v>
      </c>
      <c r="I165" s="7"/>
      <c r="J165" s="6" t="e">
        <v>#N/A</v>
      </c>
      <c r="K165" s="6" t="e">
        <v>#N/A</v>
      </c>
      <c r="N165" s="6" t="e">
        <v>#N/A</v>
      </c>
      <c r="O165" s="6" t="e">
        <v>#N/A</v>
      </c>
      <c r="R165" s="101" t="e">
        <v>#N/A</v>
      </c>
      <c r="Y165" s="6" t="e">
        <v>#N/A</v>
      </c>
      <c r="Z165" s="6" t="e">
        <v>#N/A</v>
      </c>
      <c r="AA165" s="6" t="e">
        <v>#N/A</v>
      </c>
      <c r="AD165" s="6" t="e">
        <v>#N/A</v>
      </c>
      <c r="AE165" s="6" t="e">
        <v>#N/A</v>
      </c>
      <c r="AG165" s="6" t="e">
        <v>#N/A</v>
      </c>
      <c r="AY165" s="8" t="s">
        <v>176</v>
      </c>
      <c r="AZ165" s="8" t="s">
        <v>195</v>
      </c>
      <c r="BA165" s="13" t="s">
        <v>656</v>
      </c>
      <c r="BB165" s="13" t="s">
        <v>200</v>
      </c>
      <c r="BC165" s="13">
        <v>85</v>
      </c>
      <c r="BD165" s="13">
        <v>86</v>
      </c>
      <c r="DC165" s="6" t="s">
        <v>644</v>
      </c>
      <c r="DD165" s="6" t="s">
        <v>188</v>
      </c>
      <c r="DH165" s="6" t="str">
        <f>"A"&amp;EA165</f>
        <v>A15</v>
      </c>
      <c r="DI165" s="6" t="str">
        <f>"B"&amp;EA165</f>
        <v>B15</v>
      </c>
      <c r="DK165" s="6" t="s">
        <v>173</v>
      </c>
      <c r="DL165" s="6" t="str">
        <f>IF(DZ165&lt;&gt;"","CN2","")</f>
        <v/>
      </c>
      <c r="DO165" s="9" t="s">
        <v>170</v>
      </c>
      <c r="DP165" s="6" t="s">
        <v>171</v>
      </c>
      <c r="DQ165" s="6" t="s">
        <v>645</v>
      </c>
      <c r="DS165" s="6" t="str">
        <f>IF(MID(EF165,2,1)="A","KS1","AKB331")</f>
        <v>AKB331</v>
      </c>
      <c r="DT165" s="10" t="str">
        <f>DQ165&amp;"-"&amp;DX165&amp;"-"&amp;DY165&amp;"/"&amp;BA165&amp;"-"&amp;DD165&amp;"-"&amp;DK165</f>
        <v>FCS0111-3-6/1S–MC–127-R2-CN1</v>
      </c>
      <c r="DU165" s="6" t="str">
        <f>IF(DL165="","",DQ165&amp;"-"&amp;DX165&amp;"-"&amp;DY165&amp;"/"&amp;BA165&amp;"-"&amp;DD165&amp;"-"&amp;DL165)</f>
        <v/>
      </c>
      <c r="DV165" s="19">
        <v>1</v>
      </c>
      <c r="DW165" s="20" t="str">
        <f>RIGHT(DQ165,2)</f>
        <v>11</v>
      </c>
      <c r="DX165" s="21">
        <v>3</v>
      </c>
      <c r="DY165" s="22">
        <v>6</v>
      </c>
      <c r="DZ165" s="23" t="s">
        <v>204</v>
      </c>
      <c r="EA165" s="23">
        <v>15</v>
      </c>
      <c r="ED165" s="9" t="str">
        <f>IF(DX165="1","AFV30D","ANB10D")</f>
        <v>ANB10D</v>
      </c>
      <c r="EF165" s="6" t="s">
        <v>647</v>
      </c>
      <c r="EH165" s="6" t="s">
        <v>713</v>
      </c>
      <c r="EI165" s="6" t="s">
        <v>710</v>
      </c>
      <c r="EJ165" s="12">
        <v>9</v>
      </c>
      <c r="EK165" s="12"/>
      <c r="EM165" s="12"/>
      <c r="EN165" s="25" t="s">
        <v>1121</v>
      </c>
      <c r="ET165" s="6" t="str">
        <f t="shared" si="75"/>
        <v>홀수</v>
      </c>
      <c r="EU165" s="12">
        <v>47</v>
      </c>
      <c r="EV165" s="45" t="str">
        <f t="shared" ca="1" si="80"/>
        <v>B</v>
      </c>
      <c r="EW165" s="6">
        <f t="shared" ca="1" si="76"/>
        <v>66</v>
      </c>
      <c r="FA165" s="6" t="str">
        <f>ER164&amp;"INT"</f>
        <v>P4026BINT</v>
      </c>
      <c r="FR165" s="6">
        <v>1</v>
      </c>
      <c r="FS165" s="6" t="str">
        <f t="shared" si="77"/>
        <v/>
      </c>
      <c r="FT165" s="6">
        <f t="shared" si="78"/>
        <v>1</v>
      </c>
      <c r="FU165" s="6" t="str">
        <f t="shared" ca="1" si="81"/>
        <v/>
      </c>
      <c r="FV165" s="6" t="str">
        <f t="shared" ca="1" si="79"/>
        <v/>
      </c>
      <c r="FW165" s="6" t="str">
        <f t="shared" ca="1" si="90"/>
        <v>R2-11</v>
      </c>
      <c r="FX165" s="6" t="str">
        <f t="shared" ca="1" si="91"/>
        <v>R2-12</v>
      </c>
      <c r="FY165" s="6" t="str">
        <f t="shared" ca="1" si="92"/>
        <v>R2-21</v>
      </c>
      <c r="FZ165" s="6" t="str">
        <f t="shared" ca="1" si="93"/>
        <v>R2-22</v>
      </c>
    </row>
    <row r="166" spans="1:182" ht="15.95" customHeight="1">
      <c r="A166" s="6">
        <v>414</v>
      </c>
      <c r="B166" s="6" t="s">
        <v>175</v>
      </c>
      <c r="E166" s="6" t="s">
        <v>804</v>
      </c>
      <c r="F166" s="6" t="s">
        <v>1418</v>
      </c>
      <c r="G166" s="6" t="s">
        <v>1290</v>
      </c>
      <c r="H166" s="7" t="s">
        <v>1291</v>
      </c>
      <c r="I166" s="7"/>
      <c r="J166" s="6" t="e">
        <v>#N/A</v>
      </c>
      <c r="K166" s="6" t="e">
        <v>#N/A</v>
      </c>
      <c r="N166" s="6" t="e">
        <v>#N/A</v>
      </c>
      <c r="O166" s="6" t="e">
        <v>#N/A</v>
      </c>
      <c r="R166" s="101" t="e">
        <v>#N/A</v>
      </c>
      <c r="Y166" s="6" t="e">
        <v>#N/A</v>
      </c>
      <c r="Z166" s="6" t="e">
        <v>#N/A</v>
      </c>
      <c r="AA166" s="6" t="e">
        <v>#N/A</v>
      </c>
      <c r="AD166" s="6" t="e">
        <v>#N/A</v>
      </c>
      <c r="AE166" s="6" t="e">
        <v>#N/A</v>
      </c>
      <c r="AG166" s="6" t="e">
        <v>#N/A</v>
      </c>
      <c r="AY166" s="8" t="s">
        <v>176</v>
      </c>
      <c r="AZ166" s="8" t="s">
        <v>195</v>
      </c>
      <c r="BA166" s="13" t="s">
        <v>656</v>
      </c>
      <c r="BB166" s="13" t="s">
        <v>796</v>
      </c>
      <c r="BC166" s="13">
        <v>27</v>
      </c>
      <c r="BD166" s="13">
        <v>28</v>
      </c>
      <c r="DC166" s="6" t="s">
        <v>723</v>
      </c>
      <c r="DD166" s="6" t="s">
        <v>191</v>
      </c>
      <c r="DH166" s="6" t="str">
        <f>"A"&amp;EA166</f>
        <v>A14</v>
      </c>
      <c r="DI166" s="6" t="str">
        <f>"B"&amp;EA166</f>
        <v>B14</v>
      </c>
      <c r="DK166" s="6" t="s">
        <v>173</v>
      </c>
      <c r="DL166" s="6" t="str">
        <f>IF(DZ166&lt;&gt;"","CN2","")</f>
        <v>CN2</v>
      </c>
      <c r="DO166" s="9" t="s">
        <v>170</v>
      </c>
      <c r="DP166" s="6" t="s">
        <v>171</v>
      </c>
      <c r="DQ166" s="6" t="s">
        <v>645</v>
      </c>
      <c r="DS166" s="6" t="str">
        <f>IF(MID(EF166,2,1)="A","KS1","AKB331")</f>
        <v>AKB331</v>
      </c>
      <c r="DT166" s="10" t="str">
        <f>DQ166&amp;"-"&amp;DX166&amp;"-"&amp;DY166&amp;"/"&amp;BA166&amp;"-"&amp;DD166&amp;"-"&amp;DK166</f>
        <v>FCS0111-4-7/1S–MC–127-R5-CN1</v>
      </c>
      <c r="DU166" s="6" t="str">
        <f>IF(DL166="","",DQ166&amp;"-"&amp;DX166&amp;"-"&amp;DY166&amp;"/"&amp;BA166&amp;"-"&amp;DD166&amp;"-"&amp;DL166)</f>
        <v>FCS0111-4-7/1S–MC–127-R5-CN2</v>
      </c>
      <c r="DV166" s="19">
        <v>1</v>
      </c>
      <c r="DW166" s="20" t="str">
        <f>RIGHT(DQ166,2)</f>
        <v>11</v>
      </c>
      <c r="DX166" s="21">
        <v>4</v>
      </c>
      <c r="DY166" s="22">
        <v>7</v>
      </c>
      <c r="DZ166" s="23">
        <v>8</v>
      </c>
      <c r="EA166" s="23">
        <v>14</v>
      </c>
      <c r="ED166" s="9" t="str">
        <f>IF(DX166="1","AFV30D","ANB10D")</f>
        <v>ANB10D</v>
      </c>
      <c r="EF166" s="6" t="s">
        <v>672</v>
      </c>
      <c r="EH166" s="6" t="s">
        <v>804</v>
      </c>
      <c r="EI166" s="6" t="s">
        <v>710</v>
      </c>
      <c r="EJ166" s="12">
        <v>9</v>
      </c>
      <c r="EK166" s="12"/>
      <c r="EM166" s="12"/>
      <c r="EN166" s="25" t="s">
        <v>1121</v>
      </c>
      <c r="ET166" s="6" t="str">
        <f t="shared" si="75"/>
        <v>홀수</v>
      </c>
      <c r="EU166" s="12">
        <v>47</v>
      </c>
      <c r="EV166" s="45" t="str">
        <f t="shared" ca="1" si="80"/>
        <v>C</v>
      </c>
      <c r="EW166" s="6">
        <f t="shared" ca="1" si="76"/>
        <v>67</v>
      </c>
      <c r="FR166" s="6">
        <v>1</v>
      </c>
      <c r="FS166" s="6">
        <f t="shared" si="77"/>
        <v>1</v>
      </c>
      <c r="FT166" s="6" t="str">
        <f t="shared" si="78"/>
        <v/>
      </c>
      <c r="FU166" s="6" t="str">
        <f t="shared" ca="1" si="81"/>
        <v>R5-11</v>
      </c>
      <c r="FV166" s="6" t="str">
        <f t="shared" ca="1" si="79"/>
        <v>R5-12</v>
      </c>
      <c r="FW166" s="6" t="str">
        <f t="shared" ca="1" si="90"/>
        <v/>
      </c>
      <c r="FX166" s="6" t="str">
        <f t="shared" ca="1" si="91"/>
        <v/>
      </c>
      <c r="FY166" s="6" t="str">
        <f t="shared" ca="1" si="92"/>
        <v/>
      </c>
      <c r="FZ166" s="6" t="str">
        <f t="shared" ca="1" si="93"/>
        <v/>
      </c>
    </row>
    <row r="167" spans="1:182" ht="15.95" customHeight="1">
      <c r="A167" s="6">
        <v>413</v>
      </c>
      <c r="B167" s="6" t="s">
        <v>175</v>
      </c>
      <c r="E167" s="6" t="s">
        <v>803</v>
      </c>
      <c r="F167" s="6" t="s">
        <v>1419</v>
      </c>
      <c r="G167" s="6" t="s">
        <v>1290</v>
      </c>
      <c r="H167" s="7" t="s">
        <v>1291</v>
      </c>
      <c r="I167" s="7"/>
      <c r="J167" s="6" t="e">
        <v>#N/A</v>
      </c>
      <c r="K167" s="6" t="e">
        <v>#N/A</v>
      </c>
      <c r="N167" s="6" t="e">
        <v>#N/A</v>
      </c>
      <c r="O167" s="6" t="e">
        <v>#N/A</v>
      </c>
      <c r="R167" s="101" t="e">
        <v>#N/A</v>
      </c>
      <c r="Y167" s="6" t="e">
        <v>#N/A</v>
      </c>
      <c r="Z167" s="6" t="e">
        <v>#N/A</v>
      </c>
      <c r="AA167" s="6" t="e">
        <v>#N/A</v>
      </c>
      <c r="AD167" s="6" t="e">
        <v>#N/A</v>
      </c>
      <c r="AE167" s="6" t="e">
        <v>#N/A</v>
      </c>
      <c r="AG167" s="6" t="e">
        <v>#N/A</v>
      </c>
      <c r="AY167" s="8" t="s">
        <v>176</v>
      </c>
      <c r="AZ167" s="8" t="s">
        <v>195</v>
      </c>
      <c r="BA167" s="13" t="s">
        <v>656</v>
      </c>
      <c r="BB167" s="13" t="s">
        <v>796</v>
      </c>
      <c r="BC167" s="13">
        <v>25</v>
      </c>
      <c r="BD167" s="13">
        <v>26</v>
      </c>
      <c r="DC167" s="6" t="s">
        <v>723</v>
      </c>
      <c r="DD167" s="6" t="s">
        <v>191</v>
      </c>
      <c r="DH167" s="6" t="str">
        <f>"A"&amp;EA167</f>
        <v>A13</v>
      </c>
      <c r="DI167" s="6" t="str">
        <f>"B"&amp;EA167</f>
        <v>B13</v>
      </c>
      <c r="DK167" s="6" t="s">
        <v>173</v>
      </c>
      <c r="DL167" s="6" t="str">
        <f>IF(DZ167&lt;&gt;"","CN2","")</f>
        <v>CN2</v>
      </c>
      <c r="DO167" s="9" t="s">
        <v>170</v>
      </c>
      <c r="DP167" s="6" t="s">
        <v>171</v>
      </c>
      <c r="DQ167" s="6" t="s">
        <v>645</v>
      </c>
      <c r="DS167" s="6" t="str">
        <f>IF(MID(EF167,2,1)="A","KS1","AKB331")</f>
        <v>AKB331</v>
      </c>
      <c r="DT167" s="10" t="str">
        <f>DQ167&amp;"-"&amp;DX167&amp;"-"&amp;DY167&amp;"/"&amp;BA167&amp;"-"&amp;DD167&amp;"-"&amp;DK167</f>
        <v>FCS0111-4-7/1S–MC–127-R5-CN1</v>
      </c>
      <c r="DU167" s="6" t="str">
        <f>IF(DL167="","",DQ167&amp;"-"&amp;DX167&amp;"-"&amp;DY167&amp;"/"&amp;BA167&amp;"-"&amp;DD167&amp;"-"&amp;DL167)</f>
        <v>FCS0111-4-7/1S–MC–127-R5-CN2</v>
      </c>
      <c r="DV167" s="19">
        <v>1</v>
      </c>
      <c r="DW167" s="20" t="str">
        <f>RIGHT(DQ167,2)</f>
        <v>11</v>
      </c>
      <c r="DX167" s="21">
        <v>4</v>
      </c>
      <c r="DY167" s="22">
        <v>7</v>
      </c>
      <c r="DZ167" s="23">
        <v>8</v>
      </c>
      <c r="EA167" s="23">
        <v>13</v>
      </c>
      <c r="ED167" s="9" t="str">
        <f>IF(DX167="1","AFV30D","ANB10D")</f>
        <v>ANB10D</v>
      </c>
      <c r="EF167" s="6" t="s">
        <v>672</v>
      </c>
      <c r="EH167" s="6" t="s">
        <v>803</v>
      </c>
      <c r="EI167" s="6" t="s">
        <v>710</v>
      </c>
      <c r="EJ167" s="12">
        <v>9</v>
      </c>
      <c r="EK167" s="12"/>
      <c r="EM167" s="12"/>
      <c r="EN167" s="25" t="s">
        <v>1121</v>
      </c>
      <c r="ET167" s="6" t="str">
        <f t="shared" si="75"/>
        <v>홀수</v>
      </c>
      <c r="EU167" s="12">
        <v>47</v>
      </c>
      <c r="EV167" s="45" t="str">
        <f t="shared" ca="1" si="80"/>
        <v>D</v>
      </c>
      <c r="EW167" s="6">
        <f t="shared" ca="1" si="76"/>
        <v>68</v>
      </c>
      <c r="FR167" s="6">
        <v>1</v>
      </c>
      <c r="FS167" s="6">
        <f t="shared" si="77"/>
        <v>1</v>
      </c>
      <c r="FT167" s="6" t="str">
        <f t="shared" si="78"/>
        <v/>
      </c>
      <c r="FU167" s="6" t="str">
        <f t="shared" ca="1" si="81"/>
        <v>R5-11</v>
      </c>
      <c r="FV167" s="6" t="str">
        <f t="shared" ca="1" si="79"/>
        <v>R5-12</v>
      </c>
      <c r="FW167" s="6" t="str">
        <f t="shared" ca="1" si="90"/>
        <v/>
      </c>
      <c r="FX167" s="6" t="str">
        <f t="shared" ca="1" si="91"/>
        <v/>
      </c>
      <c r="FY167" s="6" t="str">
        <f t="shared" ca="1" si="92"/>
        <v/>
      </c>
      <c r="FZ167" s="6" t="str">
        <f t="shared" ca="1" si="93"/>
        <v/>
      </c>
    </row>
    <row r="168" spans="1:182" ht="15.95" customHeight="1">
      <c r="A168" s="6">
        <v>241</v>
      </c>
      <c r="B168" s="6" t="s">
        <v>175</v>
      </c>
      <c r="E168" s="6" t="s">
        <v>714</v>
      </c>
      <c r="F168" s="6" t="s">
        <v>1420</v>
      </c>
      <c r="G168" s="6" t="s">
        <v>1290</v>
      </c>
      <c r="H168" s="7" t="s">
        <v>1291</v>
      </c>
      <c r="I168" s="7"/>
      <c r="J168" s="6" t="e">
        <v>#N/A</v>
      </c>
      <c r="K168" s="6" t="e">
        <v>#N/A</v>
      </c>
      <c r="N168" s="6" t="e">
        <v>#N/A</v>
      </c>
      <c r="O168" s="6" t="e">
        <v>#N/A</v>
      </c>
      <c r="R168" s="101" t="e">
        <v>#N/A</v>
      </c>
      <c r="Y168" s="6" t="e">
        <v>#N/A</v>
      </c>
      <c r="Z168" s="6" t="e">
        <v>#N/A</v>
      </c>
      <c r="AA168" s="6" t="e">
        <v>#N/A</v>
      </c>
      <c r="AD168" s="6" t="e">
        <v>#N/A</v>
      </c>
      <c r="AE168" s="6" t="e">
        <v>#N/A</v>
      </c>
      <c r="AG168" s="6" t="e">
        <v>#N/A</v>
      </c>
      <c r="AY168" s="8" t="s">
        <v>176</v>
      </c>
      <c r="AZ168" s="8" t="s">
        <v>195</v>
      </c>
      <c r="BA168" s="13" t="s">
        <v>656</v>
      </c>
      <c r="BB168" s="13" t="s">
        <v>200</v>
      </c>
      <c r="BC168" s="13">
        <v>89</v>
      </c>
      <c r="BD168" s="13">
        <v>90</v>
      </c>
      <c r="DC168" s="6" t="s">
        <v>644</v>
      </c>
      <c r="DD168" s="6" t="s">
        <v>188</v>
      </c>
      <c r="DH168" s="6" t="str">
        <f t="shared" si="68"/>
        <v>A17</v>
      </c>
      <c r="DI168" s="6" t="str">
        <f t="shared" si="69"/>
        <v>B17</v>
      </c>
      <c r="DK168" s="6" t="s">
        <v>173</v>
      </c>
      <c r="DL168" s="6" t="str">
        <f t="shared" si="70"/>
        <v/>
      </c>
      <c r="DO168" s="9" t="s">
        <v>170</v>
      </c>
      <c r="DP168" s="6" t="s">
        <v>171</v>
      </c>
      <c r="DQ168" s="6" t="s">
        <v>645</v>
      </c>
      <c r="DS168" s="6" t="str">
        <f t="shared" si="63"/>
        <v>AKB331</v>
      </c>
      <c r="DT168" s="10" t="str">
        <f t="shared" si="64"/>
        <v>FCS0111-3-6/1S–MC–127-R2-CN1</v>
      </c>
      <c r="DU168" s="6" t="str">
        <f t="shared" si="65"/>
        <v/>
      </c>
      <c r="DV168" s="19">
        <v>1</v>
      </c>
      <c r="DW168" s="20" t="str">
        <f t="shared" si="66"/>
        <v>11</v>
      </c>
      <c r="DX168" s="21">
        <v>3</v>
      </c>
      <c r="DY168" s="22">
        <v>6</v>
      </c>
      <c r="DZ168" s="23" t="s">
        <v>204</v>
      </c>
      <c r="EA168" s="23">
        <v>17</v>
      </c>
      <c r="ED168" s="9" t="str">
        <f t="shared" si="67"/>
        <v>ANB10D</v>
      </c>
      <c r="EF168" s="6" t="s">
        <v>647</v>
      </c>
      <c r="EH168" s="6" t="s">
        <v>714</v>
      </c>
      <c r="EI168" s="6" t="s">
        <v>715</v>
      </c>
      <c r="EJ168" s="12">
        <v>12</v>
      </c>
      <c r="EK168" s="12"/>
      <c r="EM168" s="12"/>
      <c r="EN168" s="12" t="s">
        <v>1121</v>
      </c>
      <c r="EP168" s="6" t="s">
        <v>1154</v>
      </c>
      <c r="ER168" s="6" t="str">
        <f>MID(EH168,3,6)</f>
        <v>P4019A</v>
      </c>
      <c r="ET168" s="6" t="str">
        <f t="shared" si="75"/>
        <v>짝수</v>
      </c>
      <c r="EU168" s="12">
        <v>48</v>
      </c>
      <c r="EV168" s="45" t="str">
        <f t="shared" ca="1" si="80"/>
        <v>A</v>
      </c>
      <c r="EW168" s="6">
        <f t="shared" ca="1" si="76"/>
        <v>65</v>
      </c>
      <c r="EZ168" s="6" t="str">
        <f>ER168&amp;"INT"</f>
        <v>P4019AINT</v>
      </c>
      <c r="FA168" s="6" t="str">
        <f>ER168&amp;"INT"</f>
        <v>P4019AINT</v>
      </c>
      <c r="FR168" s="6">
        <v>1</v>
      </c>
      <c r="FS168" s="6" t="str">
        <f t="shared" si="77"/>
        <v/>
      </c>
      <c r="FT168" s="6">
        <f t="shared" si="78"/>
        <v>1</v>
      </c>
      <c r="FU168" s="6" t="str">
        <f t="shared" ca="1" si="81"/>
        <v/>
      </c>
      <c r="FV168" s="6" t="str">
        <f t="shared" ca="1" si="79"/>
        <v/>
      </c>
      <c r="FW168" s="6" t="str">
        <f t="shared" ca="1" si="90"/>
        <v>R2-11</v>
      </c>
      <c r="FX168" s="6" t="str">
        <f t="shared" ca="1" si="91"/>
        <v>R2-12</v>
      </c>
      <c r="FY168" s="6" t="str">
        <f t="shared" ca="1" si="92"/>
        <v>R2-21</v>
      </c>
      <c r="FZ168" s="6" t="str">
        <f t="shared" ca="1" si="93"/>
        <v>R2-22</v>
      </c>
    </row>
    <row r="169" spans="1:182" ht="15.95" customHeight="1">
      <c r="A169" s="6">
        <v>416</v>
      </c>
      <c r="B169" s="6" t="s">
        <v>175</v>
      </c>
      <c r="E169" s="6" t="s">
        <v>805</v>
      </c>
      <c r="F169" s="6" t="s">
        <v>1421</v>
      </c>
      <c r="G169" s="6" t="s">
        <v>1290</v>
      </c>
      <c r="H169" s="7" t="s">
        <v>1291</v>
      </c>
      <c r="I169" s="7"/>
      <c r="J169" s="6" t="e">
        <v>#N/A</v>
      </c>
      <c r="K169" s="6" t="e">
        <v>#N/A</v>
      </c>
      <c r="N169" s="6" t="e">
        <v>#N/A</v>
      </c>
      <c r="O169" s="6" t="e">
        <v>#N/A</v>
      </c>
      <c r="R169" s="101" t="e">
        <v>#N/A</v>
      </c>
      <c r="Y169" s="6" t="e">
        <v>#N/A</v>
      </c>
      <c r="Z169" s="6" t="e">
        <v>#N/A</v>
      </c>
      <c r="AA169" s="6" t="e">
        <v>#N/A</v>
      </c>
      <c r="AD169" s="6" t="e">
        <v>#N/A</v>
      </c>
      <c r="AE169" s="6" t="e">
        <v>#N/A</v>
      </c>
      <c r="AG169" s="6" t="e">
        <v>#N/A</v>
      </c>
      <c r="AY169" s="8" t="s">
        <v>176</v>
      </c>
      <c r="AZ169" s="8" t="s">
        <v>195</v>
      </c>
      <c r="BA169" s="13" t="s">
        <v>656</v>
      </c>
      <c r="BB169" s="13" t="s">
        <v>796</v>
      </c>
      <c r="BC169" s="13">
        <v>31</v>
      </c>
      <c r="BD169" s="13">
        <v>32</v>
      </c>
      <c r="DC169" s="6" t="s">
        <v>723</v>
      </c>
      <c r="DD169" s="6" t="s">
        <v>191</v>
      </c>
      <c r="DH169" s="6" t="str">
        <f>"A"&amp;EA169</f>
        <v>A16</v>
      </c>
      <c r="DI169" s="6" t="str">
        <f>"B"&amp;EA169</f>
        <v>B16</v>
      </c>
      <c r="DK169" s="6" t="s">
        <v>173</v>
      </c>
      <c r="DL169" s="6" t="str">
        <f>IF(DZ169&lt;&gt;"","CN2","")</f>
        <v>CN2</v>
      </c>
      <c r="DO169" s="9" t="s">
        <v>170</v>
      </c>
      <c r="DP169" s="6" t="s">
        <v>171</v>
      </c>
      <c r="DQ169" s="6" t="s">
        <v>645</v>
      </c>
      <c r="DS169" s="6" t="str">
        <f>IF(MID(EF169,2,1)="A","KS1","AKB331")</f>
        <v>AKB331</v>
      </c>
      <c r="DT169" s="10" t="str">
        <f>DQ169&amp;"-"&amp;DX169&amp;"-"&amp;DY169&amp;"/"&amp;BA169&amp;"-"&amp;DD169&amp;"-"&amp;DK169</f>
        <v>FCS0111-4-7/1S–MC–127-R5-CN1</v>
      </c>
      <c r="DU169" s="6" t="str">
        <f>IF(DL169="","",DQ169&amp;"-"&amp;DX169&amp;"-"&amp;DY169&amp;"/"&amp;BA169&amp;"-"&amp;DD169&amp;"-"&amp;DL169)</f>
        <v>FCS0111-4-7/1S–MC–127-R5-CN2</v>
      </c>
      <c r="DV169" s="19">
        <v>1</v>
      </c>
      <c r="DW169" s="20" t="str">
        <f>RIGHT(DQ169,2)</f>
        <v>11</v>
      </c>
      <c r="DX169" s="21">
        <v>4</v>
      </c>
      <c r="DY169" s="22">
        <v>7</v>
      </c>
      <c r="DZ169" s="23">
        <v>8</v>
      </c>
      <c r="EA169" s="23">
        <v>16</v>
      </c>
      <c r="ED169" s="9" t="str">
        <f>IF(DX169="1","AFV30D","ANB10D")</f>
        <v>ANB10D</v>
      </c>
      <c r="EF169" s="6" t="s">
        <v>672</v>
      </c>
      <c r="EH169" s="6" t="s">
        <v>805</v>
      </c>
      <c r="EI169" s="6" t="s">
        <v>715</v>
      </c>
      <c r="EJ169" s="12">
        <v>12</v>
      </c>
      <c r="EK169" s="12"/>
      <c r="EM169" s="12"/>
      <c r="EN169" s="12" t="s">
        <v>1121</v>
      </c>
      <c r="ET169" s="6" t="str">
        <f t="shared" si="75"/>
        <v>짝수</v>
      </c>
      <c r="EU169" s="12">
        <v>48</v>
      </c>
      <c r="EV169" s="45" t="str">
        <f t="shared" ca="1" si="80"/>
        <v>B</v>
      </c>
      <c r="EW169" s="6">
        <f t="shared" ca="1" si="76"/>
        <v>66</v>
      </c>
      <c r="FR169" s="6">
        <v>1</v>
      </c>
      <c r="FS169" s="6">
        <f t="shared" si="77"/>
        <v>1</v>
      </c>
      <c r="FT169" s="6" t="str">
        <f t="shared" si="78"/>
        <v/>
      </c>
      <c r="FU169" s="6" t="str">
        <f t="shared" ca="1" si="81"/>
        <v>R5-11</v>
      </c>
      <c r="FV169" s="6" t="str">
        <f t="shared" ca="1" si="79"/>
        <v>R5-12</v>
      </c>
      <c r="FW169" s="6" t="str">
        <f t="shared" ca="1" si="90"/>
        <v/>
      </c>
      <c r="FX169" s="6" t="str">
        <f t="shared" ca="1" si="91"/>
        <v/>
      </c>
      <c r="FY169" s="6" t="str">
        <f t="shared" ca="1" si="92"/>
        <v/>
      </c>
      <c r="FZ169" s="6" t="str">
        <f t="shared" ca="1" si="93"/>
        <v/>
      </c>
    </row>
    <row r="170" spans="1:182" ht="15.95" customHeight="1">
      <c r="A170" s="6">
        <v>243</v>
      </c>
      <c r="B170" s="6" t="s">
        <v>175</v>
      </c>
      <c r="E170" s="6" t="s">
        <v>716</v>
      </c>
      <c r="F170" s="6" t="s">
        <v>1422</v>
      </c>
      <c r="G170" s="6" t="s">
        <v>1290</v>
      </c>
      <c r="H170" s="7" t="s">
        <v>1291</v>
      </c>
      <c r="I170" s="7"/>
      <c r="J170" s="6" t="e">
        <v>#N/A</v>
      </c>
      <c r="K170" s="6" t="e">
        <v>#N/A</v>
      </c>
      <c r="N170" s="6" t="e">
        <v>#N/A</v>
      </c>
      <c r="O170" s="6" t="e">
        <v>#N/A</v>
      </c>
      <c r="R170" s="101" t="e">
        <v>#N/A</v>
      </c>
      <c r="Y170" s="6" t="e">
        <v>#N/A</v>
      </c>
      <c r="Z170" s="6" t="e">
        <v>#N/A</v>
      </c>
      <c r="AA170" s="6" t="e">
        <v>#N/A</v>
      </c>
      <c r="AD170" s="6" t="e">
        <v>#N/A</v>
      </c>
      <c r="AE170" s="6" t="e">
        <v>#N/A</v>
      </c>
      <c r="AG170" s="6" t="e">
        <v>#N/A</v>
      </c>
      <c r="AY170" s="8" t="s">
        <v>176</v>
      </c>
      <c r="AZ170" s="8" t="s">
        <v>195</v>
      </c>
      <c r="BA170" s="13" t="s">
        <v>656</v>
      </c>
      <c r="BB170" s="13" t="s">
        <v>200</v>
      </c>
      <c r="BC170" s="13">
        <v>93</v>
      </c>
      <c r="BD170" s="13">
        <v>94</v>
      </c>
      <c r="DC170" s="6" t="s">
        <v>644</v>
      </c>
      <c r="DD170" s="6" t="s">
        <v>188</v>
      </c>
      <c r="DH170" s="6" t="str">
        <f t="shared" si="68"/>
        <v>A19</v>
      </c>
      <c r="DI170" s="6" t="str">
        <f t="shared" si="69"/>
        <v>B19</v>
      </c>
      <c r="DK170" s="6" t="s">
        <v>173</v>
      </c>
      <c r="DL170" s="6" t="str">
        <f t="shared" si="70"/>
        <v/>
      </c>
      <c r="DO170" s="9" t="s">
        <v>170</v>
      </c>
      <c r="DP170" s="6" t="s">
        <v>171</v>
      </c>
      <c r="DQ170" s="6" t="s">
        <v>645</v>
      </c>
      <c r="DS170" s="6" t="str">
        <f t="shared" si="63"/>
        <v>AKB331</v>
      </c>
      <c r="DT170" s="10" t="str">
        <f t="shared" si="64"/>
        <v>FCS0111-3-6/1S–MC–127-R2-CN1</v>
      </c>
      <c r="DU170" s="6" t="str">
        <f t="shared" si="65"/>
        <v/>
      </c>
      <c r="DV170" s="19">
        <v>1</v>
      </c>
      <c r="DW170" s="20" t="str">
        <f t="shared" si="66"/>
        <v>11</v>
      </c>
      <c r="DX170" s="21">
        <v>3</v>
      </c>
      <c r="DY170" s="22">
        <v>6</v>
      </c>
      <c r="DZ170" s="23" t="s">
        <v>204</v>
      </c>
      <c r="EA170" s="23">
        <v>19</v>
      </c>
      <c r="ED170" s="9" t="str">
        <f t="shared" si="67"/>
        <v>ANB10D</v>
      </c>
      <c r="EF170" s="6" t="s">
        <v>647</v>
      </c>
      <c r="EH170" s="6" t="s">
        <v>716</v>
      </c>
      <c r="EI170" s="6" t="s">
        <v>715</v>
      </c>
      <c r="EJ170" s="12">
        <v>12</v>
      </c>
      <c r="EK170" s="12"/>
      <c r="EM170" s="12"/>
      <c r="EN170" s="12" t="s">
        <v>1121</v>
      </c>
      <c r="EP170" s="6" t="s">
        <v>1154</v>
      </c>
      <c r="ER170" s="6" t="str">
        <f>MID(EH170,3,6)</f>
        <v>P4019B</v>
      </c>
      <c r="ET170" s="6" t="str">
        <f t="shared" si="75"/>
        <v>짝수</v>
      </c>
      <c r="EU170" s="12">
        <v>48</v>
      </c>
      <c r="EV170" s="45" t="str">
        <f t="shared" ca="1" si="80"/>
        <v>C</v>
      </c>
      <c r="EW170" s="6">
        <f t="shared" ca="1" si="76"/>
        <v>67</v>
      </c>
      <c r="EZ170" s="6" t="str">
        <f>ER170&amp;"INT"</f>
        <v>P4019BINT</v>
      </c>
      <c r="FA170" s="6" t="str">
        <f>ER170&amp;"INT"</f>
        <v>P4019BINT</v>
      </c>
      <c r="FR170" s="6">
        <v>1</v>
      </c>
      <c r="FS170" s="6" t="str">
        <f t="shared" si="77"/>
        <v/>
      </c>
      <c r="FT170" s="6">
        <f t="shared" si="78"/>
        <v>1</v>
      </c>
      <c r="FU170" s="6" t="str">
        <f t="shared" ca="1" si="81"/>
        <v/>
      </c>
      <c r="FV170" s="6" t="str">
        <f t="shared" ca="1" si="79"/>
        <v/>
      </c>
      <c r="FW170" s="6" t="str">
        <f t="shared" ca="1" si="90"/>
        <v>R2-11</v>
      </c>
      <c r="FX170" s="6" t="str">
        <f t="shared" ca="1" si="91"/>
        <v>R2-12</v>
      </c>
      <c r="FY170" s="6" t="str">
        <f t="shared" ca="1" si="92"/>
        <v>R2-21</v>
      </c>
      <c r="FZ170" s="6" t="str">
        <f t="shared" ca="1" si="93"/>
        <v>R2-22</v>
      </c>
    </row>
    <row r="171" spans="1:182" ht="15.95" customHeight="1">
      <c r="A171" s="6">
        <v>418</v>
      </c>
      <c r="B171" s="6" t="s">
        <v>175</v>
      </c>
      <c r="E171" s="6" t="s">
        <v>806</v>
      </c>
      <c r="F171" s="6" t="s">
        <v>1423</v>
      </c>
      <c r="G171" s="6" t="s">
        <v>1290</v>
      </c>
      <c r="H171" s="7" t="s">
        <v>1291</v>
      </c>
      <c r="I171" s="7"/>
      <c r="J171" s="6" t="e">
        <v>#N/A</v>
      </c>
      <c r="K171" s="6" t="e">
        <v>#N/A</v>
      </c>
      <c r="N171" s="6" t="e">
        <v>#N/A</v>
      </c>
      <c r="O171" s="6" t="e">
        <v>#N/A</v>
      </c>
      <c r="R171" s="101" t="e">
        <v>#N/A</v>
      </c>
      <c r="Y171" s="6" t="e">
        <v>#N/A</v>
      </c>
      <c r="Z171" s="6" t="e">
        <v>#N/A</v>
      </c>
      <c r="AA171" s="6" t="e">
        <v>#N/A</v>
      </c>
      <c r="AD171" s="6" t="e">
        <v>#N/A</v>
      </c>
      <c r="AE171" s="6" t="e">
        <v>#N/A</v>
      </c>
      <c r="AG171" s="6" t="e">
        <v>#N/A</v>
      </c>
      <c r="AY171" s="8" t="s">
        <v>176</v>
      </c>
      <c r="AZ171" s="8" t="s">
        <v>195</v>
      </c>
      <c r="BA171" s="13" t="s">
        <v>656</v>
      </c>
      <c r="BB171" s="13" t="s">
        <v>796</v>
      </c>
      <c r="BC171" s="13">
        <v>35</v>
      </c>
      <c r="BD171" s="13">
        <v>36</v>
      </c>
      <c r="DC171" s="6" t="s">
        <v>723</v>
      </c>
      <c r="DD171" s="6" t="s">
        <v>191</v>
      </c>
      <c r="DH171" s="6" t="str">
        <f>"A"&amp;EA171</f>
        <v>A18</v>
      </c>
      <c r="DI171" s="6" t="str">
        <f>"B"&amp;EA171</f>
        <v>B18</v>
      </c>
      <c r="DK171" s="6" t="s">
        <v>173</v>
      </c>
      <c r="DL171" s="6" t="str">
        <f>IF(DZ171&lt;&gt;"","CN2","")</f>
        <v>CN2</v>
      </c>
      <c r="DO171" s="9" t="s">
        <v>170</v>
      </c>
      <c r="DP171" s="6" t="s">
        <v>171</v>
      </c>
      <c r="DQ171" s="6" t="s">
        <v>645</v>
      </c>
      <c r="DS171" s="6" t="str">
        <f>IF(MID(EF171,2,1)="A","KS1","AKB331")</f>
        <v>AKB331</v>
      </c>
      <c r="DT171" s="10" t="str">
        <f>DQ171&amp;"-"&amp;DX171&amp;"-"&amp;DY171&amp;"/"&amp;BA171&amp;"-"&amp;DD171&amp;"-"&amp;DK171</f>
        <v>FCS0111-4-7/1S–MC–127-R5-CN1</v>
      </c>
      <c r="DU171" s="6" t="str">
        <f>IF(DL171="","",DQ171&amp;"-"&amp;DX171&amp;"-"&amp;DY171&amp;"/"&amp;BA171&amp;"-"&amp;DD171&amp;"-"&amp;DL171)</f>
        <v>FCS0111-4-7/1S–MC–127-R5-CN2</v>
      </c>
      <c r="DV171" s="19">
        <v>1</v>
      </c>
      <c r="DW171" s="20" t="str">
        <f>RIGHT(DQ171,2)</f>
        <v>11</v>
      </c>
      <c r="DX171" s="21">
        <v>4</v>
      </c>
      <c r="DY171" s="22">
        <v>7</v>
      </c>
      <c r="DZ171" s="23">
        <v>8</v>
      </c>
      <c r="EA171" s="23">
        <v>18</v>
      </c>
      <c r="ED171" s="9" t="str">
        <f>IF(DX171="1","AFV30D","ANB10D")</f>
        <v>ANB10D</v>
      </c>
      <c r="EF171" s="6" t="s">
        <v>672</v>
      </c>
      <c r="EH171" s="6" t="s">
        <v>806</v>
      </c>
      <c r="EI171" s="6" t="s">
        <v>715</v>
      </c>
      <c r="EJ171" s="12">
        <v>12</v>
      </c>
      <c r="EK171" s="12"/>
      <c r="EM171" s="12"/>
      <c r="EN171" s="12" t="s">
        <v>1121</v>
      </c>
      <c r="ET171" s="6" t="str">
        <f t="shared" si="75"/>
        <v>짝수</v>
      </c>
      <c r="EU171" s="12">
        <v>48</v>
      </c>
      <c r="EV171" s="45" t="str">
        <f t="shared" ca="1" si="80"/>
        <v>D</v>
      </c>
      <c r="EW171" s="6">
        <f t="shared" ca="1" si="76"/>
        <v>68</v>
      </c>
      <c r="FR171" s="6">
        <v>1</v>
      </c>
      <c r="FS171" s="6">
        <f t="shared" si="77"/>
        <v>1</v>
      </c>
      <c r="FT171" s="6" t="str">
        <f t="shared" si="78"/>
        <v/>
      </c>
      <c r="FU171" s="6" t="str">
        <f t="shared" ca="1" si="81"/>
        <v>R5-11</v>
      </c>
      <c r="FV171" s="6" t="str">
        <f t="shared" ca="1" si="79"/>
        <v>R5-12</v>
      </c>
      <c r="FW171" s="6" t="str">
        <f t="shared" ca="1" si="90"/>
        <v/>
      </c>
      <c r="FX171" s="6" t="str">
        <f t="shared" ca="1" si="91"/>
        <v/>
      </c>
      <c r="FY171" s="6" t="str">
        <f t="shared" ca="1" si="92"/>
        <v/>
      </c>
      <c r="FZ171" s="6" t="str">
        <f t="shared" ca="1" si="93"/>
        <v/>
      </c>
    </row>
    <row r="172" spans="1:182" ht="15.95" customHeight="1">
      <c r="A172" s="6">
        <v>245</v>
      </c>
      <c r="B172" s="6" t="s">
        <v>175</v>
      </c>
      <c r="E172" s="6" t="s">
        <v>717</v>
      </c>
      <c r="F172" s="6" t="s">
        <v>1424</v>
      </c>
      <c r="G172" s="6" t="s">
        <v>1290</v>
      </c>
      <c r="H172" s="7" t="s">
        <v>1291</v>
      </c>
      <c r="I172" s="7"/>
      <c r="J172" s="6" t="e">
        <v>#N/A</v>
      </c>
      <c r="K172" s="6" t="e">
        <v>#N/A</v>
      </c>
      <c r="N172" s="6" t="e">
        <v>#N/A</v>
      </c>
      <c r="O172" s="6" t="e">
        <v>#N/A</v>
      </c>
      <c r="R172" s="101" t="e">
        <v>#N/A</v>
      </c>
      <c r="Y172" s="6" t="e">
        <v>#N/A</v>
      </c>
      <c r="Z172" s="6" t="e">
        <v>#N/A</v>
      </c>
      <c r="AA172" s="6" t="e">
        <v>#N/A</v>
      </c>
      <c r="AD172" s="6" t="e">
        <v>#N/A</v>
      </c>
      <c r="AE172" s="6" t="e">
        <v>#N/A</v>
      </c>
      <c r="AG172" s="6" t="e">
        <v>#N/A</v>
      </c>
      <c r="AY172" s="8" t="s">
        <v>176</v>
      </c>
      <c r="AZ172" s="8" t="s">
        <v>195</v>
      </c>
      <c r="BA172" s="13" t="s">
        <v>656</v>
      </c>
      <c r="BB172" s="13" t="s">
        <v>200</v>
      </c>
      <c r="BC172" s="13">
        <v>97</v>
      </c>
      <c r="BD172" s="13">
        <v>98</v>
      </c>
      <c r="DC172" s="6" t="s">
        <v>644</v>
      </c>
      <c r="DD172" s="6" t="s">
        <v>188</v>
      </c>
      <c r="DH172" s="6" t="str">
        <f t="shared" si="68"/>
        <v>A21</v>
      </c>
      <c r="DI172" s="6" t="str">
        <f t="shared" si="69"/>
        <v>B21</v>
      </c>
      <c r="DK172" s="6" t="s">
        <v>173</v>
      </c>
      <c r="DL172" s="6" t="str">
        <f t="shared" si="70"/>
        <v/>
      </c>
      <c r="DO172" s="9" t="s">
        <v>170</v>
      </c>
      <c r="DP172" s="6" t="s">
        <v>171</v>
      </c>
      <c r="DQ172" s="6" t="s">
        <v>645</v>
      </c>
      <c r="DS172" s="6" t="str">
        <f t="shared" si="63"/>
        <v>AKB331</v>
      </c>
      <c r="DT172" s="10" t="str">
        <f t="shared" si="64"/>
        <v>FCS0111-3-6/1S–MC–127-R2-CN1</v>
      </c>
      <c r="DU172" s="6" t="str">
        <f t="shared" si="65"/>
        <v/>
      </c>
      <c r="DV172" s="19">
        <v>1</v>
      </c>
      <c r="DW172" s="20" t="str">
        <f t="shared" si="66"/>
        <v>11</v>
      </c>
      <c r="DX172" s="21">
        <v>3</v>
      </c>
      <c r="DY172" s="22">
        <v>6</v>
      </c>
      <c r="DZ172" s="23" t="s">
        <v>204</v>
      </c>
      <c r="EA172" s="23">
        <v>21</v>
      </c>
      <c r="ED172" s="9" t="str">
        <f t="shared" si="67"/>
        <v>ANB10D</v>
      </c>
      <c r="EF172" s="6" t="s">
        <v>647</v>
      </c>
      <c r="EH172" s="6" t="s">
        <v>717</v>
      </c>
      <c r="EI172" s="6" t="s">
        <v>710</v>
      </c>
      <c r="EJ172" s="12">
        <v>9</v>
      </c>
      <c r="EK172" s="12"/>
      <c r="EM172" s="12"/>
      <c r="EN172" s="25" t="s">
        <v>1121</v>
      </c>
      <c r="EP172" s="6" t="s">
        <v>1153</v>
      </c>
      <c r="ER172" s="6" t="str">
        <f>MID(EH172,3,8)</f>
        <v>P4025</v>
      </c>
      <c r="ET172" s="6" t="str">
        <f t="shared" si="75"/>
        <v>홀수</v>
      </c>
      <c r="EU172" s="12">
        <v>49</v>
      </c>
      <c r="EV172" s="45" t="str">
        <f t="shared" ca="1" si="80"/>
        <v>A</v>
      </c>
      <c r="EW172" s="6">
        <f t="shared" ca="1" si="76"/>
        <v>65</v>
      </c>
      <c r="FR172" s="6">
        <v>1</v>
      </c>
      <c r="FS172" s="6" t="str">
        <f t="shared" si="77"/>
        <v/>
      </c>
      <c r="FT172" s="6">
        <f t="shared" si="78"/>
        <v>1</v>
      </c>
      <c r="FU172" s="6" t="str">
        <f t="shared" ca="1" si="81"/>
        <v/>
      </c>
      <c r="FV172" s="6" t="str">
        <f t="shared" ca="1" si="79"/>
        <v/>
      </c>
      <c r="FW172" s="6" t="str">
        <f t="shared" ca="1" si="90"/>
        <v>R2-11</v>
      </c>
      <c r="FX172" s="6" t="str">
        <f t="shared" ca="1" si="91"/>
        <v>R2-12</v>
      </c>
      <c r="FY172" s="6" t="str">
        <f t="shared" ca="1" si="92"/>
        <v>R2-21</v>
      </c>
      <c r="FZ172" s="6" t="str">
        <f t="shared" ca="1" si="93"/>
        <v>R2-22</v>
      </c>
    </row>
    <row r="173" spans="1:182" ht="15.95" customHeight="1">
      <c r="A173" s="6">
        <v>246</v>
      </c>
      <c r="B173" s="6" t="s">
        <v>175</v>
      </c>
      <c r="E173" s="6" t="s">
        <v>718</v>
      </c>
      <c r="F173" s="6" t="s">
        <v>1425</v>
      </c>
      <c r="G173" s="6" t="s">
        <v>1290</v>
      </c>
      <c r="H173" s="7" t="s">
        <v>1291</v>
      </c>
      <c r="I173" s="7"/>
      <c r="J173" s="6" t="e">
        <v>#N/A</v>
      </c>
      <c r="K173" s="6" t="e">
        <v>#N/A</v>
      </c>
      <c r="N173" s="6" t="e">
        <v>#N/A</v>
      </c>
      <c r="O173" s="6" t="e">
        <v>#N/A</v>
      </c>
      <c r="R173" s="101" t="e">
        <v>#N/A</v>
      </c>
      <c r="Y173" s="6" t="e">
        <v>#N/A</v>
      </c>
      <c r="Z173" s="6" t="e">
        <v>#N/A</v>
      </c>
      <c r="AA173" s="6" t="e">
        <v>#N/A</v>
      </c>
      <c r="AD173" s="6" t="e">
        <v>#N/A</v>
      </c>
      <c r="AE173" s="6" t="e">
        <v>#N/A</v>
      </c>
      <c r="AG173" s="6" t="e">
        <v>#N/A</v>
      </c>
      <c r="AY173" s="8" t="s">
        <v>176</v>
      </c>
      <c r="AZ173" s="8" t="s">
        <v>195</v>
      </c>
      <c r="BA173" s="13" t="s">
        <v>656</v>
      </c>
      <c r="BB173" s="13" t="s">
        <v>200</v>
      </c>
      <c r="BC173" s="13">
        <v>99</v>
      </c>
      <c r="BD173" s="13">
        <v>100</v>
      </c>
      <c r="DC173" s="6" t="s">
        <v>644</v>
      </c>
      <c r="DD173" s="6" t="s">
        <v>188</v>
      </c>
      <c r="DH173" s="6" t="str">
        <f>"A"&amp;EA173</f>
        <v>A22</v>
      </c>
      <c r="DI173" s="6" t="str">
        <f>"B"&amp;EA173</f>
        <v>B22</v>
      </c>
      <c r="DK173" s="6" t="s">
        <v>173</v>
      </c>
      <c r="DL173" s="6" t="str">
        <f>IF(DZ173&lt;&gt;"","CN2","")</f>
        <v/>
      </c>
      <c r="DO173" s="9" t="s">
        <v>170</v>
      </c>
      <c r="DP173" s="6" t="s">
        <v>171</v>
      </c>
      <c r="DQ173" s="6" t="s">
        <v>645</v>
      </c>
      <c r="DS173" s="6" t="str">
        <f>IF(MID(EF173,2,1)="A","KS1","AKB331")</f>
        <v>AKB331</v>
      </c>
      <c r="DT173" s="10" t="str">
        <f>DQ173&amp;"-"&amp;DX173&amp;"-"&amp;DY173&amp;"/"&amp;BA173&amp;"-"&amp;DD173&amp;"-"&amp;DK173</f>
        <v>FCS0111-3-6/1S–MC–127-R2-CN1</v>
      </c>
      <c r="DU173" s="6" t="str">
        <f>IF(DL173="","",DQ173&amp;"-"&amp;DX173&amp;"-"&amp;DY173&amp;"/"&amp;BA173&amp;"-"&amp;DD173&amp;"-"&amp;DL173)</f>
        <v/>
      </c>
      <c r="DV173" s="19">
        <v>1</v>
      </c>
      <c r="DW173" s="20" t="str">
        <f>RIGHT(DQ173,2)</f>
        <v>11</v>
      </c>
      <c r="DX173" s="21">
        <v>3</v>
      </c>
      <c r="DY173" s="22">
        <v>6</v>
      </c>
      <c r="DZ173" s="23" t="s">
        <v>204</v>
      </c>
      <c r="EA173" s="23">
        <v>22</v>
      </c>
      <c r="ED173" s="9" t="str">
        <f>IF(DX173="1","AFV30D","ANB10D")</f>
        <v>ANB10D</v>
      </c>
      <c r="EF173" s="6" t="s">
        <v>647</v>
      </c>
      <c r="EH173" s="6" t="s">
        <v>718</v>
      </c>
      <c r="EI173" s="6" t="s">
        <v>710</v>
      </c>
      <c r="EJ173" s="12">
        <v>9</v>
      </c>
      <c r="EK173" s="12"/>
      <c r="EM173" s="12"/>
      <c r="EN173" s="25" t="s">
        <v>1121</v>
      </c>
      <c r="ET173" s="6" t="str">
        <f t="shared" si="75"/>
        <v>홀수</v>
      </c>
      <c r="EU173" s="12">
        <v>49</v>
      </c>
      <c r="EV173" s="45" t="str">
        <f t="shared" ca="1" si="80"/>
        <v>B</v>
      </c>
      <c r="EW173" s="6">
        <f t="shared" ca="1" si="76"/>
        <v>66</v>
      </c>
      <c r="FA173" s="6" t="str">
        <f>ER172&amp;"INT"</f>
        <v>P4025INT</v>
      </c>
      <c r="FR173" s="6">
        <v>1</v>
      </c>
      <c r="FS173" s="6" t="str">
        <f t="shared" si="77"/>
        <v/>
      </c>
      <c r="FT173" s="6">
        <f t="shared" si="78"/>
        <v>1</v>
      </c>
      <c r="FU173" s="6" t="str">
        <f t="shared" ca="1" si="81"/>
        <v/>
      </c>
      <c r="FV173" s="6" t="str">
        <f t="shared" ca="1" si="79"/>
        <v/>
      </c>
      <c r="FW173" s="6" t="str">
        <f t="shared" ca="1" si="90"/>
        <v>R2-11</v>
      </c>
      <c r="FX173" s="6" t="str">
        <f t="shared" ca="1" si="91"/>
        <v>R2-12</v>
      </c>
      <c r="FY173" s="6" t="str">
        <f t="shared" ca="1" si="92"/>
        <v>R2-21</v>
      </c>
      <c r="FZ173" s="6" t="str">
        <f t="shared" ca="1" si="93"/>
        <v>R2-22</v>
      </c>
    </row>
    <row r="174" spans="1:182" ht="15.95" customHeight="1">
      <c r="A174" s="6">
        <v>421</v>
      </c>
      <c r="B174" s="6" t="s">
        <v>175</v>
      </c>
      <c r="E174" s="6" t="s">
        <v>808</v>
      </c>
      <c r="F174" s="6" t="s">
        <v>1426</v>
      </c>
      <c r="G174" s="6" t="s">
        <v>1290</v>
      </c>
      <c r="H174" s="7" t="s">
        <v>1291</v>
      </c>
      <c r="I174" s="7"/>
      <c r="J174" s="6" t="e">
        <v>#N/A</v>
      </c>
      <c r="K174" s="6" t="e">
        <v>#N/A</v>
      </c>
      <c r="N174" s="6" t="e">
        <v>#N/A</v>
      </c>
      <c r="O174" s="6" t="e">
        <v>#N/A</v>
      </c>
      <c r="R174" s="101" t="e">
        <v>#N/A</v>
      </c>
      <c r="Y174" s="6" t="e">
        <v>#N/A</v>
      </c>
      <c r="Z174" s="6" t="e">
        <v>#N/A</v>
      </c>
      <c r="AA174" s="6" t="e">
        <v>#N/A</v>
      </c>
      <c r="AD174" s="6" t="e">
        <v>#N/A</v>
      </c>
      <c r="AE174" s="6" t="e">
        <v>#N/A</v>
      </c>
      <c r="AG174" s="6" t="e">
        <v>#N/A</v>
      </c>
      <c r="AY174" s="8" t="s">
        <v>176</v>
      </c>
      <c r="AZ174" s="8" t="s">
        <v>195</v>
      </c>
      <c r="BA174" s="13" t="s">
        <v>656</v>
      </c>
      <c r="BB174" s="13" t="s">
        <v>796</v>
      </c>
      <c r="BC174" s="13">
        <v>41</v>
      </c>
      <c r="BD174" s="13">
        <v>42</v>
      </c>
      <c r="DC174" s="6" t="s">
        <v>723</v>
      </c>
      <c r="DD174" s="6" t="s">
        <v>191</v>
      </c>
      <c r="DH174" s="6" t="str">
        <f>"A"&amp;EA174</f>
        <v>A21</v>
      </c>
      <c r="DI174" s="6" t="str">
        <f>"B"&amp;EA174</f>
        <v>B21</v>
      </c>
      <c r="DK174" s="6" t="s">
        <v>173</v>
      </c>
      <c r="DL174" s="6" t="str">
        <f>IF(DZ174&lt;&gt;"","CN2","")</f>
        <v>CN2</v>
      </c>
      <c r="DO174" s="9" t="s">
        <v>170</v>
      </c>
      <c r="DP174" s="6" t="s">
        <v>171</v>
      </c>
      <c r="DQ174" s="6" t="s">
        <v>645</v>
      </c>
      <c r="DS174" s="6" t="str">
        <f>IF(MID(EF174,2,1)="A","KS1","AKB331")</f>
        <v>AKB331</v>
      </c>
      <c r="DT174" s="10" t="str">
        <f>DQ174&amp;"-"&amp;DX174&amp;"-"&amp;DY174&amp;"/"&amp;BA174&amp;"-"&amp;DD174&amp;"-"&amp;DK174</f>
        <v>FCS0111-4-7/1S–MC–127-R5-CN1</v>
      </c>
      <c r="DU174" s="6" t="str">
        <f>IF(DL174="","",DQ174&amp;"-"&amp;DX174&amp;"-"&amp;DY174&amp;"/"&amp;BA174&amp;"-"&amp;DD174&amp;"-"&amp;DL174)</f>
        <v>FCS0111-4-7/1S–MC–127-R5-CN2</v>
      </c>
      <c r="DV174" s="19">
        <v>1</v>
      </c>
      <c r="DW174" s="20" t="str">
        <f>RIGHT(DQ174,2)</f>
        <v>11</v>
      </c>
      <c r="DX174" s="21">
        <v>4</v>
      </c>
      <c r="DY174" s="22">
        <v>7</v>
      </c>
      <c r="DZ174" s="23">
        <v>8</v>
      </c>
      <c r="EA174" s="23">
        <v>21</v>
      </c>
      <c r="ED174" s="9" t="str">
        <f>IF(DX174="1","AFV30D","ANB10D")</f>
        <v>ANB10D</v>
      </c>
      <c r="EF174" s="6" t="s">
        <v>672</v>
      </c>
      <c r="EH174" s="6" t="s">
        <v>808</v>
      </c>
      <c r="EI174" s="6" t="s">
        <v>710</v>
      </c>
      <c r="EJ174" s="12">
        <v>9</v>
      </c>
      <c r="EK174" s="12"/>
      <c r="EM174" s="12"/>
      <c r="EN174" s="25" t="s">
        <v>1121</v>
      </c>
      <c r="ET174" s="6" t="str">
        <f t="shared" si="75"/>
        <v>홀수</v>
      </c>
      <c r="EU174" s="12">
        <v>49</v>
      </c>
      <c r="EV174" s="45" t="str">
        <f t="shared" ca="1" si="80"/>
        <v>C</v>
      </c>
      <c r="EW174" s="6">
        <f t="shared" ca="1" si="76"/>
        <v>67</v>
      </c>
      <c r="FR174" s="6">
        <v>1</v>
      </c>
      <c r="FS174" s="6">
        <f t="shared" si="77"/>
        <v>1</v>
      </c>
      <c r="FT174" s="6" t="str">
        <f t="shared" si="78"/>
        <v/>
      </c>
      <c r="FU174" s="6" t="str">
        <f t="shared" ca="1" si="81"/>
        <v>R5-11</v>
      </c>
      <c r="FV174" s="6" t="str">
        <f t="shared" ca="1" si="79"/>
        <v>R5-12</v>
      </c>
      <c r="FW174" s="6" t="str">
        <f t="shared" ca="1" si="90"/>
        <v/>
      </c>
      <c r="FX174" s="6" t="str">
        <f t="shared" ca="1" si="91"/>
        <v/>
      </c>
      <c r="FY174" s="6" t="str">
        <f t="shared" ca="1" si="92"/>
        <v/>
      </c>
      <c r="FZ174" s="6" t="str">
        <f t="shared" ca="1" si="93"/>
        <v/>
      </c>
    </row>
    <row r="175" spans="1:182" ht="15.95" customHeight="1">
      <c r="A175" s="6">
        <v>420</v>
      </c>
      <c r="B175" s="6" t="s">
        <v>175</v>
      </c>
      <c r="E175" s="6" t="s">
        <v>807</v>
      </c>
      <c r="F175" s="6" t="s">
        <v>1427</v>
      </c>
      <c r="G175" s="6" t="s">
        <v>1290</v>
      </c>
      <c r="H175" s="7" t="s">
        <v>1291</v>
      </c>
      <c r="I175" s="7"/>
      <c r="J175" s="6" t="e">
        <v>#N/A</v>
      </c>
      <c r="K175" s="6" t="e">
        <v>#N/A</v>
      </c>
      <c r="N175" s="6" t="e">
        <v>#N/A</v>
      </c>
      <c r="O175" s="6" t="e">
        <v>#N/A</v>
      </c>
      <c r="R175" s="101" t="e">
        <v>#N/A</v>
      </c>
      <c r="Y175" s="6" t="e">
        <v>#N/A</v>
      </c>
      <c r="Z175" s="6" t="e">
        <v>#N/A</v>
      </c>
      <c r="AA175" s="6" t="e">
        <v>#N/A</v>
      </c>
      <c r="AD175" s="6" t="e">
        <v>#N/A</v>
      </c>
      <c r="AE175" s="6" t="e">
        <v>#N/A</v>
      </c>
      <c r="AG175" s="6" t="e">
        <v>#N/A</v>
      </c>
      <c r="AY175" s="8" t="s">
        <v>176</v>
      </c>
      <c r="AZ175" s="8" t="s">
        <v>195</v>
      </c>
      <c r="BA175" s="13" t="s">
        <v>656</v>
      </c>
      <c r="BB175" s="13" t="s">
        <v>796</v>
      </c>
      <c r="BC175" s="13">
        <v>39</v>
      </c>
      <c r="BD175" s="13">
        <v>40</v>
      </c>
      <c r="DC175" s="6" t="s">
        <v>723</v>
      </c>
      <c r="DD175" s="6" t="s">
        <v>191</v>
      </c>
      <c r="DH175" s="6" t="str">
        <f>"A"&amp;EA175</f>
        <v>A20</v>
      </c>
      <c r="DI175" s="6" t="str">
        <f>"B"&amp;EA175</f>
        <v>B20</v>
      </c>
      <c r="DK175" s="6" t="s">
        <v>173</v>
      </c>
      <c r="DL175" s="6" t="str">
        <f>IF(DZ175&lt;&gt;"","CN2","")</f>
        <v>CN2</v>
      </c>
      <c r="DO175" s="9" t="s">
        <v>170</v>
      </c>
      <c r="DP175" s="6" t="s">
        <v>171</v>
      </c>
      <c r="DQ175" s="6" t="s">
        <v>645</v>
      </c>
      <c r="DS175" s="6" t="str">
        <f>IF(MID(EF175,2,1)="A","KS1","AKB331")</f>
        <v>AKB331</v>
      </c>
      <c r="DT175" s="10" t="str">
        <f>DQ175&amp;"-"&amp;DX175&amp;"-"&amp;DY175&amp;"/"&amp;BA175&amp;"-"&amp;DD175&amp;"-"&amp;DK175</f>
        <v>FCS0111-4-7/1S–MC–127-R5-CN1</v>
      </c>
      <c r="DU175" s="6" t="str">
        <f>IF(DL175="","",DQ175&amp;"-"&amp;DX175&amp;"-"&amp;DY175&amp;"/"&amp;BA175&amp;"-"&amp;DD175&amp;"-"&amp;DL175)</f>
        <v>FCS0111-4-7/1S–MC–127-R5-CN2</v>
      </c>
      <c r="DV175" s="19">
        <v>1</v>
      </c>
      <c r="DW175" s="20" t="str">
        <f>RIGHT(DQ175,2)</f>
        <v>11</v>
      </c>
      <c r="DX175" s="21">
        <v>4</v>
      </c>
      <c r="DY175" s="22">
        <v>7</v>
      </c>
      <c r="DZ175" s="23">
        <v>8</v>
      </c>
      <c r="EA175" s="23">
        <v>20</v>
      </c>
      <c r="ED175" s="9" t="str">
        <f>IF(DX175="1","AFV30D","ANB10D")</f>
        <v>ANB10D</v>
      </c>
      <c r="EF175" s="6" t="s">
        <v>672</v>
      </c>
      <c r="EH175" s="6" t="s">
        <v>807</v>
      </c>
      <c r="EI175" s="6" t="s">
        <v>710</v>
      </c>
      <c r="EJ175" s="12">
        <v>9</v>
      </c>
      <c r="EK175" s="12"/>
      <c r="EM175" s="12"/>
      <c r="EN175" s="25" t="s">
        <v>1121</v>
      </c>
      <c r="ET175" s="6" t="str">
        <f t="shared" si="75"/>
        <v>홀수</v>
      </c>
      <c r="EU175" s="12">
        <v>49</v>
      </c>
      <c r="EV175" s="45" t="str">
        <f t="shared" ca="1" si="80"/>
        <v>D</v>
      </c>
      <c r="EW175" s="6">
        <f t="shared" ca="1" si="76"/>
        <v>68</v>
      </c>
      <c r="FR175" s="6">
        <v>1</v>
      </c>
      <c r="FS175" s="6">
        <f t="shared" si="77"/>
        <v>1</v>
      </c>
      <c r="FT175" s="6" t="str">
        <f t="shared" si="78"/>
        <v/>
      </c>
      <c r="FU175" s="6" t="str">
        <f t="shared" ca="1" si="81"/>
        <v>R5-11</v>
      </c>
      <c r="FV175" s="6" t="str">
        <f t="shared" ca="1" si="79"/>
        <v>R5-12</v>
      </c>
      <c r="FW175" s="6" t="str">
        <f t="shared" ca="1" si="90"/>
        <v/>
      </c>
      <c r="FX175" s="6" t="str">
        <f t="shared" ca="1" si="91"/>
        <v/>
      </c>
      <c r="FY175" s="6" t="str">
        <f t="shared" ca="1" si="92"/>
        <v/>
      </c>
      <c r="FZ175" s="6" t="str">
        <f t="shared" ca="1" si="93"/>
        <v/>
      </c>
    </row>
    <row r="176" spans="1:182" ht="15.95" customHeight="1">
      <c r="A176" s="6">
        <v>248</v>
      </c>
      <c r="B176" s="6" t="s">
        <v>175</v>
      </c>
      <c r="E176" s="6" t="s">
        <v>719</v>
      </c>
      <c r="F176" s="6" t="s">
        <v>1428</v>
      </c>
      <c r="G176" s="6" t="s">
        <v>1290</v>
      </c>
      <c r="H176" s="7" t="s">
        <v>1291</v>
      </c>
      <c r="I176" s="7"/>
      <c r="J176" s="6" t="e">
        <v>#N/A</v>
      </c>
      <c r="K176" s="6" t="e">
        <v>#N/A</v>
      </c>
      <c r="N176" s="6" t="e">
        <v>#N/A</v>
      </c>
      <c r="O176" s="6" t="e">
        <v>#N/A</v>
      </c>
      <c r="R176" s="101" t="e">
        <v>#N/A</v>
      </c>
      <c r="Y176" s="6" t="e">
        <v>#N/A</v>
      </c>
      <c r="Z176" s="6" t="e">
        <v>#N/A</v>
      </c>
      <c r="AA176" s="6" t="e">
        <v>#N/A</v>
      </c>
      <c r="AD176" s="6" t="e">
        <v>#N/A</v>
      </c>
      <c r="AE176" s="6" t="e">
        <v>#N/A</v>
      </c>
      <c r="AG176" s="6" t="e">
        <v>#N/A</v>
      </c>
      <c r="AY176" s="8" t="s">
        <v>176</v>
      </c>
      <c r="AZ176" s="8" t="s">
        <v>195</v>
      </c>
      <c r="BA176" s="13" t="s">
        <v>656</v>
      </c>
      <c r="BB176" s="13" t="s">
        <v>200</v>
      </c>
      <c r="BC176" s="13">
        <v>103</v>
      </c>
      <c r="BD176" s="13">
        <v>104</v>
      </c>
      <c r="DC176" s="6" t="s">
        <v>644</v>
      </c>
      <c r="DD176" s="6" t="s">
        <v>188</v>
      </c>
      <c r="DH176" s="6" t="str">
        <f t="shared" si="68"/>
        <v>A24</v>
      </c>
      <c r="DI176" s="6" t="str">
        <f t="shared" si="69"/>
        <v>B24</v>
      </c>
      <c r="DK176" s="6" t="s">
        <v>173</v>
      </c>
      <c r="DL176" s="6" t="str">
        <f t="shared" si="70"/>
        <v/>
      </c>
      <c r="DO176" s="9" t="s">
        <v>170</v>
      </c>
      <c r="DP176" s="6" t="s">
        <v>171</v>
      </c>
      <c r="DQ176" s="6" t="s">
        <v>645</v>
      </c>
      <c r="DS176" s="6" t="str">
        <f t="shared" si="63"/>
        <v>AKB331</v>
      </c>
      <c r="DT176" s="10" t="str">
        <f t="shared" si="64"/>
        <v>FCS0111-3-6/1S–MC–127-R2-CN1</v>
      </c>
      <c r="DU176" s="6" t="str">
        <f t="shared" si="65"/>
        <v/>
      </c>
      <c r="DV176" s="19">
        <v>1</v>
      </c>
      <c r="DW176" s="20" t="str">
        <f t="shared" si="66"/>
        <v>11</v>
      </c>
      <c r="DX176" s="21">
        <v>3</v>
      </c>
      <c r="DY176" s="22">
        <v>6</v>
      </c>
      <c r="DZ176" s="23" t="s">
        <v>204</v>
      </c>
      <c r="EA176" s="23">
        <v>24</v>
      </c>
      <c r="ED176" s="9" t="str">
        <f t="shared" si="67"/>
        <v>ANB10D</v>
      </c>
      <c r="EF176" s="6" t="s">
        <v>647</v>
      </c>
      <c r="EH176" s="6" t="s">
        <v>719</v>
      </c>
      <c r="EI176" s="6" t="s">
        <v>720</v>
      </c>
      <c r="EJ176" s="12">
        <v>12</v>
      </c>
      <c r="EK176" s="12"/>
      <c r="EM176" s="12"/>
      <c r="EN176" s="12" t="s">
        <v>1121</v>
      </c>
      <c r="EP176" s="6" t="s">
        <v>1154</v>
      </c>
      <c r="ER176" s="6" t="str">
        <f>MID(EH176,3,6)</f>
        <v>P4018A</v>
      </c>
      <c r="ET176" s="6" t="str">
        <f t="shared" si="75"/>
        <v>짝수</v>
      </c>
      <c r="EU176" s="12">
        <v>50</v>
      </c>
      <c r="EV176" s="45" t="str">
        <f t="shared" ca="1" si="80"/>
        <v>A</v>
      </c>
      <c r="EW176" s="6">
        <f t="shared" ca="1" si="76"/>
        <v>65</v>
      </c>
      <c r="EZ176" s="6" t="str">
        <f>ER176&amp;"INT"</f>
        <v>P4018AINT</v>
      </c>
      <c r="FA176" s="6" t="str">
        <f>ER176&amp;"INT"</f>
        <v>P4018AINT</v>
      </c>
      <c r="FR176" s="6">
        <v>1</v>
      </c>
      <c r="FS176" s="6" t="str">
        <f t="shared" si="77"/>
        <v/>
      </c>
      <c r="FT176" s="6">
        <f t="shared" si="78"/>
        <v>1</v>
      </c>
      <c r="FU176" s="6" t="str">
        <f t="shared" ca="1" si="81"/>
        <v/>
      </c>
      <c r="FV176" s="6" t="str">
        <f t="shared" ca="1" si="79"/>
        <v/>
      </c>
      <c r="FW176" s="6" t="str">
        <f t="shared" ca="1" si="90"/>
        <v>R2-11</v>
      </c>
      <c r="FX176" s="6" t="str">
        <f t="shared" ca="1" si="91"/>
        <v>R2-12</v>
      </c>
      <c r="FY176" s="6" t="str">
        <f t="shared" ca="1" si="92"/>
        <v>R2-21</v>
      </c>
      <c r="FZ176" s="6" t="str">
        <f t="shared" ca="1" si="93"/>
        <v>R2-22</v>
      </c>
    </row>
    <row r="177" spans="1:182" ht="15.95" customHeight="1">
      <c r="A177" s="6">
        <v>423</v>
      </c>
      <c r="B177" s="6" t="s">
        <v>175</v>
      </c>
      <c r="E177" s="6" t="s">
        <v>809</v>
      </c>
      <c r="F177" s="6" t="s">
        <v>1429</v>
      </c>
      <c r="G177" s="6" t="s">
        <v>1290</v>
      </c>
      <c r="H177" s="7" t="s">
        <v>1291</v>
      </c>
      <c r="I177" s="7"/>
      <c r="J177" s="6" t="e">
        <v>#N/A</v>
      </c>
      <c r="K177" s="6" t="e">
        <v>#N/A</v>
      </c>
      <c r="N177" s="6" t="e">
        <v>#N/A</v>
      </c>
      <c r="O177" s="6" t="e">
        <v>#N/A</v>
      </c>
      <c r="R177" s="101" t="e">
        <v>#N/A</v>
      </c>
      <c r="Y177" s="6" t="e">
        <v>#N/A</v>
      </c>
      <c r="Z177" s="6" t="e">
        <v>#N/A</v>
      </c>
      <c r="AA177" s="6" t="e">
        <v>#N/A</v>
      </c>
      <c r="AD177" s="6" t="e">
        <v>#N/A</v>
      </c>
      <c r="AE177" s="6" t="e">
        <v>#N/A</v>
      </c>
      <c r="AG177" s="6" t="e">
        <v>#N/A</v>
      </c>
      <c r="AY177" s="8" t="s">
        <v>176</v>
      </c>
      <c r="AZ177" s="8" t="s">
        <v>195</v>
      </c>
      <c r="BA177" s="13" t="s">
        <v>656</v>
      </c>
      <c r="BB177" s="13" t="s">
        <v>796</v>
      </c>
      <c r="BC177" s="13">
        <v>45</v>
      </c>
      <c r="BD177" s="13">
        <v>46</v>
      </c>
      <c r="DC177" s="6" t="s">
        <v>723</v>
      </c>
      <c r="DD177" s="6" t="s">
        <v>191</v>
      </c>
      <c r="DH177" s="6" t="str">
        <f>"A"&amp;EA177</f>
        <v>A23</v>
      </c>
      <c r="DI177" s="6" t="str">
        <f>"B"&amp;EA177</f>
        <v>B23</v>
      </c>
      <c r="DK177" s="6" t="s">
        <v>173</v>
      </c>
      <c r="DL177" s="6" t="str">
        <f>IF(DZ177&lt;&gt;"","CN2","")</f>
        <v>CN2</v>
      </c>
      <c r="DO177" s="9" t="s">
        <v>170</v>
      </c>
      <c r="DP177" s="6" t="s">
        <v>171</v>
      </c>
      <c r="DQ177" s="6" t="s">
        <v>645</v>
      </c>
      <c r="DS177" s="6" t="str">
        <f>IF(MID(EF177,2,1)="A","KS1","AKB331")</f>
        <v>AKB331</v>
      </c>
      <c r="DT177" s="10" t="str">
        <f>DQ177&amp;"-"&amp;DX177&amp;"-"&amp;DY177&amp;"/"&amp;BA177&amp;"-"&amp;DD177&amp;"-"&amp;DK177</f>
        <v>FCS0111-4-7/1S–MC–127-R5-CN1</v>
      </c>
      <c r="DU177" s="6" t="str">
        <f>IF(DL177="","",DQ177&amp;"-"&amp;DX177&amp;"-"&amp;DY177&amp;"/"&amp;BA177&amp;"-"&amp;DD177&amp;"-"&amp;DL177)</f>
        <v>FCS0111-4-7/1S–MC–127-R5-CN2</v>
      </c>
      <c r="DV177" s="19">
        <v>1</v>
      </c>
      <c r="DW177" s="20" t="str">
        <f>RIGHT(DQ177,2)</f>
        <v>11</v>
      </c>
      <c r="DX177" s="21">
        <v>4</v>
      </c>
      <c r="DY177" s="22">
        <v>7</v>
      </c>
      <c r="DZ177" s="23">
        <v>8</v>
      </c>
      <c r="EA177" s="23">
        <v>23</v>
      </c>
      <c r="ED177" s="9" t="str">
        <f>IF(DX177="1","AFV30D","ANB10D")</f>
        <v>ANB10D</v>
      </c>
      <c r="EF177" s="6" t="s">
        <v>672</v>
      </c>
      <c r="EH177" s="6" t="s">
        <v>809</v>
      </c>
      <c r="EI177" s="6" t="s">
        <v>720</v>
      </c>
      <c r="EJ177" s="12">
        <v>12</v>
      </c>
      <c r="EK177" s="12"/>
      <c r="EM177" s="12"/>
      <c r="EN177" s="12" t="s">
        <v>1121</v>
      </c>
      <c r="ET177" s="6" t="str">
        <f t="shared" si="75"/>
        <v>짝수</v>
      </c>
      <c r="EU177" s="12">
        <v>50</v>
      </c>
      <c r="EV177" s="45" t="str">
        <f t="shared" ca="1" si="80"/>
        <v>B</v>
      </c>
      <c r="EW177" s="6">
        <f t="shared" ca="1" si="76"/>
        <v>66</v>
      </c>
      <c r="FR177" s="6">
        <v>1</v>
      </c>
      <c r="FS177" s="6">
        <f t="shared" si="77"/>
        <v>1</v>
      </c>
      <c r="FT177" s="6" t="str">
        <f t="shared" si="78"/>
        <v/>
      </c>
      <c r="FU177" s="6" t="str">
        <f t="shared" ca="1" si="81"/>
        <v>R5-11</v>
      </c>
      <c r="FV177" s="6" t="str">
        <f t="shared" ca="1" si="79"/>
        <v>R5-12</v>
      </c>
      <c r="FW177" s="6" t="str">
        <f t="shared" ca="1" si="90"/>
        <v/>
      </c>
      <c r="FX177" s="6" t="str">
        <f t="shared" ca="1" si="91"/>
        <v/>
      </c>
      <c r="FY177" s="6" t="str">
        <f t="shared" ca="1" si="92"/>
        <v/>
      </c>
      <c r="FZ177" s="6" t="str">
        <f t="shared" ca="1" si="93"/>
        <v/>
      </c>
    </row>
    <row r="178" spans="1:182" ht="15.95" customHeight="1">
      <c r="A178" s="6">
        <v>250</v>
      </c>
      <c r="B178" s="6" t="s">
        <v>175</v>
      </c>
      <c r="E178" s="6" t="s">
        <v>721</v>
      </c>
      <c r="F178" s="6" t="s">
        <v>1430</v>
      </c>
      <c r="G178" s="6" t="s">
        <v>1290</v>
      </c>
      <c r="H178" s="7" t="s">
        <v>1291</v>
      </c>
      <c r="I178" s="7"/>
      <c r="J178" s="6" t="e">
        <v>#N/A</v>
      </c>
      <c r="K178" s="6" t="e">
        <v>#N/A</v>
      </c>
      <c r="N178" s="6" t="e">
        <v>#N/A</v>
      </c>
      <c r="O178" s="6" t="e">
        <v>#N/A</v>
      </c>
      <c r="R178" s="101" t="e">
        <v>#N/A</v>
      </c>
      <c r="Y178" s="6" t="e">
        <v>#N/A</v>
      </c>
      <c r="Z178" s="6" t="e">
        <v>#N/A</v>
      </c>
      <c r="AA178" s="6" t="e">
        <v>#N/A</v>
      </c>
      <c r="AD178" s="6" t="e">
        <v>#N/A</v>
      </c>
      <c r="AE178" s="6" t="e">
        <v>#N/A</v>
      </c>
      <c r="AG178" s="6" t="e">
        <v>#N/A</v>
      </c>
      <c r="AY178" s="8" t="s">
        <v>176</v>
      </c>
      <c r="AZ178" s="8" t="s">
        <v>195</v>
      </c>
      <c r="BA178" s="13" t="s">
        <v>656</v>
      </c>
      <c r="BB178" s="13" t="s">
        <v>200</v>
      </c>
      <c r="BC178" s="13">
        <v>107</v>
      </c>
      <c r="BD178" s="13">
        <v>108</v>
      </c>
      <c r="DC178" s="6" t="s">
        <v>644</v>
      </c>
      <c r="DD178" s="6" t="s">
        <v>188</v>
      </c>
      <c r="DH178" s="6" t="str">
        <f t="shared" si="68"/>
        <v>A26</v>
      </c>
      <c r="DI178" s="6" t="str">
        <f t="shared" si="69"/>
        <v>B26</v>
      </c>
      <c r="DK178" s="6" t="s">
        <v>173</v>
      </c>
      <c r="DL178" s="6" t="str">
        <f t="shared" si="70"/>
        <v/>
      </c>
      <c r="DO178" s="9" t="s">
        <v>170</v>
      </c>
      <c r="DP178" s="6" t="s">
        <v>171</v>
      </c>
      <c r="DQ178" s="6" t="s">
        <v>645</v>
      </c>
      <c r="DS178" s="6" t="str">
        <f t="shared" si="63"/>
        <v>AKB331</v>
      </c>
      <c r="DT178" s="10" t="str">
        <f t="shared" si="64"/>
        <v>FCS0111-3-6/1S–MC–127-R2-CN1</v>
      </c>
      <c r="DU178" s="6" t="str">
        <f t="shared" si="65"/>
        <v/>
      </c>
      <c r="DV178" s="19">
        <v>1</v>
      </c>
      <c r="DW178" s="20" t="str">
        <f t="shared" si="66"/>
        <v>11</v>
      </c>
      <c r="DX178" s="21">
        <v>3</v>
      </c>
      <c r="DY178" s="22">
        <v>6</v>
      </c>
      <c r="DZ178" s="23" t="s">
        <v>204</v>
      </c>
      <c r="EA178" s="23">
        <v>26</v>
      </c>
      <c r="ED178" s="9" t="str">
        <f t="shared" si="67"/>
        <v>ANB10D</v>
      </c>
      <c r="EF178" s="6" t="s">
        <v>647</v>
      </c>
      <c r="EH178" s="6" t="s">
        <v>721</v>
      </c>
      <c r="EI178" s="6" t="s">
        <v>720</v>
      </c>
      <c r="EJ178" s="12">
        <v>12</v>
      </c>
      <c r="EK178" s="12"/>
      <c r="EM178" s="12"/>
      <c r="EN178" s="12" t="s">
        <v>1121</v>
      </c>
      <c r="EP178" s="6" t="s">
        <v>1154</v>
      </c>
      <c r="ER178" s="6" t="str">
        <f>MID(EH178,3,6)</f>
        <v>P4018B</v>
      </c>
      <c r="ET178" s="6" t="str">
        <f t="shared" si="75"/>
        <v>짝수</v>
      </c>
      <c r="EU178" s="12">
        <v>50</v>
      </c>
      <c r="EV178" s="45" t="str">
        <f t="shared" ca="1" si="80"/>
        <v>C</v>
      </c>
      <c r="EW178" s="6">
        <f t="shared" ca="1" si="76"/>
        <v>67</v>
      </c>
      <c r="EZ178" s="6" t="str">
        <f>ER178&amp;"INT"</f>
        <v>P4018BINT</v>
      </c>
      <c r="FA178" s="6" t="str">
        <f>ER178&amp;"INT"</f>
        <v>P4018BINT</v>
      </c>
      <c r="FR178" s="6">
        <v>1</v>
      </c>
      <c r="FS178" s="6" t="str">
        <f t="shared" si="77"/>
        <v/>
      </c>
      <c r="FT178" s="6">
        <f t="shared" si="78"/>
        <v>1</v>
      </c>
      <c r="FU178" s="6" t="str">
        <f t="shared" ca="1" si="81"/>
        <v/>
      </c>
      <c r="FV178" s="6" t="str">
        <f t="shared" ca="1" si="79"/>
        <v/>
      </c>
      <c r="FW178" s="6" t="str">
        <f t="shared" ca="1" si="90"/>
        <v>R2-11</v>
      </c>
      <c r="FX178" s="6" t="str">
        <f t="shared" ca="1" si="91"/>
        <v>R2-12</v>
      </c>
      <c r="FY178" s="6" t="str">
        <f t="shared" ca="1" si="92"/>
        <v>R2-21</v>
      </c>
      <c r="FZ178" s="6" t="str">
        <f t="shared" ca="1" si="93"/>
        <v>R2-22</v>
      </c>
    </row>
    <row r="179" spans="1:182" ht="15.95" customHeight="1">
      <c r="A179" s="6">
        <v>425</v>
      </c>
      <c r="B179" s="6" t="s">
        <v>175</v>
      </c>
      <c r="E179" s="6" t="s">
        <v>810</v>
      </c>
      <c r="F179" s="6" t="s">
        <v>1431</v>
      </c>
      <c r="G179" s="6" t="s">
        <v>1290</v>
      </c>
      <c r="H179" s="7" t="s">
        <v>1291</v>
      </c>
      <c r="I179" s="7"/>
      <c r="J179" s="6" t="e">
        <v>#N/A</v>
      </c>
      <c r="K179" s="6" t="e">
        <v>#N/A</v>
      </c>
      <c r="N179" s="6" t="e">
        <v>#N/A</v>
      </c>
      <c r="O179" s="6" t="e">
        <v>#N/A</v>
      </c>
      <c r="R179" s="101" t="e">
        <v>#N/A</v>
      </c>
      <c r="Y179" s="6" t="e">
        <v>#N/A</v>
      </c>
      <c r="Z179" s="6" t="e">
        <v>#N/A</v>
      </c>
      <c r="AA179" s="6" t="e">
        <v>#N/A</v>
      </c>
      <c r="AD179" s="6" t="e">
        <v>#N/A</v>
      </c>
      <c r="AE179" s="6" t="e">
        <v>#N/A</v>
      </c>
      <c r="AG179" s="6" t="e">
        <v>#N/A</v>
      </c>
      <c r="AY179" s="8" t="s">
        <v>176</v>
      </c>
      <c r="AZ179" s="8" t="s">
        <v>195</v>
      </c>
      <c r="BA179" s="13" t="s">
        <v>656</v>
      </c>
      <c r="BB179" s="13" t="s">
        <v>796</v>
      </c>
      <c r="BC179" s="13">
        <v>49</v>
      </c>
      <c r="BD179" s="13">
        <v>50</v>
      </c>
      <c r="DC179" s="6" t="s">
        <v>723</v>
      </c>
      <c r="DD179" s="6" t="s">
        <v>191</v>
      </c>
      <c r="DH179" s="6" t="str">
        <f>"A"&amp;EA179</f>
        <v>A25</v>
      </c>
      <c r="DI179" s="6" t="str">
        <f>"B"&amp;EA179</f>
        <v>B25</v>
      </c>
      <c r="DK179" s="6" t="s">
        <v>173</v>
      </c>
      <c r="DL179" s="6" t="str">
        <f>IF(DZ179&lt;&gt;"","CN2","")</f>
        <v>CN2</v>
      </c>
      <c r="DO179" s="9" t="s">
        <v>170</v>
      </c>
      <c r="DP179" s="6" t="s">
        <v>171</v>
      </c>
      <c r="DQ179" s="6" t="s">
        <v>645</v>
      </c>
      <c r="DS179" s="6" t="str">
        <f>IF(MID(EF179,2,1)="A","KS1","AKB331")</f>
        <v>AKB331</v>
      </c>
      <c r="DT179" s="10" t="str">
        <f>DQ179&amp;"-"&amp;DX179&amp;"-"&amp;DY179&amp;"/"&amp;BA179&amp;"-"&amp;DD179&amp;"-"&amp;DK179</f>
        <v>FCS0111-4-7/1S–MC–127-R5-CN1</v>
      </c>
      <c r="DU179" s="6" t="str">
        <f>IF(DL179="","",DQ179&amp;"-"&amp;DX179&amp;"-"&amp;DY179&amp;"/"&amp;BA179&amp;"-"&amp;DD179&amp;"-"&amp;DL179)</f>
        <v>FCS0111-4-7/1S–MC–127-R5-CN2</v>
      </c>
      <c r="DV179" s="19">
        <v>1</v>
      </c>
      <c r="DW179" s="20" t="str">
        <f>RIGHT(DQ179,2)</f>
        <v>11</v>
      </c>
      <c r="DX179" s="21">
        <v>4</v>
      </c>
      <c r="DY179" s="22">
        <v>7</v>
      </c>
      <c r="DZ179" s="23">
        <v>8</v>
      </c>
      <c r="EA179" s="23">
        <v>25</v>
      </c>
      <c r="ED179" s="9" t="str">
        <f>IF(DX179="1","AFV30D","ANB10D")</f>
        <v>ANB10D</v>
      </c>
      <c r="EF179" s="6" t="s">
        <v>672</v>
      </c>
      <c r="EH179" s="6" t="s">
        <v>810</v>
      </c>
      <c r="EI179" s="6" t="s">
        <v>720</v>
      </c>
      <c r="EJ179" s="12">
        <v>12</v>
      </c>
      <c r="EK179" s="12"/>
      <c r="EM179" s="12"/>
      <c r="EN179" s="12" t="s">
        <v>1121</v>
      </c>
      <c r="ET179" s="6" t="str">
        <f t="shared" si="75"/>
        <v>짝수</v>
      </c>
      <c r="EU179" s="12">
        <v>50</v>
      </c>
      <c r="EV179" s="45" t="str">
        <f t="shared" ca="1" si="80"/>
        <v>D</v>
      </c>
      <c r="EW179" s="6">
        <f t="shared" ca="1" si="76"/>
        <v>68</v>
      </c>
      <c r="FR179" s="6">
        <v>1</v>
      </c>
      <c r="FS179" s="6">
        <f t="shared" si="77"/>
        <v>1</v>
      </c>
      <c r="FT179" s="6" t="str">
        <f t="shared" si="78"/>
        <v/>
      </c>
      <c r="FU179" s="6" t="str">
        <f t="shared" ca="1" si="81"/>
        <v>R5-11</v>
      </c>
      <c r="FV179" s="6" t="str">
        <f t="shared" ca="1" si="79"/>
        <v>R5-12</v>
      </c>
      <c r="FW179" s="6" t="str">
        <f t="shared" ca="1" si="90"/>
        <v/>
      </c>
      <c r="FX179" s="6" t="str">
        <f t="shared" ca="1" si="91"/>
        <v/>
      </c>
      <c r="FY179" s="6" t="str">
        <f t="shared" ca="1" si="92"/>
        <v/>
      </c>
      <c r="FZ179" s="6" t="str">
        <f t="shared" ca="1" si="93"/>
        <v/>
      </c>
    </row>
    <row r="180" spans="1:182" ht="15.95" customHeight="1">
      <c r="A180" s="6">
        <v>292</v>
      </c>
      <c r="B180" s="6" t="s">
        <v>175</v>
      </c>
      <c r="E180" s="6" t="s">
        <v>535</v>
      </c>
      <c r="F180" s="6" t="s">
        <v>1432</v>
      </c>
      <c r="G180" s="6" t="s">
        <v>1218</v>
      </c>
      <c r="H180" s="7" t="s">
        <v>1219</v>
      </c>
      <c r="I180" s="7"/>
      <c r="J180" s="6" t="s">
        <v>1199</v>
      </c>
      <c r="K180" s="6" t="s">
        <v>1201</v>
      </c>
      <c r="N180" s="6" t="s">
        <v>1203</v>
      </c>
      <c r="O180" s="6" t="s">
        <v>1205</v>
      </c>
      <c r="R180" s="101" t="s">
        <v>1220</v>
      </c>
      <c r="Y180" s="6" t="s">
        <v>1221</v>
      </c>
      <c r="Z180" s="6">
        <v>19</v>
      </c>
      <c r="AA180" s="6">
        <v>20</v>
      </c>
      <c r="AD180" s="6" t="s">
        <v>1203</v>
      </c>
      <c r="AE180" s="6" t="s">
        <v>1205</v>
      </c>
      <c r="AG180" s="6" t="s">
        <v>1222</v>
      </c>
      <c r="AY180" s="8" t="s">
        <v>176</v>
      </c>
      <c r="AZ180" s="8" t="s">
        <v>195</v>
      </c>
      <c r="BA180" s="13" t="s">
        <v>197</v>
      </c>
      <c r="BB180" s="13" t="s">
        <v>7</v>
      </c>
      <c r="BC180" s="13">
        <v>127</v>
      </c>
      <c r="BD180" s="13">
        <v>128</v>
      </c>
      <c r="DC180" s="6" t="s">
        <v>169</v>
      </c>
      <c r="DD180" s="6" t="s">
        <v>181</v>
      </c>
      <c r="DH180" s="6" t="str">
        <f t="shared" ref="DH180:DH204" si="94">"A"&amp;EA180</f>
        <v>A4</v>
      </c>
      <c r="DI180" s="6" t="str">
        <f t="shared" ref="DI180:DI204" si="95">"B"&amp;EA180</f>
        <v>B4</v>
      </c>
      <c r="DK180" s="6" t="s">
        <v>173</v>
      </c>
      <c r="DL180" s="6" t="str">
        <f t="shared" ref="DL180:DL204" si="96">IF(DZ180&lt;&gt;"","CN2","")</f>
        <v>CN2</v>
      </c>
      <c r="DO180" s="9" t="s">
        <v>170</v>
      </c>
      <c r="DP180" s="6" t="s">
        <v>171</v>
      </c>
      <c r="DQ180" s="6" t="s">
        <v>645</v>
      </c>
      <c r="DS180" s="6" t="str">
        <f t="shared" ref="DS180:DS203" si="97">IF(MID(EF180,2,1)="A","KS1","AKB331")</f>
        <v>KS1</v>
      </c>
      <c r="DT180" s="10" t="str">
        <f t="shared" ref="DT180:DT203" si="98">DQ180&amp;"-"&amp;DX180&amp;"-"&amp;DY180&amp;"/"&amp;BA180&amp;"-"&amp;DD180&amp;"-"&amp;DK180</f>
        <v>FCS0111-4-1/1S–MC–107-F7-CN1</v>
      </c>
      <c r="DU180" s="6" t="str">
        <f t="shared" ref="DU180:DU203" si="99">IF(DL180="","",DQ180&amp;"-"&amp;DX180&amp;"-"&amp;DY180&amp;"/"&amp;BA180&amp;"-"&amp;DD180&amp;"-"&amp;DL180)</f>
        <v>FCS0111-4-1/1S–MC–107-F7-CN2</v>
      </c>
      <c r="DV180" s="19">
        <v>1</v>
      </c>
      <c r="DW180" s="20" t="str">
        <f t="shared" ref="DW180:DW203" si="100">RIGHT(DQ180,2)</f>
        <v>11</v>
      </c>
      <c r="DX180" s="21">
        <v>4</v>
      </c>
      <c r="DY180" s="22">
        <v>1</v>
      </c>
      <c r="DZ180" s="23">
        <v>2</v>
      </c>
      <c r="EA180" s="23">
        <v>4</v>
      </c>
      <c r="ED180" s="9" t="str">
        <f t="shared" ref="ED180:ED203" si="101">IF(DX180="1","AFV30D","ANB10D")</f>
        <v>ANB10D</v>
      </c>
      <c r="EF180" s="6" t="s">
        <v>172</v>
      </c>
      <c r="EH180" s="6" t="s">
        <v>264</v>
      </c>
      <c r="EI180" s="6" t="s">
        <v>426</v>
      </c>
      <c r="EJ180" s="12">
        <v>6</v>
      </c>
      <c r="EK180" s="12"/>
      <c r="EM180" s="12"/>
      <c r="EN180" s="12" t="s">
        <v>1100</v>
      </c>
      <c r="EO180" s="6" t="s">
        <v>1099</v>
      </c>
      <c r="EP180" s="6" t="s">
        <v>1145</v>
      </c>
      <c r="ER180" s="6" t="str">
        <f>"LY"&amp;MID(EH180,3,7)</f>
        <v>LY40277</v>
      </c>
      <c r="ET180" s="6" t="str">
        <f t="shared" si="75"/>
        <v>홀수</v>
      </c>
      <c r="EU180" s="12">
        <v>51</v>
      </c>
      <c r="EV180" s="45" t="str">
        <f t="shared" ca="1" si="80"/>
        <v>A</v>
      </c>
      <c r="EW180" s="6">
        <f t="shared" ca="1" si="76"/>
        <v>65</v>
      </c>
      <c r="FR180" s="6">
        <v>1</v>
      </c>
      <c r="FS180" s="6" t="str">
        <f t="shared" si="77"/>
        <v/>
      </c>
      <c r="FT180" s="6" t="str">
        <f t="shared" si="78"/>
        <v/>
      </c>
      <c r="FU180" s="6" t="str">
        <f t="shared" ca="1" si="81"/>
        <v/>
      </c>
      <c r="FV180" s="6" t="str">
        <f t="shared" ca="1" si="79"/>
        <v/>
      </c>
      <c r="FW180" s="6" t="str">
        <f t="shared" ca="1" si="90"/>
        <v/>
      </c>
      <c r="FX180" s="6" t="str">
        <f t="shared" ca="1" si="91"/>
        <v/>
      </c>
      <c r="FY180" s="6" t="str">
        <f t="shared" ca="1" si="92"/>
        <v/>
      </c>
      <c r="FZ180" s="6" t="str">
        <f t="shared" ca="1" si="93"/>
        <v/>
      </c>
    </row>
    <row r="181" spans="1:182" ht="15.95" customHeight="1">
      <c r="A181" s="6">
        <v>755</v>
      </c>
      <c r="B181" s="6" t="s">
        <v>694</v>
      </c>
      <c r="E181" s="6" t="s">
        <v>595</v>
      </c>
      <c r="F181" s="6" t="s">
        <v>1433</v>
      </c>
      <c r="G181" s="6" t="s">
        <v>1218</v>
      </c>
      <c r="H181" s="7" t="s">
        <v>1219</v>
      </c>
      <c r="I181" s="7"/>
      <c r="J181" s="6" t="s">
        <v>1199</v>
      </c>
      <c r="K181" s="6" t="s">
        <v>1201</v>
      </c>
      <c r="N181" s="6" t="s">
        <v>1203</v>
      </c>
      <c r="O181" s="6" t="s">
        <v>1205</v>
      </c>
      <c r="R181" s="101" t="s">
        <v>1220</v>
      </c>
      <c r="Y181" s="6" t="s">
        <v>1221</v>
      </c>
      <c r="Z181" s="6">
        <v>21</v>
      </c>
      <c r="AA181" s="6">
        <v>22</v>
      </c>
      <c r="AD181" s="6" t="s">
        <v>1203</v>
      </c>
      <c r="AE181" s="6" t="s">
        <v>1205</v>
      </c>
      <c r="AG181" s="6" t="s">
        <v>1222</v>
      </c>
      <c r="AY181" s="8" t="s">
        <v>176</v>
      </c>
      <c r="AZ181" s="8" t="s">
        <v>195</v>
      </c>
      <c r="BA181" s="13" t="s">
        <v>197</v>
      </c>
      <c r="BB181" s="13" t="s">
        <v>7</v>
      </c>
      <c r="BC181" s="13">
        <v>129</v>
      </c>
      <c r="BD181" s="13">
        <v>130</v>
      </c>
      <c r="DC181" s="6" t="s">
        <v>169</v>
      </c>
      <c r="DD181" s="6" t="s">
        <v>203</v>
      </c>
      <c r="DH181" s="6" t="str">
        <f>"A"&amp;EA181</f>
        <v>A3</v>
      </c>
      <c r="DI181" s="6" t="str">
        <f>"B"&amp;EA181</f>
        <v>B3</v>
      </c>
      <c r="DK181" s="6" t="s">
        <v>173</v>
      </c>
      <c r="DL181" s="6" t="str">
        <f>IF(DZ181&lt;&gt;"","CN2","")</f>
        <v/>
      </c>
      <c r="DO181" s="9" t="s">
        <v>170</v>
      </c>
      <c r="DP181" s="6" t="s">
        <v>171</v>
      </c>
      <c r="DQ181" s="6" t="s">
        <v>645</v>
      </c>
      <c r="DR181" s="6" t="e">
        <f>#REF!&amp;RIGHT(#REF!,3)</f>
        <v>#REF!</v>
      </c>
      <c r="DS181" s="6" t="str">
        <f>IF(MID(EF181,2,1)="A","KS1","AKB331")</f>
        <v>KS1</v>
      </c>
      <c r="DT181" s="10" t="str">
        <f>DQ181&amp;"-"&amp;DX181&amp;"-"&amp;DY181&amp;"/"&amp;BA181&amp;"-"&amp;DD181&amp;"-"&amp;DK181</f>
        <v>FCS0111-7-1/1S–MC–107-F15-CN1</v>
      </c>
      <c r="DU181" s="6" t="str">
        <f>IF(DL181="","",DQ181&amp;"-"&amp;DX181&amp;"-"&amp;DY181&amp;"/"&amp;BA181&amp;"-"&amp;DD181&amp;"-"&amp;DL181)</f>
        <v/>
      </c>
      <c r="DV181" s="19">
        <v>1</v>
      </c>
      <c r="DW181" s="20" t="str">
        <f>RIGHT(DQ181,2)</f>
        <v>11</v>
      </c>
      <c r="DX181" s="20">
        <v>7</v>
      </c>
      <c r="DY181" s="21">
        <v>1</v>
      </c>
      <c r="DZ181" s="22" t="s">
        <v>204</v>
      </c>
      <c r="EA181" s="23">
        <v>3</v>
      </c>
      <c r="EB181" s="7">
        <v>19</v>
      </c>
      <c r="EC181" s="6">
        <v>1</v>
      </c>
      <c r="EE181" s="9" t="s">
        <v>693</v>
      </c>
      <c r="EF181" s="6" t="s">
        <v>172</v>
      </c>
      <c r="EG181" s="6" t="s">
        <v>647</v>
      </c>
      <c r="EH181" s="6" t="s">
        <v>330</v>
      </c>
      <c r="EI181" s="6" t="s">
        <v>426</v>
      </c>
      <c r="EJ181" s="12">
        <v>6</v>
      </c>
      <c r="EK181" s="12"/>
      <c r="EM181" s="12"/>
      <c r="EN181" s="12" t="s">
        <v>1100</v>
      </c>
      <c r="EP181" s="6" t="s">
        <v>1146</v>
      </c>
      <c r="ET181" s="6" t="str">
        <f t="shared" si="75"/>
        <v>홀수</v>
      </c>
      <c r="EU181" s="12">
        <v>51</v>
      </c>
      <c r="EV181" s="45" t="str">
        <f t="shared" ca="1" si="80"/>
        <v>B</v>
      </c>
      <c r="EW181" s="6">
        <f t="shared" ca="1" si="76"/>
        <v>66</v>
      </c>
      <c r="FO181" s="6"/>
      <c r="FP181" s="11"/>
      <c r="FR181" s="6">
        <v>1</v>
      </c>
      <c r="FS181" s="6" t="str">
        <f t="shared" si="77"/>
        <v/>
      </c>
      <c r="FT181" s="6" t="str">
        <f t="shared" si="78"/>
        <v/>
      </c>
      <c r="FU181" s="6" t="str">
        <f t="shared" ca="1" si="81"/>
        <v/>
      </c>
      <c r="FV181" s="6" t="str">
        <f t="shared" ca="1" si="79"/>
        <v/>
      </c>
      <c r="FW181" s="6" t="str">
        <f t="shared" ca="1" si="90"/>
        <v/>
      </c>
      <c r="FX181" s="6" t="str">
        <f t="shared" ca="1" si="91"/>
        <v/>
      </c>
      <c r="FY181" s="6" t="str">
        <f t="shared" ca="1" si="92"/>
        <v/>
      </c>
      <c r="FZ181" s="6" t="str">
        <f t="shared" ca="1" si="93"/>
        <v/>
      </c>
    </row>
    <row r="182" spans="1:182" ht="15.95" customHeight="1">
      <c r="A182" s="6">
        <v>293</v>
      </c>
      <c r="B182" s="6" t="s">
        <v>175</v>
      </c>
      <c r="E182" s="6" t="s">
        <v>536</v>
      </c>
      <c r="F182" s="6" t="s">
        <v>1434</v>
      </c>
      <c r="G182" s="6" t="s">
        <v>1218</v>
      </c>
      <c r="H182" s="7" t="s">
        <v>1219</v>
      </c>
      <c r="I182" s="7"/>
      <c r="J182" s="6" t="s">
        <v>1199</v>
      </c>
      <c r="K182" s="6" t="s">
        <v>1201</v>
      </c>
      <c r="N182" s="6" t="s">
        <v>1203</v>
      </c>
      <c r="O182" s="6" t="s">
        <v>1205</v>
      </c>
      <c r="R182" s="101" t="s">
        <v>1220</v>
      </c>
      <c r="Y182" s="6" t="s">
        <v>1228</v>
      </c>
      <c r="Z182" s="6">
        <v>9</v>
      </c>
      <c r="AA182" s="6">
        <v>10</v>
      </c>
      <c r="AD182" s="6" t="s">
        <v>1203</v>
      </c>
      <c r="AE182" s="6" t="s">
        <v>1205</v>
      </c>
      <c r="AG182" s="6" t="s">
        <v>1229</v>
      </c>
      <c r="AY182" s="8" t="s">
        <v>176</v>
      </c>
      <c r="AZ182" s="8" t="s">
        <v>195</v>
      </c>
      <c r="BA182" s="13" t="s">
        <v>197</v>
      </c>
      <c r="BB182" s="13" t="s">
        <v>8</v>
      </c>
      <c r="BC182" s="13">
        <v>105</v>
      </c>
      <c r="BD182" s="13">
        <v>106</v>
      </c>
      <c r="DC182" s="6" t="s">
        <v>169</v>
      </c>
      <c r="DD182" s="6" t="s">
        <v>181</v>
      </c>
      <c r="DH182" s="6" t="str">
        <f t="shared" si="94"/>
        <v>A5</v>
      </c>
      <c r="DI182" s="6" t="str">
        <f t="shared" si="95"/>
        <v>B5</v>
      </c>
      <c r="DK182" s="6" t="s">
        <v>173</v>
      </c>
      <c r="DL182" s="6" t="str">
        <f t="shared" si="96"/>
        <v>CN2</v>
      </c>
      <c r="DO182" s="9" t="s">
        <v>170</v>
      </c>
      <c r="DP182" s="6" t="s">
        <v>171</v>
      </c>
      <c r="DQ182" s="6" t="s">
        <v>645</v>
      </c>
      <c r="DS182" s="6" t="str">
        <f t="shared" si="97"/>
        <v>KS1</v>
      </c>
      <c r="DT182" s="10" t="str">
        <f t="shared" si="98"/>
        <v>FCS0111-4-1/1S–MC–107-F7-CN1</v>
      </c>
      <c r="DU182" s="6" t="str">
        <f t="shared" si="99"/>
        <v>FCS0111-4-1/1S–MC–107-F7-CN2</v>
      </c>
      <c r="DV182" s="19">
        <v>1</v>
      </c>
      <c r="DW182" s="20" t="str">
        <f t="shared" si="100"/>
        <v>11</v>
      </c>
      <c r="DX182" s="21">
        <v>4</v>
      </c>
      <c r="DY182" s="22">
        <v>1</v>
      </c>
      <c r="DZ182" s="23">
        <v>2</v>
      </c>
      <c r="EA182" s="23">
        <v>5</v>
      </c>
      <c r="ED182" s="9" t="str">
        <f t="shared" si="101"/>
        <v>ANB10D</v>
      </c>
      <c r="EF182" s="6" t="s">
        <v>172</v>
      </c>
      <c r="EH182" s="6" t="s">
        <v>265</v>
      </c>
      <c r="EI182" s="6" t="s">
        <v>427</v>
      </c>
      <c r="EJ182" s="12">
        <v>6</v>
      </c>
      <c r="EK182" s="12"/>
      <c r="EM182" s="12"/>
      <c r="EN182" s="12" t="s">
        <v>1100</v>
      </c>
      <c r="EO182" s="6" t="s">
        <v>1099</v>
      </c>
      <c r="EP182" s="6" t="s">
        <v>1145</v>
      </c>
      <c r="ER182" s="6" t="str">
        <f>"LY"&amp;MID(EH182,3,7)</f>
        <v>LY40278</v>
      </c>
      <c r="ET182" s="6" t="str">
        <f t="shared" si="75"/>
        <v>홀수</v>
      </c>
      <c r="EU182" s="12">
        <v>51</v>
      </c>
      <c r="EV182" s="45" t="str">
        <f t="shared" ca="1" si="80"/>
        <v>C</v>
      </c>
      <c r="EW182" s="6">
        <f t="shared" ca="1" si="76"/>
        <v>67</v>
      </c>
      <c r="FR182" s="6">
        <v>1</v>
      </c>
      <c r="FS182" s="6" t="str">
        <f t="shared" si="77"/>
        <v/>
      </c>
      <c r="FT182" s="6" t="str">
        <f t="shared" si="78"/>
        <v/>
      </c>
      <c r="FU182" s="6" t="str">
        <f t="shared" ca="1" si="81"/>
        <v/>
      </c>
      <c r="FV182" s="6" t="str">
        <f t="shared" ca="1" si="79"/>
        <v/>
      </c>
      <c r="FW182" s="6" t="str">
        <f t="shared" ca="1" si="90"/>
        <v/>
      </c>
      <c r="FX182" s="6" t="str">
        <f t="shared" ca="1" si="91"/>
        <v/>
      </c>
      <c r="FY182" s="6" t="str">
        <f t="shared" ca="1" si="92"/>
        <v/>
      </c>
      <c r="FZ182" s="6" t="str">
        <f t="shared" ca="1" si="93"/>
        <v/>
      </c>
    </row>
    <row r="183" spans="1:182" ht="15.95" customHeight="1">
      <c r="A183" s="6">
        <v>756</v>
      </c>
      <c r="B183" s="6" t="s">
        <v>694</v>
      </c>
      <c r="E183" s="6" t="s">
        <v>596</v>
      </c>
      <c r="F183" s="6" t="s">
        <v>1435</v>
      </c>
      <c r="G183" s="6" t="s">
        <v>1218</v>
      </c>
      <c r="H183" s="7" t="s">
        <v>1219</v>
      </c>
      <c r="I183" s="7"/>
      <c r="J183" s="6" t="s">
        <v>1199</v>
      </c>
      <c r="K183" s="6" t="s">
        <v>1201</v>
      </c>
      <c r="N183" s="6" t="s">
        <v>1203</v>
      </c>
      <c r="O183" s="6" t="s">
        <v>1205</v>
      </c>
      <c r="R183" s="101" t="s">
        <v>1220</v>
      </c>
      <c r="Y183" s="6" t="s">
        <v>1228</v>
      </c>
      <c r="Z183" s="6">
        <v>11</v>
      </c>
      <c r="AA183" s="6">
        <v>12</v>
      </c>
      <c r="AD183" s="6" t="s">
        <v>1203</v>
      </c>
      <c r="AE183" s="6" t="s">
        <v>1205</v>
      </c>
      <c r="AG183" s="6" t="s">
        <v>1229</v>
      </c>
      <c r="AY183" s="8" t="s">
        <v>176</v>
      </c>
      <c r="AZ183" s="8" t="s">
        <v>195</v>
      </c>
      <c r="BA183" s="13" t="s">
        <v>197</v>
      </c>
      <c r="BB183" s="13" t="s">
        <v>8</v>
      </c>
      <c r="BC183" s="13">
        <v>107</v>
      </c>
      <c r="BD183" s="13">
        <v>108</v>
      </c>
      <c r="DC183" s="6" t="s">
        <v>169</v>
      </c>
      <c r="DD183" s="6" t="s">
        <v>203</v>
      </c>
      <c r="DH183" s="6" t="str">
        <f>"A"&amp;EA183</f>
        <v>A4</v>
      </c>
      <c r="DI183" s="6" t="str">
        <f>"B"&amp;EA183</f>
        <v>B4</v>
      </c>
      <c r="DK183" s="6" t="s">
        <v>173</v>
      </c>
      <c r="DL183" s="6" t="str">
        <f>IF(DZ183&lt;&gt;"","CN2","")</f>
        <v/>
      </c>
      <c r="DO183" s="9" t="s">
        <v>170</v>
      </c>
      <c r="DP183" s="6" t="s">
        <v>171</v>
      </c>
      <c r="DQ183" s="6" t="s">
        <v>645</v>
      </c>
      <c r="DR183" s="6" t="e">
        <f>#REF!&amp;RIGHT(#REF!,3)</f>
        <v>#REF!</v>
      </c>
      <c r="DS183" s="6" t="str">
        <f>IF(MID(EF183,2,1)="A","KS1","AKB331")</f>
        <v>KS1</v>
      </c>
      <c r="DT183" s="10" t="str">
        <f>DQ183&amp;"-"&amp;DX183&amp;"-"&amp;DY183&amp;"/"&amp;BA183&amp;"-"&amp;DD183&amp;"-"&amp;DK183</f>
        <v>FCS0111-7-1/1S–MC–107-F15-CN1</v>
      </c>
      <c r="DU183" s="6" t="str">
        <f>IF(DL183="","",DQ183&amp;"-"&amp;DX183&amp;"-"&amp;DY183&amp;"/"&amp;BA183&amp;"-"&amp;DD183&amp;"-"&amp;DL183)</f>
        <v/>
      </c>
      <c r="DV183" s="19">
        <v>1</v>
      </c>
      <c r="DW183" s="20" t="str">
        <f>RIGHT(DQ183,2)</f>
        <v>11</v>
      </c>
      <c r="DX183" s="20">
        <v>7</v>
      </c>
      <c r="DY183" s="21">
        <v>1</v>
      </c>
      <c r="DZ183" s="22" t="s">
        <v>204</v>
      </c>
      <c r="EA183" s="23">
        <v>4</v>
      </c>
      <c r="EB183" s="7">
        <v>20</v>
      </c>
      <c r="EC183" s="6">
        <v>1</v>
      </c>
      <c r="EE183" s="9" t="s">
        <v>693</v>
      </c>
      <c r="EF183" s="6" t="s">
        <v>172</v>
      </c>
      <c r="EG183" s="6" t="s">
        <v>647</v>
      </c>
      <c r="EH183" s="6" t="s">
        <v>331</v>
      </c>
      <c r="EI183" s="6" t="s">
        <v>427</v>
      </c>
      <c r="EJ183" s="12">
        <v>6</v>
      </c>
      <c r="EK183" s="12"/>
      <c r="EM183" s="12"/>
      <c r="EN183" s="12" t="s">
        <v>1100</v>
      </c>
      <c r="EP183" s="6" t="s">
        <v>1146</v>
      </c>
      <c r="ET183" s="6" t="str">
        <f t="shared" si="75"/>
        <v>홀수</v>
      </c>
      <c r="EU183" s="12">
        <v>51</v>
      </c>
      <c r="EV183" s="45" t="str">
        <f t="shared" ca="1" si="80"/>
        <v>D</v>
      </c>
      <c r="EW183" s="6">
        <f t="shared" ca="1" si="76"/>
        <v>68</v>
      </c>
      <c r="FO183" s="6"/>
      <c r="FP183" s="11"/>
      <c r="FR183" s="6">
        <v>1</v>
      </c>
      <c r="FS183" s="6" t="str">
        <f t="shared" si="77"/>
        <v/>
      </c>
      <c r="FT183" s="6" t="str">
        <f t="shared" si="78"/>
        <v/>
      </c>
      <c r="FU183" s="6" t="str">
        <f t="shared" ca="1" si="81"/>
        <v/>
      </c>
      <c r="FV183" s="6" t="str">
        <f t="shared" ca="1" si="79"/>
        <v/>
      </c>
      <c r="FW183" s="6" t="str">
        <f t="shared" ca="1" si="90"/>
        <v/>
      </c>
      <c r="FX183" s="6" t="str">
        <f t="shared" ca="1" si="91"/>
        <v/>
      </c>
      <c r="FY183" s="6" t="str">
        <f t="shared" ca="1" si="92"/>
        <v/>
      </c>
      <c r="FZ183" s="6" t="str">
        <f t="shared" ca="1" si="93"/>
        <v/>
      </c>
    </row>
    <row r="184" spans="1:182" ht="15.95" customHeight="1">
      <c r="A184" s="6">
        <v>299</v>
      </c>
      <c r="B184" s="6" t="s">
        <v>175</v>
      </c>
      <c r="E184" s="6" t="s">
        <v>270</v>
      </c>
      <c r="F184" s="6" t="s">
        <v>1436</v>
      </c>
      <c r="G184" s="6" t="s">
        <v>1218</v>
      </c>
      <c r="H184" s="7" t="s">
        <v>1219</v>
      </c>
      <c r="I184" s="7"/>
      <c r="J184" s="6" t="s">
        <v>1199</v>
      </c>
      <c r="K184" s="6" t="s">
        <v>1201</v>
      </c>
      <c r="N184" s="6" t="s">
        <v>1203</v>
      </c>
      <c r="O184" s="6" t="s">
        <v>1205</v>
      </c>
      <c r="R184" s="101" t="s">
        <v>1220</v>
      </c>
      <c r="Y184" s="6" t="s">
        <v>1437</v>
      </c>
      <c r="Z184" s="6">
        <v>41</v>
      </c>
      <c r="AA184" s="6">
        <v>42</v>
      </c>
      <c r="AD184" s="6" t="s">
        <v>1203</v>
      </c>
      <c r="AE184" s="6" t="s">
        <v>1205</v>
      </c>
      <c r="AG184" s="6" t="s">
        <v>1438</v>
      </c>
      <c r="AY184" s="8" t="s">
        <v>176</v>
      </c>
      <c r="AZ184" s="8" t="s">
        <v>195</v>
      </c>
      <c r="BA184" s="13" t="s">
        <v>197</v>
      </c>
      <c r="BB184" s="13" t="s">
        <v>7</v>
      </c>
      <c r="BC184" s="13">
        <v>1</v>
      </c>
      <c r="BD184" s="13">
        <v>2</v>
      </c>
      <c r="DC184" s="6" t="s">
        <v>169</v>
      </c>
      <c r="DD184" s="6" t="s">
        <v>181</v>
      </c>
      <c r="DH184" s="6" t="str">
        <f t="shared" si="94"/>
        <v>A11</v>
      </c>
      <c r="DI184" s="6" t="str">
        <f t="shared" si="95"/>
        <v>B11</v>
      </c>
      <c r="DK184" s="6" t="s">
        <v>173</v>
      </c>
      <c r="DL184" s="6" t="str">
        <f t="shared" si="96"/>
        <v>CN2</v>
      </c>
      <c r="DO184" s="9" t="s">
        <v>170</v>
      </c>
      <c r="DP184" s="6" t="s">
        <v>171</v>
      </c>
      <c r="DQ184" s="6" t="s">
        <v>645</v>
      </c>
      <c r="DS184" s="6" t="str">
        <f t="shared" si="97"/>
        <v>KS1</v>
      </c>
      <c r="DT184" s="10" t="str">
        <f t="shared" si="98"/>
        <v>FCS0111-4-1/1S–MC–107-F7-CN1</v>
      </c>
      <c r="DU184" s="6" t="str">
        <f t="shared" si="99"/>
        <v>FCS0111-4-1/1S–MC–107-F7-CN2</v>
      </c>
      <c r="DV184" s="19">
        <v>1</v>
      </c>
      <c r="DW184" s="20" t="str">
        <f t="shared" si="100"/>
        <v>11</v>
      </c>
      <c r="DX184" s="21">
        <v>4</v>
      </c>
      <c r="DY184" s="22">
        <v>1</v>
      </c>
      <c r="DZ184" s="23">
        <v>2</v>
      </c>
      <c r="EA184" s="23">
        <v>11</v>
      </c>
      <c r="ED184" s="9" t="str">
        <f t="shared" si="101"/>
        <v>ANB10D</v>
      </c>
      <c r="EF184" s="6" t="s">
        <v>172</v>
      </c>
      <c r="EH184" s="6" t="s">
        <v>270</v>
      </c>
      <c r="EI184" s="6" t="s">
        <v>412</v>
      </c>
      <c r="EJ184" s="12">
        <v>100</v>
      </c>
      <c r="EN184" s="12" t="s">
        <v>1100</v>
      </c>
      <c r="EP184" s="6" t="s">
        <v>1148</v>
      </c>
      <c r="ET184" s="6" t="str">
        <f t="shared" si="75"/>
        <v>짝수</v>
      </c>
      <c r="EU184" s="12">
        <v>52</v>
      </c>
      <c r="EV184" s="45" t="str">
        <f t="shared" ca="1" si="80"/>
        <v>A</v>
      </c>
      <c r="EW184" s="6">
        <f t="shared" ca="1" si="76"/>
        <v>65</v>
      </c>
      <c r="FR184" s="6">
        <v>1</v>
      </c>
      <c r="FS184" s="6" t="str">
        <f t="shared" si="77"/>
        <v/>
      </c>
      <c r="FT184" s="6" t="str">
        <f t="shared" si="78"/>
        <v/>
      </c>
      <c r="FU184" s="6" t="str">
        <f t="shared" ca="1" si="81"/>
        <v/>
      </c>
      <c r="FV184" s="6" t="str">
        <f t="shared" ca="1" si="79"/>
        <v/>
      </c>
      <c r="FW184" s="6" t="str">
        <f t="shared" ref="FW184:FW215" ca="1" si="102">IF(AND(FT184=1,FU184=""),DD184&amp;"-11",IF(AND(FT184=1,FU184&lt;&gt;""),DD184&amp;"-21",""))</f>
        <v/>
      </c>
      <c r="FX184" s="6" t="str">
        <f t="shared" ref="FX184:FX215" ca="1" si="103">IF(AND(FT184=1,FU184=""),DD184&amp;"-12",IF(AND(FT184=1,FU184&lt;&gt;""),DD184&amp;"-22",""))</f>
        <v/>
      </c>
      <c r="FY184" s="6" t="str">
        <f t="shared" ref="FY184:FY215" ca="1" si="104">IF(AND(FS184="",OFFSET(FS184,0,1)="",DC184="A1BA4D"),"",IF(DC184="A1BD5D",LEFT(FW184,3)&amp;"21",FW184))</f>
        <v/>
      </c>
      <c r="FZ184" s="6" t="str">
        <f t="shared" ref="FZ184:FZ215" ca="1" si="105" xml:space="preserve">
IF(AND(FS184="",OFFSET(FS184,0,1)="",DC184="A1BA4D"),"",IF(DC184="A1BD5D",LEFT(FW184,3)&amp;"22",FW184))</f>
        <v/>
      </c>
    </row>
    <row r="185" spans="1:182" ht="15.95" customHeight="1">
      <c r="A185" s="6">
        <v>300</v>
      </c>
      <c r="B185" s="6" t="s">
        <v>175</v>
      </c>
      <c r="E185" s="6" t="s">
        <v>271</v>
      </c>
      <c r="F185" s="6" t="s">
        <v>1439</v>
      </c>
      <c r="G185" s="6" t="s">
        <v>1218</v>
      </c>
      <c r="H185" s="7" t="s">
        <v>1219</v>
      </c>
      <c r="I185" s="7"/>
      <c r="J185" s="6" t="s">
        <v>1199</v>
      </c>
      <c r="K185" s="6" t="s">
        <v>1201</v>
      </c>
      <c r="N185" s="6" t="s">
        <v>1203</v>
      </c>
      <c r="O185" s="6" t="s">
        <v>1205</v>
      </c>
      <c r="R185" s="101" t="s">
        <v>1220</v>
      </c>
      <c r="Y185" s="6" t="s">
        <v>1437</v>
      </c>
      <c r="Z185" s="6">
        <v>43</v>
      </c>
      <c r="AA185" s="6">
        <v>44</v>
      </c>
      <c r="AD185" s="6" t="s">
        <v>1203</v>
      </c>
      <c r="AE185" s="6" t="s">
        <v>1205</v>
      </c>
      <c r="AG185" s="6" t="s">
        <v>1438</v>
      </c>
      <c r="AY185" s="8" t="s">
        <v>176</v>
      </c>
      <c r="AZ185" s="8" t="s">
        <v>195</v>
      </c>
      <c r="BA185" s="13" t="s">
        <v>197</v>
      </c>
      <c r="BB185" s="13" t="s">
        <v>7</v>
      </c>
      <c r="BC185" s="13">
        <v>3</v>
      </c>
      <c r="BD185" s="13">
        <v>4</v>
      </c>
      <c r="DC185" s="6" t="s">
        <v>169</v>
      </c>
      <c r="DD185" s="6" t="s">
        <v>181</v>
      </c>
      <c r="DH185" s="6" t="str">
        <f t="shared" si="94"/>
        <v>A12</v>
      </c>
      <c r="DI185" s="6" t="str">
        <f t="shared" si="95"/>
        <v>B12</v>
      </c>
      <c r="DK185" s="6" t="s">
        <v>173</v>
      </c>
      <c r="DL185" s="6" t="str">
        <f t="shared" si="96"/>
        <v>CN2</v>
      </c>
      <c r="DO185" s="9" t="s">
        <v>170</v>
      </c>
      <c r="DP185" s="6" t="s">
        <v>171</v>
      </c>
      <c r="DQ185" s="6" t="s">
        <v>645</v>
      </c>
      <c r="DS185" s="6" t="str">
        <f t="shared" si="97"/>
        <v>KS1</v>
      </c>
      <c r="DT185" s="10" t="str">
        <f t="shared" si="98"/>
        <v>FCS0111-4-1/1S–MC–107-F7-CN1</v>
      </c>
      <c r="DU185" s="6" t="str">
        <f t="shared" si="99"/>
        <v>FCS0111-4-1/1S–MC–107-F7-CN2</v>
      </c>
      <c r="DV185" s="19">
        <v>1</v>
      </c>
      <c r="DW185" s="20" t="str">
        <f t="shared" si="100"/>
        <v>11</v>
      </c>
      <c r="DX185" s="21">
        <v>4</v>
      </c>
      <c r="DY185" s="22">
        <v>1</v>
      </c>
      <c r="DZ185" s="23">
        <v>2</v>
      </c>
      <c r="EA185" s="23">
        <v>12</v>
      </c>
      <c r="ED185" s="9" t="str">
        <f t="shared" si="101"/>
        <v>ANB10D</v>
      </c>
      <c r="EF185" s="6" t="s">
        <v>172</v>
      </c>
      <c r="EH185" s="6" t="s">
        <v>271</v>
      </c>
      <c r="EI185" s="6" t="s">
        <v>412</v>
      </c>
      <c r="EJ185" s="12">
        <v>100</v>
      </c>
      <c r="EN185" s="12" t="s">
        <v>1100</v>
      </c>
      <c r="EP185" s="6" t="s">
        <v>1148</v>
      </c>
      <c r="ET185" s="6" t="str">
        <f t="shared" si="75"/>
        <v>짝수</v>
      </c>
      <c r="EU185" s="12">
        <v>52</v>
      </c>
      <c r="EV185" s="45" t="str">
        <f t="shared" ca="1" si="80"/>
        <v>B</v>
      </c>
      <c r="EW185" s="6">
        <f t="shared" ca="1" si="76"/>
        <v>66</v>
      </c>
      <c r="FR185" s="6">
        <v>1</v>
      </c>
      <c r="FS185" s="6" t="str">
        <f t="shared" si="77"/>
        <v/>
      </c>
      <c r="FT185" s="6" t="str">
        <f t="shared" si="78"/>
        <v/>
      </c>
      <c r="FU185" s="6" t="str">
        <f t="shared" ca="1" si="81"/>
        <v/>
      </c>
      <c r="FV185" s="6" t="str">
        <f t="shared" ca="1" si="79"/>
        <v/>
      </c>
      <c r="FW185" s="6" t="str">
        <f t="shared" ca="1" si="102"/>
        <v/>
      </c>
      <c r="FX185" s="6" t="str">
        <f t="shared" ca="1" si="103"/>
        <v/>
      </c>
      <c r="FY185" s="6" t="str">
        <f t="shared" ca="1" si="104"/>
        <v/>
      </c>
      <c r="FZ185" s="6" t="str">
        <f t="shared" ca="1" si="105"/>
        <v/>
      </c>
    </row>
    <row r="186" spans="1:182" ht="15.95" customHeight="1">
      <c r="A186" s="6">
        <v>301</v>
      </c>
      <c r="B186" s="6" t="s">
        <v>175</v>
      </c>
      <c r="E186" s="6" t="s">
        <v>272</v>
      </c>
      <c r="F186" s="6" t="s">
        <v>1440</v>
      </c>
      <c r="G186" s="6" t="s">
        <v>1218</v>
      </c>
      <c r="H186" s="7" t="s">
        <v>1219</v>
      </c>
      <c r="I186" s="7"/>
      <c r="J186" s="6" t="s">
        <v>1199</v>
      </c>
      <c r="K186" s="6" t="s">
        <v>1201</v>
      </c>
      <c r="N186" s="6" t="s">
        <v>1203</v>
      </c>
      <c r="O186" s="6" t="s">
        <v>1205</v>
      </c>
      <c r="R186" s="101" t="s">
        <v>1220</v>
      </c>
      <c r="Y186" s="6" t="s">
        <v>1437</v>
      </c>
      <c r="Z186" s="6">
        <v>45</v>
      </c>
      <c r="AA186" s="6">
        <v>46</v>
      </c>
      <c r="AD186" s="6" t="s">
        <v>1203</v>
      </c>
      <c r="AE186" s="6" t="s">
        <v>1205</v>
      </c>
      <c r="AG186" s="6" t="s">
        <v>1438</v>
      </c>
      <c r="AY186" s="8" t="s">
        <v>176</v>
      </c>
      <c r="AZ186" s="8" t="s">
        <v>195</v>
      </c>
      <c r="BA186" s="13" t="s">
        <v>197</v>
      </c>
      <c r="BB186" s="13" t="s">
        <v>7</v>
      </c>
      <c r="BC186" s="13">
        <v>5</v>
      </c>
      <c r="BD186" s="13">
        <v>6</v>
      </c>
      <c r="DC186" s="6" t="s">
        <v>169</v>
      </c>
      <c r="DD186" s="6" t="s">
        <v>181</v>
      </c>
      <c r="DH186" s="6" t="str">
        <f t="shared" si="94"/>
        <v>A13</v>
      </c>
      <c r="DI186" s="6" t="str">
        <f t="shared" si="95"/>
        <v>B13</v>
      </c>
      <c r="DK186" s="6" t="s">
        <v>173</v>
      </c>
      <c r="DL186" s="6" t="str">
        <f t="shared" si="96"/>
        <v>CN2</v>
      </c>
      <c r="DO186" s="9" t="s">
        <v>170</v>
      </c>
      <c r="DP186" s="6" t="s">
        <v>171</v>
      </c>
      <c r="DQ186" s="6" t="s">
        <v>645</v>
      </c>
      <c r="DS186" s="6" t="str">
        <f t="shared" si="97"/>
        <v>KS1</v>
      </c>
      <c r="DT186" s="10" t="str">
        <f t="shared" si="98"/>
        <v>FCS0111-4-1/1S–MC–107-F7-CN1</v>
      </c>
      <c r="DU186" s="6" t="str">
        <f t="shared" si="99"/>
        <v>FCS0111-4-1/1S–MC–107-F7-CN2</v>
      </c>
      <c r="DV186" s="19">
        <v>1</v>
      </c>
      <c r="DW186" s="20" t="str">
        <f t="shared" si="100"/>
        <v>11</v>
      </c>
      <c r="DX186" s="21">
        <v>4</v>
      </c>
      <c r="DY186" s="22">
        <v>1</v>
      </c>
      <c r="DZ186" s="23">
        <v>2</v>
      </c>
      <c r="EA186" s="23">
        <v>13</v>
      </c>
      <c r="ED186" s="9" t="str">
        <f t="shared" si="101"/>
        <v>ANB10D</v>
      </c>
      <c r="EF186" s="6" t="s">
        <v>172</v>
      </c>
      <c r="EH186" s="6" t="s">
        <v>272</v>
      </c>
      <c r="EI186" s="6" t="s">
        <v>412</v>
      </c>
      <c r="EJ186" s="12">
        <v>100</v>
      </c>
      <c r="EN186" s="12" t="s">
        <v>1100</v>
      </c>
      <c r="EP186" s="6" t="s">
        <v>1148</v>
      </c>
      <c r="ET186" s="6" t="str">
        <f t="shared" si="75"/>
        <v>짝수</v>
      </c>
      <c r="EU186" s="12">
        <v>52</v>
      </c>
      <c r="EV186" s="45" t="str">
        <f t="shared" ca="1" si="80"/>
        <v>C</v>
      </c>
      <c r="EW186" s="6">
        <f t="shared" ca="1" si="76"/>
        <v>67</v>
      </c>
      <c r="FR186" s="6">
        <v>1</v>
      </c>
      <c r="FS186" s="6" t="str">
        <f t="shared" si="77"/>
        <v/>
      </c>
      <c r="FT186" s="6" t="str">
        <f t="shared" si="78"/>
        <v/>
      </c>
      <c r="FU186" s="6" t="str">
        <f t="shared" ca="1" si="81"/>
        <v/>
      </c>
      <c r="FV186" s="6" t="str">
        <f t="shared" ca="1" si="79"/>
        <v/>
      </c>
      <c r="FW186" s="6" t="str">
        <f t="shared" ca="1" si="102"/>
        <v/>
      </c>
      <c r="FX186" s="6" t="str">
        <f t="shared" ca="1" si="103"/>
        <v/>
      </c>
      <c r="FY186" s="6" t="str">
        <f t="shared" ca="1" si="104"/>
        <v/>
      </c>
      <c r="FZ186" s="6" t="str">
        <f t="shared" ca="1" si="105"/>
        <v/>
      </c>
    </row>
    <row r="187" spans="1:182" ht="15.95" customHeight="1">
      <c r="A187" s="6">
        <v>302</v>
      </c>
      <c r="B187" s="6" t="s">
        <v>175</v>
      </c>
      <c r="E187" s="6" t="s">
        <v>273</v>
      </c>
      <c r="F187" s="6" t="s">
        <v>1441</v>
      </c>
      <c r="G187" s="6" t="s">
        <v>1218</v>
      </c>
      <c r="H187" s="7" t="s">
        <v>1219</v>
      </c>
      <c r="I187" s="7"/>
      <c r="J187" s="6" t="s">
        <v>1199</v>
      </c>
      <c r="K187" s="6" t="s">
        <v>1201</v>
      </c>
      <c r="N187" s="6" t="s">
        <v>1203</v>
      </c>
      <c r="O187" s="6" t="s">
        <v>1205</v>
      </c>
      <c r="R187" s="101" t="s">
        <v>1220</v>
      </c>
      <c r="Y187" s="6" t="s">
        <v>1437</v>
      </c>
      <c r="Z187" s="6">
        <v>47</v>
      </c>
      <c r="AA187" s="6">
        <v>48</v>
      </c>
      <c r="AD187" s="6" t="s">
        <v>1203</v>
      </c>
      <c r="AE187" s="6" t="s">
        <v>1205</v>
      </c>
      <c r="AG187" s="6" t="s">
        <v>1438</v>
      </c>
      <c r="AY187" s="8" t="s">
        <v>176</v>
      </c>
      <c r="AZ187" s="8" t="s">
        <v>195</v>
      </c>
      <c r="BA187" s="13" t="s">
        <v>197</v>
      </c>
      <c r="BB187" s="13" t="s">
        <v>7</v>
      </c>
      <c r="BC187" s="13">
        <v>7</v>
      </c>
      <c r="BD187" s="13">
        <v>8</v>
      </c>
      <c r="DC187" s="6" t="s">
        <v>169</v>
      </c>
      <c r="DD187" s="6" t="s">
        <v>181</v>
      </c>
      <c r="DH187" s="6" t="str">
        <f t="shared" si="94"/>
        <v>A14</v>
      </c>
      <c r="DI187" s="6" t="str">
        <f t="shared" si="95"/>
        <v>B14</v>
      </c>
      <c r="DK187" s="6" t="s">
        <v>173</v>
      </c>
      <c r="DL187" s="6" t="str">
        <f t="shared" si="96"/>
        <v>CN2</v>
      </c>
      <c r="DO187" s="9" t="s">
        <v>170</v>
      </c>
      <c r="DP187" s="6" t="s">
        <v>171</v>
      </c>
      <c r="DQ187" s="6" t="s">
        <v>645</v>
      </c>
      <c r="DS187" s="6" t="str">
        <f t="shared" si="97"/>
        <v>KS1</v>
      </c>
      <c r="DT187" s="10" t="str">
        <f t="shared" si="98"/>
        <v>FCS0111-4-1/1S–MC–107-F7-CN1</v>
      </c>
      <c r="DU187" s="6" t="str">
        <f t="shared" si="99"/>
        <v>FCS0111-4-1/1S–MC–107-F7-CN2</v>
      </c>
      <c r="DV187" s="19">
        <v>1</v>
      </c>
      <c r="DW187" s="20" t="str">
        <f t="shared" si="100"/>
        <v>11</v>
      </c>
      <c r="DX187" s="21">
        <v>4</v>
      </c>
      <c r="DY187" s="22">
        <v>1</v>
      </c>
      <c r="DZ187" s="23">
        <v>2</v>
      </c>
      <c r="EA187" s="23">
        <v>14</v>
      </c>
      <c r="ED187" s="9" t="str">
        <f t="shared" si="101"/>
        <v>ANB10D</v>
      </c>
      <c r="EF187" s="6" t="s">
        <v>172</v>
      </c>
      <c r="EH187" s="6" t="s">
        <v>273</v>
      </c>
      <c r="EI187" s="6" t="s">
        <v>412</v>
      </c>
      <c r="EJ187" s="12">
        <v>100</v>
      </c>
      <c r="EN187" s="12" t="s">
        <v>1100</v>
      </c>
      <c r="EP187" s="6" t="s">
        <v>1148</v>
      </c>
      <c r="ET187" s="6" t="str">
        <f t="shared" si="75"/>
        <v>짝수</v>
      </c>
      <c r="EU187" s="12">
        <v>52</v>
      </c>
      <c r="EV187" s="45" t="str">
        <f t="shared" ca="1" si="80"/>
        <v>D</v>
      </c>
      <c r="EW187" s="6">
        <f t="shared" ca="1" si="76"/>
        <v>68</v>
      </c>
      <c r="FR187" s="6">
        <v>1</v>
      </c>
      <c r="FS187" s="6" t="str">
        <f t="shared" si="77"/>
        <v/>
      </c>
      <c r="FT187" s="6" t="str">
        <f t="shared" si="78"/>
        <v/>
      </c>
      <c r="FU187" s="6" t="str">
        <f t="shared" ca="1" si="81"/>
        <v/>
      </c>
      <c r="FV187" s="6" t="str">
        <f t="shared" ca="1" si="79"/>
        <v/>
      </c>
      <c r="FW187" s="6" t="str">
        <f t="shared" ca="1" si="102"/>
        <v/>
      </c>
      <c r="FX187" s="6" t="str">
        <f t="shared" ca="1" si="103"/>
        <v/>
      </c>
      <c r="FY187" s="6" t="str">
        <f t="shared" ca="1" si="104"/>
        <v/>
      </c>
      <c r="FZ187" s="6" t="str">
        <f t="shared" ca="1" si="105"/>
        <v/>
      </c>
    </row>
    <row r="188" spans="1:182" ht="15.95" customHeight="1">
      <c r="A188" s="6">
        <v>305</v>
      </c>
      <c r="B188" s="6" t="s">
        <v>175</v>
      </c>
      <c r="E188" s="6" t="s">
        <v>739</v>
      </c>
      <c r="F188" s="6" t="s">
        <v>1442</v>
      </c>
      <c r="G188" s="6" t="s">
        <v>1290</v>
      </c>
      <c r="H188" s="7" t="s">
        <v>1291</v>
      </c>
      <c r="I188" s="7"/>
      <c r="J188" s="6" t="s">
        <v>1199</v>
      </c>
      <c r="K188" s="6" t="s">
        <v>1201</v>
      </c>
      <c r="N188" s="6" t="s">
        <v>1203</v>
      </c>
      <c r="O188" s="6" t="s">
        <v>1205</v>
      </c>
      <c r="R188" s="101" t="s">
        <v>1443</v>
      </c>
      <c r="Y188" s="6" t="s">
        <v>1444</v>
      </c>
      <c r="Z188" s="6">
        <v>7</v>
      </c>
      <c r="AA188" s="6">
        <v>8</v>
      </c>
      <c r="AD188" s="6" t="s">
        <v>1203</v>
      </c>
      <c r="AE188" s="6" t="s">
        <v>1205</v>
      </c>
      <c r="AG188" s="6" t="s">
        <v>1445</v>
      </c>
      <c r="AY188" s="8" t="s">
        <v>176</v>
      </c>
      <c r="AZ188" s="8" t="s">
        <v>195</v>
      </c>
      <c r="BA188" s="13" t="s">
        <v>643</v>
      </c>
      <c r="BB188" s="13" t="s">
        <v>740</v>
      </c>
      <c r="BC188" s="13">
        <v>113</v>
      </c>
      <c r="BD188" s="13">
        <v>114</v>
      </c>
      <c r="DC188" s="6" t="s">
        <v>644</v>
      </c>
      <c r="DD188" s="6" t="s">
        <v>188</v>
      </c>
      <c r="DH188" s="6" t="str">
        <f t="shared" si="94"/>
        <v>A1</v>
      </c>
      <c r="DI188" s="6" t="str">
        <f t="shared" si="95"/>
        <v>B1</v>
      </c>
      <c r="DK188" s="6" t="s">
        <v>173</v>
      </c>
      <c r="DL188" s="6" t="str">
        <f t="shared" si="96"/>
        <v>CN2</v>
      </c>
      <c r="DO188" s="9" t="s">
        <v>170</v>
      </c>
      <c r="DP188" s="6" t="s">
        <v>171</v>
      </c>
      <c r="DQ188" s="6" t="s">
        <v>645</v>
      </c>
      <c r="DS188" s="6" t="str">
        <f t="shared" si="97"/>
        <v>AKB331</v>
      </c>
      <c r="DT188" s="10" t="str">
        <f t="shared" si="98"/>
        <v>FCS0111-4-3/1S–MC–118-R2-CN1</v>
      </c>
      <c r="DU188" s="6" t="str">
        <f t="shared" si="99"/>
        <v>FCS0111-4-3/1S–MC–118-R2-CN2</v>
      </c>
      <c r="DV188" s="19">
        <v>1</v>
      </c>
      <c r="DW188" s="20" t="str">
        <f t="shared" si="100"/>
        <v>11</v>
      </c>
      <c r="DX188" s="21">
        <v>4</v>
      </c>
      <c r="DY188" s="22">
        <v>3</v>
      </c>
      <c r="DZ188" s="23">
        <v>4</v>
      </c>
      <c r="EA188" s="23">
        <v>1</v>
      </c>
      <c r="ED188" s="9" t="str">
        <f t="shared" si="101"/>
        <v>ANB10D</v>
      </c>
      <c r="EF188" s="6" t="s">
        <v>647</v>
      </c>
      <c r="EH188" s="6" t="s">
        <v>739</v>
      </c>
      <c r="EI188" s="6" t="s">
        <v>741</v>
      </c>
      <c r="EJ188" s="12">
        <v>100</v>
      </c>
      <c r="EN188" s="6" t="s">
        <v>1108</v>
      </c>
      <c r="EP188" s="6" t="s">
        <v>1148</v>
      </c>
      <c r="ET188" s="6" t="str">
        <f t="shared" si="75"/>
        <v>홀수</v>
      </c>
      <c r="EU188" s="12">
        <v>53</v>
      </c>
      <c r="EV188" s="45" t="str">
        <f t="shared" ca="1" si="80"/>
        <v>A</v>
      </c>
      <c r="EW188" s="6">
        <f t="shared" ca="1" si="76"/>
        <v>65</v>
      </c>
      <c r="FR188" s="6">
        <v>1</v>
      </c>
      <c r="FS188" s="6" t="str">
        <f t="shared" si="77"/>
        <v/>
      </c>
      <c r="FT188" s="6">
        <f t="shared" si="78"/>
        <v>1</v>
      </c>
      <c r="FU188" s="6" t="str">
        <f t="shared" ca="1" si="81"/>
        <v/>
      </c>
      <c r="FV188" s="6" t="str">
        <f t="shared" ca="1" si="79"/>
        <v/>
      </c>
      <c r="FW188" s="6" t="str">
        <f t="shared" ca="1" si="102"/>
        <v>R2-11</v>
      </c>
      <c r="FX188" s="6" t="str">
        <f t="shared" ca="1" si="103"/>
        <v>R2-12</v>
      </c>
      <c r="FY188" s="6" t="str">
        <f t="shared" ca="1" si="104"/>
        <v>R2-21</v>
      </c>
      <c r="FZ188" s="6" t="str">
        <f t="shared" ca="1" si="105"/>
        <v>R2-22</v>
      </c>
    </row>
    <row r="189" spans="1:182" ht="15.95" customHeight="1">
      <c r="A189" s="6">
        <v>306</v>
      </c>
      <c r="B189" s="6" t="s">
        <v>175</v>
      </c>
      <c r="E189" s="6" t="s">
        <v>742</v>
      </c>
      <c r="F189" s="6" t="s">
        <v>1446</v>
      </c>
      <c r="G189" s="6" t="s">
        <v>1290</v>
      </c>
      <c r="H189" s="7" t="s">
        <v>1291</v>
      </c>
      <c r="I189" s="7"/>
      <c r="J189" s="6" t="s">
        <v>1199</v>
      </c>
      <c r="K189" s="6" t="s">
        <v>1201</v>
      </c>
      <c r="N189" s="6" t="s">
        <v>1203</v>
      </c>
      <c r="O189" s="6" t="s">
        <v>1205</v>
      </c>
      <c r="R189" s="101" t="s">
        <v>1443</v>
      </c>
      <c r="Y189" s="6" t="s">
        <v>1444</v>
      </c>
      <c r="Z189" s="6">
        <v>9</v>
      </c>
      <c r="AA189" s="6">
        <v>10</v>
      </c>
      <c r="AD189" s="6" t="s">
        <v>1203</v>
      </c>
      <c r="AE189" s="6" t="s">
        <v>1205</v>
      </c>
      <c r="AG189" s="6" t="s">
        <v>1445</v>
      </c>
      <c r="AY189" s="8" t="s">
        <v>176</v>
      </c>
      <c r="AZ189" s="8" t="s">
        <v>195</v>
      </c>
      <c r="BA189" s="13" t="s">
        <v>643</v>
      </c>
      <c r="BB189" s="13" t="s">
        <v>740</v>
      </c>
      <c r="BC189" s="13">
        <v>115</v>
      </c>
      <c r="BD189" s="13">
        <v>116</v>
      </c>
      <c r="DC189" s="6" t="s">
        <v>644</v>
      </c>
      <c r="DD189" s="6" t="s">
        <v>188</v>
      </c>
      <c r="DH189" s="6" t="str">
        <f t="shared" si="94"/>
        <v>A2</v>
      </c>
      <c r="DI189" s="6" t="str">
        <f t="shared" si="95"/>
        <v>B2</v>
      </c>
      <c r="DK189" s="6" t="s">
        <v>173</v>
      </c>
      <c r="DL189" s="6" t="str">
        <f t="shared" si="96"/>
        <v>CN2</v>
      </c>
      <c r="DO189" s="9" t="s">
        <v>170</v>
      </c>
      <c r="DP189" s="6" t="s">
        <v>171</v>
      </c>
      <c r="DQ189" s="6" t="s">
        <v>645</v>
      </c>
      <c r="DS189" s="6" t="str">
        <f t="shared" si="97"/>
        <v>AKB331</v>
      </c>
      <c r="DT189" s="10" t="str">
        <f t="shared" si="98"/>
        <v>FCS0111-4-3/1S–MC–118-R2-CN1</v>
      </c>
      <c r="DU189" s="6" t="str">
        <f t="shared" si="99"/>
        <v>FCS0111-4-3/1S–MC–118-R2-CN2</v>
      </c>
      <c r="DV189" s="19">
        <v>1</v>
      </c>
      <c r="DW189" s="20" t="str">
        <f t="shared" si="100"/>
        <v>11</v>
      </c>
      <c r="DX189" s="21">
        <v>4</v>
      </c>
      <c r="DY189" s="22">
        <v>3</v>
      </c>
      <c r="DZ189" s="23">
        <v>4</v>
      </c>
      <c r="EA189" s="23">
        <v>2</v>
      </c>
      <c r="ED189" s="9" t="str">
        <f t="shared" si="101"/>
        <v>ANB10D</v>
      </c>
      <c r="EF189" s="6" t="s">
        <v>647</v>
      </c>
      <c r="EH189" s="6" t="s">
        <v>742</v>
      </c>
      <c r="EI189" s="6" t="s">
        <v>741</v>
      </c>
      <c r="EJ189" s="12">
        <v>100</v>
      </c>
      <c r="EN189" s="6" t="s">
        <v>1108</v>
      </c>
      <c r="EP189" s="6" t="s">
        <v>1148</v>
      </c>
      <c r="ET189" s="6" t="str">
        <f t="shared" si="75"/>
        <v>홀수</v>
      </c>
      <c r="EU189" s="12">
        <v>53</v>
      </c>
      <c r="EV189" s="45" t="str">
        <f t="shared" ca="1" si="80"/>
        <v>B</v>
      </c>
      <c r="EW189" s="6">
        <f t="shared" ca="1" si="76"/>
        <v>66</v>
      </c>
      <c r="FR189" s="6">
        <v>1</v>
      </c>
      <c r="FS189" s="6" t="str">
        <f t="shared" si="77"/>
        <v/>
      </c>
      <c r="FT189" s="6">
        <f t="shared" si="78"/>
        <v>1</v>
      </c>
      <c r="FU189" s="6" t="str">
        <f t="shared" ca="1" si="81"/>
        <v/>
      </c>
      <c r="FV189" s="6" t="str">
        <f t="shared" ca="1" si="79"/>
        <v/>
      </c>
      <c r="FW189" s="6" t="str">
        <f t="shared" ca="1" si="102"/>
        <v>R2-11</v>
      </c>
      <c r="FX189" s="6" t="str">
        <f t="shared" ca="1" si="103"/>
        <v>R2-12</v>
      </c>
      <c r="FY189" s="6" t="str">
        <f t="shared" ca="1" si="104"/>
        <v>R2-21</v>
      </c>
      <c r="FZ189" s="6" t="str">
        <f t="shared" ca="1" si="105"/>
        <v>R2-22</v>
      </c>
    </row>
    <row r="190" spans="1:182" ht="15.95" customHeight="1">
      <c r="A190" s="6">
        <v>307</v>
      </c>
      <c r="B190" s="6" t="s">
        <v>175</v>
      </c>
      <c r="E190" s="6" t="s">
        <v>743</v>
      </c>
      <c r="F190" s="6" t="s">
        <v>1447</v>
      </c>
      <c r="G190" s="6" t="s">
        <v>1290</v>
      </c>
      <c r="H190" s="7" t="s">
        <v>1291</v>
      </c>
      <c r="I190" s="7"/>
      <c r="J190" s="6" t="s">
        <v>1199</v>
      </c>
      <c r="K190" s="6" t="s">
        <v>1201</v>
      </c>
      <c r="N190" s="6" t="s">
        <v>1203</v>
      </c>
      <c r="O190" s="6" t="s">
        <v>1205</v>
      </c>
      <c r="R190" s="101" t="s">
        <v>1443</v>
      </c>
      <c r="Y190" s="6" t="s">
        <v>1444</v>
      </c>
      <c r="Z190" s="6">
        <v>11</v>
      </c>
      <c r="AA190" s="6">
        <v>12</v>
      </c>
      <c r="AD190" s="6" t="s">
        <v>1203</v>
      </c>
      <c r="AE190" s="6" t="s">
        <v>1205</v>
      </c>
      <c r="AG190" s="6" t="s">
        <v>1445</v>
      </c>
      <c r="AY190" s="8" t="s">
        <v>176</v>
      </c>
      <c r="AZ190" s="8" t="s">
        <v>195</v>
      </c>
      <c r="BA190" s="13" t="s">
        <v>643</v>
      </c>
      <c r="BB190" s="13" t="s">
        <v>740</v>
      </c>
      <c r="BC190" s="13">
        <v>117</v>
      </c>
      <c r="BD190" s="13">
        <v>118</v>
      </c>
      <c r="DC190" s="6" t="s">
        <v>644</v>
      </c>
      <c r="DD190" s="6" t="s">
        <v>188</v>
      </c>
      <c r="DH190" s="6" t="str">
        <f t="shared" si="94"/>
        <v>A3</v>
      </c>
      <c r="DI190" s="6" t="str">
        <f t="shared" si="95"/>
        <v>B3</v>
      </c>
      <c r="DK190" s="6" t="s">
        <v>173</v>
      </c>
      <c r="DL190" s="6" t="str">
        <f t="shared" si="96"/>
        <v>CN2</v>
      </c>
      <c r="DO190" s="9" t="s">
        <v>170</v>
      </c>
      <c r="DP190" s="6" t="s">
        <v>171</v>
      </c>
      <c r="DQ190" s="6" t="s">
        <v>645</v>
      </c>
      <c r="DS190" s="6" t="str">
        <f t="shared" si="97"/>
        <v>AKB331</v>
      </c>
      <c r="DT190" s="10" t="str">
        <f t="shared" si="98"/>
        <v>FCS0111-4-3/1S–MC–118-R2-CN1</v>
      </c>
      <c r="DU190" s="6" t="str">
        <f t="shared" si="99"/>
        <v>FCS0111-4-3/1S–MC–118-R2-CN2</v>
      </c>
      <c r="DV190" s="19">
        <v>1</v>
      </c>
      <c r="DW190" s="20" t="str">
        <f t="shared" si="100"/>
        <v>11</v>
      </c>
      <c r="DX190" s="21">
        <v>4</v>
      </c>
      <c r="DY190" s="22">
        <v>3</v>
      </c>
      <c r="DZ190" s="23">
        <v>4</v>
      </c>
      <c r="EA190" s="23">
        <v>3</v>
      </c>
      <c r="ED190" s="9" t="str">
        <f t="shared" si="101"/>
        <v>ANB10D</v>
      </c>
      <c r="EF190" s="6" t="s">
        <v>647</v>
      </c>
      <c r="EH190" s="6" t="s">
        <v>743</v>
      </c>
      <c r="EI190" s="6" t="s">
        <v>744</v>
      </c>
      <c r="EJ190" s="12">
        <v>100</v>
      </c>
      <c r="EN190" s="6" t="s">
        <v>1108</v>
      </c>
      <c r="EP190" s="6" t="s">
        <v>1148</v>
      </c>
      <c r="ET190" s="6" t="str">
        <f t="shared" si="75"/>
        <v>홀수</v>
      </c>
      <c r="EU190" s="12">
        <v>53</v>
      </c>
      <c r="EV190" s="45" t="str">
        <f t="shared" ca="1" si="80"/>
        <v>C</v>
      </c>
      <c r="EW190" s="6">
        <f t="shared" ca="1" si="76"/>
        <v>67</v>
      </c>
      <c r="FR190" s="6">
        <v>1</v>
      </c>
      <c r="FS190" s="6" t="str">
        <f t="shared" si="77"/>
        <v/>
      </c>
      <c r="FT190" s="6">
        <f t="shared" si="78"/>
        <v>1</v>
      </c>
      <c r="FU190" s="6" t="str">
        <f t="shared" ca="1" si="81"/>
        <v/>
      </c>
      <c r="FV190" s="6" t="str">
        <f t="shared" ca="1" si="79"/>
        <v/>
      </c>
      <c r="FW190" s="6" t="str">
        <f t="shared" ca="1" si="102"/>
        <v>R2-11</v>
      </c>
      <c r="FX190" s="6" t="str">
        <f t="shared" ca="1" si="103"/>
        <v>R2-12</v>
      </c>
      <c r="FY190" s="6" t="str">
        <f t="shared" ca="1" si="104"/>
        <v>R2-21</v>
      </c>
      <c r="FZ190" s="6" t="str">
        <f t="shared" ca="1" si="105"/>
        <v>R2-22</v>
      </c>
    </row>
    <row r="191" spans="1:182" ht="15.95" customHeight="1">
      <c r="A191" s="6">
        <v>308</v>
      </c>
      <c r="B191" s="6" t="s">
        <v>175</v>
      </c>
      <c r="E191" s="6" t="s">
        <v>745</v>
      </c>
      <c r="F191" s="6" t="s">
        <v>1448</v>
      </c>
      <c r="G191" s="6" t="s">
        <v>1290</v>
      </c>
      <c r="H191" s="7" t="s">
        <v>1291</v>
      </c>
      <c r="I191" s="7"/>
      <c r="J191" s="6" t="s">
        <v>1199</v>
      </c>
      <c r="K191" s="6" t="s">
        <v>1201</v>
      </c>
      <c r="N191" s="6" t="s">
        <v>1203</v>
      </c>
      <c r="O191" s="6" t="s">
        <v>1205</v>
      </c>
      <c r="R191" s="101" t="s">
        <v>1443</v>
      </c>
      <c r="Y191" s="6" t="s">
        <v>1444</v>
      </c>
      <c r="Z191" s="6">
        <v>13</v>
      </c>
      <c r="AA191" s="6">
        <v>14</v>
      </c>
      <c r="AD191" s="6" t="s">
        <v>1203</v>
      </c>
      <c r="AE191" s="6" t="s">
        <v>1205</v>
      </c>
      <c r="AG191" s="6" t="s">
        <v>1445</v>
      </c>
      <c r="AY191" s="8" t="s">
        <v>176</v>
      </c>
      <c r="AZ191" s="8" t="s">
        <v>195</v>
      </c>
      <c r="BA191" s="13" t="s">
        <v>643</v>
      </c>
      <c r="BB191" s="13" t="s">
        <v>740</v>
      </c>
      <c r="BC191" s="13">
        <v>119</v>
      </c>
      <c r="BD191" s="13">
        <v>120</v>
      </c>
      <c r="DC191" s="6" t="s">
        <v>644</v>
      </c>
      <c r="DD191" s="6" t="s">
        <v>188</v>
      </c>
      <c r="DH191" s="6" t="str">
        <f t="shared" si="94"/>
        <v>A4</v>
      </c>
      <c r="DI191" s="6" t="str">
        <f t="shared" si="95"/>
        <v>B4</v>
      </c>
      <c r="DK191" s="6" t="s">
        <v>173</v>
      </c>
      <c r="DL191" s="6" t="str">
        <f t="shared" si="96"/>
        <v>CN2</v>
      </c>
      <c r="DO191" s="9" t="s">
        <v>170</v>
      </c>
      <c r="DP191" s="6" t="s">
        <v>171</v>
      </c>
      <c r="DQ191" s="6" t="s">
        <v>645</v>
      </c>
      <c r="DS191" s="6" t="str">
        <f t="shared" si="97"/>
        <v>AKB331</v>
      </c>
      <c r="DT191" s="10" t="str">
        <f t="shared" si="98"/>
        <v>FCS0111-4-3/1S–MC–118-R2-CN1</v>
      </c>
      <c r="DU191" s="6" t="str">
        <f t="shared" si="99"/>
        <v>FCS0111-4-3/1S–MC–118-R2-CN2</v>
      </c>
      <c r="DV191" s="19">
        <v>1</v>
      </c>
      <c r="DW191" s="20" t="str">
        <f t="shared" si="100"/>
        <v>11</v>
      </c>
      <c r="DX191" s="21">
        <v>4</v>
      </c>
      <c r="DY191" s="22">
        <v>3</v>
      </c>
      <c r="DZ191" s="23">
        <v>4</v>
      </c>
      <c r="EA191" s="23">
        <v>4</v>
      </c>
      <c r="ED191" s="9" t="str">
        <f t="shared" si="101"/>
        <v>ANB10D</v>
      </c>
      <c r="EF191" s="6" t="s">
        <v>647</v>
      </c>
      <c r="EH191" s="6" t="s">
        <v>745</v>
      </c>
      <c r="EI191" s="6" t="s">
        <v>744</v>
      </c>
      <c r="EJ191" s="12">
        <v>100</v>
      </c>
      <c r="EN191" s="6" t="s">
        <v>1108</v>
      </c>
      <c r="EP191" s="6" t="s">
        <v>1148</v>
      </c>
      <c r="ET191" s="6" t="str">
        <f t="shared" si="75"/>
        <v>홀수</v>
      </c>
      <c r="EU191" s="12">
        <v>53</v>
      </c>
      <c r="EV191" s="45" t="str">
        <f t="shared" ca="1" si="80"/>
        <v>D</v>
      </c>
      <c r="EW191" s="6">
        <f t="shared" ca="1" si="76"/>
        <v>68</v>
      </c>
      <c r="FR191" s="6">
        <v>1</v>
      </c>
      <c r="FS191" s="6" t="str">
        <f t="shared" si="77"/>
        <v/>
      </c>
      <c r="FT191" s="6">
        <f t="shared" si="78"/>
        <v>1</v>
      </c>
      <c r="FU191" s="6" t="str">
        <f t="shared" ca="1" si="81"/>
        <v/>
      </c>
      <c r="FV191" s="6" t="str">
        <f t="shared" ca="1" si="79"/>
        <v/>
      </c>
      <c r="FW191" s="6" t="str">
        <f t="shared" ca="1" si="102"/>
        <v>R2-11</v>
      </c>
      <c r="FX191" s="6" t="str">
        <f t="shared" ca="1" si="103"/>
        <v>R2-12</v>
      </c>
      <c r="FY191" s="6" t="str">
        <f t="shared" ca="1" si="104"/>
        <v>R2-21</v>
      </c>
      <c r="FZ191" s="6" t="str">
        <f t="shared" ca="1" si="105"/>
        <v>R2-22</v>
      </c>
    </row>
    <row r="192" spans="1:182" ht="15.95" customHeight="1">
      <c r="A192" s="6">
        <v>309</v>
      </c>
      <c r="B192" s="6" t="s">
        <v>175</v>
      </c>
      <c r="E192" s="6" t="s">
        <v>746</v>
      </c>
      <c r="F192" s="6" t="s">
        <v>1449</v>
      </c>
      <c r="G192" s="6" t="s">
        <v>1290</v>
      </c>
      <c r="H192" s="7" t="s">
        <v>1291</v>
      </c>
      <c r="I192" s="7"/>
      <c r="J192" s="6" t="e">
        <v>#N/A</v>
      </c>
      <c r="K192" s="6" t="e">
        <v>#N/A</v>
      </c>
      <c r="N192" s="6" t="e">
        <v>#N/A</v>
      </c>
      <c r="O192" s="6" t="e">
        <v>#N/A</v>
      </c>
      <c r="R192" s="101" t="e">
        <v>#N/A</v>
      </c>
      <c r="Y192" s="6" t="e">
        <v>#N/A</v>
      </c>
      <c r="Z192" s="6" t="e">
        <v>#N/A</v>
      </c>
      <c r="AA192" s="6" t="e">
        <v>#N/A</v>
      </c>
      <c r="AD192" s="6" t="e">
        <v>#N/A</v>
      </c>
      <c r="AE192" s="6" t="e">
        <v>#N/A</v>
      </c>
      <c r="AG192" s="6" t="e">
        <v>#N/A</v>
      </c>
      <c r="AY192" s="8" t="s">
        <v>176</v>
      </c>
      <c r="AZ192" s="8" t="s">
        <v>195</v>
      </c>
      <c r="BA192" s="13" t="s">
        <v>643</v>
      </c>
      <c r="BB192" s="13" t="s">
        <v>200</v>
      </c>
      <c r="BC192" s="13">
        <v>85</v>
      </c>
      <c r="BD192" s="13">
        <v>86</v>
      </c>
      <c r="DC192" s="6" t="s">
        <v>644</v>
      </c>
      <c r="DD192" s="6" t="s">
        <v>188</v>
      </c>
      <c r="DH192" s="6" t="str">
        <f t="shared" si="94"/>
        <v>A5</v>
      </c>
      <c r="DI192" s="6" t="str">
        <f t="shared" si="95"/>
        <v>B5</v>
      </c>
      <c r="DK192" s="6" t="s">
        <v>173</v>
      </c>
      <c r="DL192" s="6" t="str">
        <f t="shared" si="96"/>
        <v>CN2</v>
      </c>
      <c r="DO192" s="9" t="s">
        <v>170</v>
      </c>
      <c r="DP192" s="6" t="s">
        <v>171</v>
      </c>
      <c r="DQ192" s="6" t="s">
        <v>645</v>
      </c>
      <c r="DS192" s="6" t="str">
        <f t="shared" si="97"/>
        <v>AKB331</v>
      </c>
      <c r="DT192" s="10" t="str">
        <f t="shared" si="98"/>
        <v>FCS0111-4-3/1S–MC–118-R2-CN1</v>
      </c>
      <c r="DU192" s="6" t="str">
        <f t="shared" si="99"/>
        <v>FCS0111-4-3/1S–MC–118-R2-CN2</v>
      </c>
      <c r="DV192" s="19">
        <v>1</v>
      </c>
      <c r="DW192" s="20" t="str">
        <f t="shared" si="100"/>
        <v>11</v>
      </c>
      <c r="DX192" s="21">
        <v>4</v>
      </c>
      <c r="DY192" s="22">
        <v>3</v>
      </c>
      <c r="DZ192" s="23">
        <v>4</v>
      </c>
      <c r="EA192" s="23">
        <v>5</v>
      </c>
      <c r="ED192" s="9" t="str">
        <f t="shared" si="101"/>
        <v>ANB10D</v>
      </c>
      <c r="EF192" s="6" t="s">
        <v>647</v>
      </c>
      <c r="EH192" s="6" t="s">
        <v>746</v>
      </c>
      <c r="EI192" s="6" t="s">
        <v>747</v>
      </c>
      <c r="EJ192" s="12">
        <v>100</v>
      </c>
      <c r="EN192" s="6" t="s">
        <v>1108</v>
      </c>
      <c r="EP192" s="6" t="s">
        <v>1148</v>
      </c>
      <c r="ET192" s="6" t="str">
        <f t="shared" si="75"/>
        <v>짝수</v>
      </c>
      <c r="EU192" s="12">
        <v>54</v>
      </c>
      <c r="EV192" s="45" t="str">
        <f t="shared" ca="1" si="80"/>
        <v>A</v>
      </c>
      <c r="EW192" s="6">
        <f t="shared" ca="1" si="76"/>
        <v>65</v>
      </c>
      <c r="FR192" s="6">
        <v>1</v>
      </c>
      <c r="FS192" s="6" t="str">
        <f t="shared" si="77"/>
        <v/>
      </c>
      <c r="FT192" s="6">
        <f t="shared" si="78"/>
        <v>1</v>
      </c>
      <c r="FU192" s="6" t="str">
        <f t="shared" ca="1" si="81"/>
        <v/>
      </c>
      <c r="FV192" s="6" t="str">
        <f t="shared" ca="1" si="79"/>
        <v/>
      </c>
      <c r="FW192" s="6" t="str">
        <f t="shared" ca="1" si="102"/>
        <v>R2-11</v>
      </c>
      <c r="FX192" s="6" t="str">
        <f t="shared" ca="1" si="103"/>
        <v>R2-12</v>
      </c>
      <c r="FY192" s="6" t="str">
        <f t="shared" ca="1" si="104"/>
        <v>R2-21</v>
      </c>
      <c r="FZ192" s="6" t="str">
        <f t="shared" ca="1" si="105"/>
        <v>R2-22</v>
      </c>
    </row>
    <row r="193" spans="1:182" ht="15.95" customHeight="1">
      <c r="A193" s="6">
        <v>310</v>
      </c>
      <c r="B193" s="6" t="s">
        <v>175</v>
      </c>
      <c r="E193" s="6" t="s">
        <v>748</v>
      </c>
      <c r="F193" s="6" t="s">
        <v>1450</v>
      </c>
      <c r="G193" s="6" t="s">
        <v>1290</v>
      </c>
      <c r="H193" s="7" t="s">
        <v>1291</v>
      </c>
      <c r="I193" s="7"/>
      <c r="J193" s="6" t="e">
        <v>#N/A</v>
      </c>
      <c r="K193" s="6" t="e">
        <v>#N/A</v>
      </c>
      <c r="N193" s="6" t="e">
        <v>#N/A</v>
      </c>
      <c r="O193" s="6" t="e">
        <v>#N/A</v>
      </c>
      <c r="R193" s="101" t="e">
        <v>#N/A</v>
      </c>
      <c r="Y193" s="6" t="e">
        <v>#N/A</v>
      </c>
      <c r="Z193" s="6" t="e">
        <v>#N/A</v>
      </c>
      <c r="AA193" s="6" t="e">
        <v>#N/A</v>
      </c>
      <c r="AD193" s="6" t="e">
        <v>#N/A</v>
      </c>
      <c r="AE193" s="6" t="e">
        <v>#N/A</v>
      </c>
      <c r="AG193" s="6" t="e">
        <v>#N/A</v>
      </c>
      <c r="AY193" s="8" t="s">
        <v>176</v>
      </c>
      <c r="AZ193" s="8" t="s">
        <v>195</v>
      </c>
      <c r="BA193" s="13" t="s">
        <v>643</v>
      </c>
      <c r="BB193" s="13" t="s">
        <v>200</v>
      </c>
      <c r="BC193" s="13">
        <v>87</v>
      </c>
      <c r="BD193" s="13">
        <v>88</v>
      </c>
      <c r="DC193" s="6" t="s">
        <v>644</v>
      </c>
      <c r="DD193" s="6" t="s">
        <v>188</v>
      </c>
      <c r="DH193" s="6" t="str">
        <f t="shared" si="94"/>
        <v>A6</v>
      </c>
      <c r="DI193" s="6" t="str">
        <f t="shared" si="95"/>
        <v>B6</v>
      </c>
      <c r="DK193" s="6" t="s">
        <v>173</v>
      </c>
      <c r="DL193" s="6" t="str">
        <f t="shared" si="96"/>
        <v>CN2</v>
      </c>
      <c r="DO193" s="9" t="s">
        <v>170</v>
      </c>
      <c r="DP193" s="6" t="s">
        <v>171</v>
      </c>
      <c r="DQ193" s="6" t="s">
        <v>645</v>
      </c>
      <c r="DS193" s="6" t="str">
        <f t="shared" si="97"/>
        <v>AKB331</v>
      </c>
      <c r="DT193" s="10" t="str">
        <f t="shared" si="98"/>
        <v>FCS0111-4-3/1S–MC–118-R2-CN1</v>
      </c>
      <c r="DU193" s="6" t="str">
        <f t="shared" si="99"/>
        <v>FCS0111-4-3/1S–MC–118-R2-CN2</v>
      </c>
      <c r="DV193" s="19">
        <v>1</v>
      </c>
      <c r="DW193" s="20" t="str">
        <f t="shared" si="100"/>
        <v>11</v>
      </c>
      <c r="DX193" s="21">
        <v>4</v>
      </c>
      <c r="DY193" s="22">
        <v>3</v>
      </c>
      <c r="DZ193" s="23">
        <v>4</v>
      </c>
      <c r="EA193" s="23">
        <v>6</v>
      </c>
      <c r="ED193" s="9" t="str">
        <f t="shared" si="101"/>
        <v>ANB10D</v>
      </c>
      <c r="EF193" s="6" t="s">
        <v>647</v>
      </c>
      <c r="EH193" s="6" t="s">
        <v>748</v>
      </c>
      <c r="EI193" s="6" t="s">
        <v>747</v>
      </c>
      <c r="EJ193" s="12">
        <v>100</v>
      </c>
      <c r="EN193" s="6" t="s">
        <v>1108</v>
      </c>
      <c r="EP193" s="6" t="s">
        <v>1148</v>
      </c>
      <c r="ET193" s="6" t="str">
        <f t="shared" si="75"/>
        <v>짝수</v>
      </c>
      <c r="EU193" s="12">
        <v>54</v>
      </c>
      <c r="EV193" s="45" t="str">
        <f t="shared" ca="1" si="80"/>
        <v>B</v>
      </c>
      <c r="EW193" s="6">
        <f t="shared" ca="1" si="76"/>
        <v>66</v>
      </c>
      <c r="FR193" s="6">
        <v>1</v>
      </c>
      <c r="FS193" s="6" t="str">
        <f t="shared" si="77"/>
        <v/>
      </c>
      <c r="FT193" s="6">
        <f t="shared" si="78"/>
        <v>1</v>
      </c>
      <c r="FU193" s="6" t="str">
        <f t="shared" ca="1" si="81"/>
        <v/>
      </c>
      <c r="FV193" s="6" t="str">
        <f t="shared" ca="1" si="79"/>
        <v/>
      </c>
      <c r="FW193" s="6" t="str">
        <f t="shared" ca="1" si="102"/>
        <v>R2-11</v>
      </c>
      <c r="FX193" s="6" t="str">
        <f t="shared" ca="1" si="103"/>
        <v>R2-12</v>
      </c>
      <c r="FY193" s="6" t="str">
        <f t="shared" ca="1" si="104"/>
        <v>R2-21</v>
      </c>
      <c r="FZ193" s="6" t="str">
        <f t="shared" ca="1" si="105"/>
        <v>R2-22</v>
      </c>
    </row>
    <row r="194" spans="1:182" ht="15.95" customHeight="1">
      <c r="A194" s="6">
        <v>311</v>
      </c>
      <c r="B194" s="6" t="s">
        <v>175</v>
      </c>
      <c r="E194" s="6" t="s">
        <v>749</v>
      </c>
      <c r="F194" s="6" t="s">
        <v>1451</v>
      </c>
      <c r="G194" s="6" t="s">
        <v>1290</v>
      </c>
      <c r="H194" s="7" t="s">
        <v>1291</v>
      </c>
      <c r="I194" s="7"/>
      <c r="J194" s="6" t="e">
        <v>#N/A</v>
      </c>
      <c r="K194" s="6" t="e">
        <v>#N/A</v>
      </c>
      <c r="N194" s="6" t="e">
        <v>#N/A</v>
      </c>
      <c r="O194" s="6" t="e">
        <v>#N/A</v>
      </c>
      <c r="R194" s="101" t="e">
        <v>#N/A</v>
      </c>
      <c r="Y194" s="6" t="e">
        <v>#N/A</v>
      </c>
      <c r="Z194" s="6" t="e">
        <v>#N/A</v>
      </c>
      <c r="AA194" s="6" t="e">
        <v>#N/A</v>
      </c>
      <c r="AD194" s="6" t="e">
        <v>#N/A</v>
      </c>
      <c r="AE194" s="6" t="e">
        <v>#N/A</v>
      </c>
      <c r="AG194" s="6" t="e">
        <v>#N/A</v>
      </c>
      <c r="AY194" s="8" t="s">
        <v>176</v>
      </c>
      <c r="AZ194" s="8" t="s">
        <v>195</v>
      </c>
      <c r="BA194" s="13" t="s">
        <v>643</v>
      </c>
      <c r="BB194" s="13" t="s">
        <v>200</v>
      </c>
      <c r="BC194" s="13">
        <v>89</v>
      </c>
      <c r="BD194" s="13">
        <v>90</v>
      </c>
      <c r="DC194" s="6" t="s">
        <v>644</v>
      </c>
      <c r="DD194" s="6" t="s">
        <v>188</v>
      </c>
      <c r="DH194" s="6" t="str">
        <f t="shared" si="94"/>
        <v>A7</v>
      </c>
      <c r="DI194" s="6" t="str">
        <f t="shared" si="95"/>
        <v>B7</v>
      </c>
      <c r="DK194" s="6" t="s">
        <v>173</v>
      </c>
      <c r="DL194" s="6" t="str">
        <f t="shared" si="96"/>
        <v>CN2</v>
      </c>
      <c r="DO194" s="9" t="s">
        <v>170</v>
      </c>
      <c r="DP194" s="6" t="s">
        <v>171</v>
      </c>
      <c r="DQ194" s="6" t="s">
        <v>645</v>
      </c>
      <c r="DS194" s="6" t="str">
        <f t="shared" si="97"/>
        <v>AKB331</v>
      </c>
      <c r="DT194" s="10" t="str">
        <f t="shared" si="98"/>
        <v>FCS0111-4-3/1S–MC–118-R2-CN1</v>
      </c>
      <c r="DU194" s="6" t="str">
        <f t="shared" si="99"/>
        <v>FCS0111-4-3/1S–MC–118-R2-CN2</v>
      </c>
      <c r="DV194" s="19">
        <v>1</v>
      </c>
      <c r="DW194" s="20" t="str">
        <f t="shared" si="100"/>
        <v>11</v>
      </c>
      <c r="DX194" s="21">
        <v>4</v>
      </c>
      <c r="DY194" s="22">
        <v>3</v>
      </c>
      <c r="DZ194" s="23">
        <v>4</v>
      </c>
      <c r="EA194" s="23">
        <v>7</v>
      </c>
      <c r="ED194" s="9" t="str">
        <f t="shared" si="101"/>
        <v>ANB10D</v>
      </c>
      <c r="EF194" s="6" t="s">
        <v>647</v>
      </c>
      <c r="EH194" s="6" t="s">
        <v>749</v>
      </c>
      <c r="EI194" s="6" t="s">
        <v>747</v>
      </c>
      <c r="EJ194" s="12">
        <v>100</v>
      </c>
      <c r="EN194" s="6" t="s">
        <v>1108</v>
      </c>
      <c r="EP194" s="6" t="s">
        <v>1148</v>
      </c>
      <c r="ET194" s="6" t="str">
        <f t="shared" ref="ET194:ET258" si="106">IF(MOD(EU194,2) = 0, "짝수", "홀수")</f>
        <v>짝수</v>
      </c>
      <c r="EU194" s="12">
        <v>54</v>
      </c>
      <c r="EV194" s="45" t="str">
        <f t="shared" ca="1" si="80"/>
        <v>C</v>
      </c>
      <c r="EW194" s="6">
        <f t="shared" ref="EW194:EW258" ca="1" si="107">IF(EV194="A",65,IF(EV194="B",66,IF(EV194="C",67,68)))</f>
        <v>67</v>
      </c>
      <c r="FR194" s="6">
        <v>1</v>
      </c>
      <c r="FS194" s="6" t="str">
        <f t="shared" si="77"/>
        <v/>
      </c>
      <c r="FT194" s="6">
        <f t="shared" si="78"/>
        <v>1</v>
      </c>
      <c r="FU194" s="6" t="str">
        <f t="shared" ca="1" si="81"/>
        <v/>
      </c>
      <c r="FV194" s="6" t="str">
        <f t="shared" ca="1" si="79"/>
        <v/>
      </c>
      <c r="FW194" s="6" t="str">
        <f t="shared" ca="1" si="102"/>
        <v>R2-11</v>
      </c>
      <c r="FX194" s="6" t="str">
        <f t="shared" ca="1" si="103"/>
        <v>R2-12</v>
      </c>
      <c r="FY194" s="6" t="str">
        <f t="shared" ca="1" si="104"/>
        <v>R2-21</v>
      </c>
      <c r="FZ194" s="6" t="str">
        <f t="shared" ca="1" si="105"/>
        <v>R2-22</v>
      </c>
    </row>
    <row r="195" spans="1:182" ht="15.95" customHeight="1">
      <c r="A195" s="6">
        <v>312</v>
      </c>
      <c r="B195" s="6" t="s">
        <v>175</v>
      </c>
      <c r="E195" s="6" t="s">
        <v>750</v>
      </c>
      <c r="F195" s="6" t="s">
        <v>1452</v>
      </c>
      <c r="G195" s="6" t="s">
        <v>1290</v>
      </c>
      <c r="H195" s="7" t="s">
        <v>1291</v>
      </c>
      <c r="I195" s="7"/>
      <c r="J195" s="6" t="e">
        <v>#N/A</v>
      </c>
      <c r="K195" s="6" t="e">
        <v>#N/A</v>
      </c>
      <c r="N195" s="6" t="e">
        <v>#N/A</v>
      </c>
      <c r="O195" s="6" t="e">
        <v>#N/A</v>
      </c>
      <c r="R195" s="101" t="e">
        <v>#N/A</v>
      </c>
      <c r="Y195" s="6" t="e">
        <v>#N/A</v>
      </c>
      <c r="Z195" s="6" t="e">
        <v>#N/A</v>
      </c>
      <c r="AA195" s="6" t="e">
        <v>#N/A</v>
      </c>
      <c r="AD195" s="6" t="e">
        <v>#N/A</v>
      </c>
      <c r="AE195" s="6" t="e">
        <v>#N/A</v>
      </c>
      <c r="AG195" s="6" t="e">
        <v>#N/A</v>
      </c>
      <c r="AY195" s="8" t="s">
        <v>176</v>
      </c>
      <c r="AZ195" s="8" t="s">
        <v>195</v>
      </c>
      <c r="BA195" s="13" t="s">
        <v>643</v>
      </c>
      <c r="BB195" s="13" t="s">
        <v>200</v>
      </c>
      <c r="BC195" s="13">
        <v>91</v>
      </c>
      <c r="BD195" s="13">
        <v>92</v>
      </c>
      <c r="DC195" s="6" t="s">
        <v>644</v>
      </c>
      <c r="DD195" s="6" t="s">
        <v>188</v>
      </c>
      <c r="DH195" s="6" t="str">
        <f t="shared" si="94"/>
        <v>A8</v>
      </c>
      <c r="DI195" s="6" t="str">
        <f t="shared" si="95"/>
        <v>B8</v>
      </c>
      <c r="DK195" s="6" t="s">
        <v>173</v>
      </c>
      <c r="DL195" s="6" t="str">
        <f t="shared" si="96"/>
        <v>CN2</v>
      </c>
      <c r="DO195" s="9" t="s">
        <v>170</v>
      </c>
      <c r="DP195" s="6" t="s">
        <v>171</v>
      </c>
      <c r="DQ195" s="6" t="s">
        <v>645</v>
      </c>
      <c r="DS195" s="6" t="str">
        <f t="shared" si="97"/>
        <v>AKB331</v>
      </c>
      <c r="DT195" s="10" t="str">
        <f t="shared" si="98"/>
        <v>FCS0111-4-3/1S–MC–118-R2-CN1</v>
      </c>
      <c r="DU195" s="6" t="str">
        <f t="shared" si="99"/>
        <v>FCS0111-4-3/1S–MC–118-R2-CN2</v>
      </c>
      <c r="DV195" s="19">
        <v>1</v>
      </c>
      <c r="DW195" s="20" t="str">
        <f t="shared" si="100"/>
        <v>11</v>
      </c>
      <c r="DX195" s="21">
        <v>4</v>
      </c>
      <c r="DY195" s="22">
        <v>3</v>
      </c>
      <c r="DZ195" s="23">
        <v>4</v>
      </c>
      <c r="EA195" s="23">
        <v>8</v>
      </c>
      <c r="ED195" s="9" t="str">
        <f t="shared" si="101"/>
        <v>ANB10D</v>
      </c>
      <c r="EF195" s="6" t="s">
        <v>647</v>
      </c>
      <c r="EH195" s="6" t="s">
        <v>750</v>
      </c>
      <c r="EI195" s="6" t="s">
        <v>747</v>
      </c>
      <c r="EJ195" s="12">
        <v>100</v>
      </c>
      <c r="EN195" s="6" t="s">
        <v>1108</v>
      </c>
      <c r="EP195" s="6" t="s">
        <v>1148</v>
      </c>
      <c r="ET195" s="6" t="str">
        <f t="shared" si="106"/>
        <v>짝수</v>
      </c>
      <c r="EU195" s="12">
        <v>54</v>
      </c>
      <c r="EV195" s="45" t="str">
        <f t="shared" ca="1" si="80"/>
        <v>D</v>
      </c>
      <c r="EW195" s="6">
        <f t="shared" ca="1" si="107"/>
        <v>68</v>
      </c>
      <c r="FR195" s="6">
        <v>1</v>
      </c>
      <c r="FS195" s="6" t="str">
        <f t="shared" ref="FS195:FS258" si="108">IF(OR(DC195="A1BA4D",DC195="A1BD5D"),"",1)</f>
        <v/>
      </c>
      <c r="FT195" s="6">
        <f t="shared" ref="FT195:FT258" si="109">IF(OR(DC195="A1BA4D",DC195="ARM55D"),"",1)</f>
        <v>1</v>
      </c>
      <c r="FU195" s="6" t="str">
        <f t="shared" ca="1" si="81"/>
        <v/>
      </c>
      <c r="FV195" s="6" t="str">
        <f t="shared" ref="FV195:FV258" ca="1" si="110">IF(AND(FS195="",OFFSET(FS195,0,1)="",DC195="A1BA4D"),"",IF(DC195="A1BD5D","",DD195&amp;"-12"))</f>
        <v/>
      </c>
      <c r="FW195" s="6" t="str">
        <f t="shared" ca="1" si="102"/>
        <v>R2-11</v>
      </c>
      <c r="FX195" s="6" t="str">
        <f t="shared" ca="1" si="103"/>
        <v>R2-12</v>
      </c>
      <c r="FY195" s="6" t="str">
        <f t="shared" ca="1" si="104"/>
        <v>R2-21</v>
      </c>
      <c r="FZ195" s="6" t="str">
        <f t="shared" ca="1" si="105"/>
        <v>R2-22</v>
      </c>
    </row>
    <row r="196" spans="1:182" ht="15.95" customHeight="1">
      <c r="A196" s="6">
        <v>313</v>
      </c>
      <c r="B196" s="6" t="s">
        <v>175</v>
      </c>
      <c r="E196" s="6" t="s">
        <v>751</v>
      </c>
      <c r="F196" s="6" t="s">
        <v>1453</v>
      </c>
      <c r="G196" s="6" t="s">
        <v>1290</v>
      </c>
      <c r="H196" s="7" t="s">
        <v>1291</v>
      </c>
      <c r="I196" s="7"/>
      <c r="J196" s="6" t="e">
        <v>#N/A</v>
      </c>
      <c r="K196" s="6" t="e">
        <v>#N/A</v>
      </c>
      <c r="N196" s="6" t="e">
        <v>#N/A</v>
      </c>
      <c r="O196" s="6" t="e">
        <v>#N/A</v>
      </c>
      <c r="R196" s="101" t="e">
        <v>#N/A</v>
      </c>
      <c r="Y196" s="6" t="e">
        <v>#N/A</v>
      </c>
      <c r="Z196" s="6" t="e">
        <v>#N/A</v>
      </c>
      <c r="AA196" s="6" t="e">
        <v>#N/A</v>
      </c>
      <c r="AD196" s="6" t="e">
        <v>#N/A</v>
      </c>
      <c r="AE196" s="6" t="e">
        <v>#N/A</v>
      </c>
      <c r="AG196" s="6" t="e">
        <v>#N/A</v>
      </c>
      <c r="AY196" s="8" t="s">
        <v>176</v>
      </c>
      <c r="AZ196" s="8" t="s">
        <v>195</v>
      </c>
      <c r="BA196" s="13" t="s">
        <v>643</v>
      </c>
      <c r="BB196" s="13" t="s">
        <v>200</v>
      </c>
      <c r="BC196" s="13">
        <v>73</v>
      </c>
      <c r="BD196" s="13">
        <v>74</v>
      </c>
      <c r="DC196" s="6" t="s">
        <v>644</v>
      </c>
      <c r="DD196" s="6" t="s">
        <v>188</v>
      </c>
      <c r="DH196" s="6" t="str">
        <f t="shared" si="94"/>
        <v>A9</v>
      </c>
      <c r="DI196" s="6" t="str">
        <f t="shared" si="95"/>
        <v>B9</v>
      </c>
      <c r="DK196" s="6" t="s">
        <v>173</v>
      </c>
      <c r="DL196" s="6" t="str">
        <f t="shared" si="96"/>
        <v>CN2</v>
      </c>
      <c r="DO196" s="9" t="s">
        <v>170</v>
      </c>
      <c r="DP196" s="6" t="s">
        <v>171</v>
      </c>
      <c r="DQ196" s="6" t="s">
        <v>645</v>
      </c>
      <c r="DS196" s="6" t="str">
        <f t="shared" si="97"/>
        <v>AKB331</v>
      </c>
      <c r="DT196" s="10" t="str">
        <f t="shared" si="98"/>
        <v>FCS0111-4-3/1S–MC–118-R2-CN1</v>
      </c>
      <c r="DU196" s="6" t="str">
        <f t="shared" si="99"/>
        <v>FCS0111-4-3/1S–MC–118-R2-CN2</v>
      </c>
      <c r="DV196" s="19">
        <v>1</v>
      </c>
      <c r="DW196" s="20" t="str">
        <f t="shared" si="100"/>
        <v>11</v>
      </c>
      <c r="DX196" s="21">
        <v>4</v>
      </c>
      <c r="DY196" s="22">
        <v>3</v>
      </c>
      <c r="DZ196" s="23">
        <v>4</v>
      </c>
      <c r="EA196" s="23">
        <v>9</v>
      </c>
      <c r="ED196" s="9" t="str">
        <f t="shared" si="101"/>
        <v>ANB10D</v>
      </c>
      <c r="EF196" s="6" t="s">
        <v>647</v>
      </c>
      <c r="EH196" s="6" t="s">
        <v>751</v>
      </c>
      <c r="EI196" s="6" t="s">
        <v>752</v>
      </c>
      <c r="EJ196" s="12">
        <v>100</v>
      </c>
      <c r="EN196" s="6" t="s">
        <v>1108</v>
      </c>
      <c r="EP196" s="6" t="s">
        <v>1148</v>
      </c>
      <c r="ET196" s="6" t="str">
        <f t="shared" si="106"/>
        <v>홀수</v>
      </c>
      <c r="EU196" s="12">
        <v>55</v>
      </c>
      <c r="EV196" s="45" t="str">
        <f t="shared" ca="1" si="80"/>
        <v>A</v>
      </c>
      <c r="EW196" s="6">
        <f t="shared" ca="1" si="107"/>
        <v>65</v>
      </c>
      <c r="FR196" s="6">
        <v>1</v>
      </c>
      <c r="FS196" s="6" t="str">
        <f t="shared" si="108"/>
        <v/>
      </c>
      <c r="FT196" s="6">
        <f t="shared" si="109"/>
        <v>1</v>
      </c>
      <c r="FU196" s="6" t="str">
        <f t="shared" ca="1" si="81"/>
        <v/>
      </c>
      <c r="FV196" s="6" t="str">
        <f t="shared" ca="1" si="110"/>
        <v/>
      </c>
      <c r="FW196" s="6" t="str">
        <f t="shared" ca="1" si="102"/>
        <v>R2-11</v>
      </c>
      <c r="FX196" s="6" t="str">
        <f t="shared" ca="1" si="103"/>
        <v>R2-12</v>
      </c>
      <c r="FY196" s="6" t="str">
        <f t="shared" ca="1" si="104"/>
        <v>R2-21</v>
      </c>
      <c r="FZ196" s="6" t="str">
        <f t="shared" ca="1" si="105"/>
        <v>R2-22</v>
      </c>
    </row>
    <row r="197" spans="1:182" ht="15.95" customHeight="1">
      <c r="A197" s="6">
        <v>314</v>
      </c>
      <c r="B197" s="6" t="s">
        <v>175</v>
      </c>
      <c r="E197" s="6" t="s">
        <v>753</v>
      </c>
      <c r="F197" s="6" t="s">
        <v>1454</v>
      </c>
      <c r="G197" s="6" t="s">
        <v>1290</v>
      </c>
      <c r="H197" s="7" t="s">
        <v>1291</v>
      </c>
      <c r="I197" s="7"/>
      <c r="J197" s="6" t="e">
        <v>#N/A</v>
      </c>
      <c r="K197" s="6" t="e">
        <v>#N/A</v>
      </c>
      <c r="N197" s="6" t="e">
        <v>#N/A</v>
      </c>
      <c r="O197" s="6" t="e">
        <v>#N/A</v>
      </c>
      <c r="R197" s="101" t="e">
        <v>#N/A</v>
      </c>
      <c r="Y197" s="6" t="e">
        <v>#N/A</v>
      </c>
      <c r="Z197" s="6" t="e">
        <v>#N/A</v>
      </c>
      <c r="AA197" s="6" t="e">
        <v>#N/A</v>
      </c>
      <c r="AD197" s="6" t="e">
        <v>#N/A</v>
      </c>
      <c r="AE197" s="6" t="e">
        <v>#N/A</v>
      </c>
      <c r="AG197" s="6" t="e">
        <v>#N/A</v>
      </c>
      <c r="AY197" s="8" t="s">
        <v>176</v>
      </c>
      <c r="AZ197" s="8" t="s">
        <v>195</v>
      </c>
      <c r="BA197" s="13" t="s">
        <v>643</v>
      </c>
      <c r="BB197" s="13" t="s">
        <v>200</v>
      </c>
      <c r="BC197" s="13">
        <v>75</v>
      </c>
      <c r="BD197" s="13">
        <v>76</v>
      </c>
      <c r="DC197" s="6" t="s">
        <v>644</v>
      </c>
      <c r="DD197" s="6" t="s">
        <v>188</v>
      </c>
      <c r="DH197" s="6" t="str">
        <f t="shared" si="94"/>
        <v>A10</v>
      </c>
      <c r="DI197" s="6" t="str">
        <f t="shared" si="95"/>
        <v>B10</v>
      </c>
      <c r="DK197" s="6" t="s">
        <v>173</v>
      </c>
      <c r="DL197" s="6" t="str">
        <f t="shared" si="96"/>
        <v>CN2</v>
      </c>
      <c r="DO197" s="9" t="s">
        <v>170</v>
      </c>
      <c r="DP197" s="6" t="s">
        <v>171</v>
      </c>
      <c r="DQ197" s="6" t="s">
        <v>645</v>
      </c>
      <c r="DS197" s="6" t="str">
        <f t="shared" si="97"/>
        <v>AKB331</v>
      </c>
      <c r="DT197" s="10" t="str">
        <f t="shared" si="98"/>
        <v>FCS0111-4-3/1S–MC–118-R2-CN1</v>
      </c>
      <c r="DU197" s="6" t="str">
        <f t="shared" si="99"/>
        <v>FCS0111-4-3/1S–MC–118-R2-CN2</v>
      </c>
      <c r="DV197" s="19">
        <v>1</v>
      </c>
      <c r="DW197" s="20" t="str">
        <f t="shared" si="100"/>
        <v>11</v>
      </c>
      <c r="DX197" s="21">
        <v>4</v>
      </c>
      <c r="DY197" s="22">
        <v>3</v>
      </c>
      <c r="DZ197" s="23">
        <v>4</v>
      </c>
      <c r="EA197" s="23">
        <v>10</v>
      </c>
      <c r="ED197" s="9" t="str">
        <f t="shared" si="101"/>
        <v>ANB10D</v>
      </c>
      <c r="EF197" s="6" t="s">
        <v>647</v>
      </c>
      <c r="EH197" s="6" t="s">
        <v>753</v>
      </c>
      <c r="EI197" s="6" t="s">
        <v>752</v>
      </c>
      <c r="EJ197" s="12">
        <v>100</v>
      </c>
      <c r="EN197" s="6" t="s">
        <v>1108</v>
      </c>
      <c r="EP197" s="6" t="s">
        <v>1148</v>
      </c>
      <c r="ET197" s="6" t="str">
        <f t="shared" si="106"/>
        <v>홀수</v>
      </c>
      <c r="EU197" s="12">
        <v>55</v>
      </c>
      <c r="EV197" s="45" t="str">
        <f t="shared" ca="1" si="80"/>
        <v>B</v>
      </c>
      <c r="EW197" s="6">
        <f t="shared" ca="1" si="107"/>
        <v>66</v>
      </c>
      <c r="FR197" s="6">
        <v>1</v>
      </c>
      <c r="FS197" s="6" t="str">
        <f t="shared" si="108"/>
        <v/>
      </c>
      <c r="FT197" s="6">
        <f t="shared" si="109"/>
        <v>1</v>
      </c>
      <c r="FU197" s="6" t="str">
        <f t="shared" ca="1" si="81"/>
        <v/>
      </c>
      <c r="FV197" s="6" t="str">
        <f t="shared" ca="1" si="110"/>
        <v/>
      </c>
      <c r="FW197" s="6" t="str">
        <f t="shared" ca="1" si="102"/>
        <v>R2-11</v>
      </c>
      <c r="FX197" s="6" t="str">
        <f t="shared" ca="1" si="103"/>
        <v>R2-12</v>
      </c>
      <c r="FY197" s="6" t="str">
        <f t="shared" ca="1" si="104"/>
        <v>R2-21</v>
      </c>
      <c r="FZ197" s="6" t="str">
        <f t="shared" ca="1" si="105"/>
        <v>R2-22</v>
      </c>
    </row>
    <row r="198" spans="1:182" ht="15.95" customHeight="1">
      <c r="A198" s="6">
        <v>315</v>
      </c>
      <c r="B198" s="6" t="s">
        <v>175</v>
      </c>
      <c r="E198" s="6" t="s">
        <v>754</v>
      </c>
      <c r="F198" s="6" t="s">
        <v>1455</v>
      </c>
      <c r="G198" s="6" t="s">
        <v>1290</v>
      </c>
      <c r="H198" s="7" t="s">
        <v>1291</v>
      </c>
      <c r="I198" s="7"/>
      <c r="J198" s="6" t="e">
        <v>#N/A</v>
      </c>
      <c r="K198" s="6" t="e">
        <v>#N/A</v>
      </c>
      <c r="N198" s="6" t="e">
        <v>#N/A</v>
      </c>
      <c r="O198" s="6" t="e">
        <v>#N/A</v>
      </c>
      <c r="R198" s="101" t="e">
        <v>#N/A</v>
      </c>
      <c r="Y198" s="6" t="e">
        <v>#N/A</v>
      </c>
      <c r="Z198" s="6" t="e">
        <v>#N/A</v>
      </c>
      <c r="AA198" s="6" t="e">
        <v>#N/A</v>
      </c>
      <c r="AD198" s="6" t="e">
        <v>#N/A</v>
      </c>
      <c r="AE198" s="6" t="e">
        <v>#N/A</v>
      </c>
      <c r="AG198" s="6" t="e">
        <v>#N/A</v>
      </c>
      <c r="AY198" s="8" t="s">
        <v>176</v>
      </c>
      <c r="AZ198" s="8" t="s">
        <v>195</v>
      </c>
      <c r="BA198" s="13" t="s">
        <v>643</v>
      </c>
      <c r="BB198" s="13" t="s">
        <v>200</v>
      </c>
      <c r="BC198" s="13">
        <v>77</v>
      </c>
      <c r="BD198" s="13">
        <v>78</v>
      </c>
      <c r="DC198" s="6" t="s">
        <v>644</v>
      </c>
      <c r="DD198" s="6" t="s">
        <v>188</v>
      </c>
      <c r="DH198" s="6" t="str">
        <f t="shared" si="94"/>
        <v>A11</v>
      </c>
      <c r="DI198" s="6" t="str">
        <f t="shared" si="95"/>
        <v>B11</v>
      </c>
      <c r="DK198" s="6" t="s">
        <v>173</v>
      </c>
      <c r="DL198" s="6" t="str">
        <f t="shared" si="96"/>
        <v>CN2</v>
      </c>
      <c r="DO198" s="9" t="s">
        <v>170</v>
      </c>
      <c r="DP198" s="6" t="s">
        <v>171</v>
      </c>
      <c r="DQ198" s="6" t="s">
        <v>645</v>
      </c>
      <c r="DS198" s="6" t="str">
        <f t="shared" si="97"/>
        <v>AKB331</v>
      </c>
      <c r="DT198" s="10" t="str">
        <f t="shared" si="98"/>
        <v>FCS0111-4-3/1S–MC–118-R2-CN1</v>
      </c>
      <c r="DU198" s="6" t="str">
        <f t="shared" si="99"/>
        <v>FCS0111-4-3/1S–MC–118-R2-CN2</v>
      </c>
      <c r="DV198" s="19">
        <v>1</v>
      </c>
      <c r="DW198" s="20" t="str">
        <f t="shared" si="100"/>
        <v>11</v>
      </c>
      <c r="DX198" s="21">
        <v>4</v>
      </c>
      <c r="DY198" s="22">
        <v>3</v>
      </c>
      <c r="DZ198" s="23">
        <v>4</v>
      </c>
      <c r="EA198" s="23">
        <v>11</v>
      </c>
      <c r="ED198" s="9" t="str">
        <f t="shared" si="101"/>
        <v>ANB10D</v>
      </c>
      <c r="EF198" s="6" t="s">
        <v>647</v>
      </c>
      <c r="EH198" s="6" t="s">
        <v>754</v>
      </c>
      <c r="EI198" s="6" t="s">
        <v>752</v>
      </c>
      <c r="EJ198" s="12">
        <v>100</v>
      </c>
      <c r="EN198" s="6" t="s">
        <v>1108</v>
      </c>
      <c r="EP198" s="6" t="s">
        <v>1148</v>
      </c>
      <c r="ET198" s="6" t="str">
        <f t="shared" si="106"/>
        <v>홀수</v>
      </c>
      <c r="EU198" s="12">
        <v>55</v>
      </c>
      <c r="EV198" s="45" t="str">
        <f t="shared" ca="1" si="80"/>
        <v>C</v>
      </c>
      <c r="EW198" s="6">
        <f t="shared" ca="1" si="107"/>
        <v>67</v>
      </c>
      <c r="FR198" s="6">
        <v>1</v>
      </c>
      <c r="FS198" s="6" t="str">
        <f t="shared" si="108"/>
        <v/>
      </c>
      <c r="FT198" s="6">
        <f t="shared" si="109"/>
        <v>1</v>
      </c>
      <c r="FU198" s="6" t="str">
        <f t="shared" ca="1" si="81"/>
        <v/>
      </c>
      <c r="FV198" s="6" t="str">
        <f t="shared" ca="1" si="110"/>
        <v/>
      </c>
      <c r="FW198" s="6" t="str">
        <f t="shared" ca="1" si="102"/>
        <v>R2-11</v>
      </c>
      <c r="FX198" s="6" t="str">
        <f t="shared" ca="1" si="103"/>
        <v>R2-12</v>
      </c>
      <c r="FY198" s="6" t="str">
        <f t="shared" ca="1" si="104"/>
        <v>R2-21</v>
      </c>
      <c r="FZ198" s="6" t="str">
        <f t="shared" ca="1" si="105"/>
        <v>R2-22</v>
      </c>
    </row>
    <row r="199" spans="1:182" ht="15.95" customHeight="1">
      <c r="A199" s="6">
        <v>316</v>
      </c>
      <c r="B199" s="6" t="s">
        <v>175</v>
      </c>
      <c r="E199" s="6" t="s">
        <v>755</v>
      </c>
      <c r="F199" s="6" t="s">
        <v>1456</v>
      </c>
      <c r="G199" s="6" t="s">
        <v>1290</v>
      </c>
      <c r="H199" s="7" t="s">
        <v>1291</v>
      </c>
      <c r="I199" s="7"/>
      <c r="J199" s="6" t="e">
        <v>#N/A</v>
      </c>
      <c r="K199" s="6" t="e">
        <v>#N/A</v>
      </c>
      <c r="N199" s="6" t="e">
        <v>#N/A</v>
      </c>
      <c r="O199" s="6" t="e">
        <v>#N/A</v>
      </c>
      <c r="R199" s="101" t="e">
        <v>#N/A</v>
      </c>
      <c r="Y199" s="6" t="e">
        <v>#N/A</v>
      </c>
      <c r="Z199" s="6" t="e">
        <v>#N/A</v>
      </c>
      <c r="AA199" s="6" t="e">
        <v>#N/A</v>
      </c>
      <c r="AD199" s="6" t="e">
        <v>#N/A</v>
      </c>
      <c r="AE199" s="6" t="e">
        <v>#N/A</v>
      </c>
      <c r="AG199" s="6" t="e">
        <v>#N/A</v>
      </c>
      <c r="AY199" s="8" t="s">
        <v>176</v>
      </c>
      <c r="AZ199" s="8" t="s">
        <v>195</v>
      </c>
      <c r="BA199" s="13" t="s">
        <v>643</v>
      </c>
      <c r="BB199" s="13" t="s">
        <v>200</v>
      </c>
      <c r="BC199" s="13">
        <v>79</v>
      </c>
      <c r="BD199" s="13">
        <v>80</v>
      </c>
      <c r="DC199" s="6" t="s">
        <v>644</v>
      </c>
      <c r="DD199" s="6" t="s">
        <v>188</v>
      </c>
      <c r="DH199" s="6" t="str">
        <f t="shared" si="94"/>
        <v>A12</v>
      </c>
      <c r="DI199" s="6" t="str">
        <f t="shared" si="95"/>
        <v>B12</v>
      </c>
      <c r="DK199" s="6" t="s">
        <v>173</v>
      </c>
      <c r="DL199" s="6" t="str">
        <f t="shared" si="96"/>
        <v>CN2</v>
      </c>
      <c r="DO199" s="9" t="s">
        <v>170</v>
      </c>
      <c r="DP199" s="6" t="s">
        <v>171</v>
      </c>
      <c r="DQ199" s="6" t="s">
        <v>645</v>
      </c>
      <c r="DS199" s="6" t="str">
        <f t="shared" si="97"/>
        <v>AKB331</v>
      </c>
      <c r="DT199" s="10" t="str">
        <f t="shared" si="98"/>
        <v>FCS0111-4-3/1S–MC–118-R2-CN1</v>
      </c>
      <c r="DU199" s="6" t="str">
        <f t="shared" si="99"/>
        <v>FCS0111-4-3/1S–MC–118-R2-CN2</v>
      </c>
      <c r="DV199" s="19">
        <v>1</v>
      </c>
      <c r="DW199" s="20" t="str">
        <f t="shared" si="100"/>
        <v>11</v>
      </c>
      <c r="DX199" s="21">
        <v>4</v>
      </c>
      <c r="DY199" s="22">
        <v>3</v>
      </c>
      <c r="DZ199" s="23">
        <v>4</v>
      </c>
      <c r="EA199" s="23">
        <v>12</v>
      </c>
      <c r="ED199" s="9" t="str">
        <f t="shared" si="101"/>
        <v>ANB10D</v>
      </c>
      <c r="EF199" s="6" t="s">
        <v>647</v>
      </c>
      <c r="EH199" s="6" t="s">
        <v>755</v>
      </c>
      <c r="EI199" s="6" t="s">
        <v>752</v>
      </c>
      <c r="EJ199" s="12">
        <v>100</v>
      </c>
      <c r="EN199" s="6" t="s">
        <v>1108</v>
      </c>
      <c r="EP199" s="6" t="s">
        <v>1148</v>
      </c>
      <c r="ET199" s="6" t="str">
        <f t="shared" si="106"/>
        <v>홀수</v>
      </c>
      <c r="EU199" s="12">
        <v>55</v>
      </c>
      <c r="EV199" s="45" t="str">
        <f t="shared" ref="EV199:EV263" ca="1" si="111">IF(EU199=OFFSET(EU199,-1,0),CHAR(EW198+1),"A")</f>
        <v>D</v>
      </c>
      <c r="EW199" s="6">
        <f t="shared" ca="1" si="107"/>
        <v>68</v>
      </c>
      <c r="FR199" s="6">
        <v>1</v>
      </c>
      <c r="FS199" s="6" t="str">
        <f t="shared" si="108"/>
        <v/>
      </c>
      <c r="FT199" s="6">
        <f t="shared" si="109"/>
        <v>1</v>
      </c>
      <c r="FU199" s="6" t="str">
        <f t="shared" ca="1" si="81"/>
        <v/>
      </c>
      <c r="FV199" s="6" t="str">
        <f t="shared" ca="1" si="110"/>
        <v/>
      </c>
      <c r="FW199" s="6" t="str">
        <f t="shared" ca="1" si="102"/>
        <v>R2-11</v>
      </c>
      <c r="FX199" s="6" t="str">
        <f t="shared" ca="1" si="103"/>
        <v>R2-12</v>
      </c>
      <c r="FY199" s="6" t="str">
        <f t="shared" ca="1" si="104"/>
        <v>R2-21</v>
      </c>
      <c r="FZ199" s="6" t="str">
        <f t="shared" ca="1" si="105"/>
        <v>R2-22</v>
      </c>
    </row>
    <row r="200" spans="1:182" ht="15.95" customHeight="1">
      <c r="A200" s="6">
        <v>317</v>
      </c>
      <c r="B200" s="6" t="s">
        <v>175</v>
      </c>
      <c r="E200" s="6" t="s">
        <v>756</v>
      </c>
      <c r="F200" s="6" t="s">
        <v>1457</v>
      </c>
      <c r="G200" s="6" t="s">
        <v>1290</v>
      </c>
      <c r="H200" s="7" t="s">
        <v>1291</v>
      </c>
      <c r="I200" s="7"/>
      <c r="J200" s="6" t="e">
        <v>#N/A</v>
      </c>
      <c r="K200" s="6" t="e">
        <v>#N/A</v>
      </c>
      <c r="N200" s="6" t="e">
        <v>#N/A</v>
      </c>
      <c r="O200" s="6" t="e">
        <v>#N/A</v>
      </c>
      <c r="R200" s="101" t="e">
        <v>#N/A</v>
      </c>
      <c r="Y200" s="6" t="e">
        <v>#N/A</v>
      </c>
      <c r="Z200" s="6" t="e">
        <v>#N/A</v>
      </c>
      <c r="AA200" s="6" t="e">
        <v>#N/A</v>
      </c>
      <c r="AD200" s="6" t="e">
        <v>#N/A</v>
      </c>
      <c r="AE200" s="6" t="e">
        <v>#N/A</v>
      </c>
      <c r="AG200" s="6" t="e">
        <v>#N/A</v>
      </c>
      <c r="AY200" s="8" t="s">
        <v>176</v>
      </c>
      <c r="AZ200" s="8" t="s">
        <v>195</v>
      </c>
      <c r="BA200" s="13" t="s">
        <v>643</v>
      </c>
      <c r="BB200" s="13" t="s">
        <v>200</v>
      </c>
      <c r="BC200" s="13">
        <v>81</v>
      </c>
      <c r="BD200" s="13">
        <v>82</v>
      </c>
      <c r="DC200" s="6" t="s">
        <v>644</v>
      </c>
      <c r="DD200" s="6" t="s">
        <v>188</v>
      </c>
      <c r="DH200" s="6" t="str">
        <f t="shared" si="94"/>
        <v>A13</v>
      </c>
      <c r="DI200" s="6" t="str">
        <f t="shared" si="95"/>
        <v>B13</v>
      </c>
      <c r="DK200" s="6" t="s">
        <v>173</v>
      </c>
      <c r="DL200" s="6" t="str">
        <f t="shared" si="96"/>
        <v>CN2</v>
      </c>
      <c r="DO200" s="9" t="s">
        <v>170</v>
      </c>
      <c r="DP200" s="6" t="s">
        <v>171</v>
      </c>
      <c r="DQ200" s="6" t="s">
        <v>645</v>
      </c>
      <c r="DS200" s="6" t="str">
        <f t="shared" si="97"/>
        <v>AKB331</v>
      </c>
      <c r="DT200" s="10" t="str">
        <f t="shared" si="98"/>
        <v>FCS0111-4-3/1S–MC–118-R2-CN1</v>
      </c>
      <c r="DU200" s="6" t="str">
        <f t="shared" si="99"/>
        <v>FCS0111-4-3/1S–MC–118-R2-CN2</v>
      </c>
      <c r="DV200" s="19">
        <v>1</v>
      </c>
      <c r="DW200" s="20" t="str">
        <f t="shared" si="100"/>
        <v>11</v>
      </c>
      <c r="DX200" s="21">
        <v>4</v>
      </c>
      <c r="DY200" s="22">
        <v>3</v>
      </c>
      <c r="DZ200" s="23">
        <v>4</v>
      </c>
      <c r="EA200" s="23">
        <v>13</v>
      </c>
      <c r="ED200" s="9" t="str">
        <f t="shared" si="101"/>
        <v>ANB10D</v>
      </c>
      <c r="EF200" s="6" t="s">
        <v>647</v>
      </c>
      <c r="EH200" s="6" t="s">
        <v>756</v>
      </c>
      <c r="EI200" s="6" t="s">
        <v>752</v>
      </c>
      <c r="EJ200" s="12">
        <v>100</v>
      </c>
      <c r="EN200" s="6" t="s">
        <v>1108</v>
      </c>
      <c r="EP200" s="6" t="s">
        <v>1148</v>
      </c>
      <c r="ET200" s="6" t="str">
        <f t="shared" si="106"/>
        <v>짝수</v>
      </c>
      <c r="EU200" s="12">
        <v>56</v>
      </c>
      <c r="EV200" s="45" t="str">
        <f t="shared" ca="1" si="111"/>
        <v>A</v>
      </c>
      <c r="EW200" s="6">
        <f t="shared" ca="1" si="107"/>
        <v>65</v>
      </c>
      <c r="FR200" s="6">
        <v>1</v>
      </c>
      <c r="FS200" s="6" t="str">
        <f t="shared" si="108"/>
        <v/>
      </c>
      <c r="FT200" s="6">
        <f t="shared" si="109"/>
        <v>1</v>
      </c>
      <c r="FU200" s="6" t="str">
        <f t="shared" ca="1" si="81"/>
        <v/>
      </c>
      <c r="FV200" s="6" t="str">
        <f t="shared" ca="1" si="110"/>
        <v/>
      </c>
      <c r="FW200" s="6" t="str">
        <f t="shared" ca="1" si="102"/>
        <v>R2-11</v>
      </c>
      <c r="FX200" s="6" t="str">
        <f t="shared" ca="1" si="103"/>
        <v>R2-12</v>
      </c>
      <c r="FY200" s="6" t="str">
        <f t="shared" ca="1" si="104"/>
        <v>R2-21</v>
      </c>
      <c r="FZ200" s="6" t="str">
        <f t="shared" ca="1" si="105"/>
        <v>R2-22</v>
      </c>
    </row>
    <row r="201" spans="1:182" ht="15.95" customHeight="1">
      <c r="A201" s="6">
        <v>318</v>
      </c>
      <c r="B201" s="6" t="s">
        <v>175</v>
      </c>
      <c r="E201" s="6" t="s">
        <v>757</v>
      </c>
      <c r="F201" s="6" t="s">
        <v>1458</v>
      </c>
      <c r="G201" s="6" t="s">
        <v>1290</v>
      </c>
      <c r="H201" s="7" t="s">
        <v>1291</v>
      </c>
      <c r="I201" s="7"/>
      <c r="J201" s="6" t="e">
        <v>#N/A</v>
      </c>
      <c r="K201" s="6" t="e">
        <v>#N/A</v>
      </c>
      <c r="N201" s="6" t="e">
        <v>#N/A</v>
      </c>
      <c r="O201" s="6" t="e">
        <v>#N/A</v>
      </c>
      <c r="R201" s="101" t="e">
        <v>#N/A</v>
      </c>
      <c r="Y201" s="6" t="e">
        <v>#N/A</v>
      </c>
      <c r="Z201" s="6" t="e">
        <v>#N/A</v>
      </c>
      <c r="AA201" s="6" t="e">
        <v>#N/A</v>
      </c>
      <c r="AD201" s="6" t="e">
        <v>#N/A</v>
      </c>
      <c r="AE201" s="6" t="e">
        <v>#N/A</v>
      </c>
      <c r="AG201" s="6" t="e">
        <v>#N/A</v>
      </c>
      <c r="AY201" s="8" t="s">
        <v>176</v>
      </c>
      <c r="AZ201" s="8" t="s">
        <v>195</v>
      </c>
      <c r="BA201" s="13" t="s">
        <v>643</v>
      </c>
      <c r="BB201" s="13" t="s">
        <v>200</v>
      </c>
      <c r="BC201" s="13">
        <v>83</v>
      </c>
      <c r="BD201" s="13">
        <v>84</v>
      </c>
      <c r="DC201" s="6" t="s">
        <v>644</v>
      </c>
      <c r="DD201" s="6" t="s">
        <v>188</v>
      </c>
      <c r="DH201" s="6" t="str">
        <f t="shared" si="94"/>
        <v>A14</v>
      </c>
      <c r="DI201" s="6" t="str">
        <f t="shared" si="95"/>
        <v>B14</v>
      </c>
      <c r="DK201" s="6" t="s">
        <v>173</v>
      </c>
      <c r="DL201" s="6" t="str">
        <f t="shared" si="96"/>
        <v>CN2</v>
      </c>
      <c r="DO201" s="9" t="s">
        <v>170</v>
      </c>
      <c r="DP201" s="6" t="s">
        <v>171</v>
      </c>
      <c r="DQ201" s="6" t="s">
        <v>645</v>
      </c>
      <c r="DS201" s="6" t="str">
        <f t="shared" si="97"/>
        <v>AKB331</v>
      </c>
      <c r="DT201" s="10" t="str">
        <f t="shared" si="98"/>
        <v>FCS0111-4-3/1S–MC–118-R2-CN1</v>
      </c>
      <c r="DU201" s="6" t="str">
        <f t="shared" si="99"/>
        <v>FCS0111-4-3/1S–MC–118-R2-CN2</v>
      </c>
      <c r="DV201" s="19">
        <v>1</v>
      </c>
      <c r="DW201" s="20" t="str">
        <f t="shared" si="100"/>
        <v>11</v>
      </c>
      <c r="DX201" s="21">
        <v>4</v>
      </c>
      <c r="DY201" s="22">
        <v>3</v>
      </c>
      <c r="DZ201" s="23">
        <v>4</v>
      </c>
      <c r="EA201" s="23">
        <v>14</v>
      </c>
      <c r="ED201" s="9" t="str">
        <f t="shared" si="101"/>
        <v>ANB10D</v>
      </c>
      <c r="EF201" s="6" t="s">
        <v>647</v>
      </c>
      <c r="EH201" s="6" t="s">
        <v>757</v>
      </c>
      <c r="EI201" s="6" t="s">
        <v>752</v>
      </c>
      <c r="EJ201" s="12">
        <v>100</v>
      </c>
      <c r="EN201" s="6" t="s">
        <v>1108</v>
      </c>
      <c r="EP201" s="6" t="s">
        <v>1148</v>
      </c>
      <c r="ET201" s="6" t="str">
        <f t="shared" si="106"/>
        <v>짝수</v>
      </c>
      <c r="EU201" s="12">
        <v>56</v>
      </c>
      <c r="EV201" s="45" t="str">
        <f t="shared" ca="1" si="111"/>
        <v>B</v>
      </c>
      <c r="EW201" s="6">
        <f t="shared" ca="1" si="107"/>
        <v>66</v>
      </c>
      <c r="FR201" s="6">
        <v>1</v>
      </c>
      <c r="FS201" s="6" t="str">
        <f t="shared" si="108"/>
        <v/>
      </c>
      <c r="FT201" s="6">
        <f t="shared" si="109"/>
        <v>1</v>
      </c>
      <c r="FU201" s="6" t="str">
        <f t="shared" ca="1" si="81"/>
        <v/>
      </c>
      <c r="FV201" s="6" t="str">
        <f t="shared" ca="1" si="110"/>
        <v/>
      </c>
      <c r="FW201" s="6" t="str">
        <f t="shared" ca="1" si="102"/>
        <v>R2-11</v>
      </c>
      <c r="FX201" s="6" t="str">
        <f t="shared" ca="1" si="103"/>
        <v>R2-12</v>
      </c>
      <c r="FY201" s="6" t="str">
        <f t="shared" ca="1" si="104"/>
        <v>R2-21</v>
      </c>
      <c r="FZ201" s="6" t="str">
        <f t="shared" ca="1" si="105"/>
        <v>R2-22</v>
      </c>
    </row>
    <row r="202" spans="1:182" ht="15.95" customHeight="1">
      <c r="A202" s="6">
        <v>319</v>
      </c>
      <c r="B202" s="6" t="s">
        <v>175</v>
      </c>
      <c r="E202" s="6" t="s">
        <v>758</v>
      </c>
      <c r="F202" s="6" t="s">
        <v>1459</v>
      </c>
      <c r="G202" s="6" t="s">
        <v>1290</v>
      </c>
      <c r="H202" s="7" t="s">
        <v>1291</v>
      </c>
      <c r="I202" s="7"/>
      <c r="J202" s="6" t="e">
        <v>#N/A</v>
      </c>
      <c r="K202" s="6" t="e">
        <v>#N/A</v>
      </c>
      <c r="N202" s="6" t="e">
        <v>#N/A</v>
      </c>
      <c r="O202" s="6" t="e">
        <v>#N/A</v>
      </c>
      <c r="R202" s="101" t="e">
        <v>#N/A</v>
      </c>
      <c r="Y202" s="6" t="e">
        <v>#N/A</v>
      </c>
      <c r="Z202" s="6" t="e">
        <v>#N/A</v>
      </c>
      <c r="AA202" s="6" t="e">
        <v>#N/A</v>
      </c>
      <c r="AD202" s="6" t="e">
        <v>#N/A</v>
      </c>
      <c r="AE202" s="6" t="e">
        <v>#N/A</v>
      </c>
      <c r="AG202" s="6" t="e">
        <v>#N/A</v>
      </c>
      <c r="AY202" s="8" t="s">
        <v>176</v>
      </c>
      <c r="AZ202" s="8" t="s">
        <v>195</v>
      </c>
      <c r="BA202" s="13" t="s">
        <v>643</v>
      </c>
      <c r="BB202" s="13" t="s">
        <v>200</v>
      </c>
      <c r="BC202" s="13">
        <v>1</v>
      </c>
      <c r="BD202" s="13">
        <v>2</v>
      </c>
      <c r="DC202" s="6" t="s">
        <v>644</v>
      </c>
      <c r="DD202" s="6" t="s">
        <v>188</v>
      </c>
      <c r="DH202" s="6" t="str">
        <f t="shared" si="94"/>
        <v>A15</v>
      </c>
      <c r="DI202" s="6" t="str">
        <f t="shared" si="95"/>
        <v>B15</v>
      </c>
      <c r="DK202" s="6" t="s">
        <v>173</v>
      </c>
      <c r="DL202" s="6" t="str">
        <f t="shared" si="96"/>
        <v>CN2</v>
      </c>
      <c r="DO202" s="9" t="s">
        <v>170</v>
      </c>
      <c r="DP202" s="6" t="s">
        <v>171</v>
      </c>
      <c r="DQ202" s="6" t="s">
        <v>645</v>
      </c>
      <c r="DS202" s="6" t="str">
        <f t="shared" si="97"/>
        <v>AKB331</v>
      </c>
      <c r="DT202" s="10" t="str">
        <f t="shared" si="98"/>
        <v>FCS0111-4-3/1S–MC–118-R2-CN1</v>
      </c>
      <c r="DU202" s="6" t="str">
        <f t="shared" si="99"/>
        <v>FCS0111-4-3/1S–MC–118-R2-CN2</v>
      </c>
      <c r="DV202" s="19">
        <v>1</v>
      </c>
      <c r="DW202" s="20" t="str">
        <f t="shared" si="100"/>
        <v>11</v>
      </c>
      <c r="DX202" s="21">
        <v>4</v>
      </c>
      <c r="DY202" s="22">
        <v>3</v>
      </c>
      <c r="DZ202" s="23">
        <v>4</v>
      </c>
      <c r="EA202" s="23">
        <v>15</v>
      </c>
      <c r="ED202" s="9" t="str">
        <f t="shared" si="101"/>
        <v>ANB10D</v>
      </c>
      <c r="EF202" s="6" t="s">
        <v>647</v>
      </c>
      <c r="EH202" s="6" t="s">
        <v>758</v>
      </c>
      <c r="EI202" s="6" t="s">
        <v>759</v>
      </c>
      <c r="EJ202" s="12">
        <v>100</v>
      </c>
      <c r="EN202" s="6" t="s">
        <v>1108</v>
      </c>
      <c r="EP202" s="6" t="s">
        <v>1148</v>
      </c>
      <c r="ET202" s="6" t="str">
        <f t="shared" si="106"/>
        <v>짝수</v>
      </c>
      <c r="EU202" s="12">
        <v>56</v>
      </c>
      <c r="EV202" s="45" t="str">
        <f t="shared" ca="1" si="111"/>
        <v>C</v>
      </c>
      <c r="EW202" s="6">
        <f t="shared" ca="1" si="107"/>
        <v>67</v>
      </c>
      <c r="FR202" s="6">
        <v>1</v>
      </c>
      <c r="FS202" s="6" t="str">
        <f t="shared" si="108"/>
        <v/>
      </c>
      <c r="FT202" s="6">
        <f t="shared" si="109"/>
        <v>1</v>
      </c>
      <c r="FU202" s="6" t="str">
        <f t="shared" ca="1" si="81"/>
        <v/>
      </c>
      <c r="FV202" s="6" t="str">
        <f t="shared" ca="1" si="110"/>
        <v/>
      </c>
      <c r="FW202" s="6" t="str">
        <f t="shared" ca="1" si="102"/>
        <v>R2-11</v>
      </c>
      <c r="FX202" s="6" t="str">
        <f t="shared" ca="1" si="103"/>
        <v>R2-12</v>
      </c>
      <c r="FY202" s="6" t="str">
        <f t="shared" ca="1" si="104"/>
        <v>R2-21</v>
      </c>
      <c r="FZ202" s="6" t="str">
        <f t="shared" ca="1" si="105"/>
        <v>R2-22</v>
      </c>
    </row>
    <row r="203" spans="1:182" ht="15.95" customHeight="1">
      <c r="A203" s="6">
        <v>320</v>
      </c>
      <c r="B203" s="6" t="s">
        <v>175</v>
      </c>
      <c r="E203" s="6" t="s">
        <v>760</v>
      </c>
      <c r="F203" s="6" t="s">
        <v>1460</v>
      </c>
      <c r="G203" s="6" t="s">
        <v>1290</v>
      </c>
      <c r="H203" s="7" t="s">
        <v>1291</v>
      </c>
      <c r="I203" s="7"/>
      <c r="J203" s="6" t="e">
        <v>#N/A</v>
      </c>
      <c r="K203" s="6" t="e">
        <v>#N/A</v>
      </c>
      <c r="N203" s="6" t="e">
        <v>#N/A</v>
      </c>
      <c r="O203" s="6" t="e">
        <v>#N/A</v>
      </c>
      <c r="R203" s="101" t="e">
        <v>#N/A</v>
      </c>
      <c r="Y203" s="6" t="e">
        <v>#N/A</v>
      </c>
      <c r="Z203" s="6" t="e">
        <v>#N/A</v>
      </c>
      <c r="AA203" s="6" t="e">
        <v>#N/A</v>
      </c>
      <c r="AD203" s="6" t="e">
        <v>#N/A</v>
      </c>
      <c r="AE203" s="6" t="e">
        <v>#N/A</v>
      </c>
      <c r="AG203" s="6" t="e">
        <v>#N/A</v>
      </c>
      <c r="AY203" s="8" t="s">
        <v>176</v>
      </c>
      <c r="AZ203" s="8" t="s">
        <v>195</v>
      </c>
      <c r="BA203" s="13" t="s">
        <v>643</v>
      </c>
      <c r="BB203" s="13" t="s">
        <v>200</v>
      </c>
      <c r="BC203" s="13">
        <v>51</v>
      </c>
      <c r="BD203" s="13">
        <v>52</v>
      </c>
      <c r="DC203" s="6" t="s">
        <v>644</v>
      </c>
      <c r="DD203" s="6" t="s">
        <v>188</v>
      </c>
      <c r="DH203" s="6" t="str">
        <f t="shared" si="94"/>
        <v>A16</v>
      </c>
      <c r="DI203" s="6" t="str">
        <f t="shared" si="95"/>
        <v>B16</v>
      </c>
      <c r="DK203" s="6" t="s">
        <v>173</v>
      </c>
      <c r="DL203" s="6" t="str">
        <f t="shared" si="96"/>
        <v>CN2</v>
      </c>
      <c r="DO203" s="9" t="s">
        <v>170</v>
      </c>
      <c r="DP203" s="6" t="s">
        <v>171</v>
      </c>
      <c r="DQ203" s="6" t="s">
        <v>645</v>
      </c>
      <c r="DS203" s="6" t="str">
        <f t="shared" si="97"/>
        <v>AKB331</v>
      </c>
      <c r="DT203" s="10" t="str">
        <f t="shared" si="98"/>
        <v>FCS0111-4-3/1S–MC–118-R2-CN1</v>
      </c>
      <c r="DU203" s="6" t="str">
        <f t="shared" si="99"/>
        <v>FCS0111-4-3/1S–MC–118-R2-CN2</v>
      </c>
      <c r="DV203" s="19">
        <v>1</v>
      </c>
      <c r="DW203" s="20" t="str">
        <f t="shared" si="100"/>
        <v>11</v>
      </c>
      <c r="DX203" s="21">
        <v>4</v>
      </c>
      <c r="DY203" s="22">
        <v>3</v>
      </c>
      <c r="DZ203" s="23">
        <v>4</v>
      </c>
      <c r="EA203" s="23">
        <v>16</v>
      </c>
      <c r="ED203" s="9" t="str">
        <f t="shared" si="101"/>
        <v>ANB10D</v>
      </c>
      <c r="EF203" s="6" t="s">
        <v>647</v>
      </c>
      <c r="EH203" s="6" t="s">
        <v>760</v>
      </c>
      <c r="EI203" s="6" t="s">
        <v>761</v>
      </c>
      <c r="EJ203" s="12">
        <v>100</v>
      </c>
      <c r="EN203" s="6" t="s">
        <v>1108</v>
      </c>
      <c r="EP203" s="6" t="s">
        <v>1148</v>
      </c>
      <c r="ET203" s="6" t="str">
        <f t="shared" si="106"/>
        <v>짝수</v>
      </c>
      <c r="EU203" s="12">
        <v>56</v>
      </c>
      <c r="EV203" s="45" t="str">
        <f t="shared" ca="1" si="111"/>
        <v>D</v>
      </c>
      <c r="EW203" s="6">
        <f t="shared" ca="1" si="107"/>
        <v>68</v>
      </c>
      <c r="FR203" s="6">
        <v>1</v>
      </c>
      <c r="FS203" s="6" t="str">
        <f t="shared" si="108"/>
        <v/>
      </c>
      <c r="FT203" s="6">
        <f t="shared" si="109"/>
        <v>1</v>
      </c>
      <c r="FU203" s="6" t="str">
        <f t="shared" ref="FU203:FU266" ca="1" si="112">IF(AND(FS203="",OFFSET(FS203,0,1)="",DC203="A1BA4D"),"",IF(DC203="A1BD5D","",DD203&amp;"-11"))</f>
        <v/>
      </c>
      <c r="FV203" s="6" t="str">
        <f t="shared" ca="1" si="110"/>
        <v/>
      </c>
      <c r="FW203" s="6" t="str">
        <f t="shared" ca="1" si="102"/>
        <v>R2-11</v>
      </c>
      <c r="FX203" s="6" t="str">
        <f t="shared" ca="1" si="103"/>
        <v>R2-12</v>
      </c>
      <c r="FY203" s="6" t="str">
        <f t="shared" ca="1" si="104"/>
        <v>R2-21</v>
      </c>
      <c r="FZ203" s="6" t="str">
        <f t="shared" ca="1" si="105"/>
        <v>R2-22</v>
      </c>
    </row>
    <row r="204" spans="1:182" ht="15.95" customHeight="1">
      <c r="A204" s="6">
        <v>321</v>
      </c>
      <c r="B204" s="6" t="s">
        <v>175</v>
      </c>
      <c r="E204" s="6" t="s">
        <v>762</v>
      </c>
      <c r="F204" s="6" t="s">
        <v>1461</v>
      </c>
      <c r="G204" s="6" t="s">
        <v>1290</v>
      </c>
      <c r="H204" s="7" t="s">
        <v>1291</v>
      </c>
      <c r="I204" s="7"/>
      <c r="J204" s="6" t="e">
        <v>#N/A</v>
      </c>
      <c r="K204" s="6" t="e">
        <v>#N/A</v>
      </c>
      <c r="N204" s="6" t="e">
        <v>#N/A</v>
      </c>
      <c r="O204" s="6" t="e">
        <v>#N/A</v>
      </c>
      <c r="R204" s="101" t="e">
        <v>#N/A</v>
      </c>
      <c r="Y204" s="6" t="e">
        <v>#N/A</v>
      </c>
      <c r="Z204" s="6" t="e">
        <v>#N/A</v>
      </c>
      <c r="AA204" s="6" t="e">
        <v>#N/A</v>
      </c>
      <c r="AD204" s="6" t="e">
        <v>#N/A</v>
      </c>
      <c r="AE204" s="6" t="e">
        <v>#N/A</v>
      </c>
      <c r="AG204" s="6" t="e">
        <v>#N/A</v>
      </c>
      <c r="AY204" s="8" t="s">
        <v>176</v>
      </c>
      <c r="AZ204" s="8" t="s">
        <v>195</v>
      </c>
      <c r="BA204" s="13" t="s">
        <v>643</v>
      </c>
      <c r="BB204" s="13" t="s">
        <v>200</v>
      </c>
      <c r="BC204" s="13">
        <v>63</v>
      </c>
      <c r="BD204" s="13">
        <v>64</v>
      </c>
      <c r="DC204" s="6" t="s">
        <v>644</v>
      </c>
      <c r="DD204" s="6" t="s">
        <v>188</v>
      </c>
      <c r="DH204" s="6" t="str">
        <f t="shared" si="94"/>
        <v>A17</v>
      </c>
      <c r="DI204" s="6" t="str">
        <f t="shared" si="95"/>
        <v>B17</v>
      </c>
      <c r="DK204" s="6" t="s">
        <v>173</v>
      </c>
      <c r="DL204" s="6" t="str">
        <f t="shared" si="96"/>
        <v>CN2</v>
      </c>
      <c r="DO204" s="9" t="s">
        <v>170</v>
      </c>
      <c r="DP204" s="6" t="s">
        <v>171</v>
      </c>
      <c r="DQ204" s="6" t="s">
        <v>645</v>
      </c>
      <c r="DS204" s="6" t="str">
        <f t="shared" ref="DS204:DS242" si="113">IF(MID(EF204,2,1)="A","KS1","AKB331")</f>
        <v>AKB331</v>
      </c>
      <c r="DT204" s="10" t="str">
        <f t="shared" ref="DT204:DT242" si="114">DQ204&amp;"-"&amp;DX204&amp;"-"&amp;DY204&amp;"/"&amp;BA204&amp;"-"&amp;DD204&amp;"-"&amp;DK204</f>
        <v>FCS0111-4-3/1S–MC–118-R2-CN1</v>
      </c>
      <c r="DU204" s="6" t="str">
        <f t="shared" ref="DU204:DU242" si="115">IF(DL204="","",DQ204&amp;"-"&amp;DX204&amp;"-"&amp;DY204&amp;"/"&amp;BA204&amp;"-"&amp;DD204&amp;"-"&amp;DL204)</f>
        <v>FCS0111-4-3/1S–MC–118-R2-CN2</v>
      </c>
      <c r="DV204" s="19">
        <v>1</v>
      </c>
      <c r="DW204" s="20" t="str">
        <f t="shared" ref="DW204:DW242" si="116">RIGHT(DQ204,2)</f>
        <v>11</v>
      </c>
      <c r="DX204" s="21">
        <v>4</v>
      </c>
      <c r="DY204" s="22">
        <v>3</v>
      </c>
      <c r="DZ204" s="23">
        <v>4</v>
      </c>
      <c r="EA204" s="23">
        <v>17</v>
      </c>
      <c r="ED204" s="9" t="str">
        <f t="shared" ref="ED204:ED242" si="117">IF(DX204="1","AFV30D","ANB10D")</f>
        <v>ANB10D</v>
      </c>
      <c r="EF204" s="6" t="s">
        <v>647</v>
      </c>
      <c r="EH204" s="6" t="s">
        <v>762</v>
      </c>
      <c r="EI204" s="6" t="s">
        <v>763</v>
      </c>
      <c r="EJ204" s="12">
        <v>100</v>
      </c>
      <c r="EN204" s="6" t="s">
        <v>1108</v>
      </c>
      <c r="EP204" s="6" t="s">
        <v>1148</v>
      </c>
      <c r="ET204" s="6" t="str">
        <f t="shared" si="106"/>
        <v>홀수</v>
      </c>
      <c r="EU204" s="12">
        <v>57</v>
      </c>
      <c r="EV204" s="45" t="str">
        <f t="shared" ca="1" si="111"/>
        <v>A</v>
      </c>
      <c r="EW204" s="6">
        <f t="shared" ca="1" si="107"/>
        <v>65</v>
      </c>
      <c r="FR204" s="6">
        <v>1</v>
      </c>
      <c r="FS204" s="6" t="str">
        <f t="shared" si="108"/>
        <v/>
      </c>
      <c r="FT204" s="6">
        <f t="shared" si="109"/>
        <v>1</v>
      </c>
      <c r="FU204" s="6" t="str">
        <f t="shared" ca="1" si="112"/>
        <v/>
      </c>
      <c r="FV204" s="6" t="str">
        <f t="shared" ca="1" si="110"/>
        <v/>
      </c>
      <c r="FW204" s="6" t="str">
        <f t="shared" ca="1" si="102"/>
        <v>R2-11</v>
      </c>
      <c r="FX204" s="6" t="str">
        <f t="shared" ca="1" si="103"/>
        <v>R2-12</v>
      </c>
      <c r="FY204" s="6" t="str">
        <f t="shared" ca="1" si="104"/>
        <v>R2-21</v>
      </c>
      <c r="FZ204" s="6" t="str">
        <f t="shared" ca="1" si="105"/>
        <v>R2-22</v>
      </c>
    </row>
    <row r="205" spans="1:182" ht="15.95" customHeight="1">
      <c r="A205" s="6">
        <v>322</v>
      </c>
      <c r="B205" s="6" t="s">
        <v>175</v>
      </c>
      <c r="E205" s="6" t="s">
        <v>764</v>
      </c>
      <c r="F205" s="6" t="s">
        <v>1462</v>
      </c>
      <c r="G205" s="6" t="s">
        <v>1290</v>
      </c>
      <c r="H205" s="7" t="s">
        <v>1291</v>
      </c>
      <c r="I205" s="7"/>
      <c r="J205" s="6" t="e">
        <v>#N/A</v>
      </c>
      <c r="K205" s="6" t="e">
        <v>#N/A</v>
      </c>
      <c r="N205" s="6" t="e">
        <v>#N/A</v>
      </c>
      <c r="O205" s="6" t="e">
        <v>#N/A</v>
      </c>
      <c r="R205" s="101" t="e">
        <v>#N/A</v>
      </c>
      <c r="Y205" s="6" t="e">
        <v>#N/A</v>
      </c>
      <c r="Z205" s="6" t="e">
        <v>#N/A</v>
      </c>
      <c r="AA205" s="6" t="e">
        <v>#N/A</v>
      </c>
      <c r="AD205" s="6" t="e">
        <v>#N/A</v>
      </c>
      <c r="AE205" s="6" t="e">
        <v>#N/A</v>
      </c>
      <c r="AG205" s="6" t="e">
        <v>#N/A</v>
      </c>
      <c r="AY205" s="8" t="s">
        <v>176</v>
      </c>
      <c r="AZ205" s="8" t="s">
        <v>195</v>
      </c>
      <c r="BA205" s="13" t="s">
        <v>643</v>
      </c>
      <c r="BB205" s="13" t="s">
        <v>740</v>
      </c>
      <c r="BC205" s="13">
        <v>77</v>
      </c>
      <c r="BD205" s="13">
        <v>78</v>
      </c>
      <c r="DC205" s="6" t="s">
        <v>644</v>
      </c>
      <c r="DD205" s="6" t="s">
        <v>188</v>
      </c>
      <c r="DH205" s="6" t="str">
        <f t="shared" ref="DH205:DH244" si="118">"A"&amp;EA205</f>
        <v>A18</v>
      </c>
      <c r="DI205" s="6" t="str">
        <f t="shared" ref="DI205:DI244" si="119">"B"&amp;EA205</f>
        <v>B18</v>
      </c>
      <c r="DK205" s="6" t="s">
        <v>173</v>
      </c>
      <c r="DL205" s="6" t="str">
        <f t="shared" ref="DL205:DL244" si="120">IF(DZ205&lt;&gt;"","CN2","")</f>
        <v>CN2</v>
      </c>
      <c r="DO205" s="9" t="s">
        <v>170</v>
      </c>
      <c r="DP205" s="6" t="s">
        <v>171</v>
      </c>
      <c r="DQ205" s="6" t="s">
        <v>645</v>
      </c>
      <c r="DS205" s="6" t="str">
        <f t="shared" si="113"/>
        <v>AKB331</v>
      </c>
      <c r="DT205" s="10" t="str">
        <f t="shared" si="114"/>
        <v>FCS0111-4-3/1S–MC–118-R2-CN1</v>
      </c>
      <c r="DU205" s="6" t="str">
        <f t="shared" si="115"/>
        <v>FCS0111-4-3/1S–MC–118-R2-CN2</v>
      </c>
      <c r="DV205" s="19">
        <v>1</v>
      </c>
      <c r="DW205" s="20" t="str">
        <f t="shared" si="116"/>
        <v>11</v>
      </c>
      <c r="DX205" s="21">
        <v>4</v>
      </c>
      <c r="DY205" s="22">
        <v>3</v>
      </c>
      <c r="DZ205" s="23">
        <v>4</v>
      </c>
      <c r="EA205" s="23">
        <v>18</v>
      </c>
      <c r="ED205" s="9" t="str">
        <f t="shared" si="117"/>
        <v>ANB10D</v>
      </c>
      <c r="EF205" s="6" t="s">
        <v>647</v>
      </c>
      <c r="EH205" s="6" t="s">
        <v>764</v>
      </c>
      <c r="EI205" s="6" t="s">
        <v>765</v>
      </c>
      <c r="EJ205" s="12">
        <v>100</v>
      </c>
      <c r="EN205" s="6" t="s">
        <v>1108</v>
      </c>
      <c r="EP205" s="6" t="s">
        <v>1148</v>
      </c>
      <c r="ET205" s="6" t="str">
        <f t="shared" si="106"/>
        <v>홀수</v>
      </c>
      <c r="EU205" s="12">
        <v>57</v>
      </c>
      <c r="EV205" s="45" t="str">
        <f t="shared" ca="1" si="111"/>
        <v>B</v>
      </c>
      <c r="EW205" s="6">
        <f t="shared" ca="1" si="107"/>
        <v>66</v>
      </c>
      <c r="FR205" s="6">
        <v>1</v>
      </c>
      <c r="FS205" s="6" t="str">
        <f t="shared" si="108"/>
        <v/>
      </c>
      <c r="FT205" s="6">
        <f t="shared" si="109"/>
        <v>1</v>
      </c>
      <c r="FU205" s="6" t="str">
        <f t="shared" ca="1" si="112"/>
        <v/>
      </c>
      <c r="FV205" s="6" t="str">
        <f t="shared" ca="1" si="110"/>
        <v/>
      </c>
      <c r="FW205" s="6" t="str">
        <f t="shared" ca="1" si="102"/>
        <v>R2-11</v>
      </c>
      <c r="FX205" s="6" t="str">
        <f t="shared" ca="1" si="103"/>
        <v>R2-12</v>
      </c>
      <c r="FY205" s="6" t="str">
        <f t="shared" ca="1" si="104"/>
        <v>R2-21</v>
      </c>
      <c r="FZ205" s="6" t="str">
        <f t="shared" ca="1" si="105"/>
        <v>R2-22</v>
      </c>
    </row>
    <row r="206" spans="1:182" ht="15.95" customHeight="1">
      <c r="A206" s="6">
        <v>323</v>
      </c>
      <c r="B206" s="6" t="s">
        <v>175</v>
      </c>
      <c r="E206" s="6" t="s">
        <v>1056</v>
      </c>
      <c r="F206" s="6" t="s">
        <v>1463</v>
      </c>
      <c r="G206" s="6" t="s">
        <v>1290</v>
      </c>
      <c r="H206" s="7" t="s">
        <v>1291</v>
      </c>
      <c r="I206" s="7"/>
      <c r="J206" s="6" t="e">
        <v>#N/A</v>
      </c>
      <c r="K206" s="6" t="e">
        <v>#N/A</v>
      </c>
      <c r="N206" s="6" t="e">
        <v>#N/A</v>
      </c>
      <c r="O206" s="6" t="e">
        <v>#N/A</v>
      </c>
      <c r="R206" s="101" t="e">
        <v>#N/A</v>
      </c>
      <c r="Y206" s="6" t="e">
        <v>#N/A</v>
      </c>
      <c r="Z206" s="6" t="e">
        <v>#N/A</v>
      </c>
      <c r="AA206" s="6" t="e">
        <v>#N/A</v>
      </c>
      <c r="AD206" s="6" t="e">
        <v>#N/A</v>
      </c>
      <c r="AE206" s="6" t="e">
        <v>#N/A</v>
      </c>
      <c r="AG206" s="6" t="e">
        <v>#N/A</v>
      </c>
      <c r="AY206" s="8" t="s">
        <v>176</v>
      </c>
      <c r="AZ206" s="8" t="s">
        <v>195</v>
      </c>
      <c r="BA206" s="13" t="s">
        <v>643</v>
      </c>
      <c r="BB206" s="13" t="s">
        <v>200</v>
      </c>
      <c r="BC206" s="13">
        <v>115</v>
      </c>
      <c r="BD206" s="13">
        <v>116</v>
      </c>
      <c r="DC206" s="6" t="s">
        <v>644</v>
      </c>
      <c r="DD206" s="6" t="s">
        <v>188</v>
      </c>
      <c r="DH206" s="6" t="str">
        <f t="shared" si="118"/>
        <v>A19</v>
      </c>
      <c r="DI206" s="6" t="str">
        <f t="shared" si="119"/>
        <v>B19</v>
      </c>
      <c r="DK206" s="6" t="s">
        <v>173</v>
      </c>
      <c r="DL206" s="6" t="str">
        <f t="shared" si="120"/>
        <v>CN2</v>
      </c>
      <c r="DO206" s="9" t="s">
        <v>170</v>
      </c>
      <c r="DP206" s="6" t="s">
        <v>171</v>
      </c>
      <c r="DQ206" s="6" t="s">
        <v>645</v>
      </c>
      <c r="DS206" s="6" t="str">
        <f t="shared" si="113"/>
        <v>AKB331</v>
      </c>
      <c r="DT206" s="10" t="str">
        <f t="shared" si="114"/>
        <v>FCS0111-4-3/1S–MC–118-R2-CN1</v>
      </c>
      <c r="DU206" s="6" t="str">
        <f t="shared" si="115"/>
        <v>FCS0111-4-3/1S–MC–118-R2-CN2</v>
      </c>
      <c r="DV206" s="19">
        <v>1</v>
      </c>
      <c r="DW206" s="20" t="str">
        <f t="shared" si="116"/>
        <v>11</v>
      </c>
      <c r="DX206" s="21">
        <v>4</v>
      </c>
      <c r="DY206" s="22">
        <v>3</v>
      </c>
      <c r="DZ206" s="23">
        <v>4</v>
      </c>
      <c r="EA206" s="23">
        <v>19</v>
      </c>
      <c r="ED206" s="9" t="str">
        <f t="shared" si="117"/>
        <v>ANB10D</v>
      </c>
      <c r="EF206" s="6" t="s">
        <v>647</v>
      </c>
      <c r="EH206" s="6" t="s">
        <v>1056</v>
      </c>
      <c r="EI206" s="6" t="s">
        <v>1057</v>
      </c>
      <c r="EJ206" s="12">
        <v>100</v>
      </c>
      <c r="EN206" s="6" t="s">
        <v>1108</v>
      </c>
      <c r="EP206" s="6" t="s">
        <v>1148</v>
      </c>
      <c r="ET206" s="6" t="str">
        <f t="shared" si="106"/>
        <v>홀수</v>
      </c>
      <c r="EU206" s="12">
        <v>57</v>
      </c>
      <c r="EV206" s="45" t="str">
        <f t="shared" ca="1" si="111"/>
        <v>C</v>
      </c>
      <c r="EW206" s="6">
        <f t="shared" ca="1" si="107"/>
        <v>67</v>
      </c>
      <c r="FR206" s="6">
        <v>1</v>
      </c>
      <c r="FS206" s="6" t="str">
        <f t="shared" si="108"/>
        <v/>
      </c>
      <c r="FT206" s="6">
        <f t="shared" si="109"/>
        <v>1</v>
      </c>
      <c r="FU206" s="6" t="str">
        <f t="shared" ca="1" si="112"/>
        <v/>
      </c>
      <c r="FV206" s="6" t="str">
        <f t="shared" ca="1" si="110"/>
        <v/>
      </c>
      <c r="FW206" s="6" t="str">
        <f t="shared" ca="1" si="102"/>
        <v>R2-11</v>
      </c>
      <c r="FX206" s="6" t="str">
        <f t="shared" ca="1" si="103"/>
        <v>R2-12</v>
      </c>
      <c r="FY206" s="6" t="str">
        <f t="shared" ca="1" si="104"/>
        <v>R2-21</v>
      </c>
      <c r="FZ206" s="6" t="str">
        <f t="shared" ca="1" si="105"/>
        <v>R2-22</v>
      </c>
    </row>
    <row r="207" spans="1:182" ht="15.95" customHeight="1">
      <c r="A207" s="6">
        <v>324</v>
      </c>
      <c r="B207" s="6" t="s">
        <v>175</v>
      </c>
      <c r="E207" s="6" t="s">
        <v>1058</v>
      </c>
      <c r="F207" s="6" t="s">
        <v>1464</v>
      </c>
      <c r="G207" s="6" t="s">
        <v>1290</v>
      </c>
      <c r="H207" s="7" t="s">
        <v>1291</v>
      </c>
      <c r="I207" s="7"/>
      <c r="J207" s="6" t="e">
        <v>#N/A</v>
      </c>
      <c r="K207" s="6" t="e">
        <v>#N/A</v>
      </c>
      <c r="N207" s="6" t="e">
        <v>#N/A</v>
      </c>
      <c r="O207" s="6" t="e">
        <v>#N/A</v>
      </c>
      <c r="R207" s="101" t="e">
        <v>#N/A</v>
      </c>
      <c r="Y207" s="6" t="e">
        <v>#N/A</v>
      </c>
      <c r="Z207" s="6" t="e">
        <v>#N/A</v>
      </c>
      <c r="AA207" s="6" t="e">
        <v>#N/A</v>
      </c>
      <c r="AD207" s="6" t="e">
        <v>#N/A</v>
      </c>
      <c r="AE207" s="6" t="e">
        <v>#N/A</v>
      </c>
      <c r="AG207" s="6" t="e">
        <v>#N/A</v>
      </c>
      <c r="AY207" s="8" t="s">
        <v>176</v>
      </c>
      <c r="AZ207" s="8" t="s">
        <v>195</v>
      </c>
      <c r="BA207" s="13" t="s">
        <v>643</v>
      </c>
      <c r="BB207" s="13" t="s">
        <v>200</v>
      </c>
      <c r="BC207" s="13">
        <v>117</v>
      </c>
      <c r="BD207" s="13">
        <v>118</v>
      </c>
      <c r="DC207" s="6" t="s">
        <v>644</v>
      </c>
      <c r="DD207" s="6" t="s">
        <v>188</v>
      </c>
      <c r="DH207" s="6" t="str">
        <f t="shared" si="118"/>
        <v>A20</v>
      </c>
      <c r="DI207" s="6" t="str">
        <f t="shared" si="119"/>
        <v>B20</v>
      </c>
      <c r="DK207" s="6" t="s">
        <v>173</v>
      </c>
      <c r="DL207" s="6" t="str">
        <f t="shared" si="120"/>
        <v>CN2</v>
      </c>
      <c r="DO207" s="9" t="s">
        <v>170</v>
      </c>
      <c r="DP207" s="6" t="s">
        <v>171</v>
      </c>
      <c r="DQ207" s="6" t="s">
        <v>645</v>
      </c>
      <c r="DS207" s="6" t="str">
        <f t="shared" si="113"/>
        <v>AKB331</v>
      </c>
      <c r="DT207" s="10" t="str">
        <f t="shared" si="114"/>
        <v>FCS0111-4-3/1S–MC–118-R2-CN1</v>
      </c>
      <c r="DU207" s="6" t="str">
        <f t="shared" si="115"/>
        <v>FCS0111-4-3/1S–MC–118-R2-CN2</v>
      </c>
      <c r="DV207" s="19">
        <v>1</v>
      </c>
      <c r="DW207" s="20" t="str">
        <f t="shared" si="116"/>
        <v>11</v>
      </c>
      <c r="DX207" s="21">
        <v>4</v>
      </c>
      <c r="DY207" s="22">
        <v>3</v>
      </c>
      <c r="DZ207" s="23">
        <v>4</v>
      </c>
      <c r="EA207" s="23">
        <v>20</v>
      </c>
      <c r="ED207" s="9" t="str">
        <f t="shared" si="117"/>
        <v>ANB10D</v>
      </c>
      <c r="EF207" s="6" t="s">
        <v>647</v>
      </c>
      <c r="EH207" s="6" t="s">
        <v>1058</v>
      </c>
      <c r="EI207" s="6" t="s">
        <v>1059</v>
      </c>
      <c r="EJ207" s="12">
        <v>100</v>
      </c>
      <c r="EN207" s="6" t="s">
        <v>1108</v>
      </c>
      <c r="EP207" s="6" t="s">
        <v>1148</v>
      </c>
      <c r="ET207" s="6" t="str">
        <f t="shared" si="106"/>
        <v>홀수</v>
      </c>
      <c r="EU207" s="12">
        <v>57</v>
      </c>
      <c r="EV207" s="45" t="str">
        <f t="shared" ca="1" si="111"/>
        <v>D</v>
      </c>
      <c r="EW207" s="6">
        <f t="shared" ca="1" si="107"/>
        <v>68</v>
      </c>
      <c r="FR207" s="6">
        <v>1</v>
      </c>
      <c r="FS207" s="6" t="str">
        <f t="shared" si="108"/>
        <v/>
      </c>
      <c r="FT207" s="6">
        <f t="shared" si="109"/>
        <v>1</v>
      </c>
      <c r="FU207" s="6" t="str">
        <f t="shared" ca="1" si="112"/>
        <v/>
      </c>
      <c r="FV207" s="6" t="str">
        <f t="shared" ca="1" si="110"/>
        <v/>
      </c>
      <c r="FW207" s="6" t="str">
        <f t="shared" ca="1" si="102"/>
        <v>R2-11</v>
      </c>
      <c r="FX207" s="6" t="str">
        <f t="shared" ca="1" si="103"/>
        <v>R2-12</v>
      </c>
      <c r="FY207" s="6" t="str">
        <f t="shared" ca="1" si="104"/>
        <v>R2-21</v>
      </c>
      <c r="FZ207" s="6" t="str">
        <f t="shared" ca="1" si="105"/>
        <v>R2-22</v>
      </c>
    </row>
    <row r="208" spans="1:182" ht="15.95" customHeight="1">
      <c r="A208" s="6">
        <v>325</v>
      </c>
      <c r="B208" s="6" t="s">
        <v>175</v>
      </c>
      <c r="E208" s="6" t="s">
        <v>1060</v>
      </c>
      <c r="F208" s="6" t="s">
        <v>1465</v>
      </c>
      <c r="G208" s="6" t="s">
        <v>1290</v>
      </c>
      <c r="H208" s="7" t="s">
        <v>1291</v>
      </c>
      <c r="I208" s="7"/>
      <c r="J208" s="6" t="e">
        <v>#N/A</v>
      </c>
      <c r="K208" s="6" t="e">
        <v>#N/A</v>
      </c>
      <c r="N208" s="6" t="e">
        <v>#N/A</v>
      </c>
      <c r="O208" s="6" t="e">
        <v>#N/A</v>
      </c>
      <c r="R208" s="101" t="e">
        <v>#N/A</v>
      </c>
      <c r="Y208" s="6" t="e">
        <v>#N/A</v>
      </c>
      <c r="Z208" s="6" t="e">
        <v>#N/A</v>
      </c>
      <c r="AA208" s="6" t="e">
        <v>#N/A</v>
      </c>
      <c r="AD208" s="6" t="e">
        <v>#N/A</v>
      </c>
      <c r="AE208" s="6" t="e">
        <v>#N/A</v>
      </c>
      <c r="AG208" s="6" t="e">
        <v>#N/A</v>
      </c>
      <c r="AY208" s="8" t="s">
        <v>176</v>
      </c>
      <c r="AZ208" s="8" t="s">
        <v>195</v>
      </c>
      <c r="BA208" s="13" t="s">
        <v>643</v>
      </c>
      <c r="BB208" s="13" t="s">
        <v>200</v>
      </c>
      <c r="BC208" s="13">
        <v>119</v>
      </c>
      <c r="BD208" s="13">
        <v>120</v>
      </c>
      <c r="DC208" s="6" t="s">
        <v>644</v>
      </c>
      <c r="DD208" s="6" t="s">
        <v>188</v>
      </c>
      <c r="DH208" s="6" t="str">
        <f t="shared" si="118"/>
        <v>A21</v>
      </c>
      <c r="DI208" s="6" t="str">
        <f t="shared" si="119"/>
        <v>B21</v>
      </c>
      <c r="DK208" s="6" t="s">
        <v>173</v>
      </c>
      <c r="DL208" s="6" t="str">
        <f t="shared" si="120"/>
        <v>CN2</v>
      </c>
      <c r="DO208" s="9" t="s">
        <v>170</v>
      </c>
      <c r="DP208" s="6" t="s">
        <v>171</v>
      </c>
      <c r="DQ208" s="6" t="s">
        <v>645</v>
      </c>
      <c r="DS208" s="6" t="str">
        <f t="shared" si="113"/>
        <v>AKB331</v>
      </c>
      <c r="DT208" s="10" t="str">
        <f t="shared" si="114"/>
        <v>FCS0111-4-3/1S–MC–118-R2-CN1</v>
      </c>
      <c r="DU208" s="6" t="str">
        <f t="shared" si="115"/>
        <v>FCS0111-4-3/1S–MC–118-R2-CN2</v>
      </c>
      <c r="DV208" s="19">
        <v>1</v>
      </c>
      <c r="DW208" s="20" t="str">
        <f t="shared" si="116"/>
        <v>11</v>
      </c>
      <c r="DX208" s="21">
        <v>4</v>
      </c>
      <c r="DY208" s="22">
        <v>3</v>
      </c>
      <c r="DZ208" s="23">
        <v>4</v>
      </c>
      <c r="EA208" s="23">
        <v>21</v>
      </c>
      <c r="ED208" s="9" t="str">
        <f t="shared" si="117"/>
        <v>ANB10D</v>
      </c>
      <c r="EF208" s="6" t="s">
        <v>647</v>
      </c>
      <c r="EH208" s="6" t="s">
        <v>1060</v>
      </c>
      <c r="EI208" s="6" t="s">
        <v>1061</v>
      </c>
      <c r="EJ208" s="12">
        <v>100</v>
      </c>
      <c r="EN208" s="6" t="s">
        <v>1108</v>
      </c>
      <c r="EP208" s="6" t="s">
        <v>1148</v>
      </c>
      <c r="ET208" s="6" t="str">
        <f t="shared" si="106"/>
        <v>짝수</v>
      </c>
      <c r="EU208" s="12">
        <v>58</v>
      </c>
      <c r="EV208" s="45" t="str">
        <f t="shared" ca="1" si="111"/>
        <v>A</v>
      </c>
      <c r="EW208" s="6">
        <f t="shared" ca="1" si="107"/>
        <v>65</v>
      </c>
      <c r="FR208" s="6">
        <v>1</v>
      </c>
      <c r="FS208" s="6" t="str">
        <f t="shared" si="108"/>
        <v/>
      </c>
      <c r="FT208" s="6">
        <f t="shared" si="109"/>
        <v>1</v>
      </c>
      <c r="FU208" s="6" t="str">
        <f t="shared" ca="1" si="112"/>
        <v/>
      </c>
      <c r="FV208" s="6" t="str">
        <f t="shared" ca="1" si="110"/>
        <v/>
      </c>
      <c r="FW208" s="6" t="str">
        <f t="shared" ca="1" si="102"/>
        <v>R2-11</v>
      </c>
      <c r="FX208" s="6" t="str">
        <f t="shared" ca="1" si="103"/>
        <v>R2-12</v>
      </c>
      <c r="FY208" s="6" t="str">
        <f t="shared" ca="1" si="104"/>
        <v>R2-21</v>
      </c>
      <c r="FZ208" s="6" t="str">
        <f t="shared" ca="1" si="105"/>
        <v>R2-22</v>
      </c>
    </row>
    <row r="209" spans="1:182" ht="15.95" customHeight="1">
      <c r="A209" s="6">
        <v>326</v>
      </c>
      <c r="B209" s="6" t="s">
        <v>175</v>
      </c>
      <c r="E209" s="6" t="s">
        <v>1062</v>
      </c>
      <c r="F209" s="6" t="s">
        <v>1466</v>
      </c>
      <c r="G209" s="6" t="s">
        <v>1290</v>
      </c>
      <c r="H209" s="7" t="s">
        <v>1291</v>
      </c>
      <c r="I209" s="7"/>
      <c r="J209" s="6" t="e">
        <v>#N/A</v>
      </c>
      <c r="K209" s="6" t="e">
        <v>#N/A</v>
      </c>
      <c r="N209" s="6" t="e">
        <v>#N/A</v>
      </c>
      <c r="O209" s="6" t="e">
        <v>#N/A</v>
      </c>
      <c r="R209" s="101" t="e">
        <v>#N/A</v>
      </c>
      <c r="Y209" s="6" t="e">
        <v>#N/A</v>
      </c>
      <c r="Z209" s="6" t="e">
        <v>#N/A</v>
      </c>
      <c r="AA209" s="6" t="e">
        <v>#N/A</v>
      </c>
      <c r="AD209" s="6" t="e">
        <v>#N/A</v>
      </c>
      <c r="AE209" s="6" t="e">
        <v>#N/A</v>
      </c>
      <c r="AG209" s="6" t="e">
        <v>#N/A</v>
      </c>
      <c r="AY209" s="8" t="s">
        <v>176</v>
      </c>
      <c r="AZ209" s="8" t="s">
        <v>195</v>
      </c>
      <c r="BA209" s="13" t="s">
        <v>643</v>
      </c>
      <c r="BB209" s="13" t="s">
        <v>200</v>
      </c>
      <c r="BC209" s="13">
        <v>121</v>
      </c>
      <c r="BD209" s="13">
        <v>122</v>
      </c>
      <c r="DC209" s="6" t="s">
        <v>644</v>
      </c>
      <c r="DD209" s="6" t="s">
        <v>188</v>
      </c>
      <c r="DH209" s="6" t="str">
        <f t="shared" si="118"/>
        <v>A22</v>
      </c>
      <c r="DI209" s="6" t="str">
        <f t="shared" si="119"/>
        <v>B22</v>
      </c>
      <c r="DK209" s="6" t="s">
        <v>173</v>
      </c>
      <c r="DL209" s="6" t="str">
        <f t="shared" si="120"/>
        <v>CN2</v>
      </c>
      <c r="DO209" s="9" t="s">
        <v>170</v>
      </c>
      <c r="DP209" s="6" t="s">
        <v>171</v>
      </c>
      <c r="DQ209" s="6" t="s">
        <v>645</v>
      </c>
      <c r="DS209" s="6" t="str">
        <f t="shared" si="113"/>
        <v>AKB331</v>
      </c>
      <c r="DT209" s="10" t="str">
        <f t="shared" si="114"/>
        <v>FCS0111-4-3/1S–MC–118-R2-CN1</v>
      </c>
      <c r="DU209" s="6" t="str">
        <f t="shared" si="115"/>
        <v>FCS0111-4-3/1S–MC–118-R2-CN2</v>
      </c>
      <c r="DV209" s="19">
        <v>1</v>
      </c>
      <c r="DW209" s="20" t="str">
        <f t="shared" si="116"/>
        <v>11</v>
      </c>
      <c r="DX209" s="21">
        <v>4</v>
      </c>
      <c r="DY209" s="22">
        <v>3</v>
      </c>
      <c r="DZ209" s="23">
        <v>4</v>
      </c>
      <c r="EA209" s="23">
        <v>22</v>
      </c>
      <c r="ED209" s="9" t="str">
        <f t="shared" si="117"/>
        <v>ANB10D</v>
      </c>
      <c r="EF209" s="6" t="s">
        <v>647</v>
      </c>
      <c r="EH209" s="6" t="s">
        <v>1062</v>
      </c>
      <c r="EI209" s="6" t="s">
        <v>1063</v>
      </c>
      <c r="EJ209" s="12">
        <v>100</v>
      </c>
      <c r="EN209" s="6" t="s">
        <v>1108</v>
      </c>
      <c r="EP209" s="6" t="s">
        <v>1148</v>
      </c>
      <c r="ET209" s="6" t="str">
        <f t="shared" si="106"/>
        <v>짝수</v>
      </c>
      <c r="EU209" s="12">
        <v>58</v>
      </c>
      <c r="EV209" s="45" t="str">
        <f t="shared" ca="1" si="111"/>
        <v>B</v>
      </c>
      <c r="EW209" s="6">
        <f t="shared" ca="1" si="107"/>
        <v>66</v>
      </c>
      <c r="FR209" s="6">
        <v>1</v>
      </c>
      <c r="FS209" s="6" t="str">
        <f t="shared" si="108"/>
        <v/>
      </c>
      <c r="FT209" s="6">
        <f t="shared" si="109"/>
        <v>1</v>
      </c>
      <c r="FU209" s="6" t="str">
        <f t="shared" ca="1" si="112"/>
        <v/>
      </c>
      <c r="FV209" s="6" t="str">
        <f t="shared" ca="1" si="110"/>
        <v/>
      </c>
      <c r="FW209" s="6" t="str">
        <f t="shared" ca="1" si="102"/>
        <v>R2-11</v>
      </c>
      <c r="FX209" s="6" t="str">
        <f t="shared" ca="1" si="103"/>
        <v>R2-12</v>
      </c>
      <c r="FY209" s="6" t="str">
        <f t="shared" ca="1" si="104"/>
        <v>R2-21</v>
      </c>
      <c r="FZ209" s="6" t="str">
        <f t="shared" ca="1" si="105"/>
        <v>R2-22</v>
      </c>
    </row>
    <row r="210" spans="1:182" ht="15.95" customHeight="1">
      <c r="A210" s="6">
        <v>338</v>
      </c>
      <c r="B210" s="6" t="s">
        <v>175</v>
      </c>
      <c r="E210" s="6" t="s">
        <v>766</v>
      </c>
      <c r="F210" s="6" t="s">
        <v>1467</v>
      </c>
      <c r="G210" s="6" t="s">
        <v>1290</v>
      </c>
      <c r="H210" s="7" t="s">
        <v>1291</v>
      </c>
      <c r="I210" s="7"/>
      <c r="J210" s="6" t="e">
        <v>#N/A</v>
      </c>
      <c r="K210" s="6" t="e">
        <v>#N/A</v>
      </c>
      <c r="N210" s="6" t="e">
        <v>#N/A</v>
      </c>
      <c r="O210" s="6" t="e">
        <v>#N/A</v>
      </c>
      <c r="R210" s="101" t="e">
        <v>#N/A</v>
      </c>
      <c r="Y210" s="6" t="e">
        <v>#N/A</v>
      </c>
      <c r="Z210" s="6" t="e">
        <v>#N/A</v>
      </c>
      <c r="AA210" s="6" t="e">
        <v>#N/A</v>
      </c>
      <c r="AD210" s="6" t="e">
        <v>#N/A</v>
      </c>
      <c r="AE210" s="6" t="e">
        <v>#N/A</v>
      </c>
      <c r="AG210" s="6" t="e">
        <v>#N/A</v>
      </c>
      <c r="AY210" s="8" t="s">
        <v>176</v>
      </c>
      <c r="AZ210" s="8" t="s">
        <v>195</v>
      </c>
      <c r="BA210" s="13" t="s">
        <v>656</v>
      </c>
      <c r="BB210" s="13" t="s">
        <v>740</v>
      </c>
      <c r="BC210" s="13">
        <v>1</v>
      </c>
      <c r="BD210" s="13">
        <v>2</v>
      </c>
      <c r="DC210" s="6" t="s">
        <v>644</v>
      </c>
      <c r="DD210" s="6" t="s">
        <v>189</v>
      </c>
      <c r="DH210" s="6" t="str">
        <f t="shared" si="118"/>
        <v>A2</v>
      </c>
      <c r="DI210" s="6" t="str">
        <f t="shared" si="119"/>
        <v>B2</v>
      </c>
      <c r="DK210" s="6" t="s">
        <v>173</v>
      </c>
      <c r="DL210" s="6" t="str">
        <f t="shared" si="120"/>
        <v/>
      </c>
      <c r="DO210" s="9" t="s">
        <v>170</v>
      </c>
      <c r="DP210" s="6" t="s">
        <v>171</v>
      </c>
      <c r="DQ210" s="6" t="s">
        <v>645</v>
      </c>
      <c r="DS210" s="6" t="str">
        <f t="shared" si="113"/>
        <v>AKB331</v>
      </c>
      <c r="DT210" s="10" t="str">
        <f t="shared" si="114"/>
        <v>FCS0111-4-5/1S–MC–127-R3-CN1</v>
      </c>
      <c r="DU210" s="6" t="str">
        <f t="shared" si="115"/>
        <v/>
      </c>
      <c r="DV210" s="19">
        <v>1</v>
      </c>
      <c r="DW210" s="20" t="str">
        <f t="shared" si="116"/>
        <v>11</v>
      </c>
      <c r="DX210" s="21">
        <v>4</v>
      </c>
      <c r="DY210" s="22">
        <v>5</v>
      </c>
      <c r="DZ210" s="23" t="s">
        <v>204</v>
      </c>
      <c r="EA210" s="23">
        <v>2</v>
      </c>
      <c r="ED210" s="9" t="str">
        <f t="shared" si="117"/>
        <v>ANB10D</v>
      </c>
      <c r="EF210" s="6" t="s">
        <v>647</v>
      </c>
      <c r="EH210" s="6" t="s">
        <v>766</v>
      </c>
      <c r="EI210" s="6" t="s">
        <v>767</v>
      </c>
      <c r="EJ210" s="12">
        <v>9</v>
      </c>
      <c r="EK210" s="12"/>
      <c r="EM210" s="12"/>
      <c r="EN210" s="25" t="s">
        <v>1121</v>
      </c>
      <c r="EP210" s="6" t="s">
        <v>1153</v>
      </c>
      <c r="ER210" s="6" t="str">
        <f>MID(EH210,3,8)</f>
        <v>P4024</v>
      </c>
      <c r="ET210" s="6" t="str">
        <f t="shared" si="106"/>
        <v>홀수</v>
      </c>
      <c r="EU210" s="12">
        <v>59</v>
      </c>
      <c r="EV210" s="45" t="str">
        <f t="shared" ca="1" si="111"/>
        <v>A</v>
      </c>
      <c r="EW210" s="6">
        <f t="shared" ca="1" si="107"/>
        <v>65</v>
      </c>
      <c r="FR210" s="6">
        <v>1</v>
      </c>
      <c r="FS210" s="6" t="str">
        <f t="shared" si="108"/>
        <v/>
      </c>
      <c r="FT210" s="6">
        <f t="shared" si="109"/>
        <v>1</v>
      </c>
      <c r="FU210" s="6" t="str">
        <f t="shared" ca="1" si="112"/>
        <v/>
      </c>
      <c r="FV210" s="6" t="str">
        <f t="shared" ca="1" si="110"/>
        <v/>
      </c>
      <c r="FW210" s="6" t="str">
        <f t="shared" ca="1" si="102"/>
        <v>R3-11</v>
      </c>
      <c r="FX210" s="6" t="str">
        <f t="shared" ca="1" si="103"/>
        <v>R3-12</v>
      </c>
      <c r="FY210" s="6" t="str">
        <f t="shared" ca="1" si="104"/>
        <v>R3-21</v>
      </c>
      <c r="FZ210" s="6" t="str">
        <f t="shared" ca="1" si="105"/>
        <v>R3-22</v>
      </c>
    </row>
    <row r="211" spans="1:182" ht="15.95" customHeight="1">
      <c r="A211" s="6">
        <v>339</v>
      </c>
      <c r="B211" s="6" t="s">
        <v>175</v>
      </c>
      <c r="E211" s="6" t="s">
        <v>768</v>
      </c>
      <c r="F211" s="6" t="s">
        <v>1468</v>
      </c>
      <c r="G211" s="6" t="s">
        <v>1290</v>
      </c>
      <c r="H211" s="7" t="s">
        <v>1291</v>
      </c>
      <c r="I211" s="7"/>
      <c r="J211" s="6" t="e">
        <v>#N/A</v>
      </c>
      <c r="K211" s="6" t="e">
        <v>#N/A</v>
      </c>
      <c r="N211" s="6" t="e">
        <v>#N/A</v>
      </c>
      <c r="O211" s="6" t="e">
        <v>#N/A</v>
      </c>
      <c r="R211" s="101" t="e">
        <v>#N/A</v>
      </c>
      <c r="Y211" s="6" t="e">
        <v>#N/A</v>
      </c>
      <c r="Z211" s="6" t="e">
        <v>#N/A</v>
      </c>
      <c r="AA211" s="6" t="e">
        <v>#N/A</v>
      </c>
      <c r="AD211" s="6" t="e">
        <v>#N/A</v>
      </c>
      <c r="AE211" s="6" t="e">
        <v>#N/A</v>
      </c>
      <c r="AG211" s="6" t="e">
        <v>#N/A</v>
      </c>
      <c r="AY211" s="8" t="s">
        <v>176</v>
      </c>
      <c r="AZ211" s="8" t="s">
        <v>195</v>
      </c>
      <c r="BA211" s="13" t="s">
        <v>656</v>
      </c>
      <c r="BB211" s="13" t="s">
        <v>740</v>
      </c>
      <c r="BC211" s="13">
        <v>3</v>
      </c>
      <c r="BD211" s="13">
        <v>4</v>
      </c>
      <c r="DC211" s="6" t="s">
        <v>644</v>
      </c>
      <c r="DD211" s="6" t="s">
        <v>189</v>
      </c>
      <c r="DH211" s="6" t="str">
        <f>"A"&amp;EA211</f>
        <v>A3</v>
      </c>
      <c r="DI211" s="6" t="str">
        <f>"B"&amp;EA211</f>
        <v>B3</v>
      </c>
      <c r="DK211" s="6" t="s">
        <v>173</v>
      </c>
      <c r="DL211" s="6" t="str">
        <f>IF(DZ211&lt;&gt;"","CN2","")</f>
        <v/>
      </c>
      <c r="DO211" s="9" t="s">
        <v>170</v>
      </c>
      <c r="DP211" s="6" t="s">
        <v>171</v>
      </c>
      <c r="DQ211" s="6" t="s">
        <v>645</v>
      </c>
      <c r="DS211" s="6" t="str">
        <f>IF(MID(EF211,2,1)="A","KS1","AKB331")</f>
        <v>AKB331</v>
      </c>
      <c r="DT211" s="10" t="str">
        <f>DQ211&amp;"-"&amp;DX211&amp;"-"&amp;DY211&amp;"/"&amp;BA211&amp;"-"&amp;DD211&amp;"-"&amp;DK211</f>
        <v>FCS0111-4-5/1S–MC–127-R3-CN1</v>
      </c>
      <c r="DU211" s="6" t="str">
        <f>IF(DL211="","",DQ211&amp;"-"&amp;DX211&amp;"-"&amp;DY211&amp;"/"&amp;BA211&amp;"-"&amp;DD211&amp;"-"&amp;DL211)</f>
        <v/>
      </c>
      <c r="DV211" s="19">
        <v>1</v>
      </c>
      <c r="DW211" s="20" t="str">
        <f>RIGHT(DQ211,2)</f>
        <v>11</v>
      </c>
      <c r="DX211" s="21">
        <v>4</v>
      </c>
      <c r="DY211" s="22">
        <v>5</v>
      </c>
      <c r="DZ211" s="23" t="s">
        <v>204</v>
      </c>
      <c r="EA211" s="23">
        <v>3</v>
      </c>
      <c r="ED211" s="9" t="str">
        <f>IF(DX211="1","AFV30D","ANB10D")</f>
        <v>ANB10D</v>
      </c>
      <c r="EF211" s="6" t="s">
        <v>647</v>
      </c>
      <c r="EH211" s="6" t="s">
        <v>768</v>
      </c>
      <c r="EI211" s="6" t="s">
        <v>767</v>
      </c>
      <c r="EJ211" s="12">
        <v>9</v>
      </c>
      <c r="EK211" s="12"/>
      <c r="EM211" s="12"/>
      <c r="EN211" s="25" t="s">
        <v>1121</v>
      </c>
      <c r="ET211" s="6" t="str">
        <f t="shared" si="106"/>
        <v>홀수</v>
      </c>
      <c r="EU211" s="12">
        <v>59</v>
      </c>
      <c r="EV211" s="45" t="str">
        <f t="shared" ca="1" si="111"/>
        <v>B</v>
      </c>
      <c r="EW211" s="6">
        <f t="shared" ca="1" si="107"/>
        <v>66</v>
      </c>
      <c r="FA211" s="6" t="str">
        <f>ER210&amp;"INT"</f>
        <v>P4024INT</v>
      </c>
      <c r="FR211" s="6">
        <v>1</v>
      </c>
      <c r="FS211" s="6" t="str">
        <f t="shared" si="108"/>
        <v/>
      </c>
      <c r="FT211" s="6">
        <f t="shared" si="109"/>
        <v>1</v>
      </c>
      <c r="FU211" s="6" t="str">
        <f t="shared" ca="1" si="112"/>
        <v/>
      </c>
      <c r="FV211" s="6" t="str">
        <f t="shared" ca="1" si="110"/>
        <v/>
      </c>
      <c r="FW211" s="6" t="str">
        <f t="shared" ca="1" si="102"/>
        <v>R3-11</v>
      </c>
      <c r="FX211" s="6" t="str">
        <f t="shared" ca="1" si="103"/>
        <v>R3-12</v>
      </c>
      <c r="FY211" s="6" t="str">
        <f t="shared" ca="1" si="104"/>
        <v>R3-21</v>
      </c>
      <c r="FZ211" s="6" t="str">
        <f t="shared" ca="1" si="105"/>
        <v>R3-22</v>
      </c>
    </row>
    <row r="212" spans="1:182" ht="15.95" customHeight="1">
      <c r="A212" s="6">
        <v>594</v>
      </c>
      <c r="B212" s="6" t="s">
        <v>653</v>
      </c>
      <c r="E212" s="6" t="s">
        <v>928</v>
      </c>
      <c r="F212" s="6" t="s">
        <v>1469</v>
      </c>
      <c r="G212" s="6" t="s">
        <v>1290</v>
      </c>
      <c r="H212" s="7" t="s">
        <v>1291</v>
      </c>
      <c r="I212" s="7"/>
      <c r="J212" s="6" t="e">
        <v>#N/A</v>
      </c>
      <c r="K212" s="6" t="e">
        <v>#N/A</v>
      </c>
      <c r="N212" s="6" t="e">
        <v>#N/A</v>
      </c>
      <c r="O212" s="6" t="e">
        <v>#N/A</v>
      </c>
      <c r="R212" s="101" t="e">
        <v>#N/A</v>
      </c>
      <c r="Y212" s="6" t="e">
        <v>#N/A</v>
      </c>
      <c r="Z212" s="6" t="e">
        <v>#N/A</v>
      </c>
      <c r="AA212" s="6" t="e">
        <v>#N/A</v>
      </c>
      <c r="AD212" s="6" t="e">
        <v>#N/A</v>
      </c>
      <c r="AE212" s="6" t="e">
        <v>#N/A</v>
      </c>
      <c r="AG212" s="6" t="e">
        <v>#N/A</v>
      </c>
      <c r="AY212" s="8" t="s">
        <v>176</v>
      </c>
      <c r="AZ212" s="8" t="s">
        <v>195</v>
      </c>
      <c r="BA212" s="13" t="s">
        <v>656</v>
      </c>
      <c r="BB212" s="13" t="s">
        <v>796</v>
      </c>
      <c r="BC212" s="13">
        <v>53</v>
      </c>
      <c r="BD212" s="13">
        <v>54</v>
      </c>
      <c r="DC212" s="6" t="s">
        <v>723</v>
      </c>
      <c r="DD212" s="6" t="s">
        <v>192</v>
      </c>
      <c r="DH212" s="6" t="str">
        <f>"A"&amp;EA212</f>
        <v>A2</v>
      </c>
      <c r="DI212" s="6" t="str">
        <f>"B"&amp;EA212</f>
        <v>B2</v>
      </c>
      <c r="DK212" s="6" t="s">
        <v>173</v>
      </c>
      <c r="DL212" s="6" t="str">
        <f>IF(DZ212&lt;&gt;"","CN2","")</f>
        <v>CN2</v>
      </c>
      <c r="DO212" s="9" t="s">
        <v>170</v>
      </c>
      <c r="DP212" s="6" t="s">
        <v>171</v>
      </c>
      <c r="DQ212" s="6" t="s">
        <v>645</v>
      </c>
      <c r="DR212" s="6" t="e">
        <f>#REF!&amp;RIGHT(#REF!,3)</f>
        <v>#REF!</v>
      </c>
      <c r="DS212" s="6" t="str">
        <f>IF(MID(EF212,2,1)="A","KS1","AKB331")</f>
        <v>AKB331</v>
      </c>
      <c r="DT212" s="10" t="str">
        <f>DQ212&amp;"-"&amp;DX212&amp;"-"&amp;DY212&amp;"/"&amp;BA212&amp;"-"&amp;DD212&amp;"-"&amp;DK212</f>
        <v>FCS0111-5-7/1S–MC–127-R6-CN1</v>
      </c>
      <c r="DU212" s="6" t="str">
        <f>IF(DL212="","",DQ212&amp;"-"&amp;DX212&amp;"-"&amp;DY212&amp;"/"&amp;BA212&amp;"-"&amp;DD212&amp;"-"&amp;DL212)</f>
        <v>FCS0111-5-7/1S–MC–127-R6-CN2</v>
      </c>
      <c r="DV212" s="19">
        <v>1</v>
      </c>
      <c r="DW212" s="20" t="str">
        <f>RIGHT(DQ212,2)</f>
        <v>11</v>
      </c>
      <c r="DX212" s="20">
        <v>5</v>
      </c>
      <c r="DY212" s="21">
        <v>7</v>
      </c>
      <c r="DZ212" s="22">
        <v>8</v>
      </c>
      <c r="EA212" s="23">
        <v>2</v>
      </c>
      <c r="EB212" s="7">
        <v>18</v>
      </c>
      <c r="EC212" s="6">
        <v>1</v>
      </c>
      <c r="EE212" s="9" t="s">
        <v>654</v>
      </c>
      <c r="EF212" s="6" t="s">
        <v>672</v>
      </c>
      <c r="EG212" s="6" t="s">
        <v>647</v>
      </c>
      <c r="EH212" s="6" t="s">
        <v>928</v>
      </c>
      <c r="EI212" s="6" t="s">
        <v>767</v>
      </c>
      <c r="EJ212" s="12">
        <v>9</v>
      </c>
      <c r="EK212" s="12"/>
      <c r="EM212" s="12"/>
      <c r="EN212" s="25" t="s">
        <v>1121</v>
      </c>
      <c r="ET212" s="6" t="str">
        <f t="shared" si="106"/>
        <v>홀수</v>
      </c>
      <c r="EU212" s="12">
        <v>59</v>
      </c>
      <c r="EV212" s="45" t="str">
        <f t="shared" ca="1" si="111"/>
        <v>C</v>
      </c>
      <c r="EW212" s="6">
        <f t="shared" ca="1" si="107"/>
        <v>67</v>
      </c>
      <c r="FO212" s="6"/>
      <c r="FP212" s="11"/>
      <c r="FR212" s="6">
        <v>1</v>
      </c>
      <c r="FS212" s="6">
        <f t="shared" si="108"/>
        <v>1</v>
      </c>
      <c r="FT212" s="6" t="str">
        <f t="shared" si="109"/>
        <v/>
      </c>
      <c r="FU212" s="6" t="str">
        <f t="shared" ca="1" si="112"/>
        <v>R6-11</v>
      </c>
      <c r="FV212" s="6" t="str">
        <f t="shared" ca="1" si="110"/>
        <v>R6-12</v>
      </c>
      <c r="FW212" s="6" t="str">
        <f t="shared" ca="1" si="102"/>
        <v/>
      </c>
      <c r="FX212" s="6" t="str">
        <f t="shared" ca="1" si="103"/>
        <v/>
      </c>
      <c r="FY212" s="6" t="str">
        <f t="shared" ca="1" si="104"/>
        <v/>
      </c>
      <c r="FZ212" s="6" t="str">
        <f t="shared" ca="1" si="105"/>
        <v/>
      </c>
    </row>
    <row r="213" spans="1:182" ht="15.95" customHeight="1">
      <c r="A213" s="6">
        <v>593</v>
      </c>
      <c r="B213" s="6" t="s">
        <v>653</v>
      </c>
      <c r="E213" s="6" t="s">
        <v>927</v>
      </c>
      <c r="F213" s="6" t="s">
        <v>1470</v>
      </c>
      <c r="G213" s="6" t="s">
        <v>1290</v>
      </c>
      <c r="H213" s="7" t="s">
        <v>1291</v>
      </c>
      <c r="I213" s="7"/>
      <c r="J213" s="6" t="e">
        <v>#N/A</v>
      </c>
      <c r="K213" s="6" t="e">
        <v>#N/A</v>
      </c>
      <c r="N213" s="6" t="e">
        <v>#N/A</v>
      </c>
      <c r="O213" s="6" t="e">
        <v>#N/A</v>
      </c>
      <c r="R213" s="101" t="e">
        <v>#N/A</v>
      </c>
      <c r="Y213" s="6" t="e">
        <v>#N/A</v>
      </c>
      <c r="Z213" s="6" t="e">
        <v>#N/A</v>
      </c>
      <c r="AA213" s="6" t="e">
        <v>#N/A</v>
      </c>
      <c r="AD213" s="6" t="e">
        <v>#N/A</v>
      </c>
      <c r="AE213" s="6" t="e">
        <v>#N/A</v>
      </c>
      <c r="AG213" s="6" t="e">
        <v>#N/A</v>
      </c>
      <c r="AY213" s="8" t="s">
        <v>176</v>
      </c>
      <c r="AZ213" s="8" t="s">
        <v>195</v>
      </c>
      <c r="BA213" s="13" t="s">
        <v>656</v>
      </c>
      <c r="BB213" s="13" t="s">
        <v>796</v>
      </c>
      <c r="BC213" s="13">
        <v>51</v>
      </c>
      <c r="BD213" s="13">
        <v>52</v>
      </c>
      <c r="DC213" s="6" t="s">
        <v>723</v>
      </c>
      <c r="DD213" s="6" t="s">
        <v>192</v>
      </c>
      <c r="DH213" s="6" t="str">
        <f>"A"&amp;EA213</f>
        <v>A1</v>
      </c>
      <c r="DI213" s="6" t="str">
        <f>"B"&amp;EA213</f>
        <v>B1</v>
      </c>
      <c r="DK213" s="6" t="s">
        <v>173</v>
      </c>
      <c r="DL213" s="6" t="str">
        <f>IF(DZ213&lt;&gt;"","CN2","")</f>
        <v>CN2</v>
      </c>
      <c r="DO213" s="9" t="s">
        <v>170</v>
      </c>
      <c r="DP213" s="6" t="s">
        <v>171</v>
      </c>
      <c r="DQ213" s="6" t="s">
        <v>645</v>
      </c>
      <c r="DR213" s="6" t="e">
        <f>#REF!&amp;RIGHT(#REF!,3)</f>
        <v>#REF!</v>
      </c>
      <c r="DS213" s="6" t="str">
        <f>IF(MID(EF213,2,1)="A","KS1","AKB331")</f>
        <v>AKB331</v>
      </c>
      <c r="DT213" s="10" t="str">
        <f>DQ213&amp;"-"&amp;DX213&amp;"-"&amp;DY213&amp;"/"&amp;BA213&amp;"-"&amp;DD213&amp;"-"&amp;DK213</f>
        <v>FCS0111-5-7/1S–MC–127-R6-CN1</v>
      </c>
      <c r="DU213" s="6" t="str">
        <f>IF(DL213="","",DQ213&amp;"-"&amp;DX213&amp;"-"&amp;DY213&amp;"/"&amp;BA213&amp;"-"&amp;DD213&amp;"-"&amp;DL213)</f>
        <v>FCS0111-5-7/1S–MC–127-R6-CN2</v>
      </c>
      <c r="DV213" s="19">
        <v>1</v>
      </c>
      <c r="DW213" s="20" t="str">
        <f>RIGHT(DQ213,2)</f>
        <v>11</v>
      </c>
      <c r="DX213" s="20">
        <v>5</v>
      </c>
      <c r="DY213" s="21">
        <v>7</v>
      </c>
      <c r="DZ213" s="22">
        <v>8</v>
      </c>
      <c r="EA213" s="23">
        <v>1</v>
      </c>
      <c r="EB213" s="7">
        <v>17</v>
      </c>
      <c r="EC213" s="6">
        <v>1</v>
      </c>
      <c r="EE213" s="9" t="s">
        <v>654</v>
      </c>
      <c r="EF213" s="6" t="s">
        <v>672</v>
      </c>
      <c r="EG213" s="6" t="s">
        <v>647</v>
      </c>
      <c r="EH213" s="6" t="s">
        <v>927</v>
      </c>
      <c r="EI213" s="6" t="s">
        <v>767</v>
      </c>
      <c r="EJ213" s="12">
        <v>9</v>
      </c>
      <c r="EK213" s="12"/>
      <c r="EM213" s="12"/>
      <c r="EN213" s="25" t="s">
        <v>1121</v>
      </c>
      <c r="ET213" s="6" t="str">
        <f t="shared" si="106"/>
        <v>홀수</v>
      </c>
      <c r="EU213" s="12">
        <v>59</v>
      </c>
      <c r="EV213" s="45" t="str">
        <f t="shared" ca="1" si="111"/>
        <v>D</v>
      </c>
      <c r="EW213" s="6">
        <f t="shared" ca="1" si="107"/>
        <v>68</v>
      </c>
      <c r="FO213" s="6"/>
      <c r="FP213" s="11"/>
      <c r="FR213" s="6">
        <v>1</v>
      </c>
      <c r="FS213" s="6">
        <f t="shared" si="108"/>
        <v>1</v>
      </c>
      <c r="FT213" s="6" t="str">
        <f t="shared" si="109"/>
        <v/>
      </c>
      <c r="FU213" s="6" t="str">
        <f t="shared" ca="1" si="112"/>
        <v>R6-11</v>
      </c>
      <c r="FV213" s="6" t="str">
        <f t="shared" ca="1" si="110"/>
        <v>R6-12</v>
      </c>
      <c r="FW213" s="6" t="str">
        <f t="shared" ca="1" si="102"/>
        <v/>
      </c>
      <c r="FX213" s="6" t="str">
        <f t="shared" ca="1" si="103"/>
        <v/>
      </c>
      <c r="FY213" s="6" t="str">
        <f t="shared" ca="1" si="104"/>
        <v/>
      </c>
      <c r="FZ213" s="6" t="str">
        <f t="shared" ca="1" si="105"/>
        <v/>
      </c>
    </row>
    <row r="214" spans="1:182" ht="15.95" customHeight="1">
      <c r="A214" s="6">
        <v>341</v>
      </c>
      <c r="B214" s="6" t="s">
        <v>175</v>
      </c>
      <c r="E214" s="6" t="s">
        <v>769</v>
      </c>
      <c r="F214" s="6" t="s">
        <v>1471</v>
      </c>
      <c r="G214" s="6" t="s">
        <v>1290</v>
      </c>
      <c r="H214" s="7" t="s">
        <v>1291</v>
      </c>
      <c r="I214" s="7"/>
      <c r="J214" s="6" t="e">
        <v>#N/A</v>
      </c>
      <c r="K214" s="6" t="e">
        <v>#N/A</v>
      </c>
      <c r="N214" s="6" t="e">
        <v>#N/A</v>
      </c>
      <c r="O214" s="6" t="e">
        <v>#N/A</v>
      </c>
      <c r="R214" s="101" t="e">
        <v>#N/A</v>
      </c>
      <c r="Y214" s="6" t="e">
        <v>#N/A</v>
      </c>
      <c r="Z214" s="6" t="e">
        <v>#N/A</v>
      </c>
      <c r="AA214" s="6" t="e">
        <v>#N/A</v>
      </c>
      <c r="AD214" s="6" t="e">
        <v>#N/A</v>
      </c>
      <c r="AE214" s="6" t="e">
        <v>#N/A</v>
      </c>
      <c r="AG214" s="6" t="e">
        <v>#N/A</v>
      </c>
      <c r="AY214" s="8" t="s">
        <v>176</v>
      </c>
      <c r="AZ214" s="8" t="s">
        <v>195</v>
      </c>
      <c r="BA214" s="13" t="s">
        <v>656</v>
      </c>
      <c r="BB214" s="13" t="s">
        <v>740</v>
      </c>
      <c r="BC214" s="13">
        <v>7</v>
      </c>
      <c r="BD214" s="13">
        <v>8</v>
      </c>
      <c r="DC214" s="6" t="s">
        <v>644</v>
      </c>
      <c r="DD214" s="6" t="s">
        <v>189</v>
      </c>
      <c r="DH214" s="6" t="str">
        <f t="shared" si="118"/>
        <v>A5</v>
      </c>
      <c r="DI214" s="6" t="str">
        <f t="shared" si="119"/>
        <v>B5</v>
      </c>
      <c r="DK214" s="6" t="s">
        <v>173</v>
      </c>
      <c r="DL214" s="6" t="str">
        <f t="shared" si="120"/>
        <v/>
      </c>
      <c r="DO214" s="9" t="s">
        <v>170</v>
      </c>
      <c r="DP214" s="6" t="s">
        <v>171</v>
      </c>
      <c r="DQ214" s="6" t="s">
        <v>645</v>
      </c>
      <c r="DS214" s="6" t="str">
        <f t="shared" si="113"/>
        <v>AKB331</v>
      </c>
      <c r="DT214" s="10" t="str">
        <f t="shared" si="114"/>
        <v>FCS0111-4-5/1S–MC–127-R3-CN1</v>
      </c>
      <c r="DU214" s="6" t="str">
        <f t="shared" si="115"/>
        <v/>
      </c>
      <c r="DV214" s="19">
        <v>1</v>
      </c>
      <c r="DW214" s="20" t="str">
        <f t="shared" si="116"/>
        <v>11</v>
      </c>
      <c r="DX214" s="21">
        <v>4</v>
      </c>
      <c r="DY214" s="22">
        <v>5</v>
      </c>
      <c r="DZ214" s="23" t="s">
        <v>204</v>
      </c>
      <c r="EA214" s="23">
        <v>5</v>
      </c>
      <c r="ED214" s="9" t="str">
        <f t="shared" si="117"/>
        <v>ANB10D</v>
      </c>
      <c r="EF214" s="6" t="s">
        <v>647</v>
      </c>
      <c r="EH214" s="6" t="s">
        <v>769</v>
      </c>
      <c r="EI214" s="6" t="s">
        <v>770</v>
      </c>
      <c r="EJ214" s="12">
        <v>9</v>
      </c>
      <c r="EK214" s="12"/>
      <c r="EM214" s="12"/>
      <c r="EN214" s="25" t="s">
        <v>1121</v>
      </c>
      <c r="EP214" s="6" t="s">
        <v>1153</v>
      </c>
      <c r="ER214" s="6" t="str">
        <f>MID(EH214,3,8)</f>
        <v>P4015</v>
      </c>
      <c r="ET214" s="6" t="str">
        <f t="shared" si="106"/>
        <v>짝수</v>
      </c>
      <c r="EU214" s="12">
        <v>40</v>
      </c>
      <c r="EV214" s="45" t="str">
        <f t="shared" ca="1" si="111"/>
        <v>A</v>
      </c>
      <c r="EW214" s="6">
        <f t="shared" ca="1" si="107"/>
        <v>65</v>
      </c>
      <c r="FR214" s="6">
        <v>1</v>
      </c>
      <c r="FS214" s="6" t="str">
        <f t="shared" si="108"/>
        <v/>
      </c>
      <c r="FT214" s="6">
        <f t="shared" si="109"/>
        <v>1</v>
      </c>
      <c r="FU214" s="6" t="str">
        <f t="shared" ca="1" si="112"/>
        <v/>
      </c>
      <c r="FV214" s="6" t="str">
        <f t="shared" ca="1" si="110"/>
        <v/>
      </c>
      <c r="FW214" s="6" t="str">
        <f t="shared" ca="1" si="102"/>
        <v>R3-11</v>
      </c>
      <c r="FX214" s="6" t="str">
        <f t="shared" ca="1" si="103"/>
        <v>R3-12</v>
      </c>
      <c r="FY214" s="6" t="str">
        <f t="shared" ca="1" si="104"/>
        <v>R3-21</v>
      </c>
      <c r="FZ214" s="6" t="str">
        <f t="shared" ca="1" si="105"/>
        <v>R3-22</v>
      </c>
    </row>
    <row r="215" spans="1:182" ht="15.95" customHeight="1">
      <c r="A215" s="6">
        <v>342</v>
      </c>
      <c r="B215" s="6" t="s">
        <v>175</v>
      </c>
      <c r="E215" s="6" t="s">
        <v>771</v>
      </c>
      <c r="F215" s="6" t="s">
        <v>1472</v>
      </c>
      <c r="G215" s="6" t="s">
        <v>1290</v>
      </c>
      <c r="H215" s="7" t="s">
        <v>1291</v>
      </c>
      <c r="I215" s="7"/>
      <c r="J215" s="6" t="e">
        <v>#N/A</v>
      </c>
      <c r="K215" s="6" t="e">
        <v>#N/A</v>
      </c>
      <c r="N215" s="6" t="e">
        <v>#N/A</v>
      </c>
      <c r="O215" s="6" t="e">
        <v>#N/A</v>
      </c>
      <c r="R215" s="101" t="e">
        <v>#N/A</v>
      </c>
      <c r="Y215" s="6" t="e">
        <v>#N/A</v>
      </c>
      <c r="Z215" s="6" t="e">
        <v>#N/A</v>
      </c>
      <c r="AA215" s="6" t="e">
        <v>#N/A</v>
      </c>
      <c r="AD215" s="6" t="e">
        <v>#N/A</v>
      </c>
      <c r="AE215" s="6" t="e">
        <v>#N/A</v>
      </c>
      <c r="AG215" s="6" t="e">
        <v>#N/A</v>
      </c>
      <c r="AY215" s="8" t="s">
        <v>176</v>
      </c>
      <c r="AZ215" s="8" t="s">
        <v>195</v>
      </c>
      <c r="BA215" s="13" t="s">
        <v>656</v>
      </c>
      <c r="BB215" s="13" t="s">
        <v>740</v>
      </c>
      <c r="BC215" s="13">
        <v>9</v>
      </c>
      <c r="BD215" s="13">
        <v>10</v>
      </c>
      <c r="DC215" s="6" t="s">
        <v>644</v>
      </c>
      <c r="DD215" s="6" t="s">
        <v>189</v>
      </c>
      <c r="DH215" s="6" t="str">
        <f>"A"&amp;EA215</f>
        <v>A6</v>
      </c>
      <c r="DI215" s="6" t="str">
        <f>"B"&amp;EA215</f>
        <v>B6</v>
      </c>
      <c r="DK215" s="6" t="s">
        <v>173</v>
      </c>
      <c r="DL215" s="6" t="str">
        <f>IF(DZ215&lt;&gt;"","CN2","")</f>
        <v/>
      </c>
      <c r="DO215" s="9" t="s">
        <v>170</v>
      </c>
      <c r="DP215" s="6" t="s">
        <v>171</v>
      </c>
      <c r="DQ215" s="6" t="s">
        <v>645</v>
      </c>
      <c r="DS215" s="6" t="str">
        <f>IF(MID(EF215,2,1)="A","KS1","AKB331")</f>
        <v>AKB331</v>
      </c>
      <c r="DT215" s="10" t="str">
        <f>DQ215&amp;"-"&amp;DX215&amp;"-"&amp;DY215&amp;"/"&amp;BA215&amp;"-"&amp;DD215&amp;"-"&amp;DK215</f>
        <v>FCS0111-4-5/1S–MC–127-R3-CN1</v>
      </c>
      <c r="DU215" s="6" t="str">
        <f>IF(DL215="","",DQ215&amp;"-"&amp;DX215&amp;"-"&amp;DY215&amp;"/"&amp;BA215&amp;"-"&amp;DD215&amp;"-"&amp;DL215)</f>
        <v/>
      </c>
      <c r="DV215" s="19">
        <v>1</v>
      </c>
      <c r="DW215" s="20" t="str">
        <f>RIGHT(DQ215,2)</f>
        <v>11</v>
      </c>
      <c r="DX215" s="21">
        <v>4</v>
      </c>
      <c r="DY215" s="22">
        <v>5</v>
      </c>
      <c r="DZ215" s="23" t="s">
        <v>204</v>
      </c>
      <c r="EA215" s="23">
        <v>6</v>
      </c>
      <c r="ED215" s="9" t="str">
        <f>IF(DX215="1","AFV30D","ANB10D")</f>
        <v>ANB10D</v>
      </c>
      <c r="EF215" s="6" t="s">
        <v>647</v>
      </c>
      <c r="EH215" s="6" t="s">
        <v>771</v>
      </c>
      <c r="EI215" s="6" t="s">
        <v>770</v>
      </c>
      <c r="EJ215" s="12">
        <v>9</v>
      </c>
      <c r="EK215" s="12"/>
      <c r="EM215" s="12"/>
      <c r="EN215" s="25" t="s">
        <v>1121</v>
      </c>
      <c r="ET215" s="6" t="str">
        <f t="shared" si="106"/>
        <v>짝수</v>
      </c>
      <c r="EU215" s="12">
        <v>40</v>
      </c>
      <c r="EV215" s="45" t="str">
        <f t="shared" ca="1" si="111"/>
        <v>B</v>
      </c>
      <c r="EW215" s="6">
        <f t="shared" ca="1" si="107"/>
        <v>66</v>
      </c>
      <c r="FA215" s="6" t="str">
        <f>ER214&amp;"INT"</f>
        <v>P4015INT</v>
      </c>
      <c r="FR215" s="6">
        <v>1</v>
      </c>
      <c r="FS215" s="6" t="str">
        <f t="shared" si="108"/>
        <v/>
      </c>
      <c r="FT215" s="6">
        <f t="shared" si="109"/>
        <v>1</v>
      </c>
      <c r="FU215" s="6" t="str">
        <f t="shared" ca="1" si="112"/>
        <v/>
      </c>
      <c r="FV215" s="6" t="str">
        <f t="shared" ca="1" si="110"/>
        <v/>
      </c>
      <c r="FW215" s="6" t="str">
        <f t="shared" ca="1" si="102"/>
        <v>R3-11</v>
      </c>
      <c r="FX215" s="6" t="str">
        <f t="shared" ca="1" si="103"/>
        <v>R3-12</v>
      </c>
      <c r="FY215" s="6" t="str">
        <f t="shared" ca="1" si="104"/>
        <v>R3-21</v>
      </c>
      <c r="FZ215" s="6" t="str">
        <f t="shared" ca="1" si="105"/>
        <v>R3-22</v>
      </c>
    </row>
    <row r="216" spans="1:182" ht="15.95" customHeight="1">
      <c r="A216" s="6">
        <v>597</v>
      </c>
      <c r="B216" s="6" t="s">
        <v>653</v>
      </c>
      <c r="E216" s="6" t="s">
        <v>930</v>
      </c>
      <c r="F216" s="6" t="s">
        <v>1473</v>
      </c>
      <c r="G216" s="6" t="s">
        <v>1290</v>
      </c>
      <c r="H216" s="7" t="s">
        <v>1291</v>
      </c>
      <c r="I216" s="7"/>
      <c r="J216" s="6" t="e">
        <v>#N/A</v>
      </c>
      <c r="K216" s="6" t="e">
        <v>#N/A</v>
      </c>
      <c r="N216" s="6" t="e">
        <v>#N/A</v>
      </c>
      <c r="O216" s="6" t="e">
        <v>#N/A</v>
      </c>
      <c r="R216" s="101" t="e">
        <v>#N/A</v>
      </c>
      <c r="Y216" s="6" t="e">
        <v>#N/A</v>
      </c>
      <c r="Z216" s="6" t="e">
        <v>#N/A</v>
      </c>
      <c r="AA216" s="6" t="e">
        <v>#N/A</v>
      </c>
      <c r="AD216" s="6" t="e">
        <v>#N/A</v>
      </c>
      <c r="AE216" s="6" t="e">
        <v>#N/A</v>
      </c>
      <c r="AG216" s="6" t="e">
        <v>#N/A</v>
      </c>
      <c r="AY216" s="8" t="s">
        <v>176</v>
      </c>
      <c r="AZ216" s="8" t="s">
        <v>195</v>
      </c>
      <c r="BA216" s="13" t="s">
        <v>656</v>
      </c>
      <c r="BB216" s="13" t="s">
        <v>796</v>
      </c>
      <c r="BC216" s="13">
        <v>59</v>
      </c>
      <c r="BD216" s="13">
        <v>60</v>
      </c>
      <c r="DC216" s="6" t="s">
        <v>723</v>
      </c>
      <c r="DD216" s="6" t="s">
        <v>192</v>
      </c>
      <c r="DH216" s="6" t="str">
        <f>"A"&amp;EA216</f>
        <v>A5</v>
      </c>
      <c r="DI216" s="6" t="str">
        <f>"B"&amp;EA216</f>
        <v>B5</v>
      </c>
      <c r="DK216" s="6" t="s">
        <v>173</v>
      </c>
      <c r="DL216" s="6" t="str">
        <f>IF(DZ216&lt;&gt;"","CN2","")</f>
        <v>CN2</v>
      </c>
      <c r="DO216" s="9" t="s">
        <v>170</v>
      </c>
      <c r="DP216" s="6" t="s">
        <v>171</v>
      </c>
      <c r="DQ216" s="6" t="s">
        <v>645</v>
      </c>
      <c r="DR216" s="6" t="e">
        <f>#REF!&amp;RIGHT(#REF!,3)</f>
        <v>#REF!</v>
      </c>
      <c r="DS216" s="6" t="str">
        <f>IF(MID(EF216,2,1)="A","KS1","AKB331")</f>
        <v>AKB331</v>
      </c>
      <c r="DT216" s="10" t="str">
        <f>DQ216&amp;"-"&amp;DX216&amp;"-"&amp;DY216&amp;"/"&amp;BA216&amp;"-"&amp;DD216&amp;"-"&amp;DK216</f>
        <v>FCS0111-5-7/1S–MC–127-R6-CN1</v>
      </c>
      <c r="DU216" s="6" t="str">
        <f>IF(DL216="","",DQ216&amp;"-"&amp;DX216&amp;"-"&amp;DY216&amp;"/"&amp;BA216&amp;"-"&amp;DD216&amp;"-"&amp;DL216)</f>
        <v>FCS0111-5-7/1S–MC–127-R6-CN2</v>
      </c>
      <c r="DV216" s="19">
        <v>1</v>
      </c>
      <c r="DW216" s="20" t="str">
        <f>RIGHT(DQ216,2)</f>
        <v>11</v>
      </c>
      <c r="DX216" s="20">
        <v>5</v>
      </c>
      <c r="DY216" s="21">
        <v>7</v>
      </c>
      <c r="DZ216" s="22">
        <v>8</v>
      </c>
      <c r="EA216" s="23">
        <v>5</v>
      </c>
      <c r="EB216" s="7">
        <v>21</v>
      </c>
      <c r="EC216" s="6">
        <v>1</v>
      </c>
      <c r="EE216" s="9" t="s">
        <v>654</v>
      </c>
      <c r="EF216" s="6" t="s">
        <v>672</v>
      </c>
      <c r="EG216" s="6" t="s">
        <v>647</v>
      </c>
      <c r="EH216" s="6" t="s">
        <v>930</v>
      </c>
      <c r="EI216" s="6" t="s">
        <v>770</v>
      </c>
      <c r="EJ216" s="12">
        <v>9</v>
      </c>
      <c r="EK216" s="12"/>
      <c r="EM216" s="12"/>
      <c r="EN216" s="25" t="s">
        <v>1121</v>
      </c>
      <c r="ET216" s="6" t="str">
        <f t="shared" si="106"/>
        <v>짝수</v>
      </c>
      <c r="EU216" s="12">
        <v>40</v>
      </c>
      <c r="EV216" s="45" t="str">
        <f t="shared" ca="1" si="111"/>
        <v>C</v>
      </c>
      <c r="EW216" s="6">
        <f t="shared" ca="1" si="107"/>
        <v>67</v>
      </c>
      <c r="FO216" s="6"/>
      <c r="FP216" s="11"/>
      <c r="FR216" s="6">
        <v>1</v>
      </c>
      <c r="FS216" s="6">
        <f t="shared" si="108"/>
        <v>1</v>
      </c>
      <c r="FT216" s="6" t="str">
        <f t="shared" si="109"/>
        <v/>
      </c>
      <c r="FU216" s="6" t="str">
        <f t="shared" ca="1" si="112"/>
        <v>R6-11</v>
      </c>
      <c r="FV216" s="6" t="str">
        <f t="shared" ca="1" si="110"/>
        <v>R6-12</v>
      </c>
      <c r="FW216" s="6" t="str">
        <f t="shared" ref="FW216:FW247" ca="1" si="121">IF(AND(FT216=1,FU216=""),DD216&amp;"-11",IF(AND(FT216=1,FU216&lt;&gt;""),DD216&amp;"-21",""))</f>
        <v/>
      </c>
      <c r="FX216" s="6" t="str">
        <f t="shared" ref="FX216:FX247" ca="1" si="122">IF(AND(FT216=1,FU216=""),DD216&amp;"-12",IF(AND(FT216=1,FU216&lt;&gt;""),DD216&amp;"-22",""))</f>
        <v/>
      </c>
      <c r="FY216" s="6" t="str">
        <f t="shared" ref="FY216:FY247" ca="1" si="123">IF(AND(FS216="",OFFSET(FS216,0,1)="",DC216="A1BA4D"),"",IF(DC216="A1BD5D",LEFT(FW216,3)&amp;"21",FW216))</f>
        <v/>
      </c>
      <c r="FZ216" s="6" t="str">
        <f t="shared" ref="FZ216:FZ247" ca="1" si="124" xml:space="preserve">
IF(AND(FS216="",OFFSET(FS216,0,1)="",DC216="A1BA4D"),"",IF(DC216="A1BD5D",LEFT(FW216,3)&amp;"22",FW216))</f>
        <v/>
      </c>
    </row>
    <row r="217" spans="1:182" ht="15.95" customHeight="1">
      <c r="A217" s="6">
        <v>596</v>
      </c>
      <c r="B217" s="6" t="s">
        <v>653</v>
      </c>
      <c r="E217" s="6" t="s">
        <v>929</v>
      </c>
      <c r="F217" s="6" t="s">
        <v>1474</v>
      </c>
      <c r="G217" s="6" t="s">
        <v>1290</v>
      </c>
      <c r="H217" s="7" t="s">
        <v>1291</v>
      </c>
      <c r="I217" s="7"/>
      <c r="J217" s="6" t="e">
        <v>#N/A</v>
      </c>
      <c r="K217" s="6" t="e">
        <v>#N/A</v>
      </c>
      <c r="N217" s="6" t="e">
        <v>#N/A</v>
      </c>
      <c r="O217" s="6" t="e">
        <v>#N/A</v>
      </c>
      <c r="R217" s="101" t="e">
        <v>#N/A</v>
      </c>
      <c r="Y217" s="6" t="e">
        <v>#N/A</v>
      </c>
      <c r="Z217" s="6" t="e">
        <v>#N/A</v>
      </c>
      <c r="AA217" s="6" t="e">
        <v>#N/A</v>
      </c>
      <c r="AD217" s="6" t="e">
        <v>#N/A</v>
      </c>
      <c r="AE217" s="6" t="e">
        <v>#N/A</v>
      </c>
      <c r="AG217" s="6" t="e">
        <v>#N/A</v>
      </c>
      <c r="AY217" s="8" t="s">
        <v>176</v>
      </c>
      <c r="AZ217" s="8" t="s">
        <v>195</v>
      </c>
      <c r="BA217" s="13" t="s">
        <v>656</v>
      </c>
      <c r="BB217" s="13" t="s">
        <v>796</v>
      </c>
      <c r="BC217" s="13">
        <v>57</v>
      </c>
      <c r="BD217" s="13">
        <v>58</v>
      </c>
      <c r="DC217" s="6" t="s">
        <v>723</v>
      </c>
      <c r="DD217" s="6" t="s">
        <v>192</v>
      </c>
      <c r="DH217" s="6" t="str">
        <f>"A"&amp;EA217</f>
        <v>A4</v>
      </c>
      <c r="DI217" s="6" t="str">
        <f>"B"&amp;EA217</f>
        <v>B4</v>
      </c>
      <c r="DK217" s="6" t="s">
        <v>173</v>
      </c>
      <c r="DL217" s="6" t="str">
        <f>IF(DZ217&lt;&gt;"","CN2","")</f>
        <v>CN2</v>
      </c>
      <c r="DO217" s="9" t="s">
        <v>170</v>
      </c>
      <c r="DP217" s="6" t="s">
        <v>171</v>
      </c>
      <c r="DQ217" s="6" t="s">
        <v>645</v>
      </c>
      <c r="DR217" s="6" t="e">
        <f>#REF!&amp;RIGHT(#REF!,3)</f>
        <v>#REF!</v>
      </c>
      <c r="DS217" s="6" t="str">
        <f>IF(MID(EF217,2,1)="A","KS1","AKB331")</f>
        <v>AKB331</v>
      </c>
      <c r="DT217" s="10" t="str">
        <f>DQ217&amp;"-"&amp;DX217&amp;"-"&amp;DY217&amp;"/"&amp;BA217&amp;"-"&amp;DD217&amp;"-"&amp;DK217</f>
        <v>FCS0111-5-7/1S–MC–127-R6-CN1</v>
      </c>
      <c r="DU217" s="6" t="str">
        <f>IF(DL217="","",DQ217&amp;"-"&amp;DX217&amp;"-"&amp;DY217&amp;"/"&amp;BA217&amp;"-"&amp;DD217&amp;"-"&amp;DL217)</f>
        <v>FCS0111-5-7/1S–MC–127-R6-CN2</v>
      </c>
      <c r="DV217" s="19">
        <v>1</v>
      </c>
      <c r="DW217" s="20" t="str">
        <f>RIGHT(DQ217,2)</f>
        <v>11</v>
      </c>
      <c r="DX217" s="20">
        <v>5</v>
      </c>
      <c r="DY217" s="21">
        <v>7</v>
      </c>
      <c r="DZ217" s="22">
        <v>8</v>
      </c>
      <c r="EA217" s="23">
        <v>4</v>
      </c>
      <c r="EB217" s="7">
        <v>20</v>
      </c>
      <c r="EC217" s="6">
        <v>1</v>
      </c>
      <c r="EE217" s="9" t="s">
        <v>654</v>
      </c>
      <c r="EF217" s="6" t="s">
        <v>672</v>
      </c>
      <c r="EG217" s="6" t="s">
        <v>647</v>
      </c>
      <c r="EH217" s="6" t="s">
        <v>929</v>
      </c>
      <c r="EI217" s="6" t="s">
        <v>770</v>
      </c>
      <c r="EJ217" s="12">
        <v>9</v>
      </c>
      <c r="EK217" s="12"/>
      <c r="EM217" s="12"/>
      <c r="EN217" s="25" t="s">
        <v>1121</v>
      </c>
      <c r="ET217" s="6" t="str">
        <f t="shared" si="106"/>
        <v>짝수</v>
      </c>
      <c r="EU217" s="12">
        <v>40</v>
      </c>
      <c r="EV217" s="45" t="str">
        <f t="shared" ca="1" si="111"/>
        <v>D</v>
      </c>
      <c r="EW217" s="6">
        <f t="shared" ca="1" si="107"/>
        <v>68</v>
      </c>
      <c r="FO217" s="6"/>
      <c r="FP217" s="11"/>
      <c r="FR217" s="6">
        <v>1</v>
      </c>
      <c r="FS217" s="6">
        <f t="shared" si="108"/>
        <v>1</v>
      </c>
      <c r="FT217" s="6" t="str">
        <f t="shared" si="109"/>
        <v/>
      </c>
      <c r="FU217" s="6" t="str">
        <f t="shared" ca="1" si="112"/>
        <v>R6-11</v>
      </c>
      <c r="FV217" s="6" t="str">
        <f t="shared" ca="1" si="110"/>
        <v>R6-12</v>
      </c>
      <c r="FW217" s="6" t="str">
        <f t="shared" ca="1" si="121"/>
        <v/>
      </c>
      <c r="FX217" s="6" t="str">
        <f t="shared" ca="1" si="122"/>
        <v/>
      </c>
      <c r="FY217" s="6" t="str">
        <f t="shared" ca="1" si="123"/>
        <v/>
      </c>
      <c r="FZ217" s="6" t="str">
        <f t="shared" ca="1" si="124"/>
        <v/>
      </c>
    </row>
    <row r="218" spans="1:182" ht="15.95" customHeight="1">
      <c r="A218" s="6">
        <v>344</v>
      </c>
      <c r="B218" s="6" t="s">
        <v>175</v>
      </c>
      <c r="E218" s="6" t="s">
        <v>772</v>
      </c>
      <c r="F218" s="6" t="s">
        <v>1475</v>
      </c>
      <c r="G218" s="6" t="s">
        <v>1290</v>
      </c>
      <c r="H218" s="7" t="s">
        <v>1291</v>
      </c>
      <c r="I218" s="7"/>
      <c r="J218" s="6" t="e">
        <v>#N/A</v>
      </c>
      <c r="K218" s="6" t="e">
        <v>#N/A</v>
      </c>
      <c r="N218" s="6" t="e">
        <v>#N/A</v>
      </c>
      <c r="O218" s="6" t="e">
        <v>#N/A</v>
      </c>
      <c r="R218" s="101" t="e">
        <v>#N/A</v>
      </c>
      <c r="Y218" s="6" t="e">
        <v>#N/A</v>
      </c>
      <c r="Z218" s="6" t="e">
        <v>#N/A</v>
      </c>
      <c r="AA218" s="6" t="e">
        <v>#N/A</v>
      </c>
      <c r="AD218" s="6" t="e">
        <v>#N/A</v>
      </c>
      <c r="AE218" s="6" t="e">
        <v>#N/A</v>
      </c>
      <c r="AG218" s="6" t="e">
        <v>#N/A</v>
      </c>
      <c r="AY218" s="8" t="s">
        <v>176</v>
      </c>
      <c r="AZ218" s="8" t="s">
        <v>195</v>
      </c>
      <c r="BA218" s="13" t="s">
        <v>656</v>
      </c>
      <c r="BB218" s="13" t="s">
        <v>740</v>
      </c>
      <c r="BC218" s="13">
        <v>13</v>
      </c>
      <c r="BD218" s="13">
        <v>14</v>
      </c>
      <c r="DC218" s="6" t="s">
        <v>644</v>
      </c>
      <c r="DD218" s="6" t="s">
        <v>189</v>
      </c>
      <c r="DH218" s="6" t="str">
        <f t="shared" si="118"/>
        <v>A8</v>
      </c>
      <c r="DI218" s="6" t="str">
        <f t="shared" si="119"/>
        <v>B8</v>
      </c>
      <c r="DK218" s="6" t="s">
        <v>173</v>
      </c>
      <c r="DL218" s="6" t="str">
        <f t="shared" si="120"/>
        <v/>
      </c>
      <c r="DO218" s="9" t="s">
        <v>170</v>
      </c>
      <c r="DP218" s="6" t="s">
        <v>171</v>
      </c>
      <c r="DQ218" s="6" t="s">
        <v>645</v>
      </c>
      <c r="DS218" s="6" t="str">
        <f t="shared" si="113"/>
        <v>AKB331</v>
      </c>
      <c r="DT218" s="10" t="str">
        <f t="shared" si="114"/>
        <v>FCS0111-4-5/1S–MC–127-R3-CN1</v>
      </c>
      <c r="DU218" s="6" t="str">
        <f t="shared" si="115"/>
        <v/>
      </c>
      <c r="DV218" s="19">
        <v>1</v>
      </c>
      <c r="DW218" s="20" t="str">
        <f t="shared" si="116"/>
        <v>11</v>
      </c>
      <c r="DX218" s="21">
        <v>4</v>
      </c>
      <c r="DY218" s="22">
        <v>5</v>
      </c>
      <c r="DZ218" s="23" t="s">
        <v>204</v>
      </c>
      <c r="EA218" s="23">
        <v>8</v>
      </c>
      <c r="ED218" s="9" t="str">
        <f t="shared" si="117"/>
        <v>ANB10D</v>
      </c>
      <c r="EF218" s="6" t="s">
        <v>647</v>
      </c>
      <c r="EH218" s="6" t="s">
        <v>772</v>
      </c>
      <c r="EI218" s="6" t="s">
        <v>773</v>
      </c>
      <c r="EJ218" s="12">
        <v>9</v>
      </c>
      <c r="EK218" s="12"/>
      <c r="EM218" s="12"/>
      <c r="EN218" s="25" t="s">
        <v>1121</v>
      </c>
      <c r="EP218" s="6" t="s">
        <v>1153</v>
      </c>
      <c r="ER218" s="6" t="str">
        <f>MID(EH218,3,8)</f>
        <v>P4016A</v>
      </c>
      <c r="ET218" s="6" t="str">
        <f t="shared" si="106"/>
        <v>홀수</v>
      </c>
      <c r="EU218" s="12">
        <v>41</v>
      </c>
      <c r="EV218" s="45" t="str">
        <f t="shared" ca="1" si="111"/>
        <v>A</v>
      </c>
      <c r="EW218" s="6">
        <f t="shared" ca="1" si="107"/>
        <v>65</v>
      </c>
      <c r="FR218" s="6">
        <v>1</v>
      </c>
      <c r="FS218" s="6" t="str">
        <f t="shared" si="108"/>
        <v/>
      </c>
      <c r="FT218" s="6">
        <f t="shared" si="109"/>
        <v>1</v>
      </c>
      <c r="FU218" s="6" t="str">
        <f t="shared" ca="1" si="112"/>
        <v/>
      </c>
      <c r="FV218" s="6" t="str">
        <f t="shared" ca="1" si="110"/>
        <v/>
      </c>
      <c r="FW218" s="6" t="str">
        <f t="shared" ca="1" si="121"/>
        <v>R3-11</v>
      </c>
      <c r="FX218" s="6" t="str">
        <f t="shared" ca="1" si="122"/>
        <v>R3-12</v>
      </c>
      <c r="FY218" s="6" t="str">
        <f t="shared" ca="1" si="123"/>
        <v>R3-21</v>
      </c>
      <c r="FZ218" s="6" t="str">
        <f t="shared" ca="1" si="124"/>
        <v>R3-22</v>
      </c>
    </row>
    <row r="219" spans="1:182" ht="15.95" customHeight="1">
      <c r="A219" s="6">
        <v>345</v>
      </c>
      <c r="B219" s="6" t="s">
        <v>175</v>
      </c>
      <c r="E219" s="6" t="s">
        <v>774</v>
      </c>
      <c r="F219" s="6" t="s">
        <v>1476</v>
      </c>
      <c r="G219" s="6" t="s">
        <v>1290</v>
      </c>
      <c r="H219" s="7" t="s">
        <v>1291</v>
      </c>
      <c r="I219" s="7"/>
      <c r="J219" s="6" t="e">
        <v>#N/A</v>
      </c>
      <c r="K219" s="6" t="e">
        <v>#N/A</v>
      </c>
      <c r="N219" s="6" t="e">
        <v>#N/A</v>
      </c>
      <c r="O219" s="6" t="e">
        <v>#N/A</v>
      </c>
      <c r="R219" s="101" t="e">
        <v>#N/A</v>
      </c>
      <c r="Y219" s="6" t="e">
        <v>#N/A</v>
      </c>
      <c r="Z219" s="6" t="e">
        <v>#N/A</v>
      </c>
      <c r="AA219" s="6" t="e">
        <v>#N/A</v>
      </c>
      <c r="AD219" s="6" t="e">
        <v>#N/A</v>
      </c>
      <c r="AE219" s="6" t="e">
        <v>#N/A</v>
      </c>
      <c r="AG219" s="6" t="e">
        <v>#N/A</v>
      </c>
      <c r="AY219" s="8" t="s">
        <v>176</v>
      </c>
      <c r="AZ219" s="8" t="s">
        <v>195</v>
      </c>
      <c r="BA219" s="13" t="s">
        <v>656</v>
      </c>
      <c r="BB219" s="13" t="s">
        <v>740</v>
      </c>
      <c r="BC219" s="13">
        <v>15</v>
      </c>
      <c r="BD219" s="13">
        <v>16</v>
      </c>
      <c r="DC219" s="6" t="s">
        <v>644</v>
      </c>
      <c r="DD219" s="6" t="s">
        <v>189</v>
      </c>
      <c r="DH219" s="6" t="str">
        <f>"A"&amp;EA219</f>
        <v>A9</v>
      </c>
      <c r="DI219" s="6" t="str">
        <f>"B"&amp;EA219</f>
        <v>B9</v>
      </c>
      <c r="DK219" s="6" t="s">
        <v>173</v>
      </c>
      <c r="DL219" s="6" t="str">
        <f>IF(DZ219&lt;&gt;"","CN2","")</f>
        <v/>
      </c>
      <c r="DO219" s="9" t="s">
        <v>170</v>
      </c>
      <c r="DP219" s="6" t="s">
        <v>171</v>
      </c>
      <c r="DQ219" s="6" t="s">
        <v>645</v>
      </c>
      <c r="DS219" s="6" t="str">
        <f>IF(MID(EF219,2,1)="A","KS1","AKB331")</f>
        <v>AKB331</v>
      </c>
      <c r="DT219" s="10" t="str">
        <f>DQ219&amp;"-"&amp;DX219&amp;"-"&amp;DY219&amp;"/"&amp;BA219&amp;"-"&amp;DD219&amp;"-"&amp;DK219</f>
        <v>FCS0111-4-5/1S–MC–127-R3-CN1</v>
      </c>
      <c r="DU219" s="6" t="str">
        <f>IF(DL219="","",DQ219&amp;"-"&amp;DX219&amp;"-"&amp;DY219&amp;"/"&amp;BA219&amp;"-"&amp;DD219&amp;"-"&amp;DL219)</f>
        <v/>
      </c>
      <c r="DV219" s="19">
        <v>1</v>
      </c>
      <c r="DW219" s="20" t="str">
        <f>RIGHT(DQ219,2)</f>
        <v>11</v>
      </c>
      <c r="DX219" s="21">
        <v>4</v>
      </c>
      <c r="DY219" s="22">
        <v>5</v>
      </c>
      <c r="DZ219" s="23" t="s">
        <v>204</v>
      </c>
      <c r="EA219" s="23">
        <v>9</v>
      </c>
      <c r="ED219" s="9" t="str">
        <f>IF(DX219="1","AFV30D","ANB10D")</f>
        <v>ANB10D</v>
      </c>
      <c r="EF219" s="6" t="s">
        <v>647</v>
      </c>
      <c r="EH219" s="6" t="s">
        <v>774</v>
      </c>
      <c r="EI219" s="6" t="s">
        <v>773</v>
      </c>
      <c r="EJ219" s="12">
        <v>9</v>
      </c>
      <c r="EK219" s="12"/>
      <c r="EM219" s="12"/>
      <c r="EN219" s="25" t="s">
        <v>1121</v>
      </c>
      <c r="ET219" s="6" t="str">
        <f t="shared" si="106"/>
        <v>홀수</v>
      </c>
      <c r="EU219" s="12">
        <v>41</v>
      </c>
      <c r="EV219" s="45" t="str">
        <f t="shared" ca="1" si="111"/>
        <v>B</v>
      </c>
      <c r="EW219" s="6">
        <f t="shared" ca="1" si="107"/>
        <v>66</v>
      </c>
      <c r="FA219" s="6" t="str">
        <f>ER218&amp;"INT"</f>
        <v>P4016AINT</v>
      </c>
      <c r="FR219" s="6">
        <v>1</v>
      </c>
      <c r="FS219" s="6" t="str">
        <f t="shared" si="108"/>
        <v/>
      </c>
      <c r="FT219" s="6">
        <f t="shared" si="109"/>
        <v>1</v>
      </c>
      <c r="FU219" s="6" t="str">
        <f t="shared" ca="1" si="112"/>
        <v/>
      </c>
      <c r="FV219" s="6" t="str">
        <f t="shared" ca="1" si="110"/>
        <v/>
      </c>
      <c r="FW219" s="6" t="str">
        <f t="shared" ca="1" si="121"/>
        <v>R3-11</v>
      </c>
      <c r="FX219" s="6" t="str">
        <f t="shared" ca="1" si="122"/>
        <v>R3-12</v>
      </c>
      <c r="FY219" s="6" t="str">
        <f t="shared" ca="1" si="123"/>
        <v>R3-21</v>
      </c>
      <c r="FZ219" s="6" t="str">
        <f t="shared" ca="1" si="124"/>
        <v>R3-22</v>
      </c>
    </row>
    <row r="220" spans="1:182" ht="15.95" customHeight="1">
      <c r="A220" s="6">
        <v>600</v>
      </c>
      <c r="B220" s="6" t="s">
        <v>653</v>
      </c>
      <c r="E220" s="6" t="s">
        <v>932</v>
      </c>
      <c r="F220" s="6" t="s">
        <v>1477</v>
      </c>
      <c r="G220" s="6" t="s">
        <v>1290</v>
      </c>
      <c r="H220" s="7" t="s">
        <v>1291</v>
      </c>
      <c r="I220" s="7"/>
      <c r="J220" s="6" t="e">
        <v>#N/A</v>
      </c>
      <c r="K220" s="6" t="e">
        <v>#N/A</v>
      </c>
      <c r="N220" s="6" t="e">
        <v>#N/A</v>
      </c>
      <c r="O220" s="6" t="e">
        <v>#N/A</v>
      </c>
      <c r="R220" s="101" t="e">
        <v>#N/A</v>
      </c>
      <c r="Y220" s="6" t="e">
        <v>#N/A</v>
      </c>
      <c r="Z220" s="6" t="e">
        <v>#N/A</v>
      </c>
      <c r="AA220" s="6" t="e">
        <v>#N/A</v>
      </c>
      <c r="AD220" s="6" t="e">
        <v>#N/A</v>
      </c>
      <c r="AE220" s="6" t="e">
        <v>#N/A</v>
      </c>
      <c r="AG220" s="6" t="e">
        <v>#N/A</v>
      </c>
      <c r="AY220" s="8" t="s">
        <v>176</v>
      </c>
      <c r="AZ220" s="8" t="s">
        <v>195</v>
      </c>
      <c r="BA220" s="13" t="s">
        <v>656</v>
      </c>
      <c r="BB220" s="13" t="s">
        <v>796</v>
      </c>
      <c r="BC220" s="13">
        <v>65</v>
      </c>
      <c r="BD220" s="13">
        <v>66</v>
      </c>
      <c r="DC220" s="6" t="s">
        <v>723</v>
      </c>
      <c r="DD220" s="6" t="s">
        <v>192</v>
      </c>
      <c r="DH220" s="6" t="str">
        <f>"A"&amp;EA220</f>
        <v>A8</v>
      </c>
      <c r="DI220" s="6" t="str">
        <f>"B"&amp;EA220</f>
        <v>B8</v>
      </c>
      <c r="DK220" s="6" t="s">
        <v>173</v>
      </c>
      <c r="DL220" s="6" t="str">
        <f>IF(DZ220&lt;&gt;"","CN2","")</f>
        <v>CN2</v>
      </c>
      <c r="DO220" s="9" t="s">
        <v>170</v>
      </c>
      <c r="DP220" s="6" t="s">
        <v>171</v>
      </c>
      <c r="DQ220" s="6" t="s">
        <v>645</v>
      </c>
      <c r="DR220" s="6" t="e">
        <f>#REF!&amp;RIGHT(#REF!,3)</f>
        <v>#REF!</v>
      </c>
      <c r="DS220" s="6" t="str">
        <f>IF(MID(EF220,2,1)="A","KS1","AKB331")</f>
        <v>AKB331</v>
      </c>
      <c r="DT220" s="10" t="str">
        <f>DQ220&amp;"-"&amp;DX220&amp;"-"&amp;DY220&amp;"/"&amp;BA220&amp;"-"&amp;DD220&amp;"-"&amp;DK220</f>
        <v>FCS0111-5-7/1S–MC–127-R6-CN1</v>
      </c>
      <c r="DU220" s="6" t="str">
        <f>IF(DL220="","",DQ220&amp;"-"&amp;DX220&amp;"-"&amp;DY220&amp;"/"&amp;BA220&amp;"-"&amp;DD220&amp;"-"&amp;DL220)</f>
        <v>FCS0111-5-7/1S–MC–127-R6-CN2</v>
      </c>
      <c r="DV220" s="19">
        <v>1</v>
      </c>
      <c r="DW220" s="20" t="str">
        <f>RIGHT(DQ220,2)</f>
        <v>11</v>
      </c>
      <c r="DX220" s="20">
        <v>5</v>
      </c>
      <c r="DY220" s="21">
        <v>7</v>
      </c>
      <c r="DZ220" s="22">
        <v>8</v>
      </c>
      <c r="EA220" s="23">
        <v>8</v>
      </c>
      <c r="EB220" s="7">
        <v>24</v>
      </c>
      <c r="EC220" s="6">
        <v>1</v>
      </c>
      <c r="EE220" s="9" t="s">
        <v>654</v>
      </c>
      <c r="EF220" s="6" t="s">
        <v>672</v>
      </c>
      <c r="EG220" s="6" t="s">
        <v>647</v>
      </c>
      <c r="EH220" s="6" t="s">
        <v>932</v>
      </c>
      <c r="EI220" s="6" t="s">
        <v>773</v>
      </c>
      <c r="EJ220" s="12">
        <v>9</v>
      </c>
      <c r="EK220" s="12"/>
      <c r="EM220" s="12"/>
      <c r="EN220" s="25" t="s">
        <v>1121</v>
      </c>
      <c r="ET220" s="6" t="str">
        <f t="shared" si="106"/>
        <v>홀수</v>
      </c>
      <c r="EU220" s="12">
        <v>41</v>
      </c>
      <c r="EV220" s="45" t="str">
        <f t="shared" ca="1" si="111"/>
        <v>C</v>
      </c>
      <c r="EW220" s="6">
        <f t="shared" ca="1" si="107"/>
        <v>67</v>
      </c>
      <c r="FO220" s="6"/>
      <c r="FP220" s="11"/>
      <c r="FR220" s="6">
        <v>1</v>
      </c>
      <c r="FS220" s="6">
        <f t="shared" si="108"/>
        <v>1</v>
      </c>
      <c r="FT220" s="6" t="str">
        <f t="shared" si="109"/>
        <v/>
      </c>
      <c r="FU220" s="6" t="str">
        <f t="shared" ca="1" si="112"/>
        <v>R6-11</v>
      </c>
      <c r="FV220" s="6" t="str">
        <f t="shared" ca="1" si="110"/>
        <v>R6-12</v>
      </c>
      <c r="FW220" s="6" t="str">
        <f t="shared" ca="1" si="121"/>
        <v/>
      </c>
      <c r="FX220" s="6" t="str">
        <f t="shared" ca="1" si="122"/>
        <v/>
      </c>
      <c r="FY220" s="6" t="str">
        <f t="shared" ca="1" si="123"/>
        <v/>
      </c>
      <c r="FZ220" s="6" t="str">
        <f t="shared" ca="1" si="124"/>
        <v/>
      </c>
    </row>
    <row r="221" spans="1:182" ht="15.95" customHeight="1">
      <c r="A221" s="6">
        <v>599</v>
      </c>
      <c r="B221" s="6" t="s">
        <v>653</v>
      </c>
      <c r="E221" s="6" t="s">
        <v>931</v>
      </c>
      <c r="F221" s="6" t="s">
        <v>1478</v>
      </c>
      <c r="G221" s="6" t="s">
        <v>1290</v>
      </c>
      <c r="H221" s="7" t="s">
        <v>1291</v>
      </c>
      <c r="I221" s="7"/>
      <c r="J221" s="6" t="e">
        <v>#N/A</v>
      </c>
      <c r="K221" s="6" t="e">
        <v>#N/A</v>
      </c>
      <c r="N221" s="6" t="e">
        <v>#N/A</v>
      </c>
      <c r="O221" s="6" t="e">
        <v>#N/A</v>
      </c>
      <c r="R221" s="101" t="e">
        <v>#N/A</v>
      </c>
      <c r="Y221" s="6" t="e">
        <v>#N/A</v>
      </c>
      <c r="Z221" s="6" t="e">
        <v>#N/A</v>
      </c>
      <c r="AA221" s="6" t="e">
        <v>#N/A</v>
      </c>
      <c r="AD221" s="6" t="e">
        <v>#N/A</v>
      </c>
      <c r="AE221" s="6" t="e">
        <v>#N/A</v>
      </c>
      <c r="AG221" s="6" t="e">
        <v>#N/A</v>
      </c>
      <c r="AY221" s="8" t="s">
        <v>176</v>
      </c>
      <c r="AZ221" s="8" t="s">
        <v>195</v>
      </c>
      <c r="BA221" s="13" t="s">
        <v>656</v>
      </c>
      <c r="BB221" s="13" t="s">
        <v>796</v>
      </c>
      <c r="BC221" s="13">
        <v>63</v>
      </c>
      <c r="BD221" s="13">
        <v>64</v>
      </c>
      <c r="DC221" s="6" t="s">
        <v>723</v>
      </c>
      <c r="DD221" s="6" t="s">
        <v>192</v>
      </c>
      <c r="DH221" s="6" t="str">
        <f>"A"&amp;EA221</f>
        <v>A7</v>
      </c>
      <c r="DI221" s="6" t="str">
        <f>"B"&amp;EA221</f>
        <v>B7</v>
      </c>
      <c r="DK221" s="6" t="s">
        <v>173</v>
      </c>
      <c r="DL221" s="6" t="str">
        <f>IF(DZ221&lt;&gt;"","CN2","")</f>
        <v>CN2</v>
      </c>
      <c r="DO221" s="9" t="s">
        <v>170</v>
      </c>
      <c r="DP221" s="6" t="s">
        <v>171</v>
      </c>
      <c r="DQ221" s="6" t="s">
        <v>645</v>
      </c>
      <c r="DR221" s="6" t="e">
        <f>#REF!&amp;RIGHT(#REF!,3)</f>
        <v>#REF!</v>
      </c>
      <c r="DS221" s="6" t="str">
        <f>IF(MID(EF221,2,1)="A","KS1","AKB331")</f>
        <v>AKB331</v>
      </c>
      <c r="DT221" s="10" t="str">
        <f>DQ221&amp;"-"&amp;DX221&amp;"-"&amp;DY221&amp;"/"&amp;BA221&amp;"-"&amp;DD221&amp;"-"&amp;DK221</f>
        <v>FCS0111-5-7/1S–MC–127-R6-CN1</v>
      </c>
      <c r="DU221" s="6" t="str">
        <f>IF(DL221="","",DQ221&amp;"-"&amp;DX221&amp;"-"&amp;DY221&amp;"/"&amp;BA221&amp;"-"&amp;DD221&amp;"-"&amp;DL221)</f>
        <v>FCS0111-5-7/1S–MC–127-R6-CN2</v>
      </c>
      <c r="DV221" s="19">
        <v>1</v>
      </c>
      <c r="DW221" s="20" t="str">
        <f>RIGHT(DQ221,2)</f>
        <v>11</v>
      </c>
      <c r="DX221" s="20">
        <v>5</v>
      </c>
      <c r="DY221" s="21">
        <v>7</v>
      </c>
      <c r="DZ221" s="22">
        <v>8</v>
      </c>
      <c r="EA221" s="23">
        <v>7</v>
      </c>
      <c r="EB221" s="7">
        <v>23</v>
      </c>
      <c r="EC221" s="6">
        <v>1</v>
      </c>
      <c r="EE221" s="9" t="s">
        <v>654</v>
      </c>
      <c r="EF221" s="6" t="s">
        <v>672</v>
      </c>
      <c r="EG221" s="6" t="s">
        <v>647</v>
      </c>
      <c r="EH221" s="6" t="s">
        <v>931</v>
      </c>
      <c r="EI221" s="6" t="s">
        <v>773</v>
      </c>
      <c r="EJ221" s="12">
        <v>9</v>
      </c>
      <c r="EK221" s="12"/>
      <c r="EM221" s="12"/>
      <c r="EN221" s="25" t="s">
        <v>1121</v>
      </c>
      <c r="ET221" s="6" t="str">
        <f t="shared" si="106"/>
        <v>홀수</v>
      </c>
      <c r="EU221" s="12">
        <v>41</v>
      </c>
      <c r="EV221" s="45" t="str">
        <f t="shared" ca="1" si="111"/>
        <v>D</v>
      </c>
      <c r="EW221" s="6">
        <f t="shared" ca="1" si="107"/>
        <v>68</v>
      </c>
      <c r="FO221" s="6"/>
      <c r="FP221" s="11"/>
      <c r="FR221" s="6">
        <v>1</v>
      </c>
      <c r="FS221" s="6">
        <f t="shared" si="108"/>
        <v>1</v>
      </c>
      <c r="FT221" s="6" t="str">
        <f t="shared" si="109"/>
        <v/>
      </c>
      <c r="FU221" s="6" t="str">
        <f t="shared" ca="1" si="112"/>
        <v>R6-11</v>
      </c>
      <c r="FV221" s="6" t="str">
        <f t="shared" ca="1" si="110"/>
        <v>R6-12</v>
      </c>
      <c r="FW221" s="6" t="str">
        <f t="shared" ca="1" si="121"/>
        <v/>
      </c>
      <c r="FX221" s="6" t="str">
        <f t="shared" ca="1" si="122"/>
        <v/>
      </c>
      <c r="FY221" s="6" t="str">
        <f t="shared" ca="1" si="123"/>
        <v/>
      </c>
      <c r="FZ221" s="6" t="str">
        <f t="shared" ca="1" si="124"/>
        <v/>
      </c>
    </row>
    <row r="222" spans="1:182" ht="15.95" customHeight="1">
      <c r="A222" s="6">
        <v>347</v>
      </c>
      <c r="B222" s="6" t="s">
        <v>175</v>
      </c>
      <c r="E222" s="6" t="s">
        <v>775</v>
      </c>
      <c r="F222" s="6" t="s">
        <v>1479</v>
      </c>
      <c r="G222" s="6" t="s">
        <v>1290</v>
      </c>
      <c r="H222" s="7" t="s">
        <v>1291</v>
      </c>
      <c r="I222" s="7"/>
      <c r="J222" s="6" t="e">
        <v>#N/A</v>
      </c>
      <c r="K222" s="6" t="e">
        <v>#N/A</v>
      </c>
      <c r="N222" s="6" t="e">
        <v>#N/A</v>
      </c>
      <c r="O222" s="6" t="e">
        <v>#N/A</v>
      </c>
      <c r="R222" s="101" t="e">
        <v>#N/A</v>
      </c>
      <c r="Y222" s="6" t="e">
        <v>#N/A</v>
      </c>
      <c r="Z222" s="6" t="e">
        <v>#N/A</v>
      </c>
      <c r="AA222" s="6" t="e">
        <v>#N/A</v>
      </c>
      <c r="AD222" s="6" t="e">
        <v>#N/A</v>
      </c>
      <c r="AE222" s="6" t="e">
        <v>#N/A</v>
      </c>
      <c r="AG222" s="6" t="e">
        <v>#N/A</v>
      </c>
      <c r="AY222" s="8" t="s">
        <v>176</v>
      </c>
      <c r="AZ222" s="8" t="s">
        <v>195</v>
      </c>
      <c r="BA222" s="13" t="s">
        <v>656</v>
      </c>
      <c r="BB222" s="13" t="s">
        <v>740</v>
      </c>
      <c r="BC222" s="13">
        <v>19</v>
      </c>
      <c r="BD222" s="13">
        <v>20</v>
      </c>
      <c r="DC222" s="6" t="s">
        <v>644</v>
      </c>
      <c r="DD222" s="6" t="s">
        <v>189</v>
      </c>
      <c r="DH222" s="6" t="str">
        <f t="shared" si="118"/>
        <v>A11</v>
      </c>
      <c r="DI222" s="6" t="str">
        <f t="shared" si="119"/>
        <v>B11</v>
      </c>
      <c r="DK222" s="6" t="s">
        <v>173</v>
      </c>
      <c r="DL222" s="6" t="str">
        <f t="shared" si="120"/>
        <v/>
      </c>
      <c r="DO222" s="9" t="s">
        <v>170</v>
      </c>
      <c r="DP222" s="6" t="s">
        <v>171</v>
      </c>
      <c r="DQ222" s="6" t="s">
        <v>645</v>
      </c>
      <c r="DS222" s="6" t="str">
        <f t="shared" si="113"/>
        <v>AKB331</v>
      </c>
      <c r="DT222" s="10" t="str">
        <f t="shared" si="114"/>
        <v>FCS0111-4-5/1S–MC–127-R3-CN1</v>
      </c>
      <c r="DU222" s="6" t="str">
        <f t="shared" si="115"/>
        <v/>
      </c>
      <c r="DV222" s="19">
        <v>1</v>
      </c>
      <c r="DW222" s="20" t="str">
        <f t="shared" si="116"/>
        <v>11</v>
      </c>
      <c r="DX222" s="21">
        <v>4</v>
      </c>
      <c r="DY222" s="22">
        <v>5</v>
      </c>
      <c r="DZ222" s="23" t="s">
        <v>204</v>
      </c>
      <c r="EA222" s="23">
        <v>11</v>
      </c>
      <c r="ED222" s="9" t="str">
        <f t="shared" si="117"/>
        <v>ANB10D</v>
      </c>
      <c r="EF222" s="6" t="s">
        <v>647</v>
      </c>
      <c r="EH222" s="6" t="s">
        <v>775</v>
      </c>
      <c r="EI222" s="6" t="s">
        <v>773</v>
      </c>
      <c r="EJ222" s="12">
        <v>9</v>
      </c>
      <c r="EK222" s="12"/>
      <c r="EM222" s="12"/>
      <c r="EN222" s="25" t="s">
        <v>1121</v>
      </c>
      <c r="EP222" s="6" t="s">
        <v>1153</v>
      </c>
      <c r="ER222" s="6" t="str">
        <f>MID(EH222,3,8)</f>
        <v>P4016B</v>
      </c>
      <c r="ET222" s="6" t="str">
        <f t="shared" si="106"/>
        <v>짝수</v>
      </c>
      <c r="EU222" s="12">
        <v>42</v>
      </c>
      <c r="EV222" s="45" t="str">
        <f t="shared" ca="1" si="111"/>
        <v>A</v>
      </c>
      <c r="EW222" s="6">
        <f t="shared" ca="1" si="107"/>
        <v>65</v>
      </c>
      <c r="FR222" s="6">
        <v>1</v>
      </c>
      <c r="FS222" s="6" t="str">
        <f t="shared" si="108"/>
        <v/>
      </c>
      <c r="FT222" s="6">
        <f t="shared" si="109"/>
        <v>1</v>
      </c>
      <c r="FU222" s="6" t="str">
        <f t="shared" ca="1" si="112"/>
        <v/>
      </c>
      <c r="FV222" s="6" t="str">
        <f t="shared" ca="1" si="110"/>
        <v/>
      </c>
      <c r="FW222" s="6" t="str">
        <f t="shared" ca="1" si="121"/>
        <v>R3-11</v>
      </c>
      <c r="FX222" s="6" t="str">
        <f t="shared" ca="1" si="122"/>
        <v>R3-12</v>
      </c>
      <c r="FY222" s="6" t="str">
        <f t="shared" ca="1" si="123"/>
        <v>R3-21</v>
      </c>
      <c r="FZ222" s="6" t="str">
        <f t="shared" ca="1" si="124"/>
        <v>R3-22</v>
      </c>
    </row>
    <row r="223" spans="1:182" ht="15.95" customHeight="1">
      <c r="A223" s="6">
        <v>348</v>
      </c>
      <c r="B223" s="6" t="s">
        <v>175</v>
      </c>
      <c r="E223" s="6" t="s">
        <v>776</v>
      </c>
      <c r="F223" s="6" t="s">
        <v>1480</v>
      </c>
      <c r="G223" s="6" t="s">
        <v>1290</v>
      </c>
      <c r="H223" s="7" t="s">
        <v>1291</v>
      </c>
      <c r="I223" s="7"/>
      <c r="J223" s="6" t="e">
        <v>#N/A</v>
      </c>
      <c r="K223" s="6" t="e">
        <v>#N/A</v>
      </c>
      <c r="N223" s="6" t="e">
        <v>#N/A</v>
      </c>
      <c r="O223" s="6" t="e">
        <v>#N/A</v>
      </c>
      <c r="R223" s="101" t="e">
        <v>#N/A</v>
      </c>
      <c r="Y223" s="6" t="e">
        <v>#N/A</v>
      </c>
      <c r="Z223" s="6" t="e">
        <v>#N/A</v>
      </c>
      <c r="AA223" s="6" t="e">
        <v>#N/A</v>
      </c>
      <c r="AD223" s="6" t="e">
        <v>#N/A</v>
      </c>
      <c r="AE223" s="6" t="e">
        <v>#N/A</v>
      </c>
      <c r="AG223" s="6" t="e">
        <v>#N/A</v>
      </c>
      <c r="AY223" s="8" t="s">
        <v>176</v>
      </c>
      <c r="AZ223" s="8" t="s">
        <v>195</v>
      </c>
      <c r="BA223" s="13" t="s">
        <v>656</v>
      </c>
      <c r="BB223" s="13" t="s">
        <v>740</v>
      </c>
      <c r="BC223" s="13">
        <v>21</v>
      </c>
      <c r="BD223" s="13">
        <v>22</v>
      </c>
      <c r="DC223" s="6" t="s">
        <v>644</v>
      </c>
      <c r="DD223" s="6" t="s">
        <v>189</v>
      </c>
      <c r="DH223" s="6" t="str">
        <f t="shared" ref="DH223:DH233" si="125">"A"&amp;EA223</f>
        <v>A12</v>
      </c>
      <c r="DI223" s="6" t="str">
        <f t="shared" ref="DI223:DI233" si="126">"B"&amp;EA223</f>
        <v>B12</v>
      </c>
      <c r="DK223" s="6" t="s">
        <v>173</v>
      </c>
      <c r="DL223" s="6" t="str">
        <f t="shared" ref="DL223:DL233" si="127">IF(DZ223&lt;&gt;"","CN2","")</f>
        <v/>
      </c>
      <c r="DO223" s="9" t="s">
        <v>170</v>
      </c>
      <c r="DP223" s="6" t="s">
        <v>171</v>
      </c>
      <c r="DQ223" s="6" t="s">
        <v>645</v>
      </c>
      <c r="DS223" s="6" t="str">
        <f t="shared" ref="DS223:DS233" si="128">IF(MID(EF223,2,1)="A","KS1","AKB331")</f>
        <v>AKB331</v>
      </c>
      <c r="DT223" s="10" t="str">
        <f t="shared" ref="DT223:DT233" si="129">DQ223&amp;"-"&amp;DX223&amp;"-"&amp;DY223&amp;"/"&amp;BA223&amp;"-"&amp;DD223&amp;"-"&amp;DK223</f>
        <v>FCS0111-4-5/1S–MC–127-R3-CN1</v>
      </c>
      <c r="DU223" s="6" t="str">
        <f t="shared" ref="DU223:DU233" si="130">IF(DL223="","",DQ223&amp;"-"&amp;DX223&amp;"-"&amp;DY223&amp;"/"&amp;BA223&amp;"-"&amp;DD223&amp;"-"&amp;DL223)</f>
        <v/>
      </c>
      <c r="DV223" s="19">
        <v>1</v>
      </c>
      <c r="DW223" s="20" t="str">
        <f t="shared" ref="DW223:DW233" si="131">RIGHT(DQ223,2)</f>
        <v>11</v>
      </c>
      <c r="DX223" s="21">
        <v>4</v>
      </c>
      <c r="DY223" s="22">
        <v>5</v>
      </c>
      <c r="DZ223" s="23" t="s">
        <v>204</v>
      </c>
      <c r="EA223" s="23">
        <v>12</v>
      </c>
      <c r="ED223" s="9" t="str">
        <f>IF(DX223="1","AFV30D","ANB10D")</f>
        <v>ANB10D</v>
      </c>
      <c r="EF223" s="6" t="s">
        <v>647</v>
      </c>
      <c r="EH223" s="6" t="s">
        <v>776</v>
      </c>
      <c r="EI223" s="6" t="s">
        <v>773</v>
      </c>
      <c r="EJ223" s="12">
        <v>9</v>
      </c>
      <c r="EK223" s="12"/>
      <c r="EM223" s="12"/>
      <c r="EN223" s="25" t="s">
        <v>1121</v>
      </c>
      <c r="ET223" s="6" t="str">
        <f t="shared" si="106"/>
        <v>짝수</v>
      </c>
      <c r="EU223" s="12">
        <v>42</v>
      </c>
      <c r="EV223" s="45" t="str">
        <f t="shared" ca="1" si="111"/>
        <v>B</v>
      </c>
      <c r="EW223" s="6">
        <f t="shared" ca="1" si="107"/>
        <v>66</v>
      </c>
      <c r="FA223" s="6" t="str">
        <f>ER222&amp;"INT"</f>
        <v>P4016BINT</v>
      </c>
      <c r="FR223" s="6">
        <v>1</v>
      </c>
      <c r="FS223" s="6" t="str">
        <f t="shared" si="108"/>
        <v/>
      </c>
      <c r="FT223" s="6">
        <f t="shared" si="109"/>
        <v>1</v>
      </c>
      <c r="FU223" s="6" t="str">
        <f t="shared" ca="1" si="112"/>
        <v/>
      </c>
      <c r="FV223" s="6" t="str">
        <f t="shared" ca="1" si="110"/>
        <v/>
      </c>
      <c r="FW223" s="6" t="str">
        <f t="shared" ca="1" si="121"/>
        <v>R3-11</v>
      </c>
      <c r="FX223" s="6" t="str">
        <f t="shared" ca="1" si="122"/>
        <v>R3-12</v>
      </c>
      <c r="FY223" s="6" t="str">
        <f t="shared" ca="1" si="123"/>
        <v>R3-21</v>
      </c>
      <c r="FZ223" s="6" t="str">
        <f t="shared" ca="1" si="124"/>
        <v>R3-22</v>
      </c>
    </row>
    <row r="224" spans="1:182" ht="15.95" customHeight="1">
      <c r="A224" s="6">
        <v>602</v>
      </c>
      <c r="B224" s="6" t="s">
        <v>653</v>
      </c>
      <c r="E224" s="6" t="s">
        <v>933</v>
      </c>
      <c r="F224" s="6" t="s">
        <v>1481</v>
      </c>
      <c r="G224" s="6" t="s">
        <v>1290</v>
      </c>
      <c r="H224" s="7" t="s">
        <v>1291</v>
      </c>
      <c r="I224" s="7"/>
      <c r="J224" s="6" t="e">
        <v>#N/A</v>
      </c>
      <c r="K224" s="6" t="e">
        <v>#N/A</v>
      </c>
      <c r="N224" s="6" t="e">
        <v>#N/A</v>
      </c>
      <c r="O224" s="6" t="e">
        <v>#N/A</v>
      </c>
      <c r="R224" s="101" t="e">
        <v>#N/A</v>
      </c>
      <c r="Y224" s="6" t="e">
        <v>#N/A</v>
      </c>
      <c r="Z224" s="6" t="e">
        <v>#N/A</v>
      </c>
      <c r="AA224" s="6" t="e">
        <v>#N/A</v>
      </c>
      <c r="AD224" s="6" t="e">
        <v>#N/A</v>
      </c>
      <c r="AE224" s="6" t="e">
        <v>#N/A</v>
      </c>
      <c r="AG224" s="6" t="e">
        <v>#N/A</v>
      </c>
      <c r="AY224" s="8" t="s">
        <v>176</v>
      </c>
      <c r="AZ224" s="8" t="s">
        <v>195</v>
      </c>
      <c r="BA224" s="13" t="s">
        <v>656</v>
      </c>
      <c r="BB224" s="13" t="s">
        <v>796</v>
      </c>
      <c r="BC224" s="13">
        <v>69</v>
      </c>
      <c r="BD224" s="13">
        <v>70</v>
      </c>
      <c r="DC224" s="6" t="s">
        <v>723</v>
      </c>
      <c r="DD224" s="6" t="s">
        <v>192</v>
      </c>
      <c r="DH224" s="6" t="str">
        <f t="shared" si="125"/>
        <v>A10</v>
      </c>
      <c r="DI224" s="6" t="str">
        <f t="shared" si="126"/>
        <v>B10</v>
      </c>
      <c r="DK224" s="6" t="s">
        <v>173</v>
      </c>
      <c r="DL224" s="6" t="str">
        <f t="shared" si="127"/>
        <v>CN2</v>
      </c>
      <c r="DO224" s="9" t="s">
        <v>170</v>
      </c>
      <c r="DP224" s="6" t="s">
        <v>171</v>
      </c>
      <c r="DQ224" s="6" t="s">
        <v>645</v>
      </c>
      <c r="DR224" s="6" t="e">
        <f>#REF!&amp;RIGHT(#REF!,3)</f>
        <v>#REF!</v>
      </c>
      <c r="DS224" s="6" t="str">
        <f t="shared" si="128"/>
        <v>AKB331</v>
      </c>
      <c r="DT224" s="10" t="str">
        <f t="shared" si="129"/>
        <v>FCS0111-5-7/1S–MC–127-R6-CN1</v>
      </c>
      <c r="DU224" s="6" t="str">
        <f t="shared" si="130"/>
        <v>FCS0111-5-7/1S–MC–127-R6-CN2</v>
      </c>
      <c r="DV224" s="19">
        <v>1</v>
      </c>
      <c r="DW224" s="20" t="str">
        <f t="shared" si="131"/>
        <v>11</v>
      </c>
      <c r="DX224" s="20">
        <v>5</v>
      </c>
      <c r="DY224" s="21">
        <v>7</v>
      </c>
      <c r="DZ224" s="22">
        <v>8</v>
      </c>
      <c r="EA224" s="23">
        <v>10</v>
      </c>
      <c r="EB224" s="7">
        <v>26</v>
      </c>
      <c r="EC224" s="6">
        <v>1</v>
      </c>
      <c r="EE224" s="9" t="s">
        <v>654</v>
      </c>
      <c r="EF224" s="6" t="s">
        <v>672</v>
      </c>
      <c r="EG224" s="6" t="s">
        <v>647</v>
      </c>
      <c r="EH224" s="6" t="s">
        <v>933</v>
      </c>
      <c r="EI224" s="6" t="s">
        <v>773</v>
      </c>
      <c r="EJ224" s="12">
        <v>9</v>
      </c>
      <c r="EK224" s="12"/>
      <c r="EM224" s="12"/>
      <c r="EN224" s="25" t="s">
        <v>1121</v>
      </c>
      <c r="ET224" s="6" t="str">
        <f t="shared" si="106"/>
        <v>짝수</v>
      </c>
      <c r="EU224" s="12">
        <v>42</v>
      </c>
      <c r="EV224" s="45" t="str">
        <f t="shared" ca="1" si="111"/>
        <v>C</v>
      </c>
      <c r="EW224" s="6">
        <f t="shared" ca="1" si="107"/>
        <v>67</v>
      </c>
      <c r="FO224" s="6"/>
      <c r="FP224" s="11"/>
      <c r="FR224" s="6">
        <v>1</v>
      </c>
      <c r="FS224" s="6">
        <f t="shared" si="108"/>
        <v>1</v>
      </c>
      <c r="FT224" s="6" t="str">
        <f t="shared" si="109"/>
        <v/>
      </c>
      <c r="FU224" s="6" t="str">
        <f t="shared" ca="1" si="112"/>
        <v>R6-11</v>
      </c>
      <c r="FV224" s="6" t="str">
        <f t="shared" ca="1" si="110"/>
        <v>R6-12</v>
      </c>
      <c r="FW224" s="6" t="str">
        <f t="shared" ca="1" si="121"/>
        <v/>
      </c>
      <c r="FX224" s="6" t="str">
        <f t="shared" ca="1" si="122"/>
        <v/>
      </c>
      <c r="FY224" s="6" t="str">
        <f t="shared" ca="1" si="123"/>
        <v/>
      </c>
      <c r="FZ224" s="6" t="str">
        <f t="shared" ca="1" si="124"/>
        <v/>
      </c>
    </row>
    <row r="225" spans="1:182" ht="15.95" customHeight="1">
      <c r="A225" s="6">
        <v>603</v>
      </c>
      <c r="B225" s="6" t="s">
        <v>653</v>
      </c>
      <c r="E225" s="6" t="s">
        <v>934</v>
      </c>
      <c r="F225" s="6" t="s">
        <v>1482</v>
      </c>
      <c r="G225" s="6" t="s">
        <v>1290</v>
      </c>
      <c r="H225" s="7" t="s">
        <v>1291</v>
      </c>
      <c r="I225" s="7"/>
      <c r="J225" s="6" t="e">
        <v>#N/A</v>
      </c>
      <c r="K225" s="6" t="e">
        <v>#N/A</v>
      </c>
      <c r="N225" s="6" t="e">
        <v>#N/A</v>
      </c>
      <c r="O225" s="6" t="e">
        <v>#N/A</v>
      </c>
      <c r="R225" s="101" t="e">
        <v>#N/A</v>
      </c>
      <c r="Y225" s="6" t="e">
        <v>#N/A</v>
      </c>
      <c r="Z225" s="6" t="e">
        <v>#N/A</v>
      </c>
      <c r="AA225" s="6" t="e">
        <v>#N/A</v>
      </c>
      <c r="AD225" s="6" t="e">
        <v>#N/A</v>
      </c>
      <c r="AE225" s="6" t="e">
        <v>#N/A</v>
      </c>
      <c r="AG225" s="6" t="e">
        <v>#N/A</v>
      </c>
      <c r="AY225" s="8" t="s">
        <v>176</v>
      </c>
      <c r="AZ225" s="8" t="s">
        <v>195</v>
      </c>
      <c r="BA225" s="13" t="s">
        <v>656</v>
      </c>
      <c r="BB225" s="13" t="s">
        <v>796</v>
      </c>
      <c r="BC225" s="13">
        <v>71</v>
      </c>
      <c r="BD225" s="13">
        <v>72</v>
      </c>
      <c r="DC225" s="6" t="s">
        <v>723</v>
      </c>
      <c r="DD225" s="6" t="s">
        <v>192</v>
      </c>
      <c r="DH225" s="6" t="str">
        <f t="shared" si="125"/>
        <v>A11</v>
      </c>
      <c r="DI225" s="6" t="str">
        <f t="shared" si="126"/>
        <v>B11</v>
      </c>
      <c r="DK225" s="6" t="s">
        <v>173</v>
      </c>
      <c r="DL225" s="6" t="str">
        <f t="shared" si="127"/>
        <v>CN2</v>
      </c>
      <c r="DO225" s="9" t="s">
        <v>170</v>
      </c>
      <c r="DP225" s="6" t="s">
        <v>171</v>
      </c>
      <c r="DQ225" s="6" t="s">
        <v>645</v>
      </c>
      <c r="DR225" s="6" t="e">
        <f>#REF!&amp;RIGHT(#REF!,3)</f>
        <v>#REF!</v>
      </c>
      <c r="DS225" s="6" t="str">
        <f t="shared" si="128"/>
        <v>AKB331</v>
      </c>
      <c r="DT225" s="10" t="str">
        <f t="shared" si="129"/>
        <v>FCS0111-5-7/1S–MC–127-R6-CN1</v>
      </c>
      <c r="DU225" s="6" t="str">
        <f t="shared" si="130"/>
        <v>FCS0111-5-7/1S–MC–127-R6-CN2</v>
      </c>
      <c r="DV225" s="19">
        <v>1</v>
      </c>
      <c r="DW225" s="20" t="str">
        <f t="shared" si="131"/>
        <v>11</v>
      </c>
      <c r="DX225" s="20">
        <v>5</v>
      </c>
      <c r="DY225" s="21">
        <v>7</v>
      </c>
      <c r="DZ225" s="22">
        <v>8</v>
      </c>
      <c r="EA225" s="23">
        <v>11</v>
      </c>
      <c r="EB225" s="7">
        <v>27</v>
      </c>
      <c r="EC225" s="6">
        <v>1</v>
      </c>
      <c r="EE225" s="9" t="s">
        <v>654</v>
      </c>
      <c r="EF225" s="6" t="s">
        <v>672</v>
      </c>
      <c r="EG225" s="6" t="s">
        <v>647</v>
      </c>
      <c r="EH225" s="6" t="s">
        <v>934</v>
      </c>
      <c r="EI225" s="6" t="s">
        <v>773</v>
      </c>
      <c r="EJ225" s="12">
        <v>9</v>
      </c>
      <c r="EK225" s="12"/>
      <c r="EM225" s="12"/>
      <c r="EN225" s="25" t="s">
        <v>1121</v>
      </c>
      <c r="ET225" s="6" t="str">
        <f t="shared" si="106"/>
        <v>짝수</v>
      </c>
      <c r="EU225" s="12">
        <v>42</v>
      </c>
      <c r="EV225" s="45" t="str">
        <f t="shared" ca="1" si="111"/>
        <v>D</v>
      </c>
      <c r="EW225" s="6">
        <f t="shared" ca="1" si="107"/>
        <v>68</v>
      </c>
      <c r="FO225" s="6"/>
      <c r="FP225" s="11"/>
      <c r="FR225" s="6">
        <v>1</v>
      </c>
      <c r="FS225" s="6">
        <f t="shared" si="108"/>
        <v>1</v>
      </c>
      <c r="FT225" s="6" t="str">
        <f t="shared" si="109"/>
        <v/>
      </c>
      <c r="FU225" s="6" t="str">
        <f t="shared" ca="1" si="112"/>
        <v>R6-11</v>
      </c>
      <c r="FV225" s="6" t="str">
        <f t="shared" ca="1" si="110"/>
        <v>R6-12</v>
      </c>
      <c r="FW225" s="6" t="str">
        <f t="shared" ca="1" si="121"/>
        <v/>
      </c>
      <c r="FX225" s="6" t="str">
        <f t="shared" ca="1" si="122"/>
        <v/>
      </c>
      <c r="FY225" s="6" t="str">
        <f t="shared" ca="1" si="123"/>
        <v/>
      </c>
      <c r="FZ225" s="6" t="str">
        <f t="shared" ca="1" si="124"/>
        <v/>
      </c>
    </row>
    <row r="226" spans="1:182" ht="15.95" customHeight="1">
      <c r="A226" s="6">
        <v>369</v>
      </c>
      <c r="B226" s="6" t="s">
        <v>175</v>
      </c>
      <c r="E226" s="6" t="s">
        <v>777</v>
      </c>
      <c r="F226" s="6" t="s">
        <v>1483</v>
      </c>
      <c r="G226" s="6" t="s">
        <v>1290</v>
      </c>
      <c r="H226" s="7" t="s">
        <v>1291</v>
      </c>
      <c r="I226" s="7"/>
      <c r="J226" s="6" t="e">
        <v>#N/A</v>
      </c>
      <c r="K226" s="6" t="e">
        <v>#N/A</v>
      </c>
      <c r="N226" s="6" t="e">
        <v>#N/A</v>
      </c>
      <c r="O226" s="6" t="e">
        <v>#N/A</v>
      </c>
      <c r="R226" s="101" t="e">
        <v>#N/A</v>
      </c>
      <c r="Y226" s="6" t="e">
        <v>#N/A</v>
      </c>
      <c r="Z226" s="6" t="e">
        <v>#N/A</v>
      </c>
      <c r="AA226" s="6" t="e">
        <v>#N/A</v>
      </c>
      <c r="AD226" s="6" t="e">
        <v>#N/A</v>
      </c>
      <c r="AE226" s="6" t="e">
        <v>#N/A</v>
      </c>
      <c r="AG226" s="6" t="e">
        <v>#N/A</v>
      </c>
      <c r="AY226" s="8" t="s">
        <v>176</v>
      </c>
      <c r="AZ226" s="8" t="s">
        <v>195</v>
      </c>
      <c r="BA226" s="13" t="s">
        <v>656</v>
      </c>
      <c r="BB226" s="13" t="s">
        <v>740</v>
      </c>
      <c r="BC226" s="13">
        <v>25</v>
      </c>
      <c r="BD226" s="13">
        <v>26</v>
      </c>
      <c r="DC226" s="6" t="s">
        <v>644</v>
      </c>
      <c r="DD226" s="6" t="s">
        <v>190</v>
      </c>
      <c r="DH226" s="6" t="str">
        <f t="shared" si="125"/>
        <v>A1</v>
      </c>
      <c r="DI226" s="6" t="str">
        <f t="shared" si="126"/>
        <v>B1</v>
      </c>
      <c r="DK226" s="6" t="s">
        <v>173</v>
      </c>
      <c r="DL226" s="6" t="str">
        <f t="shared" si="127"/>
        <v/>
      </c>
      <c r="DO226" s="9" t="s">
        <v>170</v>
      </c>
      <c r="DP226" s="6" t="s">
        <v>171</v>
      </c>
      <c r="DQ226" s="6" t="s">
        <v>645</v>
      </c>
      <c r="DS226" s="6" t="str">
        <f t="shared" si="128"/>
        <v>AKB331</v>
      </c>
      <c r="DT226" s="10" t="str">
        <f t="shared" si="129"/>
        <v>FCS0111-4-6/1S–MC–127-R4-CN1</v>
      </c>
      <c r="DU226" s="6" t="str">
        <f t="shared" si="130"/>
        <v/>
      </c>
      <c r="DV226" s="19">
        <v>1</v>
      </c>
      <c r="DW226" s="20" t="str">
        <f t="shared" si="131"/>
        <v>11</v>
      </c>
      <c r="DX226" s="21">
        <v>4</v>
      </c>
      <c r="DY226" s="22">
        <v>6</v>
      </c>
      <c r="DZ226" s="23" t="s">
        <v>204</v>
      </c>
      <c r="EA226" s="23">
        <v>1</v>
      </c>
      <c r="ED226" s="9" t="str">
        <f>IF(DX226="1","AFV30D","ANB10D")</f>
        <v>ANB10D</v>
      </c>
      <c r="EF226" s="6" t="s">
        <v>647</v>
      </c>
      <c r="EH226" s="6" t="s">
        <v>777</v>
      </c>
      <c r="EI226" s="6" t="s">
        <v>779</v>
      </c>
      <c r="EJ226" s="12">
        <v>9</v>
      </c>
      <c r="EK226" s="12"/>
      <c r="EM226" s="12"/>
      <c r="EN226" s="25" t="s">
        <v>1121</v>
      </c>
      <c r="EP226" s="6" t="s">
        <v>1153</v>
      </c>
      <c r="ER226" s="6" t="str">
        <f>MID(EH226,3,8)</f>
        <v>P4013</v>
      </c>
      <c r="ET226" s="6" t="str">
        <f t="shared" si="106"/>
        <v>홀수</v>
      </c>
      <c r="EU226" s="12">
        <v>43</v>
      </c>
      <c r="EV226" s="45" t="str">
        <f t="shared" ca="1" si="111"/>
        <v>A</v>
      </c>
      <c r="EW226" s="6">
        <f t="shared" ca="1" si="107"/>
        <v>65</v>
      </c>
      <c r="FR226" s="6">
        <v>1</v>
      </c>
      <c r="FS226" s="6" t="str">
        <f t="shared" si="108"/>
        <v/>
      </c>
      <c r="FT226" s="6">
        <f t="shared" si="109"/>
        <v>1</v>
      </c>
      <c r="FU226" s="6" t="str">
        <f t="shared" ca="1" si="112"/>
        <v/>
      </c>
      <c r="FV226" s="6" t="str">
        <f t="shared" ca="1" si="110"/>
        <v/>
      </c>
      <c r="FW226" s="6" t="str">
        <f t="shared" ca="1" si="121"/>
        <v>R4-11</v>
      </c>
      <c r="FX226" s="6" t="str">
        <f t="shared" ca="1" si="122"/>
        <v>R4-12</v>
      </c>
      <c r="FY226" s="6" t="str">
        <f t="shared" ca="1" si="123"/>
        <v>R4-21</v>
      </c>
      <c r="FZ226" s="6" t="str">
        <f t="shared" ca="1" si="124"/>
        <v>R4-22</v>
      </c>
    </row>
    <row r="227" spans="1:182" ht="15.95" customHeight="1">
      <c r="A227" s="6">
        <v>370</v>
      </c>
      <c r="B227" s="6" t="s">
        <v>175</v>
      </c>
      <c r="E227" s="6" t="s">
        <v>781</v>
      </c>
      <c r="F227" s="6" t="s">
        <v>1484</v>
      </c>
      <c r="G227" s="6" t="s">
        <v>1290</v>
      </c>
      <c r="H227" s="7" t="s">
        <v>1291</v>
      </c>
      <c r="I227" s="7"/>
      <c r="J227" s="6" t="e">
        <v>#N/A</v>
      </c>
      <c r="K227" s="6" t="e">
        <v>#N/A</v>
      </c>
      <c r="N227" s="6" t="e">
        <v>#N/A</v>
      </c>
      <c r="O227" s="6" t="e">
        <v>#N/A</v>
      </c>
      <c r="R227" s="101" t="e">
        <v>#N/A</v>
      </c>
      <c r="Y227" s="6" t="e">
        <v>#N/A</v>
      </c>
      <c r="Z227" s="6" t="e">
        <v>#N/A</v>
      </c>
      <c r="AA227" s="6" t="e">
        <v>#N/A</v>
      </c>
      <c r="AD227" s="6" t="e">
        <v>#N/A</v>
      </c>
      <c r="AE227" s="6" t="e">
        <v>#N/A</v>
      </c>
      <c r="AG227" s="6" t="e">
        <v>#N/A</v>
      </c>
      <c r="AY227" s="8" t="s">
        <v>176</v>
      </c>
      <c r="AZ227" s="8" t="s">
        <v>195</v>
      </c>
      <c r="BA227" s="13" t="s">
        <v>656</v>
      </c>
      <c r="BB227" s="13" t="s">
        <v>740</v>
      </c>
      <c r="BC227" s="13">
        <v>27</v>
      </c>
      <c r="BD227" s="13">
        <v>28</v>
      </c>
      <c r="DC227" s="6" t="s">
        <v>644</v>
      </c>
      <c r="DD227" s="6" t="s">
        <v>190</v>
      </c>
      <c r="DH227" s="6" t="str">
        <f t="shared" si="125"/>
        <v>A2</v>
      </c>
      <c r="DI227" s="6" t="str">
        <f t="shared" si="126"/>
        <v>B2</v>
      </c>
      <c r="DK227" s="6" t="s">
        <v>173</v>
      </c>
      <c r="DL227" s="6" t="str">
        <f t="shared" si="127"/>
        <v/>
      </c>
      <c r="DO227" s="9" t="s">
        <v>170</v>
      </c>
      <c r="DP227" s="6" t="s">
        <v>171</v>
      </c>
      <c r="DQ227" s="6" t="s">
        <v>645</v>
      </c>
      <c r="DS227" s="6" t="str">
        <f t="shared" si="128"/>
        <v>AKB331</v>
      </c>
      <c r="DT227" s="10" t="str">
        <f t="shared" si="129"/>
        <v>FCS0111-4-6/1S–MC–127-R4-CN1</v>
      </c>
      <c r="DU227" s="6" t="str">
        <f t="shared" si="130"/>
        <v/>
      </c>
      <c r="DV227" s="19">
        <v>1</v>
      </c>
      <c r="DW227" s="20" t="str">
        <f t="shared" si="131"/>
        <v>11</v>
      </c>
      <c r="DX227" s="21">
        <v>4</v>
      </c>
      <c r="DY227" s="22">
        <v>6</v>
      </c>
      <c r="DZ227" s="23" t="s">
        <v>204</v>
      </c>
      <c r="EA227" s="23">
        <v>2</v>
      </c>
      <c r="ED227" s="9" t="str">
        <f>IF(DX227="1","AFV30D","ANB10D")</f>
        <v>ANB10D</v>
      </c>
      <c r="EF227" s="6" t="s">
        <v>647</v>
      </c>
      <c r="EH227" s="6" t="s">
        <v>781</v>
      </c>
      <c r="EI227" s="6" t="s">
        <v>779</v>
      </c>
      <c r="EJ227" s="12">
        <v>9</v>
      </c>
      <c r="EK227" s="12"/>
      <c r="EM227" s="12"/>
      <c r="EN227" s="25" t="s">
        <v>1121</v>
      </c>
      <c r="ET227" s="6" t="str">
        <f t="shared" si="106"/>
        <v>홀수</v>
      </c>
      <c r="EU227" s="12">
        <v>43</v>
      </c>
      <c r="EV227" s="45" t="str">
        <f t="shared" ca="1" si="111"/>
        <v>B</v>
      </c>
      <c r="EW227" s="6">
        <f t="shared" ca="1" si="107"/>
        <v>66</v>
      </c>
      <c r="FA227" s="6" t="str">
        <f>ER226&amp;"INT"</f>
        <v>P4013INT</v>
      </c>
      <c r="FR227" s="6">
        <v>1</v>
      </c>
      <c r="FS227" s="6" t="str">
        <f t="shared" si="108"/>
        <v/>
      </c>
      <c r="FT227" s="6">
        <f t="shared" si="109"/>
        <v>1</v>
      </c>
      <c r="FU227" s="6" t="str">
        <f t="shared" ca="1" si="112"/>
        <v/>
      </c>
      <c r="FV227" s="6" t="str">
        <f t="shared" ca="1" si="110"/>
        <v/>
      </c>
      <c r="FW227" s="6" t="str">
        <f t="shared" ca="1" si="121"/>
        <v>R4-11</v>
      </c>
      <c r="FX227" s="6" t="str">
        <f t="shared" ca="1" si="122"/>
        <v>R4-12</v>
      </c>
      <c r="FY227" s="6" t="str">
        <f t="shared" ca="1" si="123"/>
        <v>R4-21</v>
      </c>
      <c r="FZ227" s="6" t="str">
        <f t="shared" ca="1" si="124"/>
        <v>R4-22</v>
      </c>
    </row>
    <row r="228" spans="1:182" ht="15.95" customHeight="1">
      <c r="A228" s="6">
        <v>722</v>
      </c>
      <c r="B228" s="6" t="s">
        <v>694</v>
      </c>
      <c r="E228" s="6" t="s">
        <v>981</v>
      </c>
      <c r="F228" s="6" t="s">
        <v>1485</v>
      </c>
      <c r="G228" s="6" t="s">
        <v>1290</v>
      </c>
      <c r="H228" s="7" t="s">
        <v>1291</v>
      </c>
      <c r="I228" s="7"/>
      <c r="J228" s="6" t="e">
        <v>#N/A</v>
      </c>
      <c r="K228" s="6" t="e">
        <v>#N/A</v>
      </c>
      <c r="N228" s="6" t="e">
        <v>#N/A</v>
      </c>
      <c r="O228" s="6" t="e">
        <v>#N/A</v>
      </c>
      <c r="R228" s="101" t="e">
        <v>#N/A</v>
      </c>
      <c r="Y228" s="6" t="e">
        <v>#N/A</v>
      </c>
      <c r="Z228" s="6" t="e">
        <v>#N/A</v>
      </c>
      <c r="AA228" s="6" t="e">
        <v>#N/A</v>
      </c>
      <c r="AD228" s="6" t="e">
        <v>#N/A</v>
      </c>
      <c r="AE228" s="6" t="e">
        <v>#N/A</v>
      </c>
      <c r="AG228" s="6" t="e">
        <v>#N/A</v>
      </c>
      <c r="AY228" s="8" t="s">
        <v>176</v>
      </c>
      <c r="AZ228" s="8" t="s">
        <v>195</v>
      </c>
      <c r="BA228" s="13" t="s">
        <v>656</v>
      </c>
      <c r="BB228" s="13" t="s">
        <v>796</v>
      </c>
      <c r="BC228" s="13">
        <v>75</v>
      </c>
      <c r="BD228" s="13">
        <v>76</v>
      </c>
      <c r="DC228" s="6" t="s">
        <v>723</v>
      </c>
      <c r="DD228" s="6" t="s">
        <v>968</v>
      </c>
      <c r="DH228" s="6" t="str">
        <f t="shared" si="125"/>
        <v>A2</v>
      </c>
      <c r="DI228" s="6" t="str">
        <f t="shared" si="126"/>
        <v>B2</v>
      </c>
      <c r="DK228" s="6" t="s">
        <v>173</v>
      </c>
      <c r="DL228" s="6" t="str">
        <f t="shared" si="127"/>
        <v>CN2</v>
      </c>
      <c r="DO228" s="9" t="s">
        <v>170</v>
      </c>
      <c r="DP228" s="6" t="s">
        <v>171</v>
      </c>
      <c r="DQ228" s="6" t="s">
        <v>645</v>
      </c>
      <c r="DR228" s="6" t="e">
        <f>#REF!&amp;RIGHT(#REF!,3)</f>
        <v>#REF!</v>
      </c>
      <c r="DS228" s="6" t="str">
        <f t="shared" si="128"/>
        <v>AKB331</v>
      </c>
      <c r="DT228" s="10" t="str">
        <f t="shared" si="129"/>
        <v>FCS0111-6-7/1S–MC–127-R7-CN1</v>
      </c>
      <c r="DU228" s="6" t="str">
        <f t="shared" si="130"/>
        <v>FCS0111-6-7/1S–MC–127-R7-CN2</v>
      </c>
      <c r="DV228" s="19">
        <v>1</v>
      </c>
      <c r="DW228" s="20" t="str">
        <f t="shared" si="131"/>
        <v>11</v>
      </c>
      <c r="DX228" s="20">
        <v>6</v>
      </c>
      <c r="DY228" s="21">
        <v>7</v>
      </c>
      <c r="DZ228" s="22">
        <v>8</v>
      </c>
      <c r="EA228" s="23">
        <v>2</v>
      </c>
      <c r="EB228" s="7">
        <v>18</v>
      </c>
      <c r="EC228" s="6">
        <v>1</v>
      </c>
      <c r="EE228" s="9" t="s">
        <v>693</v>
      </c>
      <c r="EF228" s="6" t="s">
        <v>672</v>
      </c>
      <c r="EG228" s="6" t="s">
        <v>672</v>
      </c>
      <c r="EH228" s="6" t="s">
        <v>981</v>
      </c>
      <c r="EI228" s="6" t="s">
        <v>779</v>
      </c>
      <c r="EJ228" s="12">
        <v>9</v>
      </c>
      <c r="EK228" s="12"/>
      <c r="EM228" s="12"/>
      <c r="EN228" s="25" t="s">
        <v>1121</v>
      </c>
      <c r="ET228" s="6" t="str">
        <f t="shared" si="106"/>
        <v>홀수</v>
      </c>
      <c r="EU228" s="12">
        <v>43</v>
      </c>
      <c r="EV228" s="45" t="str">
        <f t="shared" ca="1" si="111"/>
        <v>C</v>
      </c>
      <c r="EW228" s="6">
        <f t="shared" ca="1" si="107"/>
        <v>67</v>
      </c>
      <c r="FO228" s="6"/>
      <c r="FP228" s="11"/>
      <c r="FR228" s="6">
        <v>1</v>
      </c>
      <c r="FS228" s="6">
        <f t="shared" si="108"/>
        <v>1</v>
      </c>
      <c r="FT228" s="6" t="str">
        <f t="shared" si="109"/>
        <v/>
      </c>
      <c r="FU228" s="6" t="str">
        <f t="shared" ca="1" si="112"/>
        <v>R7-11</v>
      </c>
      <c r="FV228" s="6" t="str">
        <f t="shared" ca="1" si="110"/>
        <v>R7-12</v>
      </c>
      <c r="FW228" s="6" t="str">
        <f t="shared" ca="1" si="121"/>
        <v/>
      </c>
      <c r="FX228" s="6" t="str">
        <f t="shared" ca="1" si="122"/>
        <v/>
      </c>
      <c r="FY228" s="6" t="str">
        <f t="shared" ca="1" si="123"/>
        <v/>
      </c>
      <c r="FZ228" s="6" t="str">
        <f t="shared" ca="1" si="124"/>
        <v/>
      </c>
    </row>
    <row r="229" spans="1:182" ht="15.95" customHeight="1">
      <c r="A229" s="6">
        <v>721</v>
      </c>
      <c r="B229" s="6" t="s">
        <v>694</v>
      </c>
      <c r="E229" s="6" t="s">
        <v>980</v>
      </c>
      <c r="F229" s="6" t="s">
        <v>1486</v>
      </c>
      <c r="G229" s="6" t="s">
        <v>1290</v>
      </c>
      <c r="H229" s="7" t="s">
        <v>1291</v>
      </c>
      <c r="I229" s="7"/>
      <c r="J229" s="6" t="e">
        <v>#N/A</v>
      </c>
      <c r="K229" s="6" t="e">
        <v>#N/A</v>
      </c>
      <c r="N229" s="6" t="e">
        <v>#N/A</v>
      </c>
      <c r="O229" s="6" t="e">
        <v>#N/A</v>
      </c>
      <c r="R229" s="101" t="e">
        <v>#N/A</v>
      </c>
      <c r="Y229" s="6" t="e">
        <v>#N/A</v>
      </c>
      <c r="Z229" s="6" t="e">
        <v>#N/A</v>
      </c>
      <c r="AA229" s="6" t="e">
        <v>#N/A</v>
      </c>
      <c r="AD229" s="6" t="e">
        <v>#N/A</v>
      </c>
      <c r="AE229" s="6" t="e">
        <v>#N/A</v>
      </c>
      <c r="AG229" s="6" t="e">
        <v>#N/A</v>
      </c>
      <c r="AY229" s="8" t="s">
        <v>176</v>
      </c>
      <c r="AZ229" s="8" t="s">
        <v>195</v>
      </c>
      <c r="BA229" s="13" t="s">
        <v>656</v>
      </c>
      <c r="BB229" s="13" t="s">
        <v>796</v>
      </c>
      <c r="BC229" s="13">
        <v>73</v>
      </c>
      <c r="BD229" s="13">
        <v>74</v>
      </c>
      <c r="DC229" s="6" t="s">
        <v>723</v>
      </c>
      <c r="DD229" s="6" t="s">
        <v>968</v>
      </c>
      <c r="DH229" s="6" t="str">
        <f t="shared" si="125"/>
        <v>A1</v>
      </c>
      <c r="DI229" s="6" t="str">
        <f t="shared" si="126"/>
        <v>B1</v>
      </c>
      <c r="DK229" s="6" t="s">
        <v>173</v>
      </c>
      <c r="DL229" s="6" t="str">
        <f t="shared" si="127"/>
        <v>CN2</v>
      </c>
      <c r="DO229" s="9" t="s">
        <v>170</v>
      </c>
      <c r="DP229" s="6" t="s">
        <v>171</v>
      </c>
      <c r="DQ229" s="6" t="s">
        <v>645</v>
      </c>
      <c r="DR229" s="6" t="e">
        <f>#REF!&amp;RIGHT(#REF!,3)</f>
        <v>#REF!</v>
      </c>
      <c r="DS229" s="6" t="str">
        <f t="shared" si="128"/>
        <v>AKB331</v>
      </c>
      <c r="DT229" s="10" t="str">
        <f t="shared" si="129"/>
        <v>FCS0111-6-7/1S–MC–127-R7-CN1</v>
      </c>
      <c r="DU229" s="6" t="str">
        <f t="shared" si="130"/>
        <v>FCS0111-6-7/1S–MC–127-R7-CN2</v>
      </c>
      <c r="DV229" s="19">
        <v>1</v>
      </c>
      <c r="DW229" s="20" t="str">
        <f t="shared" si="131"/>
        <v>11</v>
      </c>
      <c r="DX229" s="20">
        <v>6</v>
      </c>
      <c r="DY229" s="21">
        <v>7</v>
      </c>
      <c r="DZ229" s="22">
        <v>8</v>
      </c>
      <c r="EA229" s="23">
        <v>1</v>
      </c>
      <c r="EB229" s="7">
        <v>17</v>
      </c>
      <c r="EC229" s="6">
        <v>1</v>
      </c>
      <c r="EE229" s="9" t="s">
        <v>693</v>
      </c>
      <c r="EF229" s="6" t="s">
        <v>672</v>
      </c>
      <c r="EG229" s="6" t="s">
        <v>672</v>
      </c>
      <c r="EH229" s="6" t="s">
        <v>980</v>
      </c>
      <c r="EI229" s="6" t="s">
        <v>779</v>
      </c>
      <c r="EJ229" s="12">
        <v>9</v>
      </c>
      <c r="EK229" s="12"/>
      <c r="EM229" s="12"/>
      <c r="EN229" s="25" t="s">
        <v>1121</v>
      </c>
      <c r="ET229" s="6" t="str">
        <f t="shared" si="106"/>
        <v>홀수</v>
      </c>
      <c r="EU229" s="12">
        <v>43</v>
      </c>
      <c r="EV229" s="45" t="str">
        <f t="shared" ca="1" si="111"/>
        <v>D</v>
      </c>
      <c r="EW229" s="6">
        <f t="shared" ca="1" si="107"/>
        <v>68</v>
      </c>
      <c r="FO229" s="6"/>
      <c r="FP229" s="11"/>
      <c r="FR229" s="6">
        <v>1</v>
      </c>
      <c r="FS229" s="6">
        <f t="shared" si="108"/>
        <v>1</v>
      </c>
      <c r="FT229" s="6" t="str">
        <f t="shared" si="109"/>
        <v/>
      </c>
      <c r="FU229" s="6" t="str">
        <f t="shared" ca="1" si="112"/>
        <v>R7-11</v>
      </c>
      <c r="FV229" s="6" t="str">
        <f t="shared" ca="1" si="110"/>
        <v>R7-12</v>
      </c>
      <c r="FW229" s="6" t="str">
        <f t="shared" ca="1" si="121"/>
        <v/>
      </c>
      <c r="FX229" s="6" t="str">
        <f t="shared" ca="1" si="122"/>
        <v/>
      </c>
      <c r="FY229" s="6" t="str">
        <f t="shared" ca="1" si="123"/>
        <v/>
      </c>
      <c r="FZ229" s="6" t="str">
        <f t="shared" ca="1" si="124"/>
        <v/>
      </c>
    </row>
    <row r="230" spans="1:182" ht="15.95" customHeight="1">
      <c r="A230" s="6">
        <v>372</v>
      </c>
      <c r="B230" s="6" t="s">
        <v>175</v>
      </c>
      <c r="E230" s="6" t="s">
        <v>782</v>
      </c>
      <c r="F230" s="6" t="s">
        <v>1487</v>
      </c>
      <c r="G230" s="6" t="s">
        <v>1290</v>
      </c>
      <c r="H230" s="7" t="s">
        <v>1291</v>
      </c>
      <c r="I230" s="7"/>
      <c r="J230" s="6" t="e">
        <v>#N/A</v>
      </c>
      <c r="K230" s="6" t="e">
        <v>#N/A</v>
      </c>
      <c r="N230" s="6" t="e">
        <v>#N/A</v>
      </c>
      <c r="O230" s="6" t="e">
        <v>#N/A</v>
      </c>
      <c r="R230" s="101" t="e">
        <v>#N/A</v>
      </c>
      <c r="Y230" s="6" t="e">
        <v>#N/A</v>
      </c>
      <c r="Z230" s="6" t="e">
        <v>#N/A</v>
      </c>
      <c r="AA230" s="6" t="e">
        <v>#N/A</v>
      </c>
      <c r="AD230" s="6" t="e">
        <v>#N/A</v>
      </c>
      <c r="AE230" s="6" t="e">
        <v>#N/A</v>
      </c>
      <c r="AG230" s="6" t="e">
        <v>#N/A</v>
      </c>
      <c r="AY230" s="8" t="s">
        <v>176</v>
      </c>
      <c r="AZ230" s="8" t="s">
        <v>195</v>
      </c>
      <c r="BA230" s="13" t="s">
        <v>656</v>
      </c>
      <c r="BB230" s="13" t="s">
        <v>740</v>
      </c>
      <c r="BC230" s="13">
        <v>31</v>
      </c>
      <c r="BD230" s="13">
        <v>32</v>
      </c>
      <c r="DC230" s="6" t="s">
        <v>644</v>
      </c>
      <c r="DD230" s="6" t="s">
        <v>190</v>
      </c>
      <c r="DH230" s="6" t="str">
        <f t="shared" si="125"/>
        <v>A4</v>
      </c>
      <c r="DI230" s="6" t="str">
        <f t="shared" si="126"/>
        <v>B4</v>
      </c>
      <c r="DK230" s="6" t="s">
        <v>173</v>
      </c>
      <c r="DL230" s="6" t="str">
        <f t="shared" si="127"/>
        <v/>
      </c>
      <c r="DO230" s="9" t="s">
        <v>170</v>
      </c>
      <c r="DP230" s="6" t="s">
        <v>171</v>
      </c>
      <c r="DQ230" s="6" t="s">
        <v>645</v>
      </c>
      <c r="DS230" s="6" t="str">
        <f t="shared" si="128"/>
        <v>AKB331</v>
      </c>
      <c r="DT230" s="10" t="str">
        <f t="shared" si="129"/>
        <v>FCS0111-4-6/1S–MC–127-R4-CN1</v>
      </c>
      <c r="DU230" s="6" t="str">
        <f t="shared" si="130"/>
        <v/>
      </c>
      <c r="DV230" s="19">
        <v>1</v>
      </c>
      <c r="DW230" s="20" t="str">
        <f t="shared" si="131"/>
        <v>11</v>
      </c>
      <c r="DX230" s="21">
        <v>4</v>
      </c>
      <c r="DY230" s="22">
        <v>6</v>
      </c>
      <c r="DZ230" s="23" t="s">
        <v>204</v>
      </c>
      <c r="EA230" s="23">
        <v>4</v>
      </c>
      <c r="ED230" s="9" t="str">
        <f>IF(DX230="1","AFV30D","ANB10D")</f>
        <v>ANB10D</v>
      </c>
      <c r="EF230" s="6" t="s">
        <v>647</v>
      </c>
      <c r="EH230" s="6" t="s">
        <v>782</v>
      </c>
      <c r="EI230" s="6" t="s">
        <v>783</v>
      </c>
      <c r="EJ230" s="12">
        <v>12</v>
      </c>
      <c r="EK230" s="12"/>
      <c r="EM230" s="12"/>
      <c r="EN230" s="12" t="s">
        <v>1121</v>
      </c>
      <c r="EP230" s="6" t="s">
        <v>1154</v>
      </c>
      <c r="ER230" s="6" t="str">
        <f>MID(EH230,3,6)</f>
        <v>P4014A</v>
      </c>
      <c r="ET230" s="6" t="str">
        <f t="shared" si="106"/>
        <v>짝수</v>
      </c>
      <c r="EU230" s="12">
        <v>44</v>
      </c>
      <c r="EV230" s="45" t="str">
        <f t="shared" ca="1" si="111"/>
        <v>A</v>
      </c>
      <c r="EW230" s="6">
        <f t="shared" ca="1" si="107"/>
        <v>65</v>
      </c>
      <c r="EZ230" s="6" t="str">
        <f>ER230&amp;"INT"</f>
        <v>P4014AINT</v>
      </c>
      <c r="FA230" s="6" t="str">
        <f>ER230&amp;"INT"</f>
        <v>P4014AINT</v>
      </c>
      <c r="FR230" s="6">
        <v>1</v>
      </c>
      <c r="FS230" s="6" t="str">
        <f t="shared" si="108"/>
        <v/>
      </c>
      <c r="FT230" s="6">
        <f t="shared" si="109"/>
        <v>1</v>
      </c>
      <c r="FU230" s="6" t="str">
        <f t="shared" ca="1" si="112"/>
        <v/>
      </c>
      <c r="FV230" s="6" t="str">
        <f t="shared" ca="1" si="110"/>
        <v/>
      </c>
      <c r="FW230" s="6" t="str">
        <f t="shared" ca="1" si="121"/>
        <v>R4-11</v>
      </c>
      <c r="FX230" s="6" t="str">
        <f t="shared" ca="1" si="122"/>
        <v>R4-12</v>
      </c>
      <c r="FY230" s="6" t="str">
        <f t="shared" ca="1" si="123"/>
        <v>R4-21</v>
      </c>
      <c r="FZ230" s="6" t="str">
        <f t="shared" ca="1" si="124"/>
        <v>R4-22</v>
      </c>
    </row>
    <row r="231" spans="1:182" ht="15.95" customHeight="1">
      <c r="A231" s="6">
        <v>724</v>
      </c>
      <c r="B231" s="6" t="s">
        <v>694</v>
      </c>
      <c r="E231" s="6" t="s">
        <v>982</v>
      </c>
      <c r="F231" s="6" t="s">
        <v>1488</v>
      </c>
      <c r="G231" s="6" t="s">
        <v>1290</v>
      </c>
      <c r="H231" s="7" t="s">
        <v>1291</v>
      </c>
      <c r="I231" s="7"/>
      <c r="J231" s="6" t="e">
        <v>#N/A</v>
      </c>
      <c r="K231" s="6" t="e">
        <v>#N/A</v>
      </c>
      <c r="N231" s="6" t="e">
        <v>#N/A</v>
      </c>
      <c r="O231" s="6" t="e">
        <v>#N/A</v>
      </c>
      <c r="R231" s="101" t="e">
        <v>#N/A</v>
      </c>
      <c r="Y231" s="6" t="e">
        <v>#N/A</v>
      </c>
      <c r="Z231" s="6" t="e">
        <v>#N/A</v>
      </c>
      <c r="AA231" s="6" t="e">
        <v>#N/A</v>
      </c>
      <c r="AD231" s="6" t="e">
        <v>#N/A</v>
      </c>
      <c r="AE231" s="6" t="e">
        <v>#N/A</v>
      </c>
      <c r="AG231" s="6" t="e">
        <v>#N/A</v>
      </c>
      <c r="AY231" s="8" t="s">
        <v>176</v>
      </c>
      <c r="AZ231" s="8" t="s">
        <v>195</v>
      </c>
      <c r="BA231" s="13" t="s">
        <v>656</v>
      </c>
      <c r="BB231" s="13" t="s">
        <v>796</v>
      </c>
      <c r="BC231" s="13">
        <v>79</v>
      </c>
      <c r="BD231" s="13">
        <v>80</v>
      </c>
      <c r="DC231" s="6" t="s">
        <v>723</v>
      </c>
      <c r="DD231" s="6" t="s">
        <v>968</v>
      </c>
      <c r="DH231" s="6" t="str">
        <f t="shared" si="125"/>
        <v>A4</v>
      </c>
      <c r="DI231" s="6" t="str">
        <f t="shared" si="126"/>
        <v>B4</v>
      </c>
      <c r="DK231" s="6" t="s">
        <v>173</v>
      </c>
      <c r="DL231" s="6" t="str">
        <f t="shared" si="127"/>
        <v>CN2</v>
      </c>
      <c r="DO231" s="9" t="s">
        <v>170</v>
      </c>
      <c r="DP231" s="6" t="s">
        <v>171</v>
      </c>
      <c r="DQ231" s="6" t="s">
        <v>645</v>
      </c>
      <c r="DR231" s="6" t="e">
        <f>#REF!&amp;RIGHT(#REF!,3)</f>
        <v>#REF!</v>
      </c>
      <c r="DS231" s="6" t="str">
        <f t="shared" si="128"/>
        <v>AKB331</v>
      </c>
      <c r="DT231" s="10" t="str">
        <f t="shared" si="129"/>
        <v>FCS0111-6-7/1S–MC–127-R7-CN1</v>
      </c>
      <c r="DU231" s="6" t="str">
        <f t="shared" si="130"/>
        <v>FCS0111-6-7/1S–MC–127-R7-CN2</v>
      </c>
      <c r="DV231" s="19">
        <v>1</v>
      </c>
      <c r="DW231" s="20" t="str">
        <f t="shared" si="131"/>
        <v>11</v>
      </c>
      <c r="DX231" s="20">
        <v>6</v>
      </c>
      <c r="DY231" s="21">
        <v>7</v>
      </c>
      <c r="DZ231" s="22">
        <v>8</v>
      </c>
      <c r="EA231" s="23">
        <v>4</v>
      </c>
      <c r="EB231" s="7">
        <v>20</v>
      </c>
      <c r="EC231" s="6">
        <v>1</v>
      </c>
      <c r="EE231" s="9" t="s">
        <v>693</v>
      </c>
      <c r="EF231" s="6" t="s">
        <v>672</v>
      </c>
      <c r="EG231" s="6" t="s">
        <v>672</v>
      </c>
      <c r="EH231" s="6" t="s">
        <v>982</v>
      </c>
      <c r="EI231" s="6" t="s">
        <v>783</v>
      </c>
      <c r="EJ231" s="12">
        <v>12</v>
      </c>
      <c r="EK231" s="12"/>
      <c r="EM231" s="12"/>
      <c r="EN231" s="12" t="s">
        <v>1121</v>
      </c>
      <c r="ET231" s="6" t="str">
        <f t="shared" si="106"/>
        <v>짝수</v>
      </c>
      <c r="EU231" s="12">
        <v>44</v>
      </c>
      <c r="EV231" s="45" t="str">
        <f t="shared" ca="1" si="111"/>
        <v>B</v>
      </c>
      <c r="EW231" s="6">
        <f t="shared" ca="1" si="107"/>
        <v>66</v>
      </c>
      <c r="FO231" s="6"/>
      <c r="FP231" s="11"/>
      <c r="FR231" s="6">
        <v>1</v>
      </c>
      <c r="FS231" s="6">
        <f t="shared" si="108"/>
        <v>1</v>
      </c>
      <c r="FT231" s="6" t="str">
        <f t="shared" si="109"/>
        <v/>
      </c>
      <c r="FU231" s="6" t="str">
        <f t="shared" ca="1" si="112"/>
        <v>R7-11</v>
      </c>
      <c r="FV231" s="6" t="str">
        <f t="shared" ca="1" si="110"/>
        <v>R7-12</v>
      </c>
      <c r="FW231" s="6" t="str">
        <f t="shared" ca="1" si="121"/>
        <v/>
      </c>
      <c r="FX231" s="6" t="str">
        <f t="shared" ca="1" si="122"/>
        <v/>
      </c>
      <c r="FY231" s="6" t="str">
        <f t="shared" ca="1" si="123"/>
        <v/>
      </c>
      <c r="FZ231" s="6" t="str">
        <f t="shared" ca="1" si="124"/>
        <v/>
      </c>
    </row>
    <row r="232" spans="1:182" ht="15.95" customHeight="1">
      <c r="A232" s="6">
        <v>374</v>
      </c>
      <c r="B232" s="6" t="s">
        <v>175</v>
      </c>
      <c r="E232" s="6" t="s">
        <v>784</v>
      </c>
      <c r="F232" s="6" t="s">
        <v>1489</v>
      </c>
      <c r="G232" s="6" t="s">
        <v>1290</v>
      </c>
      <c r="H232" s="7" t="s">
        <v>1291</v>
      </c>
      <c r="I232" s="7"/>
      <c r="J232" s="6" t="e">
        <v>#N/A</v>
      </c>
      <c r="K232" s="6" t="e">
        <v>#N/A</v>
      </c>
      <c r="N232" s="6" t="e">
        <v>#N/A</v>
      </c>
      <c r="O232" s="6" t="e">
        <v>#N/A</v>
      </c>
      <c r="R232" s="101" t="e">
        <v>#N/A</v>
      </c>
      <c r="Y232" s="6" t="e">
        <v>#N/A</v>
      </c>
      <c r="Z232" s="6" t="e">
        <v>#N/A</v>
      </c>
      <c r="AA232" s="6" t="e">
        <v>#N/A</v>
      </c>
      <c r="AD232" s="6" t="e">
        <v>#N/A</v>
      </c>
      <c r="AE232" s="6" t="e">
        <v>#N/A</v>
      </c>
      <c r="AG232" s="6" t="e">
        <v>#N/A</v>
      </c>
      <c r="AY232" s="8" t="s">
        <v>176</v>
      </c>
      <c r="AZ232" s="8" t="s">
        <v>195</v>
      </c>
      <c r="BA232" s="13" t="s">
        <v>656</v>
      </c>
      <c r="BB232" s="13" t="s">
        <v>740</v>
      </c>
      <c r="BC232" s="13">
        <v>35</v>
      </c>
      <c r="BD232" s="13">
        <v>36</v>
      </c>
      <c r="DC232" s="6" t="s">
        <v>644</v>
      </c>
      <c r="DD232" s="6" t="s">
        <v>190</v>
      </c>
      <c r="DH232" s="6" t="str">
        <f>"A"&amp;EA232</f>
        <v>A6</v>
      </c>
      <c r="DI232" s="6" t="str">
        <f>"B"&amp;EA232</f>
        <v>B6</v>
      </c>
      <c r="DK232" s="6" t="s">
        <v>173</v>
      </c>
      <c r="DL232" s="6" t="str">
        <f>IF(DZ232&lt;&gt;"","CN2","")</f>
        <v/>
      </c>
      <c r="DO232" s="9" t="s">
        <v>170</v>
      </c>
      <c r="DP232" s="6" t="s">
        <v>171</v>
      </c>
      <c r="DQ232" s="6" t="s">
        <v>645</v>
      </c>
      <c r="DS232" s="6" t="str">
        <f>IF(MID(EF232,2,1)="A","KS1","AKB331")</f>
        <v>AKB331</v>
      </c>
      <c r="DT232" s="10" t="str">
        <f>DQ232&amp;"-"&amp;DX232&amp;"-"&amp;DY232&amp;"/"&amp;BA232&amp;"-"&amp;DD232&amp;"-"&amp;DK232</f>
        <v>FCS0111-4-6/1S–MC–127-R4-CN1</v>
      </c>
      <c r="DU232" s="6" t="str">
        <f>IF(DL232="","",DQ232&amp;"-"&amp;DX232&amp;"-"&amp;DY232&amp;"/"&amp;BA232&amp;"-"&amp;DD232&amp;"-"&amp;DL232)</f>
        <v/>
      </c>
      <c r="DV232" s="19">
        <v>1</v>
      </c>
      <c r="DW232" s="20" t="str">
        <f>RIGHT(DQ232,2)</f>
        <v>11</v>
      </c>
      <c r="DX232" s="21">
        <v>4</v>
      </c>
      <c r="DY232" s="22">
        <v>6</v>
      </c>
      <c r="DZ232" s="23" t="s">
        <v>204</v>
      </c>
      <c r="EA232" s="23">
        <v>6</v>
      </c>
      <c r="ED232" s="9" t="str">
        <f>IF(DX232="1","AFV30D","ANB10D")</f>
        <v>ANB10D</v>
      </c>
      <c r="EF232" s="6" t="s">
        <v>647</v>
      </c>
      <c r="EH232" s="6" t="s">
        <v>784</v>
      </c>
      <c r="EI232" s="6" t="s">
        <v>783</v>
      </c>
      <c r="EJ232" s="12">
        <v>12</v>
      </c>
      <c r="EK232" s="12"/>
      <c r="EM232" s="12"/>
      <c r="EN232" s="12" t="s">
        <v>1121</v>
      </c>
      <c r="EP232" s="6" t="s">
        <v>1154</v>
      </c>
      <c r="ER232" s="6" t="str">
        <f>MID(EH232,3,6)</f>
        <v>P4014B</v>
      </c>
      <c r="ET232" s="6" t="str">
        <f>IF(MOD(EU232,2) = 0, "짝수", "홀수")</f>
        <v>짝수</v>
      </c>
      <c r="EU232" s="12">
        <v>44</v>
      </c>
      <c r="EV232" s="45" t="str">
        <f t="shared" ca="1" si="111"/>
        <v>C</v>
      </c>
      <c r="EW232" s="6">
        <f ca="1">IF(EV232="A",65,IF(EV232="B",66,IF(EV232="C",67,68)))</f>
        <v>67</v>
      </c>
      <c r="EZ232" s="6" t="str">
        <f>ER232&amp;"INT"</f>
        <v>P4014BINT</v>
      </c>
      <c r="FA232" s="6" t="str">
        <f>ER232&amp;"INT"</f>
        <v>P4014BINT</v>
      </c>
      <c r="FR232" s="6">
        <v>1</v>
      </c>
      <c r="FS232" s="6" t="str">
        <f t="shared" si="108"/>
        <v/>
      </c>
      <c r="FT232" s="6">
        <f t="shared" si="109"/>
        <v>1</v>
      </c>
      <c r="FU232" s="6" t="str">
        <f t="shared" ca="1" si="112"/>
        <v/>
      </c>
      <c r="FV232" s="6" t="str">
        <f t="shared" ca="1" si="110"/>
        <v/>
      </c>
      <c r="FW232" s="6" t="str">
        <f t="shared" ca="1" si="121"/>
        <v>R4-11</v>
      </c>
      <c r="FX232" s="6" t="str">
        <f t="shared" ca="1" si="122"/>
        <v>R4-12</v>
      </c>
      <c r="FY232" s="6" t="str">
        <f t="shared" ca="1" si="123"/>
        <v>R4-21</v>
      </c>
      <c r="FZ232" s="6" t="str">
        <f t="shared" ca="1" si="124"/>
        <v>R4-22</v>
      </c>
    </row>
    <row r="233" spans="1:182" ht="15.95" customHeight="1">
      <c r="A233" s="6">
        <v>725</v>
      </c>
      <c r="B233" s="6" t="s">
        <v>694</v>
      </c>
      <c r="E233" s="6" t="s">
        <v>1141</v>
      </c>
      <c r="F233" s="6" t="s">
        <v>1490</v>
      </c>
      <c r="G233" s="6" t="s">
        <v>1290</v>
      </c>
      <c r="H233" s="7" t="s">
        <v>1291</v>
      </c>
      <c r="I233" s="7"/>
      <c r="J233" s="6" t="e">
        <v>#N/A</v>
      </c>
      <c r="K233" s="6" t="e">
        <v>#N/A</v>
      </c>
      <c r="N233" s="6" t="e">
        <v>#N/A</v>
      </c>
      <c r="O233" s="6" t="e">
        <v>#N/A</v>
      </c>
      <c r="R233" s="101" t="e">
        <v>#N/A</v>
      </c>
      <c r="Y233" s="6" t="e">
        <v>#N/A</v>
      </c>
      <c r="Z233" s="6" t="e">
        <v>#N/A</v>
      </c>
      <c r="AA233" s="6" t="e">
        <v>#N/A</v>
      </c>
      <c r="AD233" s="6" t="e">
        <v>#N/A</v>
      </c>
      <c r="AE233" s="6" t="e">
        <v>#N/A</v>
      </c>
      <c r="AG233" s="6" t="e">
        <v>#N/A</v>
      </c>
      <c r="AY233" s="8" t="s">
        <v>176</v>
      </c>
      <c r="AZ233" s="8" t="s">
        <v>195</v>
      </c>
      <c r="BA233" s="13" t="s">
        <v>656</v>
      </c>
      <c r="BB233" s="13" t="s">
        <v>796</v>
      </c>
      <c r="BC233" s="13">
        <v>81</v>
      </c>
      <c r="BD233" s="13">
        <v>82</v>
      </c>
      <c r="DC233" s="6" t="s">
        <v>723</v>
      </c>
      <c r="DD233" s="6" t="s">
        <v>968</v>
      </c>
      <c r="DH233" s="6" t="str">
        <f t="shared" si="125"/>
        <v>A5</v>
      </c>
      <c r="DI233" s="6" t="str">
        <f t="shared" si="126"/>
        <v>B5</v>
      </c>
      <c r="DK233" s="6" t="s">
        <v>173</v>
      </c>
      <c r="DL233" s="6" t="str">
        <f t="shared" si="127"/>
        <v>CN2</v>
      </c>
      <c r="DO233" s="9" t="s">
        <v>170</v>
      </c>
      <c r="DP233" s="6" t="s">
        <v>171</v>
      </c>
      <c r="DQ233" s="6" t="s">
        <v>645</v>
      </c>
      <c r="DR233" s="6" t="e">
        <f>#REF!&amp;RIGHT(#REF!,3)</f>
        <v>#REF!</v>
      </c>
      <c r="DS233" s="6" t="str">
        <f t="shared" si="128"/>
        <v>AKB331</v>
      </c>
      <c r="DT233" s="10" t="str">
        <f t="shared" si="129"/>
        <v>FCS0111-6-7/1S–MC–127-R7-CN1</v>
      </c>
      <c r="DU233" s="6" t="str">
        <f t="shared" si="130"/>
        <v>FCS0111-6-7/1S–MC–127-R7-CN2</v>
      </c>
      <c r="DV233" s="19">
        <v>1</v>
      </c>
      <c r="DW233" s="20" t="str">
        <f t="shared" si="131"/>
        <v>11</v>
      </c>
      <c r="DX233" s="20">
        <v>6</v>
      </c>
      <c r="DY233" s="21">
        <v>7</v>
      </c>
      <c r="DZ233" s="22">
        <v>8</v>
      </c>
      <c r="EA233" s="23">
        <v>5</v>
      </c>
      <c r="EB233" s="7">
        <v>21</v>
      </c>
      <c r="EC233" s="6">
        <v>1</v>
      </c>
      <c r="EE233" s="9" t="s">
        <v>693</v>
      </c>
      <c r="EF233" s="6" t="s">
        <v>672</v>
      </c>
      <c r="EG233" s="6" t="s">
        <v>672</v>
      </c>
      <c r="EH233" s="6" t="s">
        <v>983</v>
      </c>
      <c r="EI233" s="6" t="s">
        <v>196</v>
      </c>
      <c r="EJ233" s="12">
        <v>12</v>
      </c>
      <c r="EK233" s="12"/>
      <c r="EM233" s="12"/>
      <c r="EN233" s="12" t="s">
        <v>1121</v>
      </c>
      <c r="ET233" s="6" t="str">
        <f t="shared" si="106"/>
        <v>짝수</v>
      </c>
      <c r="EU233" s="12">
        <v>44</v>
      </c>
      <c r="EV233" s="45" t="str">
        <f t="shared" ca="1" si="111"/>
        <v>D</v>
      </c>
      <c r="EW233" s="6">
        <f t="shared" ca="1" si="107"/>
        <v>68</v>
      </c>
      <c r="FO233" s="6"/>
      <c r="FP233" s="11"/>
      <c r="FR233" s="6">
        <v>1</v>
      </c>
      <c r="FS233" s="6">
        <f t="shared" si="108"/>
        <v>1</v>
      </c>
      <c r="FT233" s="6" t="str">
        <f t="shared" si="109"/>
        <v/>
      </c>
      <c r="FU233" s="6" t="str">
        <f t="shared" ca="1" si="112"/>
        <v>R7-11</v>
      </c>
      <c r="FV233" s="6" t="str">
        <f t="shared" ca="1" si="110"/>
        <v>R7-12</v>
      </c>
      <c r="FW233" s="6" t="str">
        <f t="shared" ca="1" si="121"/>
        <v/>
      </c>
      <c r="FX233" s="6" t="str">
        <f t="shared" ca="1" si="122"/>
        <v/>
      </c>
      <c r="FY233" s="6" t="str">
        <f t="shared" ca="1" si="123"/>
        <v/>
      </c>
      <c r="FZ233" s="6" t="str">
        <f t="shared" ca="1" si="124"/>
        <v/>
      </c>
    </row>
    <row r="234" spans="1:182" ht="15.95" customHeight="1">
      <c r="A234" s="6">
        <v>376</v>
      </c>
      <c r="B234" s="6" t="s">
        <v>175</v>
      </c>
      <c r="E234" s="6" t="s">
        <v>785</v>
      </c>
      <c r="F234" s="6" t="s">
        <v>1491</v>
      </c>
      <c r="G234" s="6" t="s">
        <v>1290</v>
      </c>
      <c r="H234" s="7" t="s">
        <v>1291</v>
      </c>
      <c r="I234" s="7"/>
      <c r="J234" s="6" t="e">
        <v>#N/A</v>
      </c>
      <c r="K234" s="6" t="e">
        <v>#N/A</v>
      </c>
      <c r="N234" s="6" t="e">
        <v>#N/A</v>
      </c>
      <c r="O234" s="6" t="e">
        <v>#N/A</v>
      </c>
      <c r="R234" s="101" t="e">
        <v>#N/A</v>
      </c>
      <c r="Y234" s="6" t="e">
        <v>#N/A</v>
      </c>
      <c r="Z234" s="6" t="e">
        <v>#N/A</v>
      </c>
      <c r="AA234" s="6" t="e">
        <v>#N/A</v>
      </c>
      <c r="AD234" s="6" t="e">
        <v>#N/A</v>
      </c>
      <c r="AE234" s="6" t="e">
        <v>#N/A</v>
      </c>
      <c r="AG234" s="6" t="e">
        <v>#N/A</v>
      </c>
      <c r="AY234" s="8" t="s">
        <v>176</v>
      </c>
      <c r="AZ234" s="8" t="s">
        <v>195</v>
      </c>
      <c r="BA234" s="13" t="s">
        <v>656</v>
      </c>
      <c r="BB234" s="13" t="s">
        <v>740</v>
      </c>
      <c r="BC234" s="13">
        <v>39</v>
      </c>
      <c r="BD234" s="13">
        <v>40</v>
      </c>
      <c r="DC234" s="6" t="s">
        <v>644</v>
      </c>
      <c r="DD234" s="6" t="s">
        <v>190</v>
      </c>
      <c r="DH234" s="6" t="str">
        <f t="shared" si="118"/>
        <v>A8</v>
      </c>
      <c r="DI234" s="6" t="str">
        <f t="shared" si="119"/>
        <v>B8</v>
      </c>
      <c r="DK234" s="6" t="s">
        <v>173</v>
      </c>
      <c r="DL234" s="6" t="str">
        <f t="shared" si="120"/>
        <v/>
      </c>
      <c r="DO234" s="9" t="s">
        <v>170</v>
      </c>
      <c r="DP234" s="6" t="s">
        <v>171</v>
      </c>
      <c r="DQ234" s="6" t="s">
        <v>645</v>
      </c>
      <c r="DS234" s="6" t="str">
        <f t="shared" si="113"/>
        <v>AKB331</v>
      </c>
      <c r="DT234" s="10" t="str">
        <f t="shared" si="114"/>
        <v>FCS0111-4-6/1S–MC–127-R4-CN1</v>
      </c>
      <c r="DU234" s="6" t="str">
        <f t="shared" si="115"/>
        <v/>
      </c>
      <c r="DV234" s="19">
        <v>1</v>
      </c>
      <c r="DW234" s="20" t="str">
        <f t="shared" si="116"/>
        <v>11</v>
      </c>
      <c r="DX234" s="21">
        <v>4</v>
      </c>
      <c r="DY234" s="22">
        <v>6</v>
      </c>
      <c r="DZ234" s="23" t="s">
        <v>204</v>
      </c>
      <c r="EA234" s="23">
        <v>8</v>
      </c>
      <c r="ED234" s="9" t="str">
        <f t="shared" si="117"/>
        <v>ANB10D</v>
      </c>
      <c r="EF234" s="6" t="s">
        <v>647</v>
      </c>
      <c r="EH234" s="6" t="s">
        <v>785</v>
      </c>
      <c r="EI234" s="6" t="s">
        <v>786</v>
      </c>
      <c r="EJ234" s="12">
        <v>12</v>
      </c>
      <c r="EK234" s="12"/>
      <c r="EM234" s="12"/>
      <c r="EN234" s="12" t="s">
        <v>1121</v>
      </c>
      <c r="EP234" s="6" t="s">
        <v>1154</v>
      </c>
      <c r="ER234" s="6" t="str">
        <f>MID(EH234,3,6)</f>
        <v>P4001</v>
      </c>
      <c r="ET234" s="6" t="str">
        <f t="shared" si="106"/>
        <v>홀수</v>
      </c>
      <c r="EU234" s="12">
        <v>45</v>
      </c>
      <c r="EV234" s="45" t="str">
        <f t="shared" ca="1" si="111"/>
        <v>A</v>
      </c>
      <c r="EW234" s="6">
        <f t="shared" ca="1" si="107"/>
        <v>65</v>
      </c>
      <c r="EZ234" s="6" t="str">
        <f>ER234&amp;"INT"</f>
        <v>P4001INT</v>
      </c>
      <c r="FA234" s="6" t="str">
        <f>ER234&amp;"INT"</f>
        <v>P4001INT</v>
      </c>
      <c r="FR234" s="6">
        <v>1</v>
      </c>
      <c r="FS234" s="6" t="str">
        <f t="shared" si="108"/>
        <v/>
      </c>
      <c r="FT234" s="6">
        <f t="shared" si="109"/>
        <v>1</v>
      </c>
      <c r="FU234" s="6" t="str">
        <f t="shared" ca="1" si="112"/>
        <v/>
      </c>
      <c r="FV234" s="6" t="str">
        <f t="shared" ca="1" si="110"/>
        <v/>
      </c>
      <c r="FW234" s="6" t="str">
        <f t="shared" ca="1" si="121"/>
        <v>R4-11</v>
      </c>
      <c r="FX234" s="6" t="str">
        <f t="shared" ca="1" si="122"/>
        <v>R4-12</v>
      </c>
      <c r="FY234" s="6" t="str">
        <f t="shared" ca="1" si="123"/>
        <v>R4-21</v>
      </c>
      <c r="FZ234" s="6" t="str">
        <f t="shared" ca="1" si="124"/>
        <v>R4-22</v>
      </c>
    </row>
    <row r="235" spans="1:182" ht="15.95" customHeight="1">
      <c r="A235" s="6">
        <v>728</v>
      </c>
      <c r="B235" s="6" t="s">
        <v>694</v>
      </c>
      <c r="E235" s="6" t="s">
        <v>984</v>
      </c>
      <c r="F235" s="6" t="s">
        <v>1492</v>
      </c>
      <c r="G235" s="6" t="s">
        <v>1290</v>
      </c>
      <c r="H235" s="7" t="s">
        <v>1291</v>
      </c>
      <c r="I235" s="7"/>
      <c r="J235" s="6" t="e">
        <v>#N/A</v>
      </c>
      <c r="K235" s="6" t="e">
        <v>#N/A</v>
      </c>
      <c r="N235" s="6" t="e">
        <v>#N/A</v>
      </c>
      <c r="O235" s="6" t="e">
        <v>#N/A</v>
      </c>
      <c r="R235" s="101" t="e">
        <v>#N/A</v>
      </c>
      <c r="Y235" s="6" t="e">
        <v>#N/A</v>
      </c>
      <c r="Z235" s="6" t="e">
        <v>#N/A</v>
      </c>
      <c r="AA235" s="6" t="e">
        <v>#N/A</v>
      </c>
      <c r="AD235" s="6" t="e">
        <v>#N/A</v>
      </c>
      <c r="AE235" s="6" t="e">
        <v>#N/A</v>
      </c>
      <c r="AG235" s="6" t="e">
        <v>#N/A</v>
      </c>
      <c r="AY235" s="8" t="s">
        <v>176</v>
      </c>
      <c r="AZ235" s="8" t="s">
        <v>195</v>
      </c>
      <c r="BA235" s="13" t="s">
        <v>656</v>
      </c>
      <c r="BB235" s="13" t="s">
        <v>796</v>
      </c>
      <c r="BC235" s="13">
        <v>87</v>
      </c>
      <c r="BD235" s="13">
        <v>88</v>
      </c>
      <c r="DC235" s="6" t="s">
        <v>723</v>
      </c>
      <c r="DD235" s="6" t="s">
        <v>968</v>
      </c>
      <c r="DH235" s="6" t="str">
        <f>"A"&amp;EA235</f>
        <v>A8</v>
      </c>
      <c r="DI235" s="6" t="str">
        <f>"B"&amp;EA235</f>
        <v>B8</v>
      </c>
      <c r="DK235" s="6" t="s">
        <v>173</v>
      </c>
      <c r="DL235" s="6" t="str">
        <f>IF(DZ235&lt;&gt;"","CN2","")</f>
        <v>CN2</v>
      </c>
      <c r="DO235" s="9" t="s">
        <v>170</v>
      </c>
      <c r="DP235" s="6" t="s">
        <v>171</v>
      </c>
      <c r="DQ235" s="6" t="s">
        <v>645</v>
      </c>
      <c r="DR235" s="6" t="e">
        <f>#REF!&amp;RIGHT(#REF!,3)</f>
        <v>#REF!</v>
      </c>
      <c r="DS235" s="6" t="str">
        <f>IF(MID(EF235,2,1)="A","KS1","AKB331")</f>
        <v>AKB331</v>
      </c>
      <c r="DT235" s="10" t="str">
        <f>DQ235&amp;"-"&amp;DX235&amp;"-"&amp;DY235&amp;"/"&amp;BA235&amp;"-"&amp;DD235&amp;"-"&amp;DK235</f>
        <v>FCS0111-6-7/1S–MC–127-R7-CN1</v>
      </c>
      <c r="DU235" s="6" t="str">
        <f>IF(DL235="","",DQ235&amp;"-"&amp;DX235&amp;"-"&amp;DY235&amp;"/"&amp;BA235&amp;"-"&amp;DD235&amp;"-"&amp;DL235)</f>
        <v>FCS0111-6-7/1S–MC–127-R7-CN2</v>
      </c>
      <c r="DV235" s="19">
        <v>1</v>
      </c>
      <c r="DW235" s="20" t="str">
        <f>RIGHT(DQ235,2)</f>
        <v>11</v>
      </c>
      <c r="DX235" s="20">
        <v>6</v>
      </c>
      <c r="DY235" s="21">
        <v>7</v>
      </c>
      <c r="DZ235" s="22">
        <v>8</v>
      </c>
      <c r="EA235" s="23">
        <v>8</v>
      </c>
      <c r="EB235" s="7">
        <v>24</v>
      </c>
      <c r="EC235" s="6">
        <v>1</v>
      </c>
      <c r="EE235" s="9" t="s">
        <v>693</v>
      </c>
      <c r="EF235" s="6" t="s">
        <v>672</v>
      </c>
      <c r="EG235" s="6" t="s">
        <v>672</v>
      </c>
      <c r="EH235" s="6" t="s">
        <v>984</v>
      </c>
      <c r="EI235" s="6" t="s">
        <v>786</v>
      </c>
      <c r="EJ235" s="12">
        <v>12</v>
      </c>
      <c r="EK235" s="12"/>
      <c r="EM235" s="12"/>
      <c r="EN235" s="12" t="s">
        <v>1121</v>
      </c>
      <c r="ET235" s="6" t="str">
        <f t="shared" si="106"/>
        <v>홀수</v>
      </c>
      <c r="EU235" s="12">
        <v>45</v>
      </c>
      <c r="EV235" s="45" t="str">
        <f t="shared" ca="1" si="111"/>
        <v>B</v>
      </c>
      <c r="EW235" s="6">
        <f t="shared" ca="1" si="107"/>
        <v>66</v>
      </c>
      <c r="FO235" s="6"/>
      <c r="FP235" s="11"/>
      <c r="FR235" s="6">
        <v>1</v>
      </c>
      <c r="FS235" s="6">
        <f t="shared" si="108"/>
        <v>1</v>
      </c>
      <c r="FT235" s="6" t="str">
        <f t="shared" si="109"/>
        <v/>
      </c>
      <c r="FU235" s="6" t="str">
        <f t="shared" ca="1" si="112"/>
        <v>R7-11</v>
      </c>
      <c r="FV235" s="6" t="str">
        <f t="shared" ca="1" si="110"/>
        <v>R7-12</v>
      </c>
      <c r="FW235" s="6" t="str">
        <f t="shared" ca="1" si="121"/>
        <v/>
      </c>
      <c r="FX235" s="6" t="str">
        <f t="shared" ca="1" si="122"/>
        <v/>
      </c>
      <c r="FY235" s="6" t="str">
        <f t="shared" ca="1" si="123"/>
        <v/>
      </c>
      <c r="FZ235" s="6" t="str">
        <f t="shared" ca="1" si="124"/>
        <v/>
      </c>
    </row>
    <row r="236" spans="1:182" ht="15.95" customHeight="1">
      <c r="A236" s="6">
        <v>377</v>
      </c>
      <c r="B236" s="6" t="s">
        <v>175</v>
      </c>
      <c r="E236" s="6" t="s">
        <v>787</v>
      </c>
      <c r="F236" s="6" t="s">
        <v>1493</v>
      </c>
      <c r="G236" s="6" t="s">
        <v>1290</v>
      </c>
      <c r="H236" s="7" t="s">
        <v>1291</v>
      </c>
      <c r="I236" s="7"/>
      <c r="J236" s="6" t="e">
        <v>#N/A</v>
      </c>
      <c r="K236" s="6" t="e">
        <v>#N/A</v>
      </c>
      <c r="N236" s="6" t="e">
        <v>#N/A</v>
      </c>
      <c r="O236" s="6" t="e">
        <v>#N/A</v>
      </c>
      <c r="R236" s="101" t="e">
        <v>#N/A</v>
      </c>
      <c r="Y236" s="6" t="e">
        <v>#N/A</v>
      </c>
      <c r="Z236" s="6" t="e">
        <v>#N/A</v>
      </c>
      <c r="AA236" s="6" t="e">
        <v>#N/A</v>
      </c>
      <c r="AD236" s="6" t="e">
        <v>#N/A</v>
      </c>
      <c r="AE236" s="6" t="e">
        <v>#N/A</v>
      </c>
      <c r="AG236" s="6" t="e">
        <v>#N/A</v>
      </c>
      <c r="AY236" s="8" t="s">
        <v>176</v>
      </c>
      <c r="AZ236" s="8" t="s">
        <v>195</v>
      </c>
      <c r="BA236" s="13" t="s">
        <v>656</v>
      </c>
      <c r="BB236" s="13" t="s">
        <v>740</v>
      </c>
      <c r="BC236" s="13">
        <v>41</v>
      </c>
      <c r="BD236" s="13">
        <v>42</v>
      </c>
      <c r="DC236" s="6" t="s">
        <v>644</v>
      </c>
      <c r="DD236" s="6" t="s">
        <v>190</v>
      </c>
      <c r="DH236" s="6" t="str">
        <f t="shared" si="118"/>
        <v>A9</v>
      </c>
      <c r="DI236" s="6" t="str">
        <f t="shared" si="119"/>
        <v>B9</v>
      </c>
      <c r="DK236" s="6" t="s">
        <v>173</v>
      </c>
      <c r="DL236" s="6" t="str">
        <f t="shared" si="120"/>
        <v/>
      </c>
      <c r="DO236" s="9" t="s">
        <v>170</v>
      </c>
      <c r="DP236" s="6" t="s">
        <v>171</v>
      </c>
      <c r="DQ236" s="6" t="s">
        <v>645</v>
      </c>
      <c r="DS236" s="6" t="str">
        <f t="shared" si="113"/>
        <v>AKB331</v>
      </c>
      <c r="DT236" s="10" t="str">
        <f t="shared" si="114"/>
        <v>FCS0111-4-6/1S–MC–127-R4-CN1</v>
      </c>
      <c r="DU236" s="6" t="str">
        <f t="shared" si="115"/>
        <v/>
      </c>
      <c r="DV236" s="19">
        <v>1</v>
      </c>
      <c r="DW236" s="20" t="str">
        <f t="shared" si="116"/>
        <v>11</v>
      </c>
      <c r="DX236" s="21">
        <v>4</v>
      </c>
      <c r="DY236" s="22">
        <v>6</v>
      </c>
      <c r="DZ236" s="23" t="s">
        <v>204</v>
      </c>
      <c r="EA236" s="23">
        <v>9</v>
      </c>
      <c r="ED236" s="9" t="str">
        <f t="shared" si="117"/>
        <v>ANB10D</v>
      </c>
      <c r="EF236" s="6" t="s">
        <v>647</v>
      </c>
      <c r="EH236" s="6" t="s">
        <v>787</v>
      </c>
      <c r="EI236" s="6" t="s">
        <v>788</v>
      </c>
      <c r="EJ236" s="12">
        <v>12</v>
      </c>
      <c r="EK236" s="12"/>
      <c r="EM236" s="12"/>
      <c r="EN236" s="12" t="s">
        <v>1121</v>
      </c>
      <c r="EP236" s="6" t="s">
        <v>1154</v>
      </c>
      <c r="ER236" s="6" t="str">
        <f>MID(EH236,3,6)</f>
        <v>P4023A</v>
      </c>
      <c r="ET236" s="6" t="str">
        <f t="shared" si="106"/>
        <v>홀수</v>
      </c>
      <c r="EU236" s="12">
        <v>45</v>
      </c>
      <c r="EV236" s="45" t="str">
        <f t="shared" ca="1" si="111"/>
        <v>C</v>
      </c>
      <c r="EW236" s="6">
        <f t="shared" ca="1" si="107"/>
        <v>67</v>
      </c>
      <c r="EZ236" s="6" t="str">
        <f>ER236&amp;"INT"</f>
        <v>P4023AINT</v>
      </c>
      <c r="FA236" s="6" t="str">
        <f>ER236&amp;"INT"</f>
        <v>P4023AINT</v>
      </c>
      <c r="FR236" s="6">
        <v>1</v>
      </c>
      <c r="FS236" s="6" t="str">
        <f t="shared" si="108"/>
        <v/>
      </c>
      <c r="FT236" s="6">
        <f t="shared" si="109"/>
        <v>1</v>
      </c>
      <c r="FU236" s="6" t="str">
        <f t="shared" ca="1" si="112"/>
        <v/>
      </c>
      <c r="FV236" s="6" t="str">
        <f t="shared" ca="1" si="110"/>
        <v/>
      </c>
      <c r="FW236" s="6" t="str">
        <f t="shared" ca="1" si="121"/>
        <v>R4-11</v>
      </c>
      <c r="FX236" s="6" t="str">
        <f t="shared" ca="1" si="122"/>
        <v>R4-12</v>
      </c>
      <c r="FY236" s="6" t="str">
        <f t="shared" ca="1" si="123"/>
        <v>R4-21</v>
      </c>
      <c r="FZ236" s="6" t="str">
        <f t="shared" ca="1" si="124"/>
        <v>R4-22</v>
      </c>
    </row>
    <row r="237" spans="1:182" ht="15.95" customHeight="1">
      <c r="A237" s="6">
        <v>730</v>
      </c>
      <c r="B237" s="6" t="s">
        <v>694</v>
      </c>
      <c r="E237" s="6" t="s">
        <v>985</v>
      </c>
      <c r="F237" s="6" t="s">
        <v>1494</v>
      </c>
      <c r="G237" s="6" t="s">
        <v>1290</v>
      </c>
      <c r="H237" s="7" t="s">
        <v>1291</v>
      </c>
      <c r="I237" s="7"/>
      <c r="J237" s="6" t="e">
        <v>#N/A</v>
      </c>
      <c r="K237" s="6" t="e">
        <v>#N/A</v>
      </c>
      <c r="N237" s="6" t="e">
        <v>#N/A</v>
      </c>
      <c r="O237" s="6" t="e">
        <v>#N/A</v>
      </c>
      <c r="R237" s="101" t="e">
        <v>#N/A</v>
      </c>
      <c r="Y237" s="6" t="e">
        <v>#N/A</v>
      </c>
      <c r="Z237" s="6" t="e">
        <v>#N/A</v>
      </c>
      <c r="AA237" s="6" t="e">
        <v>#N/A</v>
      </c>
      <c r="AD237" s="6" t="e">
        <v>#N/A</v>
      </c>
      <c r="AE237" s="6" t="e">
        <v>#N/A</v>
      </c>
      <c r="AG237" s="6" t="e">
        <v>#N/A</v>
      </c>
      <c r="AY237" s="8" t="s">
        <v>176</v>
      </c>
      <c r="AZ237" s="8" t="s">
        <v>195</v>
      </c>
      <c r="BA237" s="13" t="s">
        <v>656</v>
      </c>
      <c r="BB237" s="13" t="s">
        <v>796</v>
      </c>
      <c r="BC237" s="13">
        <v>91</v>
      </c>
      <c r="BD237" s="13">
        <v>92</v>
      </c>
      <c r="DC237" s="6" t="s">
        <v>723</v>
      </c>
      <c r="DD237" s="6" t="s">
        <v>968</v>
      </c>
      <c r="DH237" s="6" t="str">
        <f>"A"&amp;EA237</f>
        <v>A10</v>
      </c>
      <c r="DI237" s="6" t="str">
        <f>"B"&amp;EA237</f>
        <v>B10</v>
      </c>
      <c r="DK237" s="6" t="s">
        <v>173</v>
      </c>
      <c r="DL237" s="6" t="str">
        <f>IF(DZ237&lt;&gt;"","CN2","")</f>
        <v>CN2</v>
      </c>
      <c r="DO237" s="9" t="s">
        <v>170</v>
      </c>
      <c r="DP237" s="6" t="s">
        <v>171</v>
      </c>
      <c r="DQ237" s="6" t="s">
        <v>645</v>
      </c>
      <c r="DR237" s="6" t="e">
        <f>#REF!&amp;RIGHT(#REF!,3)</f>
        <v>#REF!</v>
      </c>
      <c r="DS237" s="6" t="str">
        <f>IF(MID(EF237,2,1)="A","KS1","AKB331")</f>
        <v>AKB331</v>
      </c>
      <c r="DT237" s="10" t="str">
        <f>DQ237&amp;"-"&amp;DX237&amp;"-"&amp;DY237&amp;"/"&amp;BA237&amp;"-"&amp;DD237&amp;"-"&amp;DK237</f>
        <v>FCS0111-6-7/1S–MC–127-R7-CN1</v>
      </c>
      <c r="DU237" s="6" t="str">
        <f>IF(DL237="","",DQ237&amp;"-"&amp;DX237&amp;"-"&amp;DY237&amp;"/"&amp;BA237&amp;"-"&amp;DD237&amp;"-"&amp;DL237)</f>
        <v>FCS0111-6-7/1S–MC–127-R7-CN2</v>
      </c>
      <c r="DV237" s="19">
        <v>1</v>
      </c>
      <c r="DW237" s="20" t="str">
        <f>RIGHT(DQ237,2)</f>
        <v>11</v>
      </c>
      <c r="DX237" s="20">
        <v>6</v>
      </c>
      <c r="DY237" s="21">
        <v>7</v>
      </c>
      <c r="DZ237" s="22">
        <v>8</v>
      </c>
      <c r="EA237" s="23">
        <v>10</v>
      </c>
      <c r="EB237" s="7">
        <v>26</v>
      </c>
      <c r="EC237" s="6">
        <v>1</v>
      </c>
      <c r="EE237" s="9" t="s">
        <v>693</v>
      </c>
      <c r="EF237" s="6" t="s">
        <v>672</v>
      </c>
      <c r="EG237" s="6" t="s">
        <v>672</v>
      </c>
      <c r="EH237" s="6" t="s">
        <v>985</v>
      </c>
      <c r="EI237" s="6" t="s">
        <v>788</v>
      </c>
      <c r="EJ237" s="12">
        <v>12</v>
      </c>
      <c r="EK237" s="12"/>
      <c r="EM237" s="12"/>
      <c r="EN237" s="12" t="s">
        <v>1121</v>
      </c>
      <c r="ET237" s="6" t="str">
        <f t="shared" si="106"/>
        <v>홀수</v>
      </c>
      <c r="EU237" s="12">
        <v>45</v>
      </c>
      <c r="EV237" s="45" t="str">
        <f t="shared" ca="1" si="111"/>
        <v>D</v>
      </c>
      <c r="EW237" s="6">
        <f t="shared" ca="1" si="107"/>
        <v>68</v>
      </c>
      <c r="FO237" s="6"/>
      <c r="FP237" s="11"/>
      <c r="FR237" s="6">
        <v>1</v>
      </c>
      <c r="FS237" s="6">
        <f t="shared" si="108"/>
        <v>1</v>
      </c>
      <c r="FT237" s="6" t="str">
        <f t="shared" si="109"/>
        <v/>
      </c>
      <c r="FU237" s="6" t="str">
        <f t="shared" ca="1" si="112"/>
        <v>R7-11</v>
      </c>
      <c r="FV237" s="6" t="str">
        <f t="shared" ca="1" si="110"/>
        <v>R7-12</v>
      </c>
      <c r="FW237" s="6" t="str">
        <f t="shared" ca="1" si="121"/>
        <v/>
      </c>
      <c r="FX237" s="6" t="str">
        <f t="shared" ca="1" si="122"/>
        <v/>
      </c>
      <c r="FY237" s="6" t="str">
        <f t="shared" ca="1" si="123"/>
        <v/>
      </c>
      <c r="FZ237" s="6" t="str">
        <f t="shared" ca="1" si="124"/>
        <v/>
      </c>
    </row>
    <row r="238" spans="1:182" ht="15.95" customHeight="1">
      <c r="A238" s="6">
        <v>379</v>
      </c>
      <c r="B238" s="6" t="s">
        <v>175</v>
      </c>
      <c r="E238" s="6" t="s">
        <v>789</v>
      </c>
      <c r="F238" s="6" t="s">
        <v>1495</v>
      </c>
      <c r="G238" s="6" t="s">
        <v>1290</v>
      </c>
      <c r="H238" s="7" t="s">
        <v>1291</v>
      </c>
      <c r="I238" s="7"/>
      <c r="J238" s="6" t="e">
        <v>#N/A</v>
      </c>
      <c r="K238" s="6" t="e">
        <v>#N/A</v>
      </c>
      <c r="N238" s="6" t="e">
        <v>#N/A</v>
      </c>
      <c r="O238" s="6" t="e">
        <v>#N/A</v>
      </c>
      <c r="R238" s="101" t="e">
        <v>#N/A</v>
      </c>
      <c r="Y238" s="6" t="e">
        <v>#N/A</v>
      </c>
      <c r="Z238" s="6" t="e">
        <v>#N/A</v>
      </c>
      <c r="AA238" s="6" t="e">
        <v>#N/A</v>
      </c>
      <c r="AD238" s="6" t="e">
        <v>#N/A</v>
      </c>
      <c r="AE238" s="6" t="e">
        <v>#N/A</v>
      </c>
      <c r="AG238" s="6" t="e">
        <v>#N/A</v>
      </c>
      <c r="AY238" s="8" t="s">
        <v>176</v>
      </c>
      <c r="AZ238" s="8" t="s">
        <v>195</v>
      </c>
      <c r="BA238" s="13" t="s">
        <v>656</v>
      </c>
      <c r="BB238" s="13" t="s">
        <v>740</v>
      </c>
      <c r="BC238" s="13">
        <v>45</v>
      </c>
      <c r="BD238" s="13">
        <v>46</v>
      </c>
      <c r="DC238" s="6" t="s">
        <v>644</v>
      </c>
      <c r="DD238" s="6" t="s">
        <v>190</v>
      </c>
      <c r="DH238" s="6" t="str">
        <f t="shared" si="118"/>
        <v>A11</v>
      </c>
      <c r="DI238" s="6" t="str">
        <f t="shared" si="119"/>
        <v>B11</v>
      </c>
      <c r="DK238" s="6" t="s">
        <v>173</v>
      </c>
      <c r="DL238" s="6" t="str">
        <f t="shared" si="120"/>
        <v/>
      </c>
      <c r="DO238" s="9" t="s">
        <v>170</v>
      </c>
      <c r="DP238" s="6" t="s">
        <v>171</v>
      </c>
      <c r="DQ238" s="6" t="s">
        <v>645</v>
      </c>
      <c r="DS238" s="6" t="str">
        <f t="shared" si="113"/>
        <v>AKB331</v>
      </c>
      <c r="DT238" s="10" t="str">
        <f t="shared" si="114"/>
        <v>FCS0111-4-6/1S–MC–127-R4-CN1</v>
      </c>
      <c r="DU238" s="6" t="str">
        <f t="shared" si="115"/>
        <v/>
      </c>
      <c r="DV238" s="19">
        <v>1</v>
      </c>
      <c r="DW238" s="20" t="str">
        <f t="shared" si="116"/>
        <v>11</v>
      </c>
      <c r="DX238" s="21">
        <v>4</v>
      </c>
      <c r="DY238" s="22">
        <v>6</v>
      </c>
      <c r="DZ238" s="23" t="s">
        <v>204</v>
      </c>
      <c r="EA238" s="23">
        <v>11</v>
      </c>
      <c r="ED238" s="9" t="str">
        <f t="shared" si="117"/>
        <v>ANB10D</v>
      </c>
      <c r="EF238" s="6" t="s">
        <v>647</v>
      </c>
      <c r="EH238" s="6" t="s">
        <v>789</v>
      </c>
      <c r="EI238" s="6" t="s">
        <v>788</v>
      </c>
      <c r="EJ238" s="12">
        <v>12</v>
      </c>
      <c r="EK238" s="12"/>
      <c r="EM238" s="12"/>
      <c r="EN238" s="12" t="s">
        <v>1121</v>
      </c>
      <c r="EP238" s="6" t="s">
        <v>1154</v>
      </c>
      <c r="ER238" s="6" t="str">
        <f>MID(EH238,3,6)</f>
        <v>P4023B</v>
      </c>
      <c r="ET238" s="6" t="str">
        <f t="shared" si="106"/>
        <v>짝수</v>
      </c>
      <c r="EU238" s="12">
        <v>46</v>
      </c>
      <c r="EV238" s="45" t="str">
        <f t="shared" ca="1" si="111"/>
        <v>A</v>
      </c>
      <c r="EW238" s="6">
        <f t="shared" ca="1" si="107"/>
        <v>65</v>
      </c>
      <c r="EZ238" s="6" t="str">
        <f>ER238&amp;"INT"</f>
        <v>P4023BINT</v>
      </c>
      <c r="FA238" s="6" t="str">
        <f>ER238&amp;"INT"</f>
        <v>P4023BINT</v>
      </c>
      <c r="FR238" s="6">
        <v>1</v>
      </c>
      <c r="FS238" s="6" t="str">
        <f t="shared" si="108"/>
        <v/>
      </c>
      <c r="FT238" s="6">
        <f t="shared" si="109"/>
        <v>1</v>
      </c>
      <c r="FU238" s="6" t="str">
        <f t="shared" ca="1" si="112"/>
        <v/>
      </c>
      <c r="FV238" s="6" t="str">
        <f t="shared" ca="1" si="110"/>
        <v/>
      </c>
      <c r="FW238" s="6" t="str">
        <f t="shared" ca="1" si="121"/>
        <v>R4-11</v>
      </c>
      <c r="FX238" s="6" t="str">
        <f t="shared" ca="1" si="122"/>
        <v>R4-12</v>
      </c>
      <c r="FY238" s="6" t="str">
        <f t="shared" ca="1" si="123"/>
        <v>R4-21</v>
      </c>
      <c r="FZ238" s="6" t="str">
        <f t="shared" ca="1" si="124"/>
        <v>R4-22</v>
      </c>
    </row>
    <row r="239" spans="1:182" ht="15.95" customHeight="1">
      <c r="A239" s="6">
        <v>732</v>
      </c>
      <c r="B239" s="6" t="s">
        <v>694</v>
      </c>
      <c r="E239" s="6" t="s">
        <v>986</v>
      </c>
      <c r="F239" s="6" t="s">
        <v>1496</v>
      </c>
      <c r="G239" s="6" t="s">
        <v>1290</v>
      </c>
      <c r="H239" s="7" t="s">
        <v>1291</v>
      </c>
      <c r="I239" s="7"/>
      <c r="J239" s="6" t="e">
        <v>#N/A</v>
      </c>
      <c r="K239" s="6" t="e">
        <v>#N/A</v>
      </c>
      <c r="N239" s="6" t="e">
        <v>#N/A</v>
      </c>
      <c r="O239" s="6" t="e">
        <v>#N/A</v>
      </c>
      <c r="R239" s="101" t="e">
        <v>#N/A</v>
      </c>
      <c r="Y239" s="6" t="e">
        <v>#N/A</v>
      </c>
      <c r="Z239" s="6" t="e">
        <v>#N/A</v>
      </c>
      <c r="AA239" s="6" t="e">
        <v>#N/A</v>
      </c>
      <c r="AD239" s="6" t="e">
        <v>#N/A</v>
      </c>
      <c r="AE239" s="6" t="e">
        <v>#N/A</v>
      </c>
      <c r="AG239" s="6" t="e">
        <v>#N/A</v>
      </c>
      <c r="AY239" s="8" t="s">
        <v>176</v>
      </c>
      <c r="AZ239" s="8" t="s">
        <v>195</v>
      </c>
      <c r="BA239" s="13" t="s">
        <v>656</v>
      </c>
      <c r="BB239" s="13" t="s">
        <v>796</v>
      </c>
      <c r="BC239" s="13">
        <v>95</v>
      </c>
      <c r="BD239" s="13">
        <v>96</v>
      </c>
      <c r="DC239" s="6" t="s">
        <v>723</v>
      </c>
      <c r="DD239" s="6" t="s">
        <v>968</v>
      </c>
      <c r="DH239" s="6" t="str">
        <f>"A"&amp;EA239</f>
        <v>A12</v>
      </c>
      <c r="DI239" s="6" t="str">
        <f>"B"&amp;EA239</f>
        <v>B12</v>
      </c>
      <c r="DK239" s="6" t="s">
        <v>173</v>
      </c>
      <c r="DL239" s="6" t="str">
        <f>IF(DZ239&lt;&gt;"","CN2","")</f>
        <v>CN2</v>
      </c>
      <c r="DO239" s="9" t="s">
        <v>170</v>
      </c>
      <c r="DP239" s="6" t="s">
        <v>171</v>
      </c>
      <c r="DQ239" s="6" t="s">
        <v>645</v>
      </c>
      <c r="DR239" s="6" t="e">
        <f>#REF!&amp;RIGHT(#REF!,3)</f>
        <v>#REF!</v>
      </c>
      <c r="DS239" s="6" t="str">
        <f>IF(MID(EF239,2,1)="A","KS1","AKB331")</f>
        <v>AKB331</v>
      </c>
      <c r="DT239" s="10" t="str">
        <f>DQ239&amp;"-"&amp;DX239&amp;"-"&amp;DY239&amp;"/"&amp;BA239&amp;"-"&amp;DD239&amp;"-"&amp;DK239</f>
        <v>FCS0111-6-7/1S–MC–127-R7-CN1</v>
      </c>
      <c r="DU239" s="6" t="str">
        <f>IF(DL239="","",DQ239&amp;"-"&amp;DX239&amp;"-"&amp;DY239&amp;"/"&amp;BA239&amp;"-"&amp;DD239&amp;"-"&amp;DL239)</f>
        <v>FCS0111-6-7/1S–MC–127-R7-CN2</v>
      </c>
      <c r="DV239" s="19">
        <v>1</v>
      </c>
      <c r="DW239" s="20" t="str">
        <f>RIGHT(DQ239,2)</f>
        <v>11</v>
      </c>
      <c r="DX239" s="20">
        <v>6</v>
      </c>
      <c r="DY239" s="21">
        <v>7</v>
      </c>
      <c r="DZ239" s="22">
        <v>8</v>
      </c>
      <c r="EA239" s="23">
        <v>12</v>
      </c>
      <c r="EB239" s="7">
        <v>28</v>
      </c>
      <c r="EC239" s="6">
        <v>1</v>
      </c>
      <c r="EE239" s="9" t="s">
        <v>693</v>
      </c>
      <c r="EF239" s="6" t="s">
        <v>672</v>
      </c>
      <c r="EG239" s="6" t="s">
        <v>672</v>
      </c>
      <c r="EH239" s="6" t="s">
        <v>986</v>
      </c>
      <c r="EI239" s="6" t="s">
        <v>788</v>
      </c>
      <c r="EJ239" s="12">
        <v>12</v>
      </c>
      <c r="EK239" s="12"/>
      <c r="EM239" s="12"/>
      <c r="EN239" s="12" t="s">
        <v>1121</v>
      </c>
      <c r="ET239" s="6" t="str">
        <f t="shared" si="106"/>
        <v>짝수</v>
      </c>
      <c r="EU239" s="12">
        <v>46</v>
      </c>
      <c r="EV239" s="45" t="str">
        <f t="shared" ca="1" si="111"/>
        <v>B</v>
      </c>
      <c r="EW239" s="6">
        <f t="shared" ca="1" si="107"/>
        <v>66</v>
      </c>
      <c r="FO239" s="6"/>
      <c r="FP239" s="11"/>
      <c r="FR239" s="6">
        <v>1</v>
      </c>
      <c r="FS239" s="6">
        <f t="shared" si="108"/>
        <v>1</v>
      </c>
      <c r="FT239" s="6" t="str">
        <f t="shared" si="109"/>
        <v/>
      </c>
      <c r="FU239" s="6" t="str">
        <f t="shared" ca="1" si="112"/>
        <v>R7-11</v>
      </c>
      <c r="FV239" s="6" t="str">
        <f t="shared" ca="1" si="110"/>
        <v>R7-12</v>
      </c>
      <c r="FW239" s="6" t="str">
        <f t="shared" ca="1" si="121"/>
        <v/>
      </c>
      <c r="FX239" s="6" t="str">
        <f t="shared" ca="1" si="122"/>
        <v/>
      </c>
      <c r="FY239" s="6" t="str">
        <f t="shared" ca="1" si="123"/>
        <v/>
      </c>
      <c r="FZ239" s="6" t="str">
        <f t="shared" ca="1" si="124"/>
        <v/>
      </c>
    </row>
    <row r="240" spans="1:182" ht="15.95" customHeight="1">
      <c r="A240" s="6">
        <v>381</v>
      </c>
      <c r="B240" s="6" t="s">
        <v>175</v>
      </c>
      <c r="E240" s="6" t="s">
        <v>790</v>
      </c>
      <c r="F240" s="6" t="s">
        <v>1497</v>
      </c>
      <c r="G240" s="6" t="s">
        <v>1290</v>
      </c>
      <c r="H240" s="7" t="s">
        <v>1291</v>
      </c>
      <c r="I240" s="7"/>
      <c r="J240" s="6" t="e">
        <v>#N/A</v>
      </c>
      <c r="K240" s="6" t="e">
        <v>#N/A</v>
      </c>
      <c r="N240" s="6" t="e">
        <v>#N/A</v>
      </c>
      <c r="O240" s="6" t="e">
        <v>#N/A</v>
      </c>
      <c r="R240" s="101" t="e">
        <v>#N/A</v>
      </c>
      <c r="Y240" s="6" t="e">
        <v>#N/A</v>
      </c>
      <c r="Z240" s="6" t="e">
        <v>#N/A</v>
      </c>
      <c r="AA240" s="6" t="e">
        <v>#N/A</v>
      </c>
      <c r="AD240" s="6" t="e">
        <v>#N/A</v>
      </c>
      <c r="AE240" s="6" t="e">
        <v>#N/A</v>
      </c>
      <c r="AG240" s="6" t="e">
        <v>#N/A</v>
      </c>
      <c r="AY240" s="8" t="s">
        <v>176</v>
      </c>
      <c r="AZ240" s="8" t="s">
        <v>195</v>
      </c>
      <c r="BA240" s="13" t="s">
        <v>656</v>
      </c>
      <c r="BB240" s="13" t="s">
        <v>740</v>
      </c>
      <c r="BC240" s="13">
        <v>49</v>
      </c>
      <c r="BD240" s="13">
        <v>50</v>
      </c>
      <c r="DC240" s="6" t="s">
        <v>644</v>
      </c>
      <c r="DD240" s="6" t="s">
        <v>190</v>
      </c>
      <c r="DH240" s="6" t="str">
        <f t="shared" si="118"/>
        <v>A13</v>
      </c>
      <c r="DI240" s="6" t="str">
        <f t="shared" si="119"/>
        <v>B13</v>
      </c>
      <c r="DK240" s="6" t="s">
        <v>173</v>
      </c>
      <c r="DL240" s="6" t="str">
        <f t="shared" si="120"/>
        <v/>
      </c>
      <c r="DO240" s="9" t="s">
        <v>170</v>
      </c>
      <c r="DP240" s="6" t="s">
        <v>171</v>
      </c>
      <c r="DQ240" s="6" t="s">
        <v>645</v>
      </c>
      <c r="DS240" s="6" t="str">
        <f t="shared" si="113"/>
        <v>AKB331</v>
      </c>
      <c r="DT240" s="10" t="str">
        <f t="shared" si="114"/>
        <v>FCS0111-4-6/1S–MC–127-R4-CN1</v>
      </c>
      <c r="DU240" s="6" t="str">
        <f t="shared" si="115"/>
        <v/>
      </c>
      <c r="DV240" s="19">
        <v>1</v>
      </c>
      <c r="DW240" s="20" t="str">
        <f t="shared" si="116"/>
        <v>11</v>
      </c>
      <c r="DX240" s="21">
        <v>4</v>
      </c>
      <c r="DY240" s="22">
        <v>6</v>
      </c>
      <c r="DZ240" s="23" t="s">
        <v>204</v>
      </c>
      <c r="EA240" s="23">
        <v>13</v>
      </c>
      <c r="ED240" s="9" t="str">
        <f t="shared" si="117"/>
        <v>ANB10D</v>
      </c>
      <c r="EF240" s="6" t="s">
        <v>647</v>
      </c>
      <c r="EH240" s="6" t="s">
        <v>790</v>
      </c>
      <c r="EI240" s="6" t="s">
        <v>788</v>
      </c>
      <c r="EJ240" s="12">
        <v>12</v>
      </c>
      <c r="EK240" s="12"/>
      <c r="EM240" s="12"/>
      <c r="EN240" s="12" t="s">
        <v>1121</v>
      </c>
      <c r="EP240" s="6" t="s">
        <v>1154</v>
      </c>
      <c r="ER240" s="6" t="str">
        <f>MID(EH240,3,6)</f>
        <v>P4023C</v>
      </c>
      <c r="ET240" s="6" t="str">
        <f t="shared" si="106"/>
        <v>짝수</v>
      </c>
      <c r="EU240" s="12">
        <v>46</v>
      </c>
      <c r="EV240" s="45" t="str">
        <f t="shared" ca="1" si="111"/>
        <v>C</v>
      </c>
      <c r="EW240" s="6">
        <f t="shared" ca="1" si="107"/>
        <v>67</v>
      </c>
      <c r="EZ240" s="6" t="str">
        <f>ER240&amp;"INT"</f>
        <v>P4023CINT</v>
      </c>
      <c r="FA240" s="6" t="str">
        <f>ER240&amp;"INT"</f>
        <v>P4023CINT</v>
      </c>
      <c r="FR240" s="6">
        <v>1</v>
      </c>
      <c r="FS240" s="6" t="str">
        <f t="shared" si="108"/>
        <v/>
      </c>
      <c r="FT240" s="6">
        <f t="shared" si="109"/>
        <v>1</v>
      </c>
      <c r="FU240" s="6" t="str">
        <f t="shared" ca="1" si="112"/>
        <v/>
      </c>
      <c r="FV240" s="6" t="str">
        <f t="shared" ca="1" si="110"/>
        <v/>
      </c>
      <c r="FW240" s="6" t="str">
        <f t="shared" ca="1" si="121"/>
        <v>R4-11</v>
      </c>
      <c r="FX240" s="6" t="str">
        <f t="shared" ca="1" si="122"/>
        <v>R4-12</v>
      </c>
      <c r="FY240" s="6" t="str">
        <f t="shared" ca="1" si="123"/>
        <v>R4-21</v>
      </c>
      <c r="FZ240" s="6" t="str">
        <f t="shared" ca="1" si="124"/>
        <v>R4-22</v>
      </c>
    </row>
    <row r="241" spans="1:182" ht="15.95" customHeight="1">
      <c r="A241" s="6">
        <v>734</v>
      </c>
      <c r="B241" s="6" t="s">
        <v>694</v>
      </c>
      <c r="E241" s="6" t="s">
        <v>987</v>
      </c>
      <c r="F241" s="6" t="s">
        <v>1498</v>
      </c>
      <c r="G241" s="6" t="s">
        <v>1290</v>
      </c>
      <c r="H241" s="7" t="s">
        <v>1291</v>
      </c>
      <c r="I241" s="7"/>
      <c r="J241" s="6" t="e">
        <v>#N/A</v>
      </c>
      <c r="K241" s="6" t="e">
        <v>#N/A</v>
      </c>
      <c r="N241" s="6" t="e">
        <v>#N/A</v>
      </c>
      <c r="O241" s="6" t="e">
        <v>#N/A</v>
      </c>
      <c r="R241" s="101" t="e">
        <v>#N/A</v>
      </c>
      <c r="Y241" s="6" t="e">
        <v>#N/A</v>
      </c>
      <c r="Z241" s="6" t="e">
        <v>#N/A</v>
      </c>
      <c r="AA241" s="6" t="e">
        <v>#N/A</v>
      </c>
      <c r="AD241" s="6" t="e">
        <v>#N/A</v>
      </c>
      <c r="AE241" s="6" t="e">
        <v>#N/A</v>
      </c>
      <c r="AG241" s="6" t="e">
        <v>#N/A</v>
      </c>
      <c r="AY241" s="8" t="s">
        <v>176</v>
      </c>
      <c r="AZ241" s="8" t="s">
        <v>195</v>
      </c>
      <c r="BA241" s="13" t="s">
        <v>656</v>
      </c>
      <c r="BB241" s="13" t="s">
        <v>796</v>
      </c>
      <c r="BC241" s="13">
        <v>99</v>
      </c>
      <c r="BD241" s="13">
        <v>100</v>
      </c>
      <c r="DC241" s="6" t="s">
        <v>723</v>
      </c>
      <c r="DD241" s="6" t="s">
        <v>968</v>
      </c>
      <c r="DH241" s="6" t="str">
        <f>"A"&amp;EA241</f>
        <v>A14</v>
      </c>
      <c r="DI241" s="6" t="str">
        <f>"B"&amp;EA241</f>
        <v>B14</v>
      </c>
      <c r="DK241" s="6" t="s">
        <v>173</v>
      </c>
      <c r="DL241" s="6" t="str">
        <f>IF(DZ241&lt;&gt;"","CN2","")</f>
        <v>CN2</v>
      </c>
      <c r="DO241" s="9" t="s">
        <v>170</v>
      </c>
      <c r="DP241" s="6" t="s">
        <v>171</v>
      </c>
      <c r="DQ241" s="6" t="s">
        <v>645</v>
      </c>
      <c r="DR241" s="6" t="e">
        <f>#REF!&amp;RIGHT(#REF!,3)</f>
        <v>#REF!</v>
      </c>
      <c r="DS241" s="6" t="str">
        <f>IF(MID(EF241,2,1)="A","KS1","AKB331")</f>
        <v>AKB331</v>
      </c>
      <c r="DT241" s="10" t="str">
        <f>DQ241&amp;"-"&amp;DX241&amp;"-"&amp;DY241&amp;"/"&amp;BA241&amp;"-"&amp;DD241&amp;"-"&amp;DK241</f>
        <v>FCS0111-6-7/1S–MC–127-R7-CN1</v>
      </c>
      <c r="DU241" s="6" t="str">
        <f>IF(DL241="","",DQ241&amp;"-"&amp;DX241&amp;"-"&amp;DY241&amp;"/"&amp;BA241&amp;"-"&amp;DD241&amp;"-"&amp;DL241)</f>
        <v>FCS0111-6-7/1S–MC–127-R7-CN2</v>
      </c>
      <c r="DV241" s="19">
        <v>1</v>
      </c>
      <c r="DW241" s="20" t="str">
        <f>RIGHT(DQ241,2)</f>
        <v>11</v>
      </c>
      <c r="DX241" s="20">
        <v>6</v>
      </c>
      <c r="DY241" s="21">
        <v>7</v>
      </c>
      <c r="DZ241" s="22">
        <v>8</v>
      </c>
      <c r="EA241" s="23">
        <v>14</v>
      </c>
      <c r="EB241" s="7">
        <v>30</v>
      </c>
      <c r="EC241" s="6">
        <v>1</v>
      </c>
      <c r="EE241" s="9" t="s">
        <v>693</v>
      </c>
      <c r="EF241" s="6" t="s">
        <v>672</v>
      </c>
      <c r="EG241" s="6" t="s">
        <v>672</v>
      </c>
      <c r="EH241" s="6" t="s">
        <v>987</v>
      </c>
      <c r="EI241" s="6" t="s">
        <v>788</v>
      </c>
      <c r="EJ241" s="12">
        <v>12</v>
      </c>
      <c r="EK241" s="12"/>
      <c r="EM241" s="12"/>
      <c r="EN241" s="12" t="s">
        <v>1121</v>
      </c>
      <c r="ET241" s="6" t="str">
        <f t="shared" si="106"/>
        <v>짝수</v>
      </c>
      <c r="EU241" s="12">
        <v>46</v>
      </c>
      <c r="EV241" s="45" t="str">
        <f t="shared" ca="1" si="111"/>
        <v>D</v>
      </c>
      <c r="EW241" s="6">
        <f t="shared" ca="1" si="107"/>
        <v>68</v>
      </c>
      <c r="FO241" s="6"/>
      <c r="FP241" s="11"/>
      <c r="FR241" s="6">
        <v>1</v>
      </c>
      <c r="FS241" s="6">
        <f t="shared" si="108"/>
        <v>1</v>
      </c>
      <c r="FT241" s="6" t="str">
        <f t="shared" si="109"/>
        <v/>
      </c>
      <c r="FU241" s="6" t="str">
        <f t="shared" ca="1" si="112"/>
        <v>R7-11</v>
      </c>
      <c r="FV241" s="6" t="str">
        <f t="shared" ca="1" si="110"/>
        <v>R7-12</v>
      </c>
      <c r="FW241" s="6" t="str">
        <f t="shared" ca="1" si="121"/>
        <v/>
      </c>
      <c r="FX241" s="6" t="str">
        <f t="shared" ca="1" si="122"/>
        <v/>
      </c>
      <c r="FY241" s="6" t="str">
        <f t="shared" ca="1" si="123"/>
        <v/>
      </c>
      <c r="FZ241" s="6" t="str">
        <f t="shared" ca="1" si="124"/>
        <v/>
      </c>
    </row>
    <row r="242" spans="1:182" ht="15.95" customHeight="1">
      <c r="A242" s="6">
        <v>383</v>
      </c>
      <c r="B242" s="6" t="s">
        <v>175</v>
      </c>
      <c r="E242" s="6" t="s">
        <v>791</v>
      </c>
      <c r="F242" s="6" t="s">
        <v>1499</v>
      </c>
      <c r="G242" s="6" t="s">
        <v>1290</v>
      </c>
      <c r="H242" s="7" t="s">
        <v>1291</v>
      </c>
      <c r="I242" s="7"/>
      <c r="J242" s="6" t="e">
        <v>#N/A</v>
      </c>
      <c r="K242" s="6" t="e">
        <v>#N/A</v>
      </c>
      <c r="N242" s="6" t="e">
        <v>#N/A</v>
      </c>
      <c r="O242" s="6" t="e">
        <v>#N/A</v>
      </c>
      <c r="R242" s="101" t="e">
        <v>#N/A</v>
      </c>
      <c r="Y242" s="6" t="e">
        <v>#N/A</v>
      </c>
      <c r="Z242" s="6" t="e">
        <v>#N/A</v>
      </c>
      <c r="AA242" s="6" t="e">
        <v>#N/A</v>
      </c>
      <c r="AD242" s="6" t="e">
        <v>#N/A</v>
      </c>
      <c r="AE242" s="6" t="e">
        <v>#N/A</v>
      </c>
      <c r="AG242" s="6" t="e">
        <v>#N/A</v>
      </c>
      <c r="AY242" s="8" t="s">
        <v>176</v>
      </c>
      <c r="AZ242" s="8" t="s">
        <v>195</v>
      </c>
      <c r="BA242" s="13" t="s">
        <v>656</v>
      </c>
      <c r="BB242" s="13" t="s">
        <v>740</v>
      </c>
      <c r="BC242" s="13">
        <v>53</v>
      </c>
      <c r="BD242" s="13">
        <v>54</v>
      </c>
      <c r="DC242" s="6" t="s">
        <v>644</v>
      </c>
      <c r="DD242" s="6" t="s">
        <v>190</v>
      </c>
      <c r="DH242" s="6" t="str">
        <f t="shared" si="118"/>
        <v>A15</v>
      </c>
      <c r="DI242" s="6" t="str">
        <f t="shared" si="119"/>
        <v>B15</v>
      </c>
      <c r="DK242" s="6" t="s">
        <v>173</v>
      </c>
      <c r="DL242" s="6" t="str">
        <f t="shared" si="120"/>
        <v/>
      </c>
      <c r="DO242" s="9" t="s">
        <v>170</v>
      </c>
      <c r="DP242" s="6" t="s">
        <v>171</v>
      </c>
      <c r="DQ242" s="6" t="s">
        <v>645</v>
      </c>
      <c r="DS242" s="6" t="str">
        <f t="shared" si="113"/>
        <v>AKB331</v>
      </c>
      <c r="DT242" s="10" t="str">
        <f t="shared" si="114"/>
        <v>FCS0111-4-6/1S–MC–127-R4-CN1</v>
      </c>
      <c r="DU242" s="6" t="str">
        <f t="shared" si="115"/>
        <v/>
      </c>
      <c r="DV242" s="19">
        <v>1</v>
      </c>
      <c r="DW242" s="20" t="str">
        <f t="shared" si="116"/>
        <v>11</v>
      </c>
      <c r="DX242" s="21">
        <v>4</v>
      </c>
      <c r="DY242" s="22">
        <v>6</v>
      </c>
      <c r="DZ242" s="23" t="s">
        <v>204</v>
      </c>
      <c r="EA242" s="23">
        <v>15</v>
      </c>
      <c r="ED242" s="9" t="str">
        <f t="shared" si="117"/>
        <v>ANB10D</v>
      </c>
      <c r="EF242" s="6" t="s">
        <v>647</v>
      </c>
      <c r="EH242" s="6" t="s">
        <v>791</v>
      </c>
      <c r="EI242" s="6" t="s">
        <v>792</v>
      </c>
      <c r="EJ242" s="12">
        <v>12</v>
      </c>
      <c r="EK242" s="12"/>
      <c r="EM242" s="12"/>
      <c r="EN242" s="12" t="s">
        <v>1121</v>
      </c>
      <c r="EP242" s="6" t="s">
        <v>1154</v>
      </c>
      <c r="ER242" s="6" t="str">
        <f>MID(EH242,3,6)</f>
        <v>P4027</v>
      </c>
      <c r="ET242" s="6" t="str">
        <f t="shared" si="106"/>
        <v>홀수</v>
      </c>
      <c r="EU242" s="12">
        <v>47</v>
      </c>
      <c r="EV242" s="45" t="str">
        <f t="shared" ca="1" si="111"/>
        <v>A</v>
      </c>
      <c r="EW242" s="6">
        <f t="shared" ca="1" si="107"/>
        <v>65</v>
      </c>
      <c r="EZ242" s="6" t="str">
        <f>ER242&amp;"INT"</f>
        <v>P4027INT</v>
      </c>
      <c r="FA242" s="6" t="str">
        <f>ER242&amp;"INT"</f>
        <v>P4027INT</v>
      </c>
      <c r="FR242" s="6">
        <v>1</v>
      </c>
      <c r="FS242" s="6" t="str">
        <f t="shared" si="108"/>
        <v/>
      </c>
      <c r="FT242" s="6">
        <f t="shared" si="109"/>
        <v>1</v>
      </c>
      <c r="FU242" s="6" t="str">
        <f t="shared" ca="1" si="112"/>
        <v/>
      </c>
      <c r="FV242" s="6" t="str">
        <f t="shared" ca="1" si="110"/>
        <v/>
      </c>
      <c r="FW242" s="6" t="str">
        <f t="shared" ca="1" si="121"/>
        <v>R4-11</v>
      </c>
      <c r="FX242" s="6" t="str">
        <f t="shared" ca="1" si="122"/>
        <v>R4-12</v>
      </c>
      <c r="FY242" s="6" t="str">
        <f t="shared" ca="1" si="123"/>
        <v>R4-21</v>
      </c>
      <c r="FZ242" s="6" t="str">
        <f t="shared" ca="1" si="124"/>
        <v>R4-22</v>
      </c>
    </row>
    <row r="243" spans="1:182" ht="15.95" customHeight="1">
      <c r="A243" s="6">
        <v>736</v>
      </c>
      <c r="B243" s="6" t="s">
        <v>694</v>
      </c>
      <c r="E243" s="6" t="s">
        <v>988</v>
      </c>
      <c r="F243" s="6" t="s">
        <v>1500</v>
      </c>
      <c r="G243" s="6" t="s">
        <v>1290</v>
      </c>
      <c r="H243" s="7" t="s">
        <v>1291</v>
      </c>
      <c r="I243" s="7"/>
      <c r="J243" s="6" t="e">
        <v>#N/A</v>
      </c>
      <c r="K243" s="6" t="e">
        <v>#N/A</v>
      </c>
      <c r="N243" s="6" t="e">
        <v>#N/A</v>
      </c>
      <c r="O243" s="6" t="e">
        <v>#N/A</v>
      </c>
      <c r="R243" s="101" t="e">
        <v>#N/A</v>
      </c>
      <c r="Y243" s="6" t="e">
        <v>#N/A</v>
      </c>
      <c r="Z243" s="6" t="e">
        <v>#N/A</v>
      </c>
      <c r="AA243" s="6" t="e">
        <v>#N/A</v>
      </c>
      <c r="AD243" s="6" t="e">
        <v>#N/A</v>
      </c>
      <c r="AE243" s="6" t="e">
        <v>#N/A</v>
      </c>
      <c r="AG243" s="6" t="e">
        <v>#N/A</v>
      </c>
      <c r="AY243" s="8" t="s">
        <v>176</v>
      </c>
      <c r="AZ243" s="8" t="s">
        <v>195</v>
      </c>
      <c r="BA243" s="13" t="s">
        <v>656</v>
      </c>
      <c r="BB243" s="13" t="s">
        <v>796</v>
      </c>
      <c r="BC243" s="13">
        <v>103</v>
      </c>
      <c r="BD243" s="13">
        <v>104</v>
      </c>
      <c r="DC243" s="6" t="s">
        <v>723</v>
      </c>
      <c r="DD243" s="6" t="s">
        <v>968</v>
      </c>
      <c r="DH243" s="6" t="str">
        <f>"A"&amp;EA243</f>
        <v>A16</v>
      </c>
      <c r="DI243" s="6" t="str">
        <f>"B"&amp;EA243</f>
        <v>B16</v>
      </c>
      <c r="DK243" s="6" t="s">
        <v>173</v>
      </c>
      <c r="DL243" s="6" t="str">
        <f>IF(DZ243&lt;&gt;"","CN2","")</f>
        <v>CN2</v>
      </c>
      <c r="DO243" s="9" t="s">
        <v>170</v>
      </c>
      <c r="DP243" s="6" t="s">
        <v>171</v>
      </c>
      <c r="DQ243" s="6" t="s">
        <v>645</v>
      </c>
      <c r="DR243" s="6" t="e">
        <f>#REF!&amp;RIGHT(#REF!,3)</f>
        <v>#REF!</v>
      </c>
      <c r="DS243" s="6" t="str">
        <f>IF(MID(EF243,2,1)="A","KS1","AKB331")</f>
        <v>AKB331</v>
      </c>
      <c r="DT243" s="10" t="str">
        <f>DQ243&amp;"-"&amp;DX243&amp;"-"&amp;DY243&amp;"/"&amp;BA243&amp;"-"&amp;DD243&amp;"-"&amp;DK243</f>
        <v>FCS0111-6-7/1S–MC–127-R7-CN1</v>
      </c>
      <c r="DU243" s="6" t="str">
        <f>IF(DL243="","",DQ243&amp;"-"&amp;DX243&amp;"-"&amp;DY243&amp;"/"&amp;BA243&amp;"-"&amp;DD243&amp;"-"&amp;DL243)</f>
        <v>FCS0111-6-7/1S–MC–127-R7-CN2</v>
      </c>
      <c r="DV243" s="19">
        <v>1</v>
      </c>
      <c r="DW243" s="20" t="str">
        <f>RIGHT(DQ243,2)</f>
        <v>11</v>
      </c>
      <c r="DX243" s="20">
        <v>6</v>
      </c>
      <c r="DY243" s="21">
        <v>7</v>
      </c>
      <c r="DZ243" s="22">
        <v>8</v>
      </c>
      <c r="EA243" s="23">
        <v>16</v>
      </c>
      <c r="EB243" s="7">
        <v>32</v>
      </c>
      <c r="EC243" s="6">
        <v>1</v>
      </c>
      <c r="EE243" s="9" t="s">
        <v>693</v>
      </c>
      <c r="EF243" s="6" t="s">
        <v>672</v>
      </c>
      <c r="EG243" s="6" t="s">
        <v>672</v>
      </c>
      <c r="EH243" s="6" t="s">
        <v>988</v>
      </c>
      <c r="EI243" s="6" t="s">
        <v>792</v>
      </c>
      <c r="EJ243" s="12">
        <v>12</v>
      </c>
      <c r="EK243" s="12"/>
      <c r="EM243" s="12"/>
      <c r="EN243" s="12" t="s">
        <v>1121</v>
      </c>
      <c r="ET243" s="6" t="str">
        <f t="shared" si="106"/>
        <v>홀수</v>
      </c>
      <c r="EU243" s="12">
        <v>47</v>
      </c>
      <c r="EV243" s="45" t="str">
        <f t="shared" ca="1" si="111"/>
        <v>B</v>
      </c>
      <c r="EW243" s="6">
        <f t="shared" ca="1" si="107"/>
        <v>66</v>
      </c>
      <c r="FO243" s="6"/>
      <c r="FP243" s="11"/>
      <c r="FR243" s="6">
        <v>1</v>
      </c>
      <c r="FS243" s="6">
        <f t="shared" si="108"/>
        <v>1</v>
      </c>
      <c r="FT243" s="6" t="str">
        <f t="shared" si="109"/>
        <v/>
      </c>
      <c r="FU243" s="6" t="str">
        <f t="shared" ca="1" si="112"/>
        <v>R7-11</v>
      </c>
      <c r="FV243" s="6" t="str">
        <f t="shared" ca="1" si="110"/>
        <v>R7-12</v>
      </c>
      <c r="FW243" s="6" t="str">
        <f t="shared" ca="1" si="121"/>
        <v/>
      </c>
      <c r="FX243" s="6" t="str">
        <f t="shared" ca="1" si="122"/>
        <v/>
      </c>
      <c r="FY243" s="6" t="str">
        <f t="shared" ca="1" si="123"/>
        <v/>
      </c>
      <c r="FZ243" s="6" t="str">
        <f t="shared" ca="1" si="124"/>
        <v/>
      </c>
    </row>
    <row r="244" spans="1:182" ht="15.95" customHeight="1">
      <c r="A244" s="6">
        <v>385</v>
      </c>
      <c r="B244" s="6" t="s">
        <v>175</v>
      </c>
      <c r="E244" s="6" t="s">
        <v>793</v>
      </c>
      <c r="F244" s="6" t="s">
        <v>1501</v>
      </c>
      <c r="G244" s="6" t="s">
        <v>1290</v>
      </c>
      <c r="H244" s="7" t="s">
        <v>1291</v>
      </c>
      <c r="I244" s="7"/>
      <c r="J244" s="6" t="e">
        <v>#N/A</v>
      </c>
      <c r="K244" s="6" t="e">
        <v>#N/A</v>
      </c>
      <c r="N244" s="6" t="e">
        <v>#N/A</v>
      </c>
      <c r="O244" s="6" t="e">
        <v>#N/A</v>
      </c>
      <c r="R244" s="101" t="e">
        <v>#N/A</v>
      </c>
      <c r="Y244" s="6" t="e">
        <v>#N/A</v>
      </c>
      <c r="Z244" s="6" t="e">
        <v>#N/A</v>
      </c>
      <c r="AA244" s="6" t="e">
        <v>#N/A</v>
      </c>
      <c r="AD244" s="6" t="e">
        <v>#N/A</v>
      </c>
      <c r="AE244" s="6" t="e">
        <v>#N/A</v>
      </c>
      <c r="AG244" s="6" t="e">
        <v>#N/A</v>
      </c>
      <c r="AY244" s="8" t="s">
        <v>176</v>
      </c>
      <c r="AZ244" s="8" t="s">
        <v>195</v>
      </c>
      <c r="BA244" s="13" t="s">
        <v>656</v>
      </c>
      <c r="BB244" s="13" t="s">
        <v>740</v>
      </c>
      <c r="BC244" s="13">
        <v>57</v>
      </c>
      <c r="BD244" s="13">
        <v>58</v>
      </c>
      <c r="DC244" s="6" t="s">
        <v>644</v>
      </c>
      <c r="DD244" s="6" t="s">
        <v>190</v>
      </c>
      <c r="DH244" s="6" t="str">
        <f t="shared" si="118"/>
        <v>A17</v>
      </c>
      <c r="DI244" s="6" t="str">
        <f t="shared" si="119"/>
        <v>B17</v>
      </c>
      <c r="DK244" s="6" t="s">
        <v>173</v>
      </c>
      <c r="DL244" s="6" t="str">
        <f t="shared" si="120"/>
        <v/>
      </c>
      <c r="DO244" s="9" t="s">
        <v>170</v>
      </c>
      <c r="DP244" s="6" t="s">
        <v>171</v>
      </c>
      <c r="DQ244" s="6" t="s">
        <v>645</v>
      </c>
      <c r="DS244" s="6" t="str">
        <f t="shared" ref="DS244:DS252" si="132">IF(MID(EF244,2,1)="A","KS1","AKB331")</f>
        <v>AKB331</v>
      </c>
      <c r="DT244" s="10" t="str">
        <f t="shared" ref="DT244:DT252" si="133">DQ244&amp;"-"&amp;DX244&amp;"-"&amp;DY244&amp;"/"&amp;BA244&amp;"-"&amp;DD244&amp;"-"&amp;DK244</f>
        <v>FCS0111-4-6/1S–MC–127-R4-CN1</v>
      </c>
      <c r="DU244" s="6" t="str">
        <f t="shared" ref="DU244:DU252" si="134">IF(DL244="","",DQ244&amp;"-"&amp;DX244&amp;"-"&amp;DY244&amp;"/"&amp;BA244&amp;"-"&amp;DD244&amp;"-"&amp;DL244)</f>
        <v/>
      </c>
      <c r="DV244" s="19">
        <v>1</v>
      </c>
      <c r="DW244" s="20" t="str">
        <f t="shared" ref="DW244:DW252" si="135">RIGHT(DQ244,2)</f>
        <v>11</v>
      </c>
      <c r="DX244" s="21">
        <v>4</v>
      </c>
      <c r="DY244" s="22">
        <v>6</v>
      </c>
      <c r="DZ244" s="23" t="s">
        <v>204</v>
      </c>
      <c r="EA244" s="23">
        <v>17</v>
      </c>
      <c r="ED244" s="9" t="str">
        <f t="shared" ref="ED244:ED252" si="136">IF(DX244="1","AFV30D","ANB10D")</f>
        <v>ANB10D</v>
      </c>
      <c r="EF244" s="6" t="s">
        <v>647</v>
      </c>
      <c r="EH244" s="6" t="s">
        <v>793</v>
      </c>
      <c r="EI244" s="6" t="s">
        <v>413</v>
      </c>
      <c r="EJ244" s="12">
        <v>12</v>
      </c>
      <c r="EK244" s="12"/>
      <c r="EM244" s="12"/>
      <c r="EN244" s="12" t="s">
        <v>1121</v>
      </c>
      <c r="EP244" s="6" t="s">
        <v>1154</v>
      </c>
      <c r="ER244" s="6" t="str">
        <f>MID(EH244,3,6)</f>
        <v>P4002A</v>
      </c>
      <c r="ET244" s="6" t="str">
        <f t="shared" si="106"/>
        <v>홀수</v>
      </c>
      <c r="EU244" s="12">
        <v>47</v>
      </c>
      <c r="EV244" s="45" t="str">
        <f t="shared" ca="1" si="111"/>
        <v>C</v>
      </c>
      <c r="EW244" s="6">
        <f t="shared" ca="1" si="107"/>
        <v>67</v>
      </c>
      <c r="EZ244" s="6" t="str">
        <f>ER244&amp;"INT"</f>
        <v>P4002AINT</v>
      </c>
      <c r="FA244" s="6" t="str">
        <f>ER244&amp;"INT"</f>
        <v>P4002AINT</v>
      </c>
      <c r="FR244" s="6">
        <v>1</v>
      </c>
      <c r="FS244" s="6" t="str">
        <f t="shared" si="108"/>
        <v/>
      </c>
      <c r="FT244" s="6">
        <f t="shared" si="109"/>
        <v>1</v>
      </c>
      <c r="FU244" s="6" t="str">
        <f t="shared" ca="1" si="112"/>
        <v/>
      </c>
      <c r="FV244" s="6" t="str">
        <f t="shared" ca="1" si="110"/>
        <v/>
      </c>
      <c r="FW244" s="6" t="str">
        <f t="shared" ca="1" si="121"/>
        <v>R4-11</v>
      </c>
      <c r="FX244" s="6" t="str">
        <f t="shared" ca="1" si="122"/>
        <v>R4-12</v>
      </c>
      <c r="FY244" s="6" t="str">
        <f t="shared" ca="1" si="123"/>
        <v>R4-21</v>
      </c>
      <c r="FZ244" s="6" t="str">
        <f t="shared" ca="1" si="124"/>
        <v>R4-22</v>
      </c>
    </row>
    <row r="245" spans="1:182" ht="15.95" customHeight="1">
      <c r="A245" s="6">
        <v>737</v>
      </c>
      <c r="B245" s="6" t="s">
        <v>694</v>
      </c>
      <c r="E245" s="6" t="s">
        <v>989</v>
      </c>
      <c r="F245" s="6" t="s">
        <v>1502</v>
      </c>
      <c r="G245" s="6" t="s">
        <v>1290</v>
      </c>
      <c r="H245" s="7" t="s">
        <v>1291</v>
      </c>
      <c r="I245" s="7"/>
      <c r="J245" s="6" t="e">
        <v>#N/A</v>
      </c>
      <c r="K245" s="6" t="e">
        <v>#N/A</v>
      </c>
      <c r="N245" s="6" t="e">
        <v>#N/A</v>
      </c>
      <c r="O245" s="6" t="e">
        <v>#N/A</v>
      </c>
      <c r="R245" s="101" t="e">
        <v>#N/A</v>
      </c>
      <c r="Y245" s="6" t="e">
        <v>#N/A</v>
      </c>
      <c r="Z245" s="6" t="e">
        <v>#N/A</v>
      </c>
      <c r="AA245" s="6" t="e">
        <v>#N/A</v>
      </c>
      <c r="AD245" s="6" t="e">
        <v>#N/A</v>
      </c>
      <c r="AE245" s="6" t="e">
        <v>#N/A</v>
      </c>
      <c r="AG245" s="6" t="e">
        <v>#N/A</v>
      </c>
      <c r="AY245" s="8" t="s">
        <v>176</v>
      </c>
      <c r="AZ245" s="8" t="s">
        <v>195</v>
      </c>
      <c r="BA245" s="13" t="s">
        <v>656</v>
      </c>
      <c r="BB245" s="13" t="s">
        <v>796</v>
      </c>
      <c r="BC245" s="13">
        <v>105</v>
      </c>
      <c r="BD245" s="13">
        <v>106</v>
      </c>
      <c r="DC245" s="6" t="s">
        <v>723</v>
      </c>
      <c r="DD245" s="6" t="s">
        <v>968</v>
      </c>
      <c r="DH245" s="6" t="str">
        <f>"A"&amp;EA245</f>
        <v>A17</v>
      </c>
      <c r="DI245" s="6" t="str">
        <f>"B"&amp;EA245</f>
        <v>B17</v>
      </c>
      <c r="DK245" s="6" t="s">
        <v>173</v>
      </c>
      <c r="DL245" s="6" t="str">
        <f>IF(DZ245&lt;&gt;"","CN2","")</f>
        <v>CN2</v>
      </c>
      <c r="DO245" s="9" t="s">
        <v>170</v>
      </c>
      <c r="DP245" s="6" t="s">
        <v>171</v>
      </c>
      <c r="DQ245" s="6" t="s">
        <v>645</v>
      </c>
      <c r="DR245" s="6" t="e">
        <f>#REF!&amp;RIGHT(#REF!,3)</f>
        <v>#REF!</v>
      </c>
      <c r="DS245" s="6" t="str">
        <f>IF(MID(EF245,2,1)="A","KS1","AKB331")</f>
        <v>AKB331</v>
      </c>
      <c r="DT245" s="10" t="str">
        <f>DQ245&amp;"-"&amp;DX245&amp;"-"&amp;DY245&amp;"/"&amp;BA245&amp;"-"&amp;DD245&amp;"-"&amp;DK245</f>
        <v>FCS0111-6-7/1S–MC–127-R7-CN1</v>
      </c>
      <c r="DU245" s="6" t="str">
        <f>IF(DL245="","",DQ245&amp;"-"&amp;DX245&amp;"-"&amp;DY245&amp;"/"&amp;BA245&amp;"-"&amp;DD245&amp;"-"&amp;DL245)</f>
        <v>FCS0111-6-7/1S–MC–127-R7-CN2</v>
      </c>
      <c r="DV245" s="19">
        <v>1</v>
      </c>
      <c r="DW245" s="20" t="str">
        <f>RIGHT(DQ245,2)</f>
        <v>11</v>
      </c>
      <c r="DX245" s="20">
        <v>6</v>
      </c>
      <c r="DY245" s="21">
        <v>7</v>
      </c>
      <c r="DZ245" s="22">
        <v>8</v>
      </c>
      <c r="EA245" s="23">
        <v>17</v>
      </c>
      <c r="EB245" s="7">
        <v>1</v>
      </c>
      <c r="EC245" s="6">
        <v>1</v>
      </c>
      <c r="EE245" s="9" t="s">
        <v>693</v>
      </c>
      <c r="EF245" s="6" t="s">
        <v>672</v>
      </c>
      <c r="EG245" s="6" t="s">
        <v>647</v>
      </c>
      <c r="EH245" s="6" t="s">
        <v>989</v>
      </c>
      <c r="EI245" s="6" t="s">
        <v>413</v>
      </c>
      <c r="EJ245" s="12">
        <v>12</v>
      </c>
      <c r="EK245" s="12"/>
      <c r="EM245" s="12"/>
      <c r="EN245" s="12" t="s">
        <v>1121</v>
      </c>
      <c r="ET245" s="6" t="str">
        <f t="shared" si="106"/>
        <v>홀수</v>
      </c>
      <c r="EU245" s="12">
        <v>47</v>
      </c>
      <c r="EV245" s="45" t="str">
        <f t="shared" ca="1" si="111"/>
        <v>D</v>
      </c>
      <c r="EW245" s="6">
        <f t="shared" ca="1" si="107"/>
        <v>68</v>
      </c>
      <c r="FO245" s="6"/>
      <c r="FP245" s="11"/>
      <c r="FR245" s="6">
        <v>1</v>
      </c>
      <c r="FS245" s="6">
        <f t="shared" si="108"/>
        <v>1</v>
      </c>
      <c r="FT245" s="6" t="str">
        <f t="shared" si="109"/>
        <v/>
      </c>
      <c r="FU245" s="6" t="str">
        <f t="shared" ca="1" si="112"/>
        <v>R7-11</v>
      </c>
      <c r="FV245" s="6" t="str">
        <f t="shared" ca="1" si="110"/>
        <v>R7-12</v>
      </c>
      <c r="FW245" s="6" t="str">
        <f t="shared" ca="1" si="121"/>
        <v/>
      </c>
      <c r="FX245" s="6" t="str">
        <f t="shared" ca="1" si="122"/>
        <v/>
      </c>
      <c r="FY245" s="6" t="str">
        <f t="shared" ca="1" si="123"/>
        <v/>
      </c>
      <c r="FZ245" s="6" t="str">
        <f t="shared" ca="1" si="124"/>
        <v/>
      </c>
    </row>
    <row r="246" spans="1:182" ht="15.95" customHeight="1">
      <c r="A246" s="6">
        <v>387</v>
      </c>
      <c r="B246" s="6" t="s">
        <v>175</v>
      </c>
      <c r="E246" s="6" t="s">
        <v>794</v>
      </c>
      <c r="F246" s="6" t="s">
        <v>1503</v>
      </c>
      <c r="G246" s="6" t="s">
        <v>1290</v>
      </c>
      <c r="H246" s="7" t="s">
        <v>1291</v>
      </c>
      <c r="I246" s="7"/>
      <c r="J246" s="6" t="e">
        <v>#N/A</v>
      </c>
      <c r="K246" s="6" t="e">
        <v>#N/A</v>
      </c>
      <c r="N246" s="6" t="e">
        <v>#N/A</v>
      </c>
      <c r="O246" s="6" t="e">
        <v>#N/A</v>
      </c>
      <c r="R246" s="101" t="e">
        <v>#N/A</v>
      </c>
      <c r="Y246" s="6" t="e">
        <v>#N/A</v>
      </c>
      <c r="Z246" s="6" t="e">
        <v>#N/A</v>
      </c>
      <c r="AA246" s="6" t="e">
        <v>#N/A</v>
      </c>
      <c r="AD246" s="6" t="e">
        <v>#N/A</v>
      </c>
      <c r="AE246" s="6" t="e">
        <v>#N/A</v>
      </c>
      <c r="AG246" s="6" t="e">
        <v>#N/A</v>
      </c>
      <c r="AY246" s="8" t="s">
        <v>176</v>
      </c>
      <c r="AZ246" s="8" t="s">
        <v>195</v>
      </c>
      <c r="BA246" s="13" t="s">
        <v>656</v>
      </c>
      <c r="BB246" s="13" t="s">
        <v>740</v>
      </c>
      <c r="BC246" s="13">
        <v>61</v>
      </c>
      <c r="BD246" s="13">
        <v>62</v>
      </c>
      <c r="DC246" s="6" t="s">
        <v>644</v>
      </c>
      <c r="DD246" s="6" t="s">
        <v>190</v>
      </c>
      <c r="DH246" s="6" t="str">
        <f t="shared" ref="DH246:DH252" si="137">"A"&amp;EA246</f>
        <v>A19</v>
      </c>
      <c r="DI246" s="6" t="str">
        <f t="shared" ref="DI246:DI252" si="138">"B"&amp;EA246</f>
        <v>B19</v>
      </c>
      <c r="DK246" s="6" t="s">
        <v>173</v>
      </c>
      <c r="DL246" s="6" t="str">
        <f t="shared" ref="DL246:DL252" si="139">IF(DZ246&lt;&gt;"","CN2","")</f>
        <v/>
      </c>
      <c r="DO246" s="9" t="s">
        <v>170</v>
      </c>
      <c r="DP246" s="6" t="s">
        <v>171</v>
      </c>
      <c r="DQ246" s="6" t="s">
        <v>645</v>
      </c>
      <c r="DS246" s="6" t="str">
        <f t="shared" si="132"/>
        <v>AKB331</v>
      </c>
      <c r="DT246" s="10" t="str">
        <f t="shared" si="133"/>
        <v>FCS0111-4-6/1S–MC–127-R4-CN1</v>
      </c>
      <c r="DU246" s="6" t="str">
        <f t="shared" si="134"/>
        <v/>
      </c>
      <c r="DV246" s="19">
        <v>1</v>
      </c>
      <c r="DW246" s="20" t="str">
        <f t="shared" si="135"/>
        <v>11</v>
      </c>
      <c r="DX246" s="21">
        <v>4</v>
      </c>
      <c r="DY246" s="22">
        <v>6</v>
      </c>
      <c r="DZ246" s="23" t="s">
        <v>204</v>
      </c>
      <c r="EA246" s="23">
        <v>19</v>
      </c>
      <c r="ED246" s="9" t="str">
        <f t="shared" si="136"/>
        <v>ANB10D</v>
      </c>
      <c r="EF246" s="6" t="s">
        <v>647</v>
      </c>
      <c r="EH246" s="6" t="s">
        <v>794</v>
      </c>
      <c r="EI246" s="6" t="s">
        <v>413</v>
      </c>
      <c r="EJ246" s="12">
        <v>12</v>
      </c>
      <c r="EK246" s="12"/>
      <c r="EM246" s="12"/>
      <c r="EN246" s="12" t="s">
        <v>1121</v>
      </c>
      <c r="EP246" s="6" t="s">
        <v>1154</v>
      </c>
      <c r="ER246" s="6" t="str">
        <f>MID(EH246,3,6)</f>
        <v>P4002B</v>
      </c>
      <c r="ET246" s="6" t="str">
        <f t="shared" si="106"/>
        <v>짝수</v>
      </c>
      <c r="EU246" s="12">
        <v>48</v>
      </c>
      <c r="EV246" s="45" t="str">
        <f t="shared" ca="1" si="111"/>
        <v>A</v>
      </c>
      <c r="EW246" s="6">
        <f t="shared" ca="1" si="107"/>
        <v>65</v>
      </c>
      <c r="EZ246" s="6" t="str">
        <f>ER246&amp;"INT"</f>
        <v>P4002BINT</v>
      </c>
      <c r="FA246" s="6" t="str">
        <f>ER246&amp;"INT"</f>
        <v>P4002BINT</v>
      </c>
      <c r="FR246" s="6">
        <v>1</v>
      </c>
      <c r="FS246" s="6" t="str">
        <f t="shared" si="108"/>
        <v/>
      </c>
      <c r="FT246" s="6">
        <f t="shared" si="109"/>
        <v>1</v>
      </c>
      <c r="FU246" s="6" t="str">
        <f t="shared" ca="1" si="112"/>
        <v/>
      </c>
      <c r="FV246" s="6" t="str">
        <f t="shared" ca="1" si="110"/>
        <v/>
      </c>
      <c r="FW246" s="6" t="str">
        <f t="shared" ca="1" si="121"/>
        <v>R4-11</v>
      </c>
      <c r="FX246" s="6" t="str">
        <f t="shared" ca="1" si="122"/>
        <v>R4-12</v>
      </c>
      <c r="FY246" s="6" t="str">
        <f t="shared" ca="1" si="123"/>
        <v>R4-21</v>
      </c>
      <c r="FZ246" s="6" t="str">
        <f t="shared" ca="1" si="124"/>
        <v>R4-22</v>
      </c>
    </row>
    <row r="247" spans="1:182" ht="15.95" customHeight="1">
      <c r="A247" s="6">
        <v>739</v>
      </c>
      <c r="B247" s="6" t="s">
        <v>694</v>
      </c>
      <c r="E247" s="6" t="s">
        <v>990</v>
      </c>
      <c r="F247" s="6" t="s">
        <v>1504</v>
      </c>
      <c r="G247" s="6" t="s">
        <v>1290</v>
      </c>
      <c r="H247" s="7" t="s">
        <v>1291</v>
      </c>
      <c r="I247" s="7"/>
      <c r="J247" s="6" t="e">
        <v>#N/A</v>
      </c>
      <c r="K247" s="6" t="e">
        <v>#N/A</v>
      </c>
      <c r="N247" s="6" t="e">
        <v>#N/A</v>
      </c>
      <c r="O247" s="6" t="e">
        <v>#N/A</v>
      </c>
      <c r="R247" s="101" t="e">
        <v>#N/A</v>
      </c>
      <c r="Y247" s="6" t="e">
        <v>#N/A</v>
      </c>
      <c r="Z247" s="6" t="e">
        <v>#N/A</v>
      </c>
      <c r="AA247" s="6" t="e">
        <v>#N/A</v>
      </c>
      <c r="AD247" s="6" t="e">
        <v>#N/A</v>
      </c>
      <c r="AE247" s="6" t="e">
        <v>#N/A</v>
      </c>
      <c r="AG247" s="6" t="e">
        <v>#N/A</v>
      </c>
      <c r="AY247" s="8" t="s">
        <v>176</v>
      </c>
      <c r="AZ247" s="8" t="s">
        <v>195</v>
      </c>
      <c r="BA247" s="13" t="s">
        <v>656</v>
      </c>
      <c r="BB247" s="13" t="s">
        <v>796</v>
      </c>
      <c r="BC247" s="13">
        <v>109</v>
      </c>
      <c r="BD247" s="13">
        <v>110</v>
      </c>
      <c r="DC247" s="6" t="s">
        <v>723</v>
      </c>
      <c r="DD247" s="6" t="s">
        <v>968</v>
      </c>
      <c r="DH247" s="6" t="str">
        <f>"A"&amp;EA247</f>
        <v>A19</v>
      </c>
      <c r="DI247" s="6" t="str">
        <f>"B"&amp;EA247</f>
        <v>B19</v>
      </c>
      <c r="DK247" s="6" t="s">
        <v>173</v>
      </c>
      <c r="DL247" s="6" t="str">
        <f>IF(DZ247&lt;&gt;"","CN2","")</f>
        <v>CN2</v>
      </c>
      <c r="DO247" s="9" t="s">
        <v>170</v>
      </c>
      <c r="DP247" s="6" t="s">
        <v>171</v>
      </c>
      <c r="DQ247" s="6" t="s">
        <v>645</v>
      </c>
      <c r="DR247" s="6" t="e">
        <f>#REF!&amp;RIGHT(#REF!,3)</f>
        <v>#REF!</v>
      </c>
      <c r="DS247" s="6" t="str">
        <f>IF(MID(EF247,2,1)="A","KS1","AKB331")</f>
        <v>AKB331</v>
      </c>
      <c r="DT247" s="10" t="str">
        <f>DQ247&amp;"-"&amp;DX247&amp;"-"&amp;DY247&amp;"/"&amp;BA247&amp;"-"&amp;DD247&amp;"-"&amp;DK247</f>
        <v>FCS0111-6-7/1S–MC–127-R7-CN1</v>
      </c>
      <c r="DU247" s="6" t="str">
        <f>IF(DL247="","",DQ247&amp;"-"&amp;DX247&amp;"-"&amp;DY247&amp;"/"&amp;BA247&amp;"-"&amp;DD247&amp;"-"&amp;DL247)</f>
        <v>FCS0111-6-7/1S–MC–127-R7-CN2</v>
      </c>
      <c r="DV247" s="19">
        <v>1</v>
      </c>
      <c r="DW247" s="20" t="str">
        <f>RIGHT(DQ247,2)</f>
        <v>11</v>
      </c>
      <c r="DX247" s="20">
        <v>6</v>
      </c>
      <c r="DY247" s="21">
        <v>7</v>
      </c>
      <c r="DZ247" s="22">
        <v>8</v>
      </c>
      <c r="EA247" s="23">
        <v>19</v>
      </c>
      <c r="EB247" s="7">
        <v>3</v>
      </c>
      <c r="EC247" s="6">
        <v>1</v>
      </c>
      <c r="EE247" s="9" t="s">
        <v>693</v>
      </c>
      <c r="EF247" s="6" t="s">
        <v>672</v>
      </c>
      <c r="EG247" s="6" t="s">
        <v>647</v>
      </c>
      <c r="EH247" s="6" t="s">
        <v>990</v>
      </c>
      <c r="EI247" s="6" t="s">
        <v>413</v>
      </c>
      <c r="EJ247" s="12">
        <v>12</v>
      </c>
      <c r="EK247" s="12"/>
      <c r="EM247" s="12"/>
      <c r="EN247" s="12" t="s">
        <v>1121</v>
      </c>
      <c r="ET247" s="6" t="str">
        <f t="shared" si="106"/>
        <v>짝수</v>
      </c>
      <c r="EU247" s="12">
        <v>48</v>
      </c>
      <c r="EV247" s="45" t="str">
        <f t="shared" ca="1" si="111"/>
        <v>B</v>
      </c>
      <c r="EW247" s="6">
        <f t="shared" ca="1" si="107"/>
        <v>66</v>
      </c>
      <c r="FO247" s="6"/>
      <c r="FP247" s="11"/>
      <c r="FR247" s="6">
        <v>1</v>
      </c>
      <c r="FS247" s="6">
        <f t="shared" si="108"/>
        <v>1</v>
      </c>
      <c r="FT247" s="6" t="str">
        <f t="shared" si="109"/>
        <v/>
      </c>
      <c r="FU247" s="6" t="str">
        <f t="shared" ca="1" si="112"/>
        <v>R7-11</v>
      </c>
      <c r="FV247" s="6" t="str">
        <f t="shared" ca="1" si="110"/>
        <v>R7-12</v>
      </c>
      <c r="FW247" s="6" t="str">
        <f t="shared" ca="1" si="121"/>
        <v/>
      </c>
      <c r="FX247" s="6" t="str">
        <f t="shared" ca="1" si="122"/>
        <v/>
      </c>
      <c r="FY247" s="6" t="str">
        <f t="shared" ca="1" si="123"/>
        <v/>
      </c>
      <c r="FZ247" s="6" t="str">
        <f t="shared" ca="1" si="124"/>
        <v/>
      </c>
    </row>
    <row r="248" spans="1:182" ht="15.95" customHeight="1">
      <c r="A248" s="6">
        <v>426</v>
      </c>
      <c r="B248" s="6" t="s">
        <v>175</v>
      </c>
      <c r="E248" s="6" t="s">
        <v>1064</v>
      </c>
      <c r="F248" s="6" t="s">
        <v>1505</v>
      </c>
      <c r="G248" s="6" t="s">
        <v>1290</v>
      </c>
      <c r="H248" s="7" t="s">
        <v>1291</v>
      </c>
      <c r="I248" s="7"/>
      <c r="J248" s="6" t="e">
        <v>#N/A</v>
      </c>
      <c r="K248" s="6" t="e">
        <v>#N/A</v>
      </c>
      <c r="N248" s="6" t="e">
        <v>#N/A</v>
      </c>
      <c r="O248" s="6" t="e">
        <v>#N/A</v>
      </c>
      <c r="R248" s="101" t="e">
        <v>#N/A</v>
      </c>
      <c r="Y248" s="6" t="e">
        <v>#N/A</v>
      </c>
      <c r="Z248" s="6" t="e">
        <v>#N/A</v>
      </c>
      <c r="AA248" s="6" t="e">
        <v>#N/A</v>
      </c>
      <c r="AD248" s="6" t="e">
        <v>#N/A</v>
      </c>
      <c r="AE248" s="6" t="e">
        <v>#N/A</v>
      </c>
      <c r="AG248" s="6" t="e">
        <v>#N/A</v>
      </c>
      <c r="AY248" s="8" t="s">
        <v>176</v>
      </c>
      <c r="AZ248" s="8" t="s">
        <v>195</v>
      </c>
      <c r="BA248" s="13" t="s">
        <v>656</v>
      </c>
      <c r="BB248" s="13" t="s">
        <v>200</v>
      </c>
      <c r="BC248" s="13">
        <v>113</v>
      </c>
      <c r="BD248" s="13">
        <v>114</v>
      </c>
      <c r="DC248" s="6" t="s">
        <v>723</v>
      </c>
      <c r="DD248" s="6" t="s">
        <v>191</v>
      </c>
      <c r="DH248" s="6" t="str">
        <f t="shared" si="137"/>
        <v>A26</v>
      </c>
      <c r="DI248" s="6" t="str">
        <f t="shared" si="138"/>
        <v>B26</v>
      </c>
      <c r="DK248" s="6" t="s">
        <v>173</v>
      </c>
      <c r="DL248" s="6" t="str">
        <f t="shared" si="139"/>
        <v>CN2</v>
      </c>
      <c r="DO248" s="9" t="s">
        <v>170</v>
      </c>
      <c r="DP248" s="6" t="s">
        <v>171</v>
      </c>
      <c r="DQ248" s="6" t="s">
        <v>645</v>
      </c>
      <c r="DS248" s="6" t="str">
        <f t="shared" si="132"/>
        <v>AKB331</v>
      </c>
      <c r="DT248" s="10" t="str">
        <f t="shared" si="133"/>
        <v>FCS0111-4-7/1S–MC–127-R5-CN1</v>
      </c>
      <c r="DU248" s="6" t="str">
        <f t="shared" si="134"/>
        <v>FCS0111-4-7/1S–MC–127-R5-CN2</v>
      </c>
      <c r="DV248" s="19">
        <v>1</v>
      </c>
      <c r="DW248" s="20" t="str">
        <f t="shared" si="135"/>
        <v>11</v>
      </c>
      <c r="DX248" s="21">
        <v>4</v>
      </c>
      <c r="DY248" s="22">
        <v>7</v>
      </c>
      <c r="DZ248" s="23">
        <v>8</v>
      </c>
      <c r="EA248" s="23">
        <v>26</v>
      </c>
      <c r="ED248" s="9" t="str">
        <f t="shared" si="136"/>
        <v>ANB10D</v>
      </c>
      <c r="EF248" s="6" t="s">
        <v>672</v>
      </c>
      <c r="EH248" s="6" t="s">
        <v>1064</v>
      </c>
      <c r="EI248" s="6" t="s">
        <v>1065</v>
      </c>
      <c r="EJ248" s="12">
        <v>200</v>
      </c>
      <c r="EN248" s="6" t="s">
        <v>1123</v>
      </c>
      <c r="EP248" s="6" t="s">
        <v>1152</v>
      </c>
      <c r="ET248" s="6" t="str">
        <f t="shared" si="106"/>
        <v>짝수</v>
      </c>
      <c r="EU248" s="12">
        <v>48</v>
      </c>
      <c r="EV248" s="45" t="str">
        <f t="shared" ca="1" si="111"/>
        <v>C</v>
      </c>
      <c r="EW248" s="6">
        <f t="shared" ca="1" si="107"/>
        <v>67</v>
      </c>
      <c r="FR248" s="6">
        <v>1</v>
      </c>
      <c r="FS248" s="6">
        <f t="shared" si="108"/>
        <v>1</v>
      </c>
      <c r="FT248" s="6" t="str">
        <f t="shared" si="109"/>
        <v/>
      </c>
      <c r="FU248" s="6" t="str">
        <f t="shared" ca="1" si="112"/>
        <v>R5-11</v>
      </c>
      <c r="FV248" s="6" t="str">
        <f t="shared" ca="1" si="110"/>
        <v>R5-12</v>
      </c>
      <c r="FW248" s="6" t="str">
        <f t="shared" ref="FW248:FW280" ca="1" si="140">IF(AND(FT248=1,FU248=""),DD248&amp;"-11",IF(AND(FT248=1,FU248&lt;&gt;""),DD248&amp;"-21",""))</f>
        <v/>
      </c>
      <c r="FX248" s="6" t="str">
        <f t="shared" ref="FX248:FX280" ca="1" si="141">IF(AND(FT248=1,FU248=""),DD248&amp;"-12",IF(AND(FT248=1,FU248&lt;&gt;""),DD248&amp;"-22",""))</f>
        <v/>
      </c>
      <c r="FY248" s="6" t="str">
        <f t="shared" ref="FY248:FY280" ca="1" si="142">IF(AND(FS248="",OFFSET(FS248,0,1)="",DC248="A1BA4D"),"",IF(DC248="A1BD5D",LEFT(FW248,3)&amp;"21",FW248))</f>
        <v/>
      </c>
      <c r="FZ248" s="6" t="str">
        <f t="shared" ref="FZ248:FZ280" ca="1" si="143" xml:space="preserve">
IF(AND(FS248="",OFFSET(FS248,0,1)="",DC248="A1BA4D"),"",IF(DC248="A1BD5D",LEFT(FW248,3)&amp;"22",FW248))</f>
        <v/>
      </c>
    </row>
    <row r="249" spans="1:182" ht="15.95" customHeight="1">
      <c r="A249" s="6">
        <v>441</v>
      </c>
      <c r="B249" s="6" t="s">
        <v>175</v>
      </c>
      <c r="E249" s="13" t="s">
        <v>550</v>
      </c>
      <c r="F249" s="6" t="s">
        <v>1506</v>
      </c>
      <c r="G249" s="6" t="s">
        <v>1218</v>
      </c>
      <c r="H249" s="7" t="s">
        <v>1219</v>
      </c>
      <c r="I249" s="7"/>
      <c r="J249" s="6" t="s">
        <v>1199</v>
      </c>
      <c r="K249" s="6" t="s">
        <v>1201</v>
      </c>
      <c r="N249" s="6" t="s">
        <v>1203</v>
      </c>
      <c r="O249" s="6" t="s">
        <v>1205</v>
      </c>
      <c r="R249" s="101" t="s">
        <v>1220</v>
      </c>
      <c r="Y249" s="6" t="s">
        <v>1221</v>
      </c>
      <c r="Z249" s="6">
        <v>3</v>
      </c>
      <c r="AA249" s="6">
        <v>4</v>
      </c>
      <c r="AD249" s="6" t="s">
        <v>1203</v>
      </c>
      <c r="AE249" s="6" t="s">
        <v>1205</v>
      </c>
      <c r="AG249" s="6" t="s">
        <v>1222</v>
      </c>
      <c r="AY249" s="8" t="s">
        <v>176</v>
      </c>
      <c r="AZ249" s="8" t="s">
        <v>195</v>
      </c>
      <c r="BA249" s="13" t="s">
        <v>197</v>
      </c>
      <c r="BB249" s="13" t="s">
        <v>7</v>
      </c>
      <c r="BC249" s="13">
        <v>111</v>
      </c>
      <c r="BD249" s="13">
        <v>112</v>
      </c>
      <c r="DC249" s="6" t="s">
        <v>169</v>
      </c>
      <c r="DD249" s="6" t="s">
        <v>182</v>
      </c>
      <c r="DH249" s="6" t="str">
        <f t="shared" si="137"/>
        <v>A9</v>
      </c>
      <c r="DI249" s="6" t="str">
        <f t="shared" si="138"/>
        <v>B9</v>
      </c>
      <c r="DK249" s="6" t="s">
        <v>173</v>
      </c>
      <c r="DL249" s="6" t="str">
        <f t="shared" si="139"/>
        <v/>
      </c>
      <c r="DO249" s="9" t="s">
        <v>170</v>
      </c>
      <c r="DP249" s="6" t="s">
        <v>171</v>
      </c>
      <c r="DQ249" s="6" t="s">
        <v>645</v>
      </c>
      <c r="DS249" s="6" t="str">
        <f t="shared" si="132"/>
        <v>KS1</v>
      </c>
      <c r="DT249" s="10" t="str">
        <f t="shared" si="133"/>
        <v>FCS0111-5-1/1S–MC–107-F11-CN1</v>
      </c>
      <c r="DU249" s="6" t="str">
        <f t="shared" si="134"/>
        <v/>
      </c>
      <c r="DV249" s="19">
        <v>1</v>
      </c>
      <c r="DW249" s="20" t="str">
        <f t="shared" si="135"/>
        <v>11</v>
      </c>
      <c r="DX249" s="21">
        <v>5</v>
      </c>
      <c r="DY249" s="22">
        <v>1</v>
      </c>
      <c r="DZ249" s="23" t="s">
        <v>204</v>
      </c>
      <c r="EA249" s="23">
        <v>9</v>
      </c>
      <c r="ED249" s="9" t="str">
        <f t="shared" si="136"/>
        <v>ANB10D</v>
      </c>
      <c r="EF249" s="6" t="s">
        <v>172</v>
      </c>
      <c r="EH249" s="6" t="s">
        <v>282</v>
      </c>
      <c r="EI249" s="6" t="s">
        <v>431</v>
      </c>
      <c r="EJ249" s="12">
        <v>100</v>
      </c>
      <c r="EN249" s="6" t="s">
        <v>1124</v>
      </c>
      <c r="EP249" s="6" t="s">
        <v>1148</v>
      </c>
      <c r="ET249" s="6" t="str">
        <f t="shared" si="106"/>
        <v>짝수</v>
      </c>
      <c r="EU249" s="12">
        <v>48</v>
      </c>
      <c r="EV249" s="45" t="str">
        <f t="shared" ca="1" si="111"/>
        <v>D</v>
      </c>
      <c r="EW249" s="6">
        <f t="shared" ca="1" si="107"/>
        <v>68</v>
      </c>
      <c r="FR249" s="6">
        <v>1</v>
      </c>
      <c r="FS249" s="6" t="str">
        <f t="shared" si="108"/>
        <v/>
      </c>
      <c r="FT249" s="6" t="str">
        <f t="shared" si="109"/>
        <v/>
      </c>
      <c r="FU249" s="6" t="str">
        <f t="shared" ca="1" si="112"/>
        <v/>
      </c>
      <c r="FV249" s="6" t="str">
        <f t="shared" ca="1" si="110"/>
        <v/>
      </c>
      <c r="FW249" s="6" t="str">
        <f t="shared" ca="1" si="140"/>
        <v/>
      </c>
      <c r="FX249" s="6" t="str">
        <f t="shared" ca="1" si="141"/>
        <v/>
      </c>
      <c r="FY249" s="6" t="str">
        <f t="shared" ca="1" si="142"/>
        <v/>
      </c>
      <c r="FZ249" s="6" t="str">
        <f t="shared" ca="1" si="143"/>
        <v/>
      </c>
    </row>
    <row r="250" spans="1:182" ht="15.95" customHeight="1">
      <c r="A250" s="6">
        <v>442</v>
      </c>
      <c r="B250" s="6" t="s">
        <v>175</v>
      </c>
      <c r="E250" s="6" t="s">
        <v>551</v>
      </c>
      <c r="F250" s="6" t="s">
        <v>1507</v>
      </c>
      <c r="G250" s="6" t="s">
        <v>1218</v>
      </c>
      <c r="H250" s="7" t="s">
        <v>1219</v>
      </c>
      <c r="I250" s="7"/>
      <c r="J250" s="6" t="s">
        <v>1199</v>
      </c>
      <c r="K250" s="6" t="s">
        <v>1201</v>
      </c>
      <c r="N250" s="6" t="s">
        <v>1203</v>
      </c>
      <c r="O250" s="6" t="s">
        <v>1205</v>
      </c>
      <c r="R250" s="101" t="s">
        <v>1220</v>
      </c>
      <c r="Y250" s="6" t="s">
        <v>1221</v>
      </c>
      <c r="Z250" s="6">
        <v>5</v>
      </c>
      <c r="AA250" s="6">
        <v>6</v>
      </c>
      <c r="AD250" s="6" t="s">
        <v>1203</v>
      </c>
      <c r="AE250" s="6" t="s">
        <v>1205</v>
      </c>
      <c r="AG250" s="6" t="s">
        <v>1222</v>
      </c>
      <c r="AY250" s="8" t="s">
        <v>176</v>
      </c>
      <c r="AZ250" s="8" t="s">
        <v>195</v>
      </c>
      <c r="BA250" s="13" t="s">
        <v>197</v>
      </c>
      <c r="BB250" s="13" t="s">
        <v>7</v>
      </c>
      <c r="BC250" s="13">
        <v>113</v>
      </c>
      <c r="BD250" s="13">
        <v>114</v>
      </c>
      <c r="DC250" s="6" t="s">
        <v>169</v>
      </c>
      <c r="DD250" s="6" t="s">
        <v>182</v>
      </c>
      <c r="DH250" s="6" t="str">
        <f t="shared" si="137"/>
        <v>A10</v>
      </c>
      <c r="DI250" s="6" t="str">
        <f t="shared" si="138"/>
        <v>B10</v>
      </c>
      <c r="DK250" s="6" t="s">
        <v>173</v>
      </c>
      <c r="DL250" s="6" t="str">
        <f t="shared" si="139"/>
        <v/>
      </c>
      <c r="DO250" s="9" t="s">
        <v>170</v>
      </c>
      <c r="DP250" s="6" t="s">
        <v>171</v>
      </c>
      <c r="DQ250" s="6" t="s">
        <v>645</v>
      </c>
      <c r="DS250" s="6" t="str">
        <f t="shared" si="132"/>
        <v>KS1</v>
      </c>
      <c r="DT250" s="10" t="str">
        <f t="shared" si="133"/>
        <v>FCS0111-5-1/1S–MC–107-F11-CN1</v>
      </c>
      <c r="DU250" s="6" t="str">
        <f t="shared" si="134"/>
        <v/>
      </c>
      <c r="DV250" s="19">
        <v>1</v>
      </c>
      <c r="DW250" s="20" t="str">
        <f t="shared" si="135"/>
        <v>11</v>
      </c>
      <c r="DX250" s="21">
        <v>5</v>
      </c>
      <c r="DY250" s="22">
        <v>1</v>
      </c>
      <c r="DZ250" s="23" t="s">
        <v>204</v>
      </c>
      <c r="EA250" s="23">
        <v>10</v>
      </c>
      <c r="ED250" s="9" t="str">
        <f t="shared" si="136"/>
        <v>ANB10D</v>
      </c>
      <c r="EF250" s="6" t="s">
        <v>172</v>
      </c>
      <c r="EH250" s="6" t="s">
        <v>283</v>
      </c>
      <c r="EI250" s="6" t="s">
        <v>368</v>
      </c>
      <c r="EJ250" s="12">
        <v>100</v>
      </c>
      <c r="EN250" s="6" t="s">
        <v>1124</v>
      </c>
      <c r="EP250" s="6" t="s">
        <v>1148</v>
      </c>
      <c r="ET250" s="6" t="str">
        <f t="shared" si="106"/>
        <v>홀수</v>
      </c>
      <c r="EU250" s="12">
        <v>49</v>
      </c>
      <c r="EV250" s="45" t="str">
        <f t="shared" ca="1" si="111"/>
        <v>A</v>
      </c>
      <c r="EW250" s="6">
        <f t="shared" ca="1" si="107"/>
        <v>65</v>
      </c>
      <c r="FR250" s="6">
        <v>1</v>
      </c>
      <c r="FS250" s="6" t="str">
        <f t="shared" si="108"/>
        <v/>
      </c>
      <c r="FT250" s="6" t="str">
        <f t="shared" si="109"/>
        <v/>
      </c>
      <c r="FU250" s="6" t="str">
        <f t="shared" ca="1" si="112"/>
        <v/>
      </c>
      <c r="FV250" s="6" t="str">
        <f t="shared" ca="1" si="110"/>
        <v/>
      </c>
      <c r="FW250" s="6" t="str">
        <f t="shared" ca="1" si="140"/>
        <v/>
      </c>
      <c r="FX250" s="6" t="str">
        <f t="shared" ca="1" si="141"/>
        <v/>
      </c>
      <c r="FY250" s="6" t="str">
        <f t="shared" ca="1" si="142"/>
        <v/>
      </c>
      <c r="FZ250" s="6" t="str">
        <f t="shared" ca="1" si="143"/>
        <v/>
      </c>
    </row>
    <row r="251" spans="1:182" ht="15.95" customHeight="1">
      <c r="A251" s="6">
        <v>444</v>
      </c>
      <c r="B251" s="6" t="s">
        <v>175</v>
      </c>
      <c r="E251" s="13" t="s">
        <v>553</v>
      </c>
      <c r="F251" s="6" t="s">
        <v>1508</v>
      </c>
      <c r="G251" s="6" t="s">
        <v>1218</v>
      </c>
      <c r="H251" s="7" t="s">
        <v>1219</v>
      </c>
      <c r="I251" s="7"/>
      <c r="J251" s="6" t="s">
        <v>1199</v>
      </c>
      <c r="K251" s="6" t="s">
        <v>1201</v>
      </c>
      <c r="N251" s="6" t="s">
        <v>1203</v>
      </c>
      <c r="O251" s="6" t="s">
        <v>1205</v>
      </c>
      <c r="R251" s="101" t="s">
        <v>1220</v>
      </c>
      <c r="Y251" s="6" t="s">
        <v>1249</v>
      </c>
      <c r="Z251" s="6">
        <v>5</v>
      </c>
      <c r="AA251" s="6">
        <v>6</v>
      </c>
      <c r="AD251" s="6" t="s">
        <v>1203</v>
      </c>
      <c r="AE251" s="6" t="s">
        <v>1205</v>
      </c>
      <c r="AG251" s="6" t="s">
        <v>1250</v>
      </c>
      <c r="AY251" s="8" t="s">
        <v>176</v>
      </c>
      <c r="AZ251" s="8" t="s">
        <v>195</v>
      </c>
      <c r="BA251" s="13" t="s">
        <v>197</v>
      </c>
      <c r="BB251" s="13" t="s">
        <v>8</v>
      </c>
      <c r="BC251" s="13">
        <v>29</v>
      </c>
      <c r="BD251" s="13">
        <v>30</v>
      </c>
      <c r="DC251" s="6" t="s">
        <v>169</v>
      </c>
      <c r="DD251" s="6" t="s">
        <v>182</v>
      </c>
      <c r="DH251" s="6" t="str">
        <f t="shared" si="137"/>
        <v>A12</v>
      </c>
      <c r="DI251" s="6" t="str">
        <f t="shared" si="138"/>
        <v>B12</v>
      </c>
      <c r="DK251" s="6" t="s">
        <v>173</v>
      </c>
      <c r="DL251" s="6" t="str">
        <f t="shared" si="139"/>
        <v/>
      </c>
      <c r="DO251" s="9" t="s">
        <v>170</v>
      </c>
      <c r="DP251" s="6" t="s">
        <v>171</v>
      </c>
      <c r="DQ251" s="6" t="s">
        <v>645</v>
      </c>
      <c r="DS251" s="6" t="str">
        <f t="shared" si="132"/>
        <v>KS1</v>
      </c>
      <c r="DT251" s="10" t="str">
        <f t="shared" si="133"/>
        <v>FCS0111-5-1/1S–MC–107-F11-CN1</v>
      </c>
      <c r="DU251" s="6" t="str">
        <f t="shared" si="134"/>
        <v/>
      </c>
      <c r="DV251" s="19">
        <v>1</v>
      </c>
      <c r="DW251" s="20" t="str">
        <f t="shared" si="135"/>
        <v>11</v>
      </c>
      <c r="DX251" s="21">
        <v>5</v>
      </c>
      <c r="DY251" s="22">
        <v>1</v>
      </c>
      <c r="DZ251" s="23" t="s">
        <v>204</v>
      </c>
      <c r="EA251" s="23">
        <v>12</v>
      </c>
      <c r="ED251" s="9" t="str">
        <f t="shared" si="136"/>
        <v>ANB10D</v>
      </c>
      <c r="EF251" s="6" t="s">
        <v>172</v>
      </c>
      <c r="EH251" s="6" t="s">
        <v>285</v>
      </c>
      <c r="EI251" s="6" t="s">
        <v>432</v>
      </c>
      <c r="EJ251" s="12">
        <v>100</v>
      </c>
      <c r="EN251" s="6" t="s">
        <v>1124</v>
      </c>
      <c r="EP251" s="6" t="s">
        <v>1148</v>
      </c>
      <c r="ET251" s="6" t="str">
        <f t="shared" si="106"/>
        <v>홀수</v>
      </c>
      <c r="EU251" s="12">
        <v>49</v>
      </c>
      <c r="EV251" s="45" t="str">
        <f t="shared" ca="1" si="111"/>
        <v>B</v>
      </c>
      <c r="EW251" s="6">
        <f t="shared" ca="1" si="107"/>
        <v>66</v>
      </c>
      <c r="FR251" s="6">
        <v>1</v>
      </c>
      <c r="FS251" s="6" t="str">
        <f t="shared" si="108"/>
        <v/>
      </c>
      <c r="FT251" s="6" t="str">
        <f t="shared" si="109"/>
        <v/>
      </c>
      <c r="FU251" s="6" t="str">
        <f t="shared" ca="1" si="112"/>
        <v/>
      </c>
      <c r="FV251" s="6" t="str">
        <f t="shared" ca="1" si="110"/>
        <v/>
      </c>
      <c r="FW251" s="6" t="str">
        <f t="shared" ca="1" si="140"/>
        <v/>
      </c>
      <c r="FX251" s="6" t="str">
        <f t="shared" ca="1" si="141"/>
        <v/>
      </c>
      <c r="FY251" s="6" t="str">
        <f t="shared" ca="1" si="142"/>
        <v/>
      </c>
      <c r="FZ251" s="6" t="str">
        <f t="shared" ca="1" si="143"/>
        <v/>
      </c>
    </row>
    <row r="252" spans="1:182" ht="15.95" customHeight="1">
      <c r="A252" s="6">
        <v>445</v>
      </c>
      <c r="B252" s="6" t="s">
        <v>175</v>
      </c>
      <c r="E252" s="6" t="s">
        <v>554</v>
      </c>
      <c r="F252" s="6" t="s">
        <v>1509</v>
      </c>
      <c r="G252" s="6" t="s">
        <v>1218</v>
      </c>
      <c r="H252" s="7" t="s">
        <v>1219</v>
      </c>
      <c r="I252" s="7"/>
      <c r="J252" s="6" t="s">
        <v>1199</v>
      </c>
      <c r="K252" s="6" t="s">
        <v>1201</v>
      </c>
      <c r="N252" s="6" t="s">
        <v>1203</v>
      </c>
      <c r="O252" s="6" t="s">
        <v>1205</v>
      </c>
      <c r="R252" s="101" t="s">
        <v>1220</v>
      </c>
      <c r="Y252" s="6" t="s">
        <v>1252</v>
      </c>
      <c r="Z252" s="6">
        <v>15</v>
      </c>
      <c r="AA252" s="6">
        <v>16</v>
      </c>
      <c r="AD252" s="6" t="s">
        <v>1203</v>
      </c>
      <c r="AE252" s="6" t="s">
        <v>1205</v>
      </c>
      <c r="AG252" s="6" t="s">
        <v>1253</v>
      </c>
      <c r="AY252" s="8" t="s">
        <v>176</v>
      </c>
      <c r="AZ252" s="8" t="s">
        <v>195</v>
      </c>
      <c r="BA252" s="13" t="s">
        <v>197</v>
      </c>
      <c r="BB252" s="13" t="s">
        <v>8</v>
      </c>
      <c r="BC252" s="13">
        <v>85</v>
      </c>
      <c r="BD252" s="13">
        <v>86</v>
      </c>
      <c r="DC252" s="6" t="s">
        <v>169</v>
      </c>
      <c r="DD252" s="6" t="s">
        <v>182</v>
      </c>
      <c r="DH252" s="6" t="str">
        <f t="shared" si="137"/>
        <v>A13</v>
      </c>
      <c r="DI252" s="6" t="str">
        <f t="shared" si="138"/>
        <v>B13</v>
      </c>
      <c r="DK252" s="6" t="s">
        <v>173</v>
      </c>
      <c r="DL252" s="6" t="str">
        <f t="shared" si="139"/>
        <v/>
      </c>
      <c r="DO252" s="9" t="s">
        <v>170</v>
      </c>
      <c r="DP252" s="6" t="s">
        <v>171</v>
      </c>
      <c r="DQ252" s="6" t="s">
        <v>645</v>
      </c>
      <c r="DS252" s="6" t="str">
        <f t="shared" si="132"/>
        <v>KS1</v>
      </c>
      <c r="DT252" s="10" t="str">
        <f t="shared" si="133"/>
        <v>FCS0111-5-1/1S–MC–107-F11-CN1</v>
      </c>
      <c r="DU252" s="6" t="str">
        <f t="shared" si="134"/>
        <v/>
      </c>
      <c r="DV252" s="19">
        <v>1</v>
      </c>
      <c r="DW252" s="20" t="str">
        <f t="shared" si="135"/>
        <v>11</v>
      </c>
      <c r="DX252" s="21">
        <v>5</v>
      </c>
      <c r="DY252" s="22">
        <v>1</v>
      </c>
      <c r="DZ252" s="23" t="s">
        <v>204</v>
      </c>
      <c r="EA252" s="23">
        <v>13</v>
      </c>
      <c r="ED252" s="9" t="str">
        <f t="shared" si="136"/>
        <v>ANB10D</v>
      </c>
      <c r="EF252" s="6" t="s">
        <v>172</v>
      </c>
      <c r="EH252" s="6" t="s">
        <v>286</v>
      </c>
      <c r="EI252" s="6" t="s">
        <v>199</v>
      </c>
      <c r="EJ252" s="12">
        <v>100</v>
      </c>
      <c r="EN252" s="6" t="s">
        <v>1124</v>
      </c>
      <c r="EP252" s="6" t="s">
        <v>1148</v>
      </c>
      <c r="ET252" s="6" t="str">
        <f t="shared" si="106"/>
        <v>홀수</v>
      </c>
      <c r="EU252" s="12">
        <v>49</v>
      </c>
      <c r="EV252" s="45" t="str">
        <f t="shared" ca="1" si="111"/>
        <v>C</v>
      </c>
      <c r="EW252" s="6">
        <f t="shared" ca="1" si="107"/>
        <v>67</v>
      </c>
      <c r="FR252" s="6">
        <v>1</v>
      </c>
      <c r="FS252" s="6" t="str">
        <f t="shared" si="108"/>
        <v/>
      </c>
      <c r="FT252" s="6" t="str">
        <f t="shared" si="109"/>
        <v/>
      </c>
      <c r="FU252" s="6" t="str">
        <f t="shared" ca="1" si="112"/>
        <v/>
      </c>
      <c r="FV252" s="6" t="str">
        <f t="shared" ca="1" si="110"/>
        <v/>
      </c>
      <c r="FW252" s="6" t="str">
        <f t="shared" ca="1" si="140"/>
        <v/>
      </c>
      <c r="FX252" s="6" t="str">
        <f t="shared" ca="1" si="141"/>
        <v/>
      </c>
      <c r="FY252" s="6" t="str">
        <f t="shared" ca="1" si="142"/>
        <v/>
      </c>
      <c r="FZ252" s="6" t="str">
        <f t="shared" ca="1" si="143"/>
        <v/>
      </c>
    </row>
    <row r="253" spans="1:182" ht="15.95" customHeight="1">
      <c r="A253" s="6">
        <v>450</v>
      </c>
      <c r="B253" s="6" t="s">
        <v>175</v>
      </c>
      <c r="E253" s="6" t="s">
        <v>556</v>
      </c>
      <c r="F253" s="6" t="s">
        <v>1510</v>
      </c>
      <c r="G253" s="6" t="s">
        <v>1218</v>
      </c>
      <c r="H253" s="7" t="s">
        <v>1219</v>
      </c>
      <c r="I253" s="7"/>
      <c r="J253" s="6" t="s">
        <v>1199</v>
      </c>
      <c r="K253" s="6" t="s">
        <v>1201</v>
      </c>
      <c r="N253" s="6" t="s">
        <v>1203</v>
      </c>
      <c r="O253" s="6" t="s">
        <v>1205</v>
      </c>
      <c r="R253" s="101" t="s">
        <v>1220</v>
      </c>
      <c r="Y253" s="6" t="s">
        <v>1236</v>
      </c>
      <c r="Z253" s="6">
        <v>5</v>
      </c>
      <c r="AA253" s="6">
        <v>6</v>
      </c>
      <c r="AD253" s="6" t="s">
        <v>1203</v>
      </c>
      <c r="AE253" s="6" t="s">
        <v>1205</v>
      </c>
      <c r="AG253" s="6" t="s">
        <v>1237</v>
      </c>
      <c r="AY253" s="8" t="s">
        <v>176</v>
      </c>
      <c r="AZ253" s="8" t="s">
        <v>195</v>
      </c>
      <c r="BA253" s="13" t="s">
        <v>197</v>
      </c>
      <c r="BB253" s="13" t="s">
        <v>7</v>
      </c>
      <c r="BC253" s="13">
        <v>43</v>
      </c>
      <c r="BD253" s="13">
        <v>44</v>
      </c>
      <c r="DC253" s="6" t="s">
        <v>169</v>
      </c>
      <c r="DD253" s="6" t="s">
        <v>183</v>
      </c>
      <c r="DH253" s="6" t="str">
        <f t="shared" ref="DH253:DH297" si="144">"A"&amp;EA253</f>
        <v>A2</v>
      </c>
      <c r="DI253" s="6" t="str">
        <f t="shared" ref="DI253:DI297" si="145">"B"&amp;EA253</f>
        <v>B2</v>
      </c>
      <c r="DK253" s="6" t="s">
        <v>173</v>
      </c>
      <c r="DL253" s="6" t="str">
        <f t="shared" ref="DL253:DL297" si="146">IF(DZ253&lt;&gt;"","CN2","")</f>
        <v/>
      </c>
      <c r="DO253" s="9" t="s">
        <v>170</v>
      </c>
      <c r="DP253" s="6" t="s">
        <v>171</v>
      </c>
      <c r="DQ253" s="6" t="s">
        <v>645</v>
      </c>
      <c r="DS253" s="6" t="str">
        <f t="shared" ref="DS253:DS296" si="147">IF(MID(EF253,2,1)="A","KS1","AKB331")</f>
        <v>KS1</v>
      </c>
      <c r="DT253" s="10" t="str">
        <f t="shared" ref="DT253:DT296" si="148">DQ253&amp;"-"&amp;DX253&amp;"-"&amp;DY253&amp;"/"&amp;BA253&amp;"-"&amp;DD253&amp;"-"&amp;DK253</f>
        <v>FCS0111-5-2/1S–MC–107-F12-CN1</v>
      </c>
      <c r="DU253" s="6" t="str">
        <f t="shared" ref="DU253:DU296" si="149">IF(DL253="","",DQ253&amp;"-"&amp;DX253&amp;"-"&amp;DY253&amp;"/"&amp;BA253&amp;"-"&amp;DD253&amp;"-"&amp;DL253)</f>
        <v/>
      </c>
      <c r="DV253" s="19">
        <v>1</v>
      </c>
      <c r="DW253" s="20" t="str">
        <f t="shared" ref="DW253:DW296" si="150">RIGHT(DQ253,2)</f>
        <v>11</v>
      </c>
      <c r="DX253" s="21">
        <v>5</v>
      </c>
      <c r="DY253" s="22">
        <v>2</v>
      </c>
      <c r="DZ253" s="23" t="s">
        <v>204</v>
      </c>
      <c r="EA253" s="23">
        <v>2</v>
      </c>
      <c r="ED253" s="9" t="str">
        <f t="shared" ref="ED253:ED296" si="151">IF(DX253="1","AFV30D","ANB10D")</f>
        <v>ANB10D</v>
      </c>
      <c r="EF253" s="6" t="s">
        <v>172</v>
      </c>
      <c r="EH253" s="6" t="s">
        <v>288</v>
      </c>
      <c r="EI253" s="6" t="s">
        <v>371</v>
      </c>
      <c r="EJ253" s="12">
        <v>100</v>
      </c>
      <c r="EN253" s="6" t="s">
        <v>1124</v>
      </c>
      <c r="EP253" s="6" t="s">
        <v>1148</v>
      </c>
      <c r="ET253" s="6" t="str">
        <f t="shared" si="106"/>
        <v>홀수</v>
      </c>
      <c r="EU253" s="12">
        <v>49</v>
      </c>
      <c r="EV253" s="45" t="str">
        <f t="shared" ca="1" si="111"/>
        <v>D</v>
      </c>
      <c r="EW253" s="6">
        <f t="shared" ca="1" si="107"/>
        <v>68</v>
      </c>
      <c r="FR253" s="6">
        <v>1</v>
      </c>
      <c r="FS253" s="6" t="str">
        <f t="shared" si="108"/>
        <v/>
      </c>
      <c r="FT253" s="6" t="str">
        <f t="shared" si="109"/>
        <v/>
      </c>
      <c r="FU253" s="6" t="str">
        <f t="shared" ca="1" si="112"/>
        <v/>
      </c>
      <c r="FV253" s="6" t="str">
        <f t="shared" ca="1" si="110"/>
        <v/>
      </c>
      <c r="FW253" s="6" t="str">
        <f t="shared" ca="1" si="140"/>
        <v/>
      </c>
      <c r="FX253" s="6" t="str">
        <f t="shared" ca="1" si="141"/>
        <v/>
      </c>
      <c r="FY253" s="6" t="str">
        <f t="shared" ca="1" si="142"/>
        <v/>
      </c>
      <c r="FZ253" s="6" t="str">
        <f t="shared" ca="1" si="143"/>
        <v/>
      </c>
    </row>
    <row r="254" spans="1:182" ht="15.95" customHeight="1">
      <c r="A254" s="6">
        <v>451</v>
      </c>
      <c r="B254" s="6" t="s">
        <v>175</v>
      </c>
      <c r="E254" s="13" t="s">
        <v>557</v>
      </c>
      <c r="F254" s="6" t="s">
        <v>1511</v>
      </c>
      <c r="G254" s="6" t="s">
        <v>1218</v>
      </c>
      <c r="H254" s="7" t="s">
        <v>1219</v>
      </c>
      <c r="I254" s="7"/>
      <c r="J254" s="6" t="s">
        <v>1199</v>
      </c>
      <c r="K254" s="6" t="s">
        <v>1201</v>
      </c>
      <c r="N254" s="6" t="s">
        <v>1203</v>
      </c>
      <c r="O254" s="6" t="s">
        <v>1205</v>
      </c>
      <c r="R254" s="101" t="s">
        <v>1220</v>
      </c>
      <c r="Y254" s="6" t="s">
        <v>1236</v>
      </c>
      <c r="Z254" s="6">
        <v>9</v>
      </c>
      <c r="AA254" s="6">
        <v>10</v>
      </c>
      <c r="AD254" s="6" t="s">
        <v>1203</v>
      </c>
      <c r="AE254" s="6" t="s">
        <v>1205</v>
      </c>
      <c r="AG254" s="6" t="s">
        <v>1237</v>
      </c>
      <c r="AY254" s="8" t="s">
        <v>176</v>
      </c>
      <c r="AZ254" s="8" t="s">
        <v>195</v>
      </c>
      <c r="BA254" s="13" t="s">
        <v>197</v>
      </c>
      <c r="BB254" s="13" t="s">
        <v>7</v>
      </c>
      <c r="BC254" s="13">
        <v>47</v>
      </c>
      <c r="BD254" s="13">
        <v>48</v>
      </c>
      <c r="DC254" s="6" t="s">
        <v>169</v>
      </c>
      <c r="DD254" s="6" t="s">
        <v>183</v>
      </c>
      <c r="DH254" s="6" t="str">
        <f t="shared" si="144"/>
        <v>A3</v>
      </c>
      <c r="DI254" s="6" t="str">
        <f t="shared" si="145"/>
        <v>B3</v>
      </c>
      <c r="DK254" s="6" t="s">
        <v>173</v>
      </c>
      <c r="DL254" s="6" t="str">
        <f t="shared" si="146"/>
        <v/>
      </c>
      <c r="DO254" s="9" t="s">
        <v>170</v>
      </c>
      <c r="DP254" s="6" t="s">
        <v>171</v>
      </c>
      <c r="DQ254" s="6" t="s">
        <v>645</v>
      </c>
      <c r="DS254" s="6" t="str">
        <f t="shared" si="147"/>
        <v>KS1</v>
      </c>
      <c r="DT254" s="10" t="str">
        <f t="shared" si="148"/>
        <v>FCS0111-5-2/1S–MC–107-F12-CN1</v>
      </c>
      <c r="DU254" s="6" t="str">
        <f t="shared" si="149"/>
        <v/>
      </c>
      <c r="DV254" s="19">
        <v>1</v>
      </c>
      <c r="DW254" s="20" t="str">
        <f t="shared" si="150"/>
        <v>11</v>
      </c>
      <c r="DX254" s="21">
        <v>5</v>
      </c>
      <c r="DY254" s="22">
        <v>2</v>
      </c>
      <c r="DZ254" s="23" t="s">
        <v>204</v>
      </c>
      <c r="EA254" s="23">
        <v>3</v>
      </c>
      <c r="ED254" s="9" t="str">
        <f t="shared" si="151"/>
        <v>ANB10D</v>
      </c>
      <c r="EF254" s="6" t="s">
        <v>172</v>
      </c>
      <c r="EH254" s="6" t="s">
        <v>289</v>
      </c>
      <c r="EI254" s="6" t="s">
        <v>433</v>
      </c>
      <c r="EJ254" s="12">
        <v>100</v>
      </c>
      <c r="EN254" s="6" t="s">
        <v>1124</v>
      </c>
      <c r="EP254" s="6" t="s">
        <v>1148</v>
      </c>
      <c r="ET254" s="6" t="str">
        <f t="shared" si="106"/>
        <v>짝수</v>
      </c>
      <c r="EU254" s="12">
        <v>50</v>
      </c>
      <c r="EV254" s="45" t="str">
        <f t="shared" ca="1" si="111"/>
        <v>A</v>
      </c>
      <c r="EW254" s="6">
        <f t="shared" ca="1" si="107"/>
        <v>65</v>
      </c>
      <c r="FR254" s="6">
        <v>1</v>
      </c>
      <c r="FS254" s="6" t="str">
        <f t="shared" si="108"/>
        <v/>
      </c>
      <c r="FT254" s="6" t="str">
        <f t="shared" si="109"/>
        <v/>
      </c>
      <c r="FU254" s="6" t="str">
        <f t="shared" ca="1" si="112"/>
        <v/>
      </c>
      <c r="FV254" s="6" t="str">
        <f t="shared" ca="1" si="110"/>
        <v/>
      </c>
      <c r="FW254" s="6" t="str">
        <f t="shared" ca="1" si="140"/>
        <v/>
      </c>
      <c r="FX254" s="6" t="str">
        <f t="shared" ca="1" si="141"/>
        <v/>
      </c>
      <c r="FY254" s="6" t="str">
        <f t="shared" ca="1" si="142"/>
        <v/>
      </c>
      <c r="FZ254" s="6" t="str">
        <f t="shared" ca="1" si="143"/>
        <v/>
      </c>
    </row>
    <row r="255" spans="1:182" ht="15.95" customHeight="1">
      <c r="A255" s="6">
        <v>452</v>
      </c>
      <c r="B255" s="6" t="s">
        <v>175</v>
      </c>
      <c r="E255" s="13" t="s">
        <v>558</v>
      </c>
      <c r="F255" s="6" t="s">
        <v>1512</v>
      </c>
      <c r="G255" s="6" t="s">
        <v>1218</v>
      </c>
      <c r="H255" s="7" t="s">
        <v>1219</v>
      </c>
      <c r="I255" s="7"/>
      <c r="J255" s="6" t="s">
        <v>1199</v>
      </c>
      <c r="K255" s="6" t="s">
        <v>1201</v>
      </c>
      <c r="N255" s="6" t="s">
        <v>1203</v>
      </c>
      <c r="O255" s="6" t="s">
        <v>1205</v>
      </c>
      <c r="R255" s="101" t="s">
        <v>1220</v>
      </c>
      <c r="Y255" s="6" t="s">
        <v>1236</v>
      </c>
      <c r="Z255" s="6">
        <v>11</v>
      </c>
      <c r="AA255" s="6">
        <v>12</v>
      </c>
      <c r="AD255" s="6" t="s">
        <v>1203</v>
      </c>
      <c r="AE255" s="6" t="s">
        <v>1205</v>
      </c>
      <c r="AG255" s="6" t="s">
        <v>1237</v>
      </c>
      <c r="AY255" s="8" t="s">
        <v>176</v>
      </c>
      <c r="AZ255" s="8" t="s">
        <v>195</v>
      </c>
      <c r="BA255" s="13" t="s">
        <v>197</v>
      </c>
      <c r="BB255" s="13" t="s">
        <v>7</v>
      </c>
      <c r="BC255" s="13">
        <v>49</v>
      </c>
      <c r="BD255" s="13">
        <v>50</v>
      </c>
      <c r="DC255" s="6" t="s">
        <v>169</v>
      </c>
      <c r="DD255" s="6" t="s">
        <v>183</v>
      </c>
      <c r="DH255" s="6" t="str">
        <f t="shared" si="144"/>
        <v>A4</v>
      </c>
      <c r="DI255" s="6" t="str">
        <f t="shared" si="145"/>
        <v>B4</v>
      </c>
      <c r="DK255" s="6" t="s">
        <v>173</v>
      </c>
      <c r="DL255" s="6" t="str">
        <f t="shared" si="146"/>
        <v/>
      </c>
      <c r="DO255" s="9" t="s">
        <v>170</v>
      </c>
      <c r="DP255" s="6" t="s">
        <v>171</v>
      </c>
      <c r="DQ255" s="6" t="s">
        <v>645</v>
      </c>
      <c r="DS255" s="6" t="str">
        <f t="shared" si="147"/>
        <v>KS1</v>
      </c>
      <c r="DT255" s="10" t="str">
        <f t="shared" si="148"/>
        <v>FCS0111-5-2/1S–MC–107-F12-CN1</v>
      </c>
      <c r="DU255" s="6" t="str">
        <f t="shared" si="149"/>
        <v/>
      </c>
      <c r="DV255" s="19">
        <v>1</v>
      </c>
      <c r="DW255" s="20" t="str">
        <f t="shared" si="150"/>
        <v>11</v>
      </c>
      <c r="DX255" s="21">
        <v>5</v>
      </c>
      <c r="DY255" s="22">
        <v>2</v>
      </c>
      <c r="DZ255" s="23" t="s">
        <v>204</v>
      </c>
      <c r="EA255" s="23">
        <v>4</v>
      </c>
      <c r="ED255" s="9" t="str">
        <f t="shared" si="151"/>
        <v>ANB10D</v>
      </c>
      <c r="EF255" s="6" t="s">
        <v>172</v>
      </c>
      <c r="EH255" s="6" t="s">
        <v>290</v>
      </c>
      <c r="EI255" s="6" t="s">
        <v>434</v>
      </c>
      <c r="EJ255" s="12">
        <v>100</v>
      </c>
      <c r="EN255" s="6" t="s">
        <v>1124</v>
      </c>
      <c r="EP255" s="6" t="s">
        <v>1148</v>
      </c>
      <c r="ET255" s="6" t="str">
        <f t="shared" si="106"/>
        <v>짝수</v>
      </c>
      <c r="EU255" s="12">
        <v>50</v>
      </c>
      <c r="EV255" s="45" t="str">
        <f t="shared" ca="1" si="111"/>
        <v>B</v>
      </c>
      <c r="EW255" s="6">
        <f t="shared" ca="1" si="107"/>
        <v>66</v>
      </c>
      <c r="FR255" s="6">
        <v>1</v>
      </c>
      <c r="FS255" s="6" t="str">
        <f t="shared" si="108"/>
        <v/>
      </c>
      <c r="FT255" s="6" t="str">
        <f t="shared" si="109"/>
        <v/>
      </c>
      <c r="FU255" s="6" t="str">
        <f t="shared" ca="1" si="112"/>
        <v/>
      </c>
      <c r="FV255" s="6" t="str">
        <f t="shared" ca="1" si="110"/>
        <v/>
      </c>
      <c r="FW255" s="6" t="str">
        <f t="shared" ca="1" si="140"/>
        <v/>
      </c>
      <c r="FX255" s="6" t="str">
        <f t="shared" ca="1" si="141"/>
        <v/>
      </c>
      <c r="FY255" s="6" t="str">
        <f t="shared" ca="1" si="142"/>
        <v/>
      </c>
      <c r="FZ255" s="6" t="str">
        <f t="shared" ca="1" si="143"/>
        <v/>
      </c>
    </row>
    <row r="256" spans="1:182" ht="15.95" customHeight="1">
      <c r="A256" s="6">
        <v>453</v>
      </c>
      <c r="B256" s="6" t="s">
        <v>175</v>
      </c>
      <c r="E256" s="6" t="s">
        <v>559</v>
      </c>
      <c r="F256" s="6" t="s">
        <v>1513</v>
      </c>
      <c r="G256" s="6" t="s">
        <v>1218</v>
      </c>
      <c r="H256" s="7" t="s">
        <v>1219</v>
      </c>
      <c r="I256" s="7"/>
      <c r="J256" s="6" t="s">
        <v>1199</v>
      </c>
      <c r="K256" s="6" t="s">
        <v>1201</v>
      </c>
      <c r="N256" s="6" t="s">
        <v>1203</v>
      </c>
      <c r="O256" s="6" t="s">
        <v>1205</v>
      </c>
      <c r="R256" s="101" t="s">
        <v>1220</v>
      </c>
      <c r="Y256" s="6" t="s">
        <v>1241</v>
      </c>
      <c r="Z256" s="6">
        <v>5</v>
      </c>
      <c r="AA256" s="6">
        <v>6</v>
      </c>
      <c r="AD256" s="6" t="s">
        <v>1203</v>
      </c>
      <c r="AE256" s="6" t="s">
        <v>1205</v>
      </c>
      <c r="AG256" s="6" t="s">
        <v>1242</v>
      </c>
      <c r="AY256" s="8" t="s">
        <v>176</v>
      </c>
      <c r="AZ256" s="8" t="s">
        <v>195</v>
      </c>
      <c r="BA256" s="13" t="s">
        <v>197</v>
      </c>
      <c r="BB256" s="13" t="s">
        <v>7</v>
      </c>
      <c r="BC256" s="13">
        <v>67</v>
      </c>
      <c r="BD256" s="13">
        <v>68</v>
      </c>
      <c r="DC256" s="6" t="s">
        <v>169</v>
      </c>
      <c r="DD256" s="6" t="s">
        <v>183</v>
      </c>
      <c r="DH256" s="6" t="str">
        <f t="shared" si="144"/>
        <v>A5</v>
      </c>
      <c r="DI256" s="6" t="str">
        <f t="shared" si="145"/>
        <v>B5</v>
      </c>
      <c r="DK256" s="6" t="s">
        <v>173</v>
      </c>
      <c r="DL256" s="6" t="str">
        <f t="shared" si="146"/>
        <v/>
      </c>
      <c r="DO256" s="9" t="s">
        <v>170</v>
      </c>
      <c r="DP256" s="6" t="s">
        <v>171</v>
      </c>
      <c r="DQ256" s="6" t="s">
        <v>645</v>
      </c>
      <c r="DS256" s="6" t="str">
        <f t="shared" si="147"/>
        <v>KS1</v>
      </c>
      <c r="DT256" s="10" t="str">
        <f t="shared" si="148"/>
        <v>FCS0111-5-2/1S–MC–107-F12-CN1</v>
      </c>
      <c r="DU256" s="6" t="str">
        <f t="shared" si="149"/>
        <v/>
      </c>
      <c r="DV256" s="19">
        <v>1</v>
      </c>
      <c r="DW256" s="20" t="str">
        <f t="shared" si="150"/>
        <v>11</v>
      </c>
      <c r="DX256" s="21">
        <v>5</v>
      </c>
      <c r="DY256" s="22">
        <v>2</v>
      </c>
      <c r="DZ256" s="23" t="s">
        <v>204</v>
      </c>
      <c r="EA256" s="23">
        <v>5</v>
      </c>
      <c r="ED256" s="9" t="str">
        <f t="shared" si="151"/>
        <v>ANB10D</v>
      </c>
      <c r="EF256" s="6" t="s">
        <v>172</v>
      </c>
      <c r="EH256" s="6" t="s">
        <v>291</v>
      </c>
      <c r="EI256" s="6" t="s">
        <v>375</v>
      </c>
      <c r="EJ256" s="12">
        <v>100</v>
      </c>
      <c r="EN256" s="6" t="s">
        <v>1124</v>
      </c>
      <c r="EP256" s="6" t="s">
        <v>1148</v>
      </c>
      <c r="ET256" s="6" t="str">
        <f t="shared" si="106"/>
        <v>짝수</v>
      </c>
      <c r="EU256" s="12">
        <v>50</v>
      </c>
      <c r="EV256" s="45" t="str">
        <f t="shared" ca="1" si="111"/>
        <v>C</v>
      </c>
      <c r="EW256" s="6">
        <f t="shared" ca="1" si="107"/>
        <v>67</v>
      </c>
      <c r="FR256" s="6">
        <v>1</v>
      </c>
      <c r="FS256" s="6" t="str">
        <f t="shared" si="108"/>
        <v/>
      </c>
      <c r="FT256" s="6" t="str">
        <f t="shared" si="109"/>
        <v/>
      </c>
      <c r="FU256" s="6" t="str">
        <f t="shared" ca="1" si="112"/>
        <v/>
      </c>
      <c r="FV256" s="6" t="str">
        <f t="shared" ca="1" si="110"/>
        <v/>
      </c>
      <c r="FW256" s="6" t="str">
        <f t="shared" ca="1" si="140"/>
        <v/>
      </c>
      <c r="FX256" s="6" t="str">
        <f t="shared" ca="1" si="141"/>
        <v/>
      </c>
      <c r="FY256" s="6" t="str">
        <f t="shared" ca="1" si="142"/>
        <v/>
      </c>
      <c r="FZ256" s="6" t="str">
        <f t="shared" ca="1" si="143"/>
        <v/>
      </c>
    </row>
    <row r="257" spans="1:182" ht="15.95" customHeight="1">
      <c r="A257" s="6">
        <v>455</v>
      </c>
      <c r="B257" s="6" t="s">
        <v>175</v>
      </c>
      <c r="E257" s="6" t="s">
        <v>561</v>
      </c>
      <c r="F257" s="6" t="s">
        <v>1514</v>
      </c>
      <c r="G257" s="6" t="s">
        <v>1218</v>
      </c>
      <c r="H257" s="7" t="s">
        <v>1219</v>
      </c>
      <c r="I257" s="7"/>
      <c r="J257" s="6" t="s">
        <v>1199</v>
      </c>
      <c r="K257" s="6" t="s">
        <v>1201</v>
      </c>
      <c r="N257" s="6" t="s">
        <v>1203</v>
      </c>
      <c r="O257" s="6" t="s">
        <v>1205</v>
      </c>
      <c r="R257" s="101" t="s">
        <v>1220</v>
      </c>
      <c r="Y257" s="6" t="s">
        <v>1266</v>
      </c>
      <c r="Z257" s="6">
        <v>5</v>
      </c>
      <c r="AA257" s="6">
        <v>6</v>
      </c>
      <c r="AD257" s="6" t="s">
        <v>1203</v>
      </c>
      <c r="AE257" s="6" t="s">
        <v>1205</v>
      </c>
      <c r="AG257" s="6" t="s">
        <v>1267</v>
      </c>
      <c r="AY257" s="8" t="s">
        <v>176</v>
      </c>
      <c r="AZ257" s="8" t="s">
        <v>195</v>
      </c>
      <c r="BA257" s="13" t="s">
        <v>197</v>
      </c>
      <c r="BB257" s="13" t="s">
        <v>8</v>
      </c>
      <c r="BC257" s="13">
        <v>135</v>
      </c>
      <c r="BD257" s="13">
        <v>136</v>
      </c>
      <c r="DC257" s="6" t="s">
        <v>169</v>
      </c>
      <c r="DD257" s="6" t="s">
        <v>183</v>
      </c>
      <c r="DH257" s="6" t="str">
        <f t="shared" si="144"/>
        <v>A7</v>
      </c>
      <c r="DI257" s="6" t="str">
        <f t="shared" si="145"/>
        <v>B7</v>
      </c>
      <c r="DK257" s="6" t="s">
        <v>173</v>
      </c>
      <c r="DL257" s="6" t="str">
        <f t="shared" si="146"/>
        <v/>
      </c>
      <c r="DO257" s="9" t="s">
        <v>170</v>
      </c>
      <c r="DP257" s="6" t="s">
        <v>171</v>
      </c>
      <c r="DQ257" s="6" t="s">
        <v>645</v>
      </c>
      <c r="DS257" s="6" t="str">
        <f t="shared" si="147"/>
        <v>KS1</v>
      </c>
      <c r="DT257" s="10" t="str">
        <f t="shared" si="148"/>
        <v>FCS0111-5-2/1S–MC–107-F12-CN1</v>
      </c>
      <c r="DU257" s="6" t="str">
        <f t="shared" si="149"/>
        <v/>
      </c>
      <c r="DV257" s="19">
        <v>1</v>
      </c>
      <c r="DW257" s="20" t="str">
        <f t="shared" si="150"/>
        <v>11</v>
      </c>
      <c r="DX257" s="21">
        <v>5</v>
      </c>
      <c r="DY257" s="22">
        <v>2</v>
      </c>
      <c r="DZ257" s="23" t="s">
        <v>204</v>
      </c>
      <c r="EA257" s="23">
        <v>7</v>
      </c>
      <c r="ED257" s="9" t="str">
        <f t="shared" si="151"/>
        <v>ANB10D</v>
      </c>
      <c r="EF257" s="6" t="s">
        <v>172</v>
      </c>
      <c r="EH257" s="6" t="s">
        <v>293</v>
      </c>
      <c r="EI257" s="6" t="s">
        <v>435</v>
      </c>
      <c r="EJ257" s="12">
        <v>100</v>
      </c>
      <c r="EN257" s="6" t="s">
        <v>1124</v>
      </c>
      <c r="EP257" s="6" t="s">
        <v>1148</v>
      </c>
      <c r="ET257" s="6" t="str">
        <f t="shared" si="106"/>
        <v>짝수</v>
      </c>
      <c r="EU257" s="12">
        <v>50</v>
      </c>
      <c r="EV257" s="45" t="str">
        <f t="shared" ca="1" si="111"/>
        <v>D</v>
      </c>
      <c r="EW257" s="6">
        <f t="shared" ca="1" si="107"/>
        <v>68</v>
      </c>
      <c r="FR257" s="6">
        <v>1</v>
      </c>
      <c r="FS257" s="6" t="str">
        <f t="shared" si="108"/>
        <v/>
      </c>
      <c r="FT257" s="6" t="str">
        <f t="shared" si="109"/>
        <v/>
      </c>
      <c r="FU257" s="6" t="str">
        <f t="shared" ca="1" si="112"/>
        <v/>
      </c>
      <c r="FV257" s="6" t="str">
        <f t="shared" ca="1" si="110"/>
        <v/>
      </c>
      <c r="FW257" s="6" t="str">
        <f t="shared" ca="1" si="140"/>
        <v/>
      </c>
      <c r="FX257" s="6" t="str">
        <f t="shared" ca="1" si="141"/>
        <v/>
      </c>
      <c r="FY257" s="6" t="str">
        <f t="shared" ca="1" si="142"/>
        <v/>
      </c>
      <c r="FZ257" s="6" t="str">
        <f t="shared" ca="1" si="143"/>
        <v/>
      </c>
    </row>
    <row r="258" spans="1:182" ht="15.95" customHeight="1">
      <c r="A258" s="6">
        <v>456</v>
      </c>
      <c r="B258" s="6" t="s">
        <v>175</v>
      </c>
      <c r="E258" s="13" t="s">
        <v>562</v>
      </c>
      <c r="F258" s="6" t="s">
        <v>1515</v>
      </c>
      <c r="G258" s="6" t="s">
        <v>1218</v>
      </c>
      <c r="H258" s="7" t="s">
        <v>1219</v>
      </c>
      <c r="I258" s="7"/>
      <c r="J258" s="6" t="s">
        <v>1199</v>
      </c>
      <c r="K258" s="6" t="s">
        <v>1201</v>
      </c>
      <c r="N258" s="6" t="s">
        <v>1203</v>
      </c>
      <c r="O258" s="6" t="s">
        <v>1205</v>
      </c>
      <c r="R258" s="101" t="s">
        <v>1220</v>
      </c>
      <c r="Y258" s="6" t="s">
        <v>1236</v>
      </c>
      <c r="Z258" s="6">
        <v>13</v>
      </c>
      <c r="AA258" s="6">
        <v>14</v>
      </c>
      <c r="AD258" s="6" t="s">
        <v>1203</v>
      </c>
      <c r="AE258" s="6" t="s">
        <v>1205</v>
      </c>
      <c r="AG258" s="6" t="s">
        <v>1237</v>
      </c>
      <c r="AY258" s="8" t="s">
        <v>176</v>
      </c>
      <c r="AZ258" s="8" t="s">
        <v>195</v>
      </c>
      <c r="BA258" s="13" t="s">
        <v>197</v>
      </c>
      <c r="BB258" s="13" t="s">
        <v>7</v>
      </c>
      <c r="BC258" s="13">
        <v>51</v>
      </c>
      <c r="BD258" s="13">
        <v>52</v>
      </c>
      <c r="DC258" s="6" t="s">
        <v>169</v>
      </c>
      <c r="DD258" s="6" t="s">
        <v>183</v>
      </c>
      <c r="DH258" s="6" t="str">
        <f t="shared" si="144"/>
        <v>A8</v>
      </c>
      <c r="DI258" s="6" t="str">
        <f t="shared" si="145"/>
        <v>B8</v>
      </c>
      <c r="DK258" s="6" t="s">
        <v>173</v>
      </c>
      <c r="DL258" s="6" t="str">
        <f t="shared" si="146"/>
        <v/>
      </c>
      <c r="DO258" s="9" t="s">
        <v>170</v>
      </c>
      <c r="DP258" s="6" t="s">
        <v>171</v>
      </c>
      <c r="DQ258" s="6" t="s">
        <v>645</v>
      </c>
      <c r="DS258" s="6" t="str">
        <f t="shared" si="147"/>
        <v>KS1</v>
      </c>
      <c r="DT258" s="10" t="str">
        <f t="shared" si="148"/>
        <v>FCS0111-5-2/1S–MC–107-F12-CN1</v>
      </c>
      <c r="DU258" s="6" t="str">
        <f t="shared" si="149"/>
        <v/>
      </c>
      <c r="DV258" s="19">
        <v>1</v>
      </c>
      <c r="DW258" s="20" t="str">
        <f t="shared" si="150"/>
        <v>11</v>
      </c>
      <c r="DX258" s="21">
        <v>5</v>
      </c>
      <c r="DY258" s="22">
        <v>2</v>
      </c>
      <c r="DZ258" s="23" t="s">
        <v>204</v>
      </c>
      <c r="EA258" s="23">
        <v>8</v>
      </c>
      <c r="ED258" s="9" t="str">
        <f t="shared" si="151"/>
        <v>ANB10D</v>
      </c>
      <c r="EF258" s="6" t="s">
        <v>172</v>
      </c>
      <c r="EH258" s="6" t="s">
        <v>294</v>
      </c>
      <c r="EI258" s="6" t="s">
        <v>436</v>
      </c>
      <c r="EJ258" s="12">
        <v>100</v>
      </c>
      <c r="EN258" s="6" t="s">
        <v>1124</v>
      </c>
      <c r="EP258" s="6" t="s">
        <v>1148</v>
      </c>
      <c r="ET258" s="6" t="str">
        <f t="shared" si="106"/>
        <v>홀수</v>
      </c>
      <c r="EU258" s="12">
        <v>51</v>
      </c>
      <c r="EV258" s="45" t="str">
        <f t="shared" ca="1" si="111"/>
        <v>A</v>
      </c>
      <c r="EW258" s="6">
        <f t="shared" ca="1" si="107"/>
        <v>65</v>
      </c>
      <c r="FR258" s="6">
        <v>1</v>
      </c>
      <c r="FS258" s="6" t="str">
        <f t="shared" si="108"/>
        <v/>
      </c>
      <c r="FT258" s="6" t="str">
        <f t="shared" si="109"/>
        <v/>
      </c>
      <c r="FU258" s="6" t="str">
        <f t="shared" ca="1" si="112"/>
        <v/>
      </c>
      <c r="FV258" s="6" t="str">
        <f t="shared" ca="1" si="110"/>
        <v/>
      </c>
      <c r="FW258" s="6" t="str">
        <f t="shared" ca="1" si="140"/>
        <v/>
      </c>
      <c r="FX258" s="6" t="str">
        <f t="shared" ca="1" si="141"/>
        <v/>
      </c>
      <c r="FY258" s="6" t="str">
        <f t="shared" ca="1" si="142"/>
        <v/>
      </c>
      <c r="FZ258" s="6" t="str">
        <f t="shared" ca="1" si="143"/>
        <v/>
      </c>
    </row>
    <row r="259" spans="1:182" ht="15.95" customHeight="1">
      <c r="A259" s="6">
        <v>457</v>
      </c>
      <c r="B259" s="6" t="s">
        <v>175</v>
      </c>
      <c r="E259" s="13" t="s">
        <v>563</v>
      </c>
      <c r="F259" s="6" t="s">
        <v>1516</v>
      </c>
      <c r="G259" s="6" t="s">
        <v>1218</v>
      </c>
      <c r="H259" s="7" t="s">
        <v>1219</v>
      </c>
      <c r="I259" s="7"/>
      <c r="J259" s="6" t="s">
        <v>1199</v>
      </c>
      <c r="K259" s="6" t="s">
        <v>1201</v>
      </c>
      <c r="N259" s="6" t="s">
        <v>1203</v>
      </c>
      <c r="O259" s="6" t="s">
        <v>1205</v>
      </c>
      <c r="R259" s="101" t="s">
        <v>1220</v>
      </c>
      <c r="Y259" s="6" t="s">
        <v>1236</v>
      </c>
      <c r="Z259" s="6">
        <v>15</v>
      </c>
      <c r="AA259" s="6">
        <v>16</v>
      </c>
      <c r="AD259" s="6" t="s">
        <v>1203</v>
      </c>
      <c r="AE259" s="6" t="s">
        <v>1205</v>
      </c>
      <c r="AG259" s="6" t="s">
        <v>1237</v>
      </c>
      <c r="AY259" s="8" t="s">
        <v>176</v>
      </c>
      <c r="AZ259" s="8" t="s">
        <v>195</v>
      </c>
      <c r="BA259" s="13" t="s">
        <v>197</v>
      </c>
      <c r="BB259" s="13" t="s">
        <v>7</v>
      </c>
      <c r="BC259" s="13">
        <v>53</v>
      </c>
      <c r="BD259" s="13">
        <v>54</v>
      </c>
      <c r="DC259" s="6" t="s">
        <v>169</v>
      </c>
      <c r="DD259" s="6" t="s">
        <v>183</v>
      </c>
      <c r="DH259" s="6" t="str">
        <f t="shared" si="144"/>
        <v>A9</v>
      </c>
      <c r="DI259" s="6" t="str">
        <f t="shared" si="145"/>
        <v>B9</v>
      </c>
      <c r="DK259" s="6" t="s">
        <v>173</v>
      </c>
      <c r="DL259" s="6" t="str">
        <f t="shared" si="146"/>
        <v/>
      </c>
      <c r="DO259" s="9" t="s">
        <v>170</v>
      </c>
      <c r="DP259" s="6" t="s">
        <v>171</v>
      </c>
      <c r="DQ259" s="6" t="s">
        <v>645</v>
      </c>
      <c r="DS259" s="6" t="str">
        <f t="shared" si="147"/>
        <v>KS1</v>
      </c>
      <c r="DT259" s="10" t="str">
        <f t="shared" si="148"/>
        <v>FCS0111-5-2/1S–MC–107-F12-CN1</v>
      </c>
      <c r="DU259" s="6" t="str">
        <f t="shared" si="149"/>
        <v/>
      </c>
      <c r="DV259" s="19">
        <v>1</v>
      </c>
      <c r="DW259" s="20" t="str">
        <f t="shared" si="150"/>
        <v>11</v>
      </c>
      <c r="DX259" s="21">
        <v>5</v>
      </c>
      <c r="DY259" s="22">
        <v>2</v>
      </c>
      <c r="DZ259" s="23" t="s">
        <v>204</v>
      </c>
      <c r="EA259" s="23">
        <v>9</v>
      </c>
      <c r="ED259" s="9" t="str">
        <f t="shared" si="151"/>
        <v>ANB10D</v>
      </c>
      <c r="EF259" s="6" t="s">
        <v>172</v>
      </c>
      <c r="EH259" s="6" t="s">
        <v>295</v>
      </c>
      <c r="EI259" s="6" t="s">
        <v>437</v>
      </c>
      <c r="EJ259" s="12">
        <v>100</v>
      </c>
      <c r="EN259" s="6" t="s">
        <v>1124</v>
      </c>
      <c r="EP259" s="6" t="s">
        <v>1148</v>
      </c>
      <c r="ET259" s="6" t="str">
        <f t="shared" ref="ET259:ET322" si="152">IF(MOD(EU259,2) = 0, "짝수", "홀수")</f>
        <v>홀수</v>
      </c>
      <c r="EU259" s="12">
        <v>51</v>
      </c>
      <c r="EV259" s="45" t="str">
        <f t="shared" ca="1" si="111"/>
        <v>B</v>
      </c>
      <c r="EW259" s="6">
        <f t="shared" ref="EW259:EW322" ca="1" si="153">IF(EV259="A",65,IF(EV259="B",66,IF(EV259="C",67,68)))</f>
        <v>66</v>
      </c>
      <c r="FR259" s="6">
        <v>1</v>
      </c>
      <c r="FS259" s="6" t="str">
        <f t="shared" ref="FS259:FS322" si="154">IF(OR(DC259="A1BA4D",DC259="A1BD5D"),"",1)</f>
        <v/>
      </c>
      <c r="FT259" s="6" t="str">
        <f t="shared" ref="FT259:FT322" si="155">IF(OR(DC259="A1BA4D",DC259="ARM55D"),"",1)</f>
        <v/>
      </c>
      <c r="FU259" s="6" t="str">
        <f t="shared" ca="1" si="112"/>
        <v/>
      </c>
      <c r="FV259" s="6" t="str">
        <f t="shared" ref="FV259:FV322" ca="1" si="156">IF(AND(FS259="",OFFSET(FS259,0,1)="",DC259="A1BA4D"),"",IF(DC259="A1BD5D","",DD259&amp;"-12"))</f>
        <v/>
      </c>
      <c r="FW259" s="6" t="str">
        <f t="shared" ca="1" si="140"/>
        <v/>
      </c>
      <c r="FX259" s="6" t="str">
        <f t="shared" ca="1" si="141"/>
        <v/>
      </c>
      <c r="FY259" s="6" t="str">
        <f t="shared" ca="1" si="142"/>
        <v/>
      </c>
      <c r="FZ259" s="6" t="str">
        <f t="shared" ca="1" si="143"/>
        <v/>
      </c>
    </row>
    <row r="260" spans="1:182" ht="15.95" customHeight="1">
      <c r="A260" s="6">
        <v>458</v>
      </c>
      <c r="B260" s="6" t="s">
        <v>175</v>
      </c>
      <c r="E260" s="6" t="s">
        <v>564</v>
      </c>
      <c r="F260" s="6" t="s">
        <v>1517</v>
      </c>
      <c r="G260" s="6" t="s">
        <v>1218</v>
      </c>
      <c r="H260" s="7" t="s">
        <v>1219</v>
      </c>
      <c r="I260" s="7"/>
      <c r="J260" s="6" t="s">
        <v>1199</v>
      </c>
      <c r="K260" s="6" t="s">
        <v>1201</v>
      </c>
      <c r="N260" s="6" t="s">
        <v>1203</v>
      </c>
      <c r="O260" s="6" t="s">
        <v>1205</v>
      </c>
      <c r="R260" s="101" t="s">
        <v>1220</v>
      </c>
      <c r="Y260" s="6" t="s">
        <v>1236</v>
      </c>
      <c r="Z260" s="6">
        <v>17</v>
      </c>
      <c r="AA260" s="6">
        <v>18</v>
      </c>
      <c r="AD260" s="6" t="s">
        <v>1203</v>
      </c>
      <c r="AE260" s="6" t="s">
        <v>1205</v>
      </c>
      <c r="AG260" s="6" t="s">
        <v>1237</v>
      </c>
      <c r="AY260" s="8" t="s">
        <v>176</v>
      </c>
      <c r="AZ260" s="8" t="s">
        <v>195</v>
      </c>
      <c r="BA260" s="13" t="s">
        <v>197</v>
      </c>
      <c r="BB260" s="13" t="s">
        <v>7</v>
      </c>
      <c r="BC260" s="13">
        <v>55</v>
      </c>
      <c r="BD260" s="13">
        <v>56</v>
      </c>
      <c r="DC260" s="6" t="s">
        <v>169</v>
      </c>
      <c r="DD260" s="6" t="s">
        <v>183</v>
      </c>
      <c r="DH260" s="6" t="str">
        <f t="shared" si="144"/>
        <v>A10</v>
      </c>
      <c r="DI260" s="6" t="str">
        <f t="shared" si="145"/>
        <v>B10</v>
      </c>
      <c r="DK260" s="6" t="s">
        <v>173</v>
      </c>
      <c r="DL260" s="6" t="str">
        <f t="shared" si="146"/>
        <v/>
      </c>
      <c r="DO260" s="9" t="s">
        <v>170</v>
      </c>
      <c r="DP260" s="6" t="s">
        <v>171</v>
      </c>
      <c r="DQ260" s="6" t="s">
        <v>645</v>
      </c>
      <c r="DS260" s="6" t="str">
        <f t="shared" si="147"/>
        <v>KS1</v>
      </c>
      <c r="DT260" s="10" t="str">
        <f t="shared" si="148"/>
        <v>FCS0111-5-2/1S–MC–107-F12-CN1</v>
      </c>
      <c r="DU260" s="6" t="str">
        <f t="shared" si="149"/>
        <v/>
      </c>
      <c r="DV260" s="19">
        <v>1</v>
      </c>
      <c r="DW260" s="20" t="str">
        <f t="shared" si="150"/>
        <v>11</v>
      </c>
      <c r="DX260" s="21">
        <v>5</v>
      </c>
      <c r="DY260" s="22">
        <v>2</v>
      </c>
      <c r="DZ260" s="23" t="s">
        <v>204</v>
      </c>
      <c r="EA260" s="23">
        <v>10</v>
      </c>
      <c r="ED260" s="9" t="str">
        <f t="shared" si="151"/>
        <v>ANB10D</v>
      </c>
      <c r="EF260" s="6" t="s">
        <v>172</v>
      </c>
      <c r="EH260" s="6" t="s">
        <v>296</v>
      </c>
      <c r="EI260" s="6" t="s">
        <v>379</v>
      </c>
      <c r="EJ260" s="12">
        <v>100</v>
      </c>
      <c r="EN260" s="6" t="s">
        <v>1124</v>
      </c>
      <c r="EP260" s="6" t="s">
        <v>1148</v>
      </c>
      <c r="ET260" s="6" t="str">
        <f t="shared" si="152"/>
        <v>홀수</v>
      </c>
      <c r="EU260" s="12">
        <v>51</v>
      </c>
      <c r="EV260" s="45" t="str">
        <f t="shared" ca="1" si="111"/>
        <v>C</v>
      </c>
      <c r="EW260" s="6">
        <f t="shared" ca="1" si="153"/>
        <v>67</v>
      </c>
      <c r="FR260" s="6">
        <v>1</v>
      </c>
      <c r="FS260" s="6" t="str">
        <f t="shared" si="154"/>
        <v/>
      </c>
      <c r="FT260" s="6" t="str">
        <f t="shared" si="155"/>
        <v/>
      </c>
      <c r="FU260" s="6" t="str">
        <f t="shared" ca="1" si="112"/>
        <v/>
      </c>
      <c r="FV260" s="6" t="str">
        <f t="shared" ca="1" si="156"/>
        <v/>
      </c>
      <c r="FW260" s="6" t="str">
        <f t="shared" ca="1" si="140"/>
        <v/>
      </c>
      <c r="FX260" s="6" t="str">
        <f t="shared" ca="1" si="141"/>
        <v/>
      </c>
      <c r="FY260" s="6" t="str">
        <f t="shared" ca="1" si="142"/>
        <v/>
      </c>
      <c r="FZ260" s="6" t="str">
        <f t="shared" ca="1" si="143"/>
        <v/>
      </c>
    </row>
    <row r="261" spans="1:182" ht="15.95" customHeight="1">
      <c r="A261" s="6">
        <v>460</v>
      </c>
      <c r="B261" s="6" t="s">
        <v>175</v>
      </c>
      <c r="E261" s="6" t="s">
        <v>566</v>
      </c>
      <c r="F261" s="6" t="s">
        <v>1518</v>
      </c>
      <c r="G261" s="6" t="s">
        <v>1218</v>
      </c>
      <c r="H261" s="7" t="s">
        <v>1219</v>
      </c>
      <c r="I261" s="7"/>
      <c r="J261" s="6" t="s">
        <v>1199</v>
      </c>
      <c r="K261" s="6" t="s">
        <v>1201</v>
      </c>
      <c r="N261" s="6" t="s">
        <v>1203</v>
      </c>
      <c r="O261" s="6" t="s">
        <v>1205</v>
      </c>
      <c r="R261" s="101" t="s">
        <v>1220</v>
      </c>
      <c r="Y261" s="6" t="s">
        <v>1266</v>
      </c>
      <c r="Z261" s="6">
        <v>11</v>
      </c>
      <c r="AA261" s="6">
        <v>12</v>
      </c>
      <c r="AD261" s="6" t="s">
        <v>1203</v>
      </c>
      <c r="AE261" s="6" t="s">
        <v>1205</v>
      </c>
      <c r="AG261" s="6" t="s">
        <v>1267</v>
      </c>
      <c r="AY261" s="8" t="s">
        <v>176</v>
      </c>
      <c r="AZ261" s="8" t="s">
        <v>195</v>
      </c>
      <c r="BA261" s="13" t="s">
        <v>197</v>
      </c>
      <c r="BB261" s="13" t="s">
        <v>8</v>
      </c>
      <c r="BC261" s="13">
        <v>141</v>
      </c>
      <c r="BD261" s="13">
        <v>142</v>
      </c>
      <c r="DC261" s="6" t="s">
        <v>169</v>
      </c>
      <c r="DD261" s="6" t="s">
        <v>183</v>
      </c>
      <c r="DH261" s="6" t="str">
        <f t="shared" si="144"/>
        <v>A12</v>
      </c>
      <c r="DI261" s="6" t="str">
        <f t="shared" si="145"/>
        <v>B12</v>
      </c>
      <c r="DK261" s="6" t="s">
        <v>173</v>
      </c>
      <c r="DL261" s="6" t="str">
        <f t="shared" si="146"/>
        <v/>
      </c>
      <c r="DO261" s="9" t="s">
        <v>170</v>
      </c>
      <c r="DP261" s="6" t="s">
        <v>171</v>
      </c>
      <c r="DQ261" s="6" t="s">
        <v>645</v>
      </c>
      <c r="DS261" s="6" t="str">
        <f t="shared" si="147"/>
        <v>KS1</v>
      </c>
      <c r="DT261" s="10" t="str">
        <f t="shared" si="148"/>
        <v>FCS0111-5-2/1S–MC–107-F12-CN1</v>
      </c>
      <c r="DU261" s="6" t="str">
        <f t="shared" si="149"/>
        <v/>
      </c>
      <c r="DV261" s="19">
        <v>1</v>
      </c>
      <c r="DW261" s="20" t="str">
        <f t="shared" si="150"/>
        <v>11</v>
      </c>
      <c r="DX261" s="21">
        <v>5</v>
      </c>
      <c r="DY261" s="22">
        <v>2</v>
      </c>
      <c r="DZ261" s="23" t="s">
        <v>204</v>
      </c>
      <c r="EA261" s="23">
        <v>12</v>
      </c>
      <c r="ED261" s="9" t="str">
        <f t="shared" si="151"/>
        <v>ANB10D</v>
      </c>
      <c r="EF261" s="6" t="s">
        <v>172</v>
      </c>
      <c r="EH261" s="6" t="s">
        <v>298</v>
      </c>
      <c r="EI261" s="6" t="s">
        <v>438</v>
      </c>
      <c r="EJ261" s="12">
        <v>100</v>
      </c>
      <c r="EN261" s="6" t="s">
        <v>1124</v>
      </c>
      <c r="EP261" s="6" t="s">
        <v>1148</v>
      </c>
      <c r="ET261" s="6" t="str">
        <f t="shared" si="152"/>
        <v>홀수</v>
      </c>
      <c r="EU261" s="12">
        <v>51</v>
      </c>
      <c r="EV261" s="45" t="str">
        <f t="shared" ca="1" si="111"/>
        <v>D</v>
      </c>
      <c r="EW261" s="6">
        <f t="shared" ca="1" si="153"/>
        <v>68</v>
      </c>
      <c r="FR261" s="6">
        <v>1</v>
      </c>
      <c r="FS261" s="6" t="str">
        <f t="shared" si="154"/>
        <v/>
      </c>
      <c r="FT261" s="6" t="str">
        <f t="shared" si="155"/>
        <v/>
      </c>
      <c r="FU261" s="6" t="str">
        <f t="shared" ca="1" si="112"/>
        <v/>
      </c>
      <c r="FV261" s="6" t="str">
        <f t="shared" ca="1" si="156"/>
        <v/>
      </c>
      <c r="FW261" s="6" t="str">
        <f t="shared" ca="1" si="140"/>
        <v/>
      </c>
      <c r="FX261" s="6" t="str">
        <f t="shared" ca="1" si="141"/>
        <v/>
      </c>
      <c r="FY261" s="6" t="str">
        <f t="shared" ca="1" si="142"/>
        <v/>
      </c>
      <c r="FZ261" s="6" t="str">
        <f t="shared" ca="1" si="143"/>
        <v/>
      </c>
    </row>
    <row r="262" spans="1:182" ht="15.95" customHeight="1">
      <c r="A262" s="6">
        <v>461</v>
      </c>
      <c r="B262" s="6" t="s">
        <v>175</v>
      </c>
      <c r="E262" s="6" t="s">
        <v>299</v>
      </c>
      <c r="F262" s="6" t="s">
        <v>1519</v>
      </c>
      <c r="G262" s="6" t="s">
        <v>1218</v>
      </c>
      <c r="H262" s="7" t="s">
        <v>1219</v>
      </c>
      <c r="I262" s="7"/>
      <c r="J262" s="6" t="s">
        <v>1199</v>
      </c>
      <c r="K262" s="6" t="s">
        <v>1201</v>
      </c>
      <c r="N262" s="6" t="s">
        <v>1203</v>
      </c>
      <c r="O262" s="6" t="s">
        <v>1205</v>
      </c>
      <c r="R262" s="101" t="s">
        <v>1220</v>
      </c>
      <c r="Y262" s="6" t="s">
        <v>1232</v>
      </c>
      <c r="Z262" s="6">
        <v>9</v>
      </c>
      <c r="AA262" s="6">
        <v>10</v>
      </c>
      <c r="AD262" s="6" t="s">
        <v>1203</v>
      </c>
      <c r="AE262" s="6" t="s">
        <v>1205</v>
      </c>
      <c r="AG262" s="6" t="s">
        <v>1233</v>
      </c>
      <c r="AY262" s="8" t="s">
        <v>176</v>
      </c>
      <c r="AZ262" s="8" t="s">
        <v>195</v>
      </c>
      <c r="BA262" s="13" t="s">
        <v>197</v>
      </c>
      <c r="BB262" s="13" t="s">
        <v>8</v>
      </c>
      <c r="BC262" s="13">
        <v>149</v>
      </c>
      <c r="BD262" s="13">
        <v>150</v>
      </c>
      <c r="DC262" s="6" t="s">
        <v>169</v>
      </c>
      <c r="DD262" s="6" t="s">
        <v>183</v>
      </c>
      <c r="DH262" s="6" t="str">
        <f t="shared" si="144"/>
        <v>A13</v>
      </c>
      <c r="DI262" s="6" t="str">
        <f t="shared" si="145"/>
        <v>B13</v>
      </c>
      <c r="DK262" s="6" t="s">
        <v>173</v>
      </c>
      <c r="DL262" s="6" t="str">
        <f t="shared" si="146"/>
        <v/>
      </c>
      <c r="DO262" s="9" t="s">
        <v>170</v>
      </c>
      <c r="DP262" s="6" t="s">
        <v>171</v>
      </c>
      <c r="DQ262" s="6" t="s">
        <v>645</v>
      </c>
      <c r="DS262" s="6" t="str">
        <f t="shared" si="147"/>
        <v>KS1</v>
      </c>
      <c r="DT262" s="10" t="str">
        <f t="shared" si="148"/>
        <v>FCS0111-5-2/1S–MC–107-F12-CN1</v>
      </c>
      <c r="DU262" s="6" t="str">
        <f t="shared" si="149"/>
        <v/>
      </c>
      <c r="DV262" s="19">
        <v>1</v>
      </c>
      <c r="DW262" s="20" t="str">
        <f t="shared" si="150"/>
        <v>11</v>
      </c>
      <c r="DX262" s="21">
        <v>5</v>
      </c>
      <c r="DY262" s="22">
        <v>2</v>
      </c>
      <c r="DZ262" s="23" t="s">
        <v>204</v>
      </c>
      <c r="EA262" s="23">
        <v>13</v>
      </c>
      <c r="ED262" s="9" t="str">
        <f t="shared" si="151"/>
        <v>ANB10D</v>
      </c>
      <c r="EF262" s="6" t="s">
        <v>172</v>
      </c>
      <c r="EH262" s="6" t="s">
        <v>1066</v>
      </c>
      <c r="EI262" s="6" t="s">
        <v>430</v>
      </c>
      <c r="EJ262" s="12">
        <v>100</v>
      </c>
      <c r="EN262" s="6" t="s">
        <v>1124</v>
      </c>
      <c r="EP262" s="6" t="s">
        <v>1148</v>
      </c>
      <c r="ET262" s="6" t="str">
        <f t="shared" si="152"/>
        <v>짝수</v>
      </c>
      <c r="EU262" s="12">
        <v>52</v>
      </c>
      <c r="EV262" s="45" t="str">
        <f t="shared" ca="1" si="111"/>
        <v>A</v>
      </c>
      <c r="EW262" s="6">
        <f t="shared" ca="1" si="153"/>
        <v>65</v>
      </c>
      <c r="FR262" s="6">
        <v>1</v>
      </c>
      <c r="FS262" s="6" t="str">
        <f t="shared" si="154"/>
        <v/>
      </c>
      <c r="FT262" s="6" t="str">
        <f t="shared" si="155"/>
        <v/>
      </c>
      <c r="FU262" s="6" t="str">
        <f t="shared" ca="1" si="112"/>
        <v/>
      </c>
      <c r="FV262" s="6" t="str">
        <f t="shared" ca="1" si="156"/>
        <v/>
      </c>
      <c r="FW262" s="6" t="str">
        <f t="shared" ca="1" si="140"/>
        <v/>
      </c>
      <c r="FX262" s="6" t="str">
        <f t="shared" ca="1" si="141"/>
        <v/>
      </c>
      <c r="FY262" s="6" t="str">
        <f t="shared" ca="1" si="142"/>
        <v/>
      </c>
      <c r="FZ262" s="6" t="str">
        <f t="shared" ca="1" si="143"/>
        <v/>
      </c>
    </row>
    <row r="263" spans="1:182" ht="15.95" customHeight="1">
      <c r="A263" s="6">
        <v>462</v>
      </c>
      <c r="B263" s="6" t="s">
        <v>175</v>
      </c>
      <c r="E263" s="6" t="s">
        <v>300</v>
      </c>
      <c r="F263" s="6" t="s">
        <v>1520</v>
      </c>
      <c r="G263" s="6" t="s">
        <v>1218</v>
      </c>
      <c r="H263" s="7" t="s">
        <v>1219</v>
      </c>
      <c r="I263" s="7"/>
      <c r="J263" s="6" t="s">
        <v>1199</v>
      </c>
      <c r="K263" s="6" t="s">
        <v>1201</v>
      </c>
      <c r="N263" s="6" t="s">
        <v>1203</v>
      </c>
      <c r="O263" s="6" t="s">
        <v>1205</v>
      </c>
      <c r="R263" s="101" t="s">
        <v>1220</v>
      </c>
      <c r="Y263" s="6" t="s">
        <v>1232</v>
      </c>
      <c r="Z263" s="6">
        <v>11</v>
      </c>
      <c r="AA263" s="6">
        <v>12</v>
      </c>
      <c r="AD263" s="6" t="s">
        <v>1203</v>
      </c>
      <c r="AE263" s="6" t="s">
        <v>1205</v>
      </c>
      <c r="AG263" s="6" t="s">
        <v>1233</v>
      </c>
      <c r="AY263" s="8" t="s">
        <v>176</v>
      </c>
      <c r="AZ263" s="8" t="s">
        <v>195</v>
      </c>
      <c r="BA263" s="13" t="s">
        <v>197</v>
      </c>
      <c r="BB263" s="13" t="s">
        <v>8</v>
      </c>
      <c r="BC263" s="13">
        <v>151</v>
      </c>
      <c r="BD263" s="13">
        <v>152</v>
      </c>
      <c r="DC263" s="6" t="s">
        <v>169</v>
      </c>
      <c r="DD263" s="6" t="s">
        <v>183</v>
      </c>
      <c r="DH263" s="6" t="str">
        <f t="shared" si="144"/>
        <v>A14</v>
      </c>
      <c r="DI263" s="6" t="str">
        <f t="shared" si="145"/>
        <v>B14</v>
      </c>
      <c r="DK263" s="6" t="s">
        <v>173</v>
      </c>
      <c r="DL263" s="6" t="str">
        <f t="shared" si="146"/>
        <v/>
      </c>
      <c r="DO263" s="9" t="s">
        <v>170</v>
      </c>
      <c r="DP263" s="6" t="s">
        <v>171</v>
      </c>
      <c r="DQ263" s="6" t="s">
        <v>645</v>
      </c>
      <c r="DS263" s="6" t="str">
        <f t="shared" si="147"/>
        <v>KS1</v>
      </c>
      <c r="DT263" s="10" t="str">
        <f t="shared" si="148"/>
        <v>FCS0111-5-2/1S–MC–107-F12-CN1</v>
      </c>
      <c r="DU263" s="6" t="str">
        <f t="shared" si="149"/>
        <v/>
      </c>
      <c r="DV263" s="19">
        <v>1</v>
      </c>
      <c r="DW263" s="20" t="str">
        <f t="shared" si="150"/>
        <v>11</v>
      </c>
      <c r="DX263" s="21">
        <v>5</v>
      </c>
      <c r="DY263" s="22">
        <v>2</v>
      </c>
      <c r="DZ263" s="23" t="s">
        <v>204</v>
      </c>
      <c r="EA263" s="23">
        <v>14</v>
      </c>
      <c r="ED263" s="9" t="str">
        <f t="shared" si="151"/>
        <v>ANB10D</v>
      </c>
      <c r="EF263" s="6" t="s">
        <v>172</v>
      </c>
      <c r="EH263" s="6" t="s">
        <v>1067</v>
      </c>
      <c r="EI263" s="6" t="s">
        <v>430</v>
      </c>
      <c r="EJ263" s="12">
        <v>100</v>
      </c>
      <c r="EN263" s="6" t="s">
        <v>1124</v>
      </c>
      <c r="EP263" s="6" t="s">
        <v>1148</v>
      </c>
      <c r="ET263" s="6" t="str">
        <f t="shared" si="152"/>
        <v>짝수</v>
      </c>
      <c r="EU263" s="12">
        <v>52</v>
      </c>
      <c r="EV263" s="45" t="str">
        <f t="shared" ca="1" si="111"/>
        <v>B</v>
      </c>
      <c r="EW263" s="6">
        <f t="shared" ca="1" si="153"/>
        <v>66</v>
      </c>
      <c r="FR263" s="6">
        <v>1</v>
      </c>
      <c r="FS263" s="6" t="str">
        <f t="shared" si="154"/>
        <v/>
      </c>
      <c r="FT263" s="6" t="str">
        <f t="shared" si="155"/>
        <v/>
      </c>
      <c r="FU263" s="6" t="str">
        <f t="shared" ca="1" si="112"/>
        <v/>
      </c>
      <c r="FV263" s="6" t="str">
        <f t="shared" ca="1" si="156"/>
        <v/>
      </c>
      <c r="FW263" s="6" t="str">
        <f t="shared" ca="1" si="140"/>
        <v/>
      </c>
      <c r="FX263" s="6" t="str">
        <f t="shared" ca="1" si="141"/>
        <v/>
      </c>
      <c r="FY263" s="6" t="str">
        <f t="shared" ca="1" si="142"/>
        <v/>
      </c>
      <c r="FZ263" s="6" t="str">
        <f t="shared" ca="1" si="143"/>
        <v/>
      </c>
    </row>
    <row r="264" spans="1:182" ht="15.95" customHeight="1">
      <c r="A264" s="6">
        <v>463</v>
      </c>
      <c r="B264" s="6" t="s">
        <v>175</v>
      </c>
      <c r="E264" s="6" t="s">
        <v>301</v>
      </c>
      <c r="F264" s="6" t="s">
        <v>1521</v>
      </c>
      <c r="G264" s="6" t="s">
        <v>1218</v>
      </c>
      <c r="H264" s="7" t="s">
        <v>1219</v>
      </c>
      <c r="I264" s="7"/>
      <c r="J264" s="6" t="s">
        <v>1199</v>
      </c>
      <c r="K264" s="6" t="s">
        <v>1201</v>
      </c>
      <c r="N264" s="6" t="s">
        <v>1203</v>
      </c>
      <c r="O264" s="6" t="s">
        <v>1205</v>
      </c>
      <c r="R264" s="101" t="s">
        <v>1220</v>
      </c>
      <c r="Y264" s="6" t="s">
        <v>1232</v>
      </c>
      <c r="Z264" s="6">
        <v>13</v>
      </c>
      <c r="AA264" s="6">
        <v>14</v>
      </c>
      <c r="AD264" s="6" t="s">
        <v>1203</v>
      </c>
      <c r="AE264" s="6" t="s">
        <v>1205</v>
      </c>
      <c r="AG264" s="6" t="s">
        <v>1233</v>
      </c>
      <c r="AY264" s="8" t="s">
        <v>176</v>
      </c>
      <c r="AZ264" s="8" t="s">
        <v>195</v>
      </c>
      <c r="BA264" s="13" t="s">
        <v>197</v>
      </c>
      <c r="BB264" s="13" t="s">
        <v>8</v>
      </c>
      <c r="BC264" s="13">
        <v>153</v>
      </c>
      <c r="BD264" s="13">
        <v>154</v>
      </c>
      <c r="DC264" s="6" t="s">
        <v>169</v>
      </c>
      <c r="DD264" s="6" t="s">
        <v>183</v>
      </c>
      <c r="DH264" s="6" t="str">
        <f t="shared" si="144"/>
        <v>A15</v>
      </c>
      <c r="DI264" s="6" t="str">
        <f t="shared" si="145"/>
        <v>B15</v>
      </c>
      <c r="DK264" s="6" t="s">
        <v>173</v>
      </c>
      <c r="DL264" s="6" t="str">
        <f t="shared" si="146"/>
        <v/>
      </c>
      <c r="DO264" s="9" t="s">
        <v>170</v>
      </c>
      <c r="DP264" s="6" t="s">
        <v>171</v>
      </c>
      <c r="DQ264" s="6" t="s">
        <v>645</v>
      </c>
      <c r="DS264" s="6" t="str">
        <f t="shared" si="147"/>
        <v>KS1</v>
      </c>
      <c r="DT264" s="10" t="str">
        <f t="shared" si="148"/>
        <v>FCS0111-5-2/1S–MC–107-F12-CN1</v>
      </c>
      <c r="DU264" s="6" t="str">
        <f t="shared" si="149"/>
        <v/>
      </c>
      <c r="DV264" s="19">
        <v>1</v>
      </c>
      <c r="DW264" s="20" t="str">
        <f t="shared" si="150"/>
        <v>11</v>
      </c>
      <c r="DX264" s="21">
        <v>5</v>
      </c>
      <c r="DY264" s="22">
        <v>2</v>
      </c>
      <c r="DZ264" s="23" t="s">
        <v>204</v>
      </c>
      <c r="EA264" s="23">
        <v>15</v>
      </c>
      <c r="ED264" s="9" t="str">
        <f t="shared" si="151"/>
        <v>ANB10D</v>
      </c>
      <c r="EF264" s="6" t="s">
        <v>172</v>
      </c>
      <c r="EH264" s="6" t="s">
        <v>1068</v>
      </c>
      <c r="EI264" s="6" t="s">
        <v>430</v>
      </c>
      <c r="EJ264" s="12">
        <v>100</v>
      </c>
      <c r="EN264" s="6" t="s">
        <v>1124</v>
      </c>
      <c r="EP264" s="6" t="s">
        <v>1148</v>
      </c>
      <c r="ET264" s="6" t="str">
        <f t="shared" si="152"/>
        <v>짝수</v>
      </c>
      <c r="EU264" s="12">
        <v>52</v>
      </c>
      <c r="EV264" s="45" t="str">
        <f t="shared" ref="EV264:EV327" ca="1" si="157">IF(EU264=OFFSET(EU264,-1,0),CHAR(EW263+1),"A")</f>
        <v>C</v>
      </c>
      <c r="EW264" s="6">
        <f t="shared" ca="1" si="153"/>
        <v>67</v>
      </c>
      <c r="FR264" s="6">
        <v>1</v>
      </c>
      <c r="FS264" s="6" t="str">
        <f t="shared" si="154"/>
        <v/>
      </c>
      <c r="FT264" s="6" t="str">
        <f t="shared" si="155"/>
        <v/>
      </c>
      <c r="FU264" s="6" t="str">
        <f t="shared" ca="1" si="112"/>
        <v/>
      </c>
      <c r="FV264" s="6" t="str">
        <f t="shared" ca="1" si="156"/>
        <v/>
      </c>
      <c r="FW264" s="6" t="str">
        <f t="shared" ca="1" si="140"/>
        <v/>
      </c>
      <c r="FX264" s="6" t="str">
        <f t="shared" ca="1" si="141"/>
        <v/>
      </c>
      <c r="FY264" s="6" t="str">
        <f t="shared" ca="1" si="142"/>
        <v/>
      </c>
      <c r="FZ264" s="6" t="str">
        <f t="shared" ca="1" si="143"/>
        <v/>
      </c>
    </row>
    <row r="265" spans="1:182" ht="15.95" customHeight="1">
      <c r="A265" s="6">
        <v>464</v>
      </c>
      <c r="B265" s="6" t="s">
        <v>175</v>
      </c>
      <c r="E265" s="6" t="s">
        <v>302</v>
      </c>
      <c r="F265" s="6" t="s">
        <v>1522</v>
      </c>
      <c r="G265" s="6" t="s">
        <v>1218</v>
      </c>
      <c r="H265" s="7" t="s">
        <v>1219</v>
      </c>
      <c r="I265" s="7"/>
      <c r="J265" s="6" t="s">
        <v>1199</v>
      </c>
      <c r="K265" s="6" t="s">
        <v>1201</v>
      </c>
      <c r="N265" s="6" t="s">
        <v>1203</v>
      </c>
      <c r="O265" s="6" t="s">
        <v>1205</v>
      </c>
      <c r="R265" s="101" t="s">
        <v>1220</v>
      </c>
      <c r="Y265" s="6" t="s">
        <v>1232</v>
      </c>
      <c r="Z265" s="6">
        <v>15</v>
      </c>
      <c r="AA265" s="6">
        <v>16</v>
      </c>
      <c r="AD265" s="6" t="s">
        <v>1203</v>
      </c>
      <c r="AE265" s="6" t="s">
        <v>1205</v>
      </c>
      <c r="AG265" s="6" t="s">
        <v>1233</v>
      </c>
      <c r="AY265" s="8" t="s">
        <v>176</v>
      </c>
      <c r="AZ265" s="8" t="s">
        <v>195</v>
      </c>
      <c r="BA265" s="13" t="s">
        <v>197</v>
      </c>
      <c r="BB265" s="13" t="s">
        <v>8</v>
      </c>
      <c r="BC265" s="13">
        <v>155</v>
      </c>
      <c r="BD265" s="13">
        <v>156</v>
      </c>
      <c r="DC265" s="6" t="s">
        <v>169</v>
      </c>
      <c r="DD265" s="6" t="s">
        <v>183</v>
      </c>
      <c r="DH265" s="6" t="str">
        <f t="shared" si="144"/>
        <v>A16</v>
      </c>
      <c r="DI265" s="6" t="str">
        <f t="shared" si="145"/>
        <v>B16</v>
      </c>
      <c r="DK265" s="6" t="s">
        <v>173</v>
      </c>
      <c r="DL265" s="6" t="str">
        <f t="shared" si="146"/>
        <v/>
      </c>
      <c r="DO265" s="9" t="s">
        <v>170</v>
      </c>
      <c r="DP265" s="6" t="s">
        <v>171</v>
      </c>
      <c r="DQ265" s="6" t="s">
        <v>645</v>
      </c>
      <c r="DS265" s="6" t="str">
        <f t="shared" si="147"/>
        <v>KS1</v>
      </c>
      <c r="DT265" s="10" t="str">
        <f t="shared" si="148"/>
        <v>FCS0111-5-2/1S–MC–107-F12-CN1</v>
      </c>
      <c r="DU265" s="6" t="str">
        <f t="shared" si="149"/>
        <v/>
      </c>
      <c r="DV265" s="19">
        <v>1</v>
      </c>
      <c r="DW265" s="20" t="str">
        <f t="shared" si="150"/>
        <v>11</v>
      </c>
      <c r="DX265" s="21">
        <v>5</v>
      </c>
      <c r="DY265" s="22">
        <v>2</v>
      </c>
      <c r="DZ265" s="23" t="s">
        <v>204</v>
      </c>
      <c r="EA265" s="23">
        <v>16</v>
      </c>
      <c r="ED265" s="9" t="str">
        <f t="shared" si="151"/>
        <v>ANB10D</v>
      </c>
      <c r="EF265" s="6" t="s">
        <v>172</v>
      </c>
      <c r="EH265" s="6" t="s">
        <v>1069</v>
      </c>
      <c r="EI265" s="6" t="s">
        <v>430</v>
      </c>
      <c r="EJ265" s="12">
        <v>100</v>
      </c>
      <c r="EN265" s="6" t="s">
        <v>1124</v>
      </c>
      <c r="EP265" s="6" t="s">
        <v>1148</v>
      </c>
      <c r="ET265" s="6" t="str">
        <f t="shared" si="152"/>
        <v>짝수</v>
      </c>
      <c r="EU265" s="12">
        <v>52</v>
      </c>
      <c r="EV265" s="45" t="str">
        <f t="shared" ca="1" si="157"/>
        <v>D</v>
      </c>
      <c r="EW265" s="6">
        <f t="shared" ca="1" si="153"/>
        <v>68</v>
      </c>
      <c r="FR265" s="6">
        <v>1</v>
      </c>
      <c r="FS265" s="6" t="str">
        <f t="shared" si="154"/>
        <v/>
      </c>
      <c r="FT265" s="6" t="str">
        <f t="shared" si="155"/>
        <v/>
      </c>
      <c r="FU265" s="6" t="str">
        <f t="shared" ca="1" si="112"/>
        <v/>
      </c>
      <c r="FV265" s="6" t="str">
        <f t="shared" ca="1" si="156"/>
        <v/>
      </c>
      <c r="FW265" s="6" t="str">
        <f t="shared" ca="1" si="140"/>
        <v/>
      </c>
      <c r="FX265" s="6" t="str">
        <f t="shared" ca="1" si="141"/>
        <v/>
      </c>
      <c r="FY265" s="6" t="str">
        <f t="shared" ca="1" si="142"/>
        <v/>
      </c>
      <c r="FZ265" s="6" t="str">
        <f t="shared" ca="1" si="143"/>
        <v/>
      </c>
    </row>
    <row r="266" spans="1:182" ht="15.95" customHeight="1">
      <c r="A266" s="6">
        <v>465</v>
      </c>
      <c r="B266" s="6" t="s">
        <v>175</v>
      </c>
      <c r="E266" s="6" t="s">
        <v>811</v>
      </c>
      <c r="F266" s="6" t="s">
        <v>1523</v>
      </c>
      <c r="G266" s="6" t="s">
        <v>1290</v>
      </c>
      <c r="H266" s="7" t="s">
        <v>1291</v>
      </c>
      <c r="I266" s="7"/>
      <c r="J266" s="6" t="s">
        <v>1199</v>
      </c>
      <c r="K266" s="6" t="s">
        <v>1201</v>
      </c>
      <c r="N266" s="6" t="s">
        <v>1203</v>
      </c>
      <c r="O266" s="6" t="s">
        <v>1205</v>
      </c>
      <c r="R266" s="101" t="s">
        <v>1220</v>
      </c>
      <c r="Y266" s="6" t="s">
        <v>1524</v>
      </c>
      <c r="Z266" s="6">
        <v>45</v>
      </c>
      <c r="AA266" s="6">
        <v>46</v>
      </c>
      <c r="AD266" s="6" t="s">
        <v>1203</v>
      </c>
      <c r="AE266" s="6" t="s">
        <v>1205</v>
      </c>
      <c r="AG266" s="6" t="s">
        <v>1525</v>
      </c>
      <c r="AY266" s="8" t="s">
        <v>176</v>
      </c>
      <c r="AZ266" s="8" t="s">
        <v>195</v>
      </c>
      <c r="BA266" s="13" t="s">
        <v>643</v>
      </c>
      <c r="BB266" s="13" t="s">
        <v>740</v>
      </c>
      <c r="BC266" s="13">
        <v>17</v>
      </c>
      <c r="BD266" s="13">
        <v>18</v>
      </c>
      <c r="DC266" s="6" t="s">
        <v>644</v>
      </c>
      <c r="DD266" s="6" t="s">
        <v>189</v>
      </c>
      <c r="DH266" s="6" t="str">
        <f t="shared" si="144"/>
        <v>A1</v>
      </c>
      <c r="DI266" s="6" t="str">
        <f t="shared" si="145"/>
        <v>B1</v>
      </c>
      <c r="DK266" s="6" t="s">
        <v>173</v>
      </c>
      <c r="DL266" s="6" t="str">
        <f t="shared" si="146"/>
        <v/>
      </c>
      <c r="DO266" s="9" t="s">
        <v>170</v>
      </c>
      <c r="DP266" s="6" t="s">
        <v>171</v>
      </c>
      <c r="DQ266" s="6" t="s">
        <v>645</v>
      </c>
      <c r="DS266" s="6" t="str">
        <f t="shared" si="147"/>
        <v>AKB331</v>
      </c>
      <c r="DT266" s="10" t="str">
        <f t="shared" si="148"/>
        <v>FCS0111-5-3/1S–MC–118-R3-CN1</v>
      </c>
      <c r="DU266" s="6" t="str">
        <f t="shared" si="149"/>
        <v/>
      </c>
      <c r="DV266" s="19">
        <v>1</v>
      </c>
      <c r="DW266" s="20" t="str">
        <f t="shared" si="150"/>
        <v>11</v>
      </c>
      <c r="DX266" s="21">
        <v>5</v>
      </c>
      <c r="DY266" s="22">
        <v>3</v>
      </c>
      <c r="DZ266" s="23" t="s">
        <v>204</v>
      </c>
      <c r="EA266" s="23">
        <v>1</v>
      </c>
      <c r="ED266" s="9" t="str">
        <f t="shared" si="151"/>
        <v>ANB10D</v>
      </c>
      <c r="EF266" s="6" t="s">
        <v>647</v>
      </c>
      <c r="EH266" s="6" t="s">
        <v>811</v>
      </c>
      <c r="EI266" s="6" t="s">
        <v>812</v>
      </c>
      <c r="EJ266" s="12">
        <v>100</v>
      </c>
      <c r="EN266" s="6" t="s">
        <v>1125</v>
      </c>
      <c r="EP266" s="6" t="s">
        <v>1148</v>
      </c>
      <c r="ET266" s="6" t="str">
        <f t="shared" si="152"/>
        <v>홀수</v>
      </c>
      <c r="EU266" s="12">
        <v>53</v>
      </c>
      <c r="EV266" s="45" t="str">
        <f t="shared" ca="1" si="157"/>
        <v>A</v>
      </c>
      <c r="EW266" s="6">
        <f t="shared" ca="1" si="153"/>
        <v>65</v>
      </c>
      <c r="FR266" s="6">
        <v>1</v>
      </c>
      <c r="FS266" s="6" t="str">
        <f t="shared" si="154"/>
        <v/>
      </c>
      <c r="FT266" s="6">
        <f t="shared" si="155"/>
        <v>1</v>
      </c>
      <c r="FU266" s="6" t="str">
        <f t="shared" ca="1" si="112"/>
        <v/>
      </c>
      <c r="FV266" s="6" t="str">
        <f t="shared" ca="1" si="156"/>
        <v/>
      </c>
      <c r="FW266" s="6" t="str">
        <f t="shared" ca="1" si="140"/>
        <v>R3-11</v>
      </c>
      <c r="FX266" s="6" t="str">
        <f t="shared" ca="1" si="141"/>
        <v>R3-12</v>
      </c>
      <c r="FY266" s="6" t="str">
        <f t="shared" ca="1" si="142"/>
        <v>R3-21</v>
      </c>
      <c r="FZ266" s="6" t="str">
        <f t="shared" ca="1" si="143"/>
        <v>R3-22</v>
      </c>
    </row>
    <row r="267" spans="1:182" ht="15.95" customHeight="1">
      <c r="A267" s="6">
        <v>466</v>
      </c>
      <c r="B267" s="6" t="s">
        <v>175</v>
      </c>
      <c r="E267" s="6" t="s">
        <v>813</v>
      </c>
      <c r="F267" s="6" t="s">
        <v>1526</v>
      </c>
      <c r="G267" s="6" t="s">
        <v>1290</v>
      </c>
      <c r="H267" s="7" t="s">
        <v>1291</v>
      </c>
      <c r="I267" s="7"/>
      <c r="J267" s="6" t="e">
        <v>#N/A</v>
      </c>
      <c r="K267" s="6" t="e">
        <v>#N/A</v>
      </c>
      <c r="N267" s="6" t="e">
        <v>#N/A</v>
      </c>
      <c r="O267" s="6" t="e">
        <v>#N/A</v>
      </c>
      <c r="R267" s="101" t="e">
        <v>#N/A</v>
      </c>
      <c r="Y267" s="6" t="e">
        <v>#N/A</v>
      </c>
      <c r="Z267" s="6" t="e">
        <v>#N/A</v>
      </c>
      <c r="AA267" s="6" t="e">
        <v>#N/A</v>
      </c>
      <c r="AD267" s="6" t="e">
        <v>#N/A</v>
      </c>
      <c r="AE267" s="6" t="e">
        <v>#N/A</v>
      </c>
      <c r="AG267" s="6" t="e">
        <v>#N/A</v>
      </c>
      <c r="AY267" s="8" t="s">
        <v>176</v>
      </c>
      <c r="AZ267" s="8" t="s">
        <v>195</v>
      </c>
      <c r="BA267" s="13" t="s">
        <v>643</v>
      </c>
      <c r="BB267" s="13" t="s">
        <v>200</v>
      </c>
      <c r="BC267" s="13">
        <v>105</v>
      </c>
      <c r="BD267" s="13">
        <v>106</v>
      </c>
      <c r="DC267" s="6" t="s">
        <v>644</v>
      </c>
      <c r="DD267" s="6" t="s">
        <v>189</v>
      </c>
      <c r="DH267" s="6" t="str">
        <f t="shared" si="144"/>
        <v>A2</v>
      </c>
      <c r="DI267" s="6" t="str">
        <f t="shared" si="145"/>
        <v>B2</v>
      </c>
      <c r="DK267" s="6" t="s">
        <v>173</v>
      </c>
      <c r="DL267" s="6" t="str">
        <f t="shared" si="146"/>
        <v/>
      </c>
      <c r="DO267" s="9" t="s">
        <v>170</v>
      </c>
      <c r="DP267" s="6" t="s">
        <v>171</v>
      </c>
      <c r="DQ267" s="6" t="s">
        <v>645</v>
      </c>
      <c r="DS267" s="6" t="str">
        <f t="shared" si="147"/>
        <v>AKB331</v>
      </c>
      <c r="DT267" s="10" t="str">
        <f t="shared" si="148"/>
        <v>FCS0111-5-3/1S–MC–118-R3-CN1</v>
      </c>
      <c r="DU267" s="6" t="str">
        <f t="shared" si="149"/>
        <v/>
      </c>
      <c r="DV267" s="19">
        <v>1</v>
      </c>
      <c r="DW267" s="20" t="str">
        <f t="shared" si="150"/>
        <v>11</v>
      </c>
      <c r="DX267" s="21">
        <v>5</v>
      </c>
      <c r="DY267" s="22">
        <v>3</v>
      </c>
      <c r="DZ267" s="23" t="s">
        <v>204</v>
      </c>
      <c r="EA267" s="23">
        <v>2</v>
      </c>
      <c r="ED267" s="9" t="str">
        <f t="shared" si="151"/>
        <v>ANB10D</v>
      </c>
      <c r="EF267" s="6" t="s">
        <v>647</v>
      </c>
      <c r="EH267" s="6" t="s">
        <v>813</v>
      </c>
      <c r="EI267" s="6" t="s">
        <v>814</v>
      </c>
      <c r="EJ267" s="12">
        <v>100</v>
      </c>
      <c r="EN267" s="6" t="s">
        <v>1125</v>
      </c>
      <c r="EP267" s="6" t="s">
        <v>1148</v>
      </c>
      <c r="ET267" s="6" t="str">
        <f t="shared" si="152"/>
        <v>홀수</v>
      </c>
      <c r="EU267" s="12">
        <v>53</v>
      </c>
      <c r="EV267" s="45" t="str">
        <f t="shared" ca="1" si="157"/>
        <v>B</v>
      </c>
      <c r="EW267" s="6">
        <f t="shared" ca="1" si="153"/>
        <v>66</v>
      </c>
      <c r="FR267" s="6">
        <v>1</v>
      </c>
      <c r="FS267" s="6" t="str">
        <f t="shared" si="154"/>
        <v/>
      </c>
      <c r="FT267" s="6">
        <f t="shared" si="155"/>
        <v>1</v>
      </c>
      <c r="FU267" s="6" t="str">
        <f t="shared" ref="FU267:FU330" ca="1" si="158">IF(AND(FS267="",OFFSET(FS267,0,1)="",DC267="A1BA4D"),"",IF(DC267="A1BD5D","",DD267&amp;"-11"))</f>
        <v/>
      </c>
      <c r="FV267" s="6" t="str">
        <f t="shared" ca="1" si="156"/>
        <v/>
      </c>
      <c r="FW267" s="6" t="str">
        <f t="shared" ca="1" si="140"/>
        <v>R3-11</v>
      </c>
      <c r="FX267" s="6" t="str">
        <f t="shared" ca="1" si="141"/>
        <v>R3-12</v>
      </c>
      <c r="FY267" s="6" t="str">
        <f t="shared" ca="1" si="142"/>
        <v>R3-21</v>
      </c>
      <c r="FZ267" s="6" t="str">
        <f t="shared" ca="1" si="143"/>
        <v>R3-22</v>
      </c>
    </row>
    <row r="268" spans="1:182" ht="15.95" customHeight="1">
      <c r="A268" s="6">
        <v>467</v>
      </c>
      <c r="B268" s="6" t="s">
        <v>175</v>
      </c>
      <c r="E268" s="6" t="s">
        <v>815</v>
      </c>
      <c r="F268" s="6" t="s">
        <v>1527</v>
      </c>
      <c r="G268" s="6" t="s">
        <v>1290</v>
      </c>
      <c r="H268" s="7" t="s">
        <v>1291</v>
      </c>
      <c r="I268" s="7"/>
      <c r="J268" s="6" t="e">
        <v>#N/A</v>
      </c>
      <c r="K268" s="6" t="e">
        <v>#N/A</v>
      </c>
      <c r="N268" s="6" t="e">
        <v>#N/A</v>
      </c>
      <c r="O268" s="6" t="e">
        <v>#N/A</v>
      </c>
      <c r="R268" s="101" t="e">
        <v>#N/A</v>
      </c>
      <c r="Y268" s="6" t="e">
        <v>#N/A</v>
      </c>
      <c r="Z268" s="6" t="e">
        <v>#N/A</v>
      </c>
      <c r="AA268" s="6" t="e">
        <v>#N/A</v>
      </c>
      <c r="AD268" s="6" t="e">
        <v>#N/A</v>
      </c>
      <c r="AE268" s="6" t="e">
        <v>#N/A</v>
      </c>
      <c r="AG268" s="6" t="e">
        <v>#N/A</v>
      </c>
      <c r="AY268" s="8" t="s">
        <v>176</v>
      </c>
      <c r="AZ268" s="8" t="s">
        <v>195</v>
      </c>
      <c r="BA268" s="13" t="s">
        <v>643</v>
      </c>
      <c r="BB268" s="13" t="s">
        <v>200</v>
      </c>
      <c r="BC268" s="13">
        <v>107</v>
      </c>
      <c r="BD268" s="13">
        <v>108</v>
      </c>
      <c r="DC268" s="6" t="s">
        <v>644</v>
      </c>
      <c r="DD268" s="6" t="s">
        <v>189</v>
      </c>
      <c r="DH268" s="6" t="str">
        <f t="shared" si="144"/>
        <v>A3</v>
      </c>
      <c r="DI268" s="6" t="str">
        <f t="shared" si="145"/>
        <v>B3</v>
      </c>
      <c r="DK268" s="6" t="s">
        <v>173</v>
      </c>
      <c r="DL268" s="6" t="str">
        <f t="shared" si="146"/>
        <v/>
      </c>
      <c r="DO268" s="9" t="s">
        <v>170</v>
      </c>
      <c r="DP268" s="6" t="s">
        <v>171</v>
      </c>
      <c r="DQ268" s="6" t="s">
        <v>645</v>
      </c>
      <c r="DS268" s="6" t="str">
        <f t="shared" si="147"/>
        <v>AKB331</v>
      </c>
      <c r="DT268" s="10" t="str">
        <f t="shared" si="148"/>
        <v>FCS0111-5-3/1S–MC–118-R3-CN1</v>
      </c>
      <c r="DU268" s="6" t="str">
        <f t="shared" si="149"/>
        <v/>
      </c>
      <c r="DV268" s="19">
        <v>1</v>
      </c>
      <c r="DW268" s="20" t="str">
        <f t="shared" si="150"/>
        <v>11</v>
      </c>
      <c r="DX268" s="21">
        <v>5</v>
      </c>
      <c r="DY268" s="22">
        <v>3</v>
      </c>
      <c r="DZ268" s="23" t="s">
        <v>204</v>
      </c>
      <c r="EA268" s="23">
        <v>3</v>
      </c>
      <c r="ED268" s="9" t="str">
        <f t="shared" si="151"/>
        <v>ANB10D</v>
      </c>
      <c r="EF268" s="6" t="s">
        <v>647</v>
      </c>
      <c r="EH268" s="6" t="s">
        <v>815</v>
      </c>
      <c r="EI268" s="6" t="s">
        <v>816</v>
      </c>
      <c r="EJ268" s="12">
        <v>100</v>
      </c>
      <c r="EN268" s="6" t="s">
        <v>1125</v>
      </c>
      <c r="EP268" s="6" t="s">
        <v>1148</v>
      </c>
      <c r="ET268" s="6" t="str">
        <f t="shared" si="152"/>
        <v>홀수</v>
      </c>
      <c r="EU268" s="12">
        <v>53</v>
      </c>
      <c r="EV268" s="45" t="str">
        <f t="shared" ca="1" si="157"/>
        <v>C</v>
      </c>
      <c r="EW268" s="6">
        <f t="shared" ca="1" si="153"/>
        <v>67</v>
      </c>
      <c r="FR268" s="6">
        <v>1</v>
      </c>
      <c r="FS268" s="6" t="str">
        <f t="shared" si="154"/>
        <v/>
      </c>
      <c r="FT268" s="6">
        <f t="shared" si="155"/>
        <v>1</v>
      </c>
      <c r="FU268" s="6" t="str">
        <f t="shared" ca="1" si="158"/>
        <v/>
      </c>
      <c r="FV268" s="6" t="str">
        <f t="shared" ca="1" si="156"/>
        <v/>
      </c>
      <c r="FW268" s="6" t="str">
        <f t="shared" ca="1" si="140"/>
        <v>R3-11</v>
      </c>
      <c r="FX268" s="6" t="str">
        <f t="shared" ca="1" si="141"/>
        <v>R3-12</v>
      </c>
      <c r="FY268" s="6" t="str">
        <f t="shared" ca="1" si="142"/>
        <v>R3-21</v>
      </c>
      <c r="FZ268" s="6" t="str">
        <f t="shared" ca="1" si="143"/>
        <v>R3-22</v>
      </c>
    </row>
    <row r="269" spans="1:182" ht="15.95" customHeight="1">
      <c r="A269" s="6">
        <v>468</v>
      </c>
      <c r="B269" s="6" t="s">
        <v>175</v>
      </c>
      <c r="E269" s="6" t="s">
        <v>817</v>
      </c>
      <c r="F269" s="6" t="s">
        <v>1528</v>
      </c>
      <c r="G269" s="6" t="s">
        <v>1290</v>
      </c>
      <c r="H269" s="7" t="s">
        <v>1291</v>
      </c>
      <c r="I269" s="7"/>
      <c r="J269" s="6" t="e">
        <v>#N/A</v>
      </c>
      <c r="K269" s="6" t="e">
        <v>#N/A</v>
      </c>
      <c r="N269" s="6" t="e">
        <v>#N/A</v>
      </c>
      <c r="O269" s="6" t="e">
        <v>#N/A</v>
      </c>
      <c r="R269" s="101" t="e">
        <v>#N/A</v>
      </c>
      <c r="Y269" s="6" t="e">
        <v>#N/A</v>
      </c>
      <c r="Z269" s="6" t="e">
        <v>#N/A</v>
      </c>
      <c r="AA269" s="6" t="e">
        <v>#N/A</v>
      </c>
      <c r="AD269" s="6" t="e">
        <v>#N/A</v>
      </c>
      <c r="AE269" s="6" t="e">
        <v>#N/A</v>
      </c>
      <c r="AG269" s="6" t="e">
        <v>#N/A</v>
      </c>
      <c r="AY269" s="8" t="s">
        <v>176</v>
      </c>
      <c r="AZ269" s="8" t="s">
        <v>195</v>
      </c>
      <c r="BA269" s="13" t="s">
        <v>643</v>
      </c>
      <c r="BB269" s="13" t="s">
        <v>200</v>
      </c>
      <c r="BC269" s="13">
        <v>109</v>
      </c>
      <c r="BD269" s="13">
        <v>110</v>
      </c>
      <c r="DC269" s="6" t="s">
        <v>644</v>
      </c>
      <c r="DD269" s="6" t="s">
        <v>189</v>
      </c>
      <c r="DH269" s="6" t="str">
        <f t="shared" si="144"/>
        <v>A4</v>
      </c>
      <c r="DI269" s="6" t="str">
        <f t="shared" si="145"/>
        <v>B4</v>
      </c>
      <c r="DK269" s="6" t="s">
        <v>173</v>
      </c>
      <c r="DL269" s="6" t="str">
        <f t="shared" si="146"/>
        <v/>
      </c>
      <c r="DO269" s="9" t="s">
        <v>170</v>
      </c>
      <c r="DP269" s="6" t="s">
        <v>171</v>
      </c>
      <c r="DQ269" s="6" t="s">
        <v>645</v>
      </c>
      <c r="DS269" s="6" t="str">
        <f t="shared" si="147"/>
        <v>AKB331</v>
      </c>
      <c r="DT269" s="10" t="str">
        <f t="shared" si="148"/>
        <v>FCS0111-5-3/1S–MC–118-R3-CN1</v>
      </c>
      <c r="DU269" s="6" t="str">
        <f t="shared" si="149"/>
        <v/>
      </c>
      <c r="DV269" s="19">
        <v>1</v>
      </c>
      <c r="DW269" s="20" t="str">
        <f t="shared" si="150"/>
        <v>11</v>
      </c>
      <c r="DX269" s="21">
        <v>5</v>
      </c>
      <c r="DY269" s="22">
        <v>3</v>
      </c>
      <c r="DZ269" s="23" t="s">
        <v>204</v>
      </c>
      <c r="EA269" s="23">
        <v>4</v>
      </c>
      <c r="ED269" s="9" t="str">
        <f t="shared" si="151"/>
        <v>ANB10D</v>
      </c>
      <c r="EF269" s="6" t="s">
        <v>647</v>
      </c>
      <c r="EH269" s="6" t="s">
        <v>817</v>
      </c>
      <c r="EI269" s="6" t="s">
        <v>818</v>
      </c>
      <c r="EJ269" s="12">
        <v>100</v>
      </c>
      <c r="EN269" s="6" t="s">
        <v>1125</v>
      </c>
      <c r="EP269" s="6" t="s">
        <v>1148</v>
      </c>
      <c r="ET269" s="6" t="str">
        <f t="shared" si="152"/>
        <v>홀수</v>
      </c>
      <c r="EU269" s="12">
        <v>53</v>
      </c>
      <c r="EV269" s="45" t="str">
        <f t="shared" ca="1" si="157"/>
        <v>D</v>
      </c>
      <c r="EW269" s="6">
        <f t="shared" ca="1" si="153"/>
        <v>68</v>
      </c>
      <c r="FR269" s="6">
        <v>1</v>
      </c>
      <c r="FS269" s="6" t="str">
        <f t="shared" si="154"/>
        <v/>
      </c>
      <c r="FT269" s="6">
        <f t="shared" si="155"/>
        <v>1</v>
      </c>
      <c r="FU269" s="6" t="str">
        <f t="shared" ca="1" si="158"/>
        <v/>
      </c>
      <c r="FV269" s="6" t="str">
        <f t="shared" ca="1" si="156"/>
        <v/>
      </c>
      <c r="FW269" s="6" t="str">
        <f t="shared" ca="1" si="140"/>
        <v>R3-11</v>
      </c>
      <c r="FX269" s="6" t="str">
        <f t="shared" ca="1" si="141"/>
        <v>R3-12</v>
      </c>
      <c r="FY269" s="6" t="str">
        <f t="shared" ca="1" si="142"/>
        <v>R3-21</v>
      </c>
      <c r="FZ269" s="6" t="str">
        <f t="shared" ca="1" si="143"/>
        <v>R3-22</v>
      </c>
    </row>
    <row r="270" spans="1:182" ht="15.95" customHeight="1">
      <c r="A270" s="6">
        <v>469</v>
      </c>
      <c r="B270" s="6" t="s">
        <v>175</v>
      </c>
      <c r="E270" s="6" t="s">
        <v>819</v>
      </c>
      <c r="F270" s="6" t="s">
        <v>1529</v>
      </c>
      <c r="G270" s="6" t="s">
        <v>1290</v>
      </c>
      <c r="H270" s="7" t="s">
        <v>1291</v>
      </c>
      <c r="I270" s="7"/>
      <c r="J270" s="6" t="e">
        <v>#N/A</v>
      </c>
      <c r="K270" s="6" t="e">
        <v>#N/A</v>
      </c>
      <c r="N270" s="6" t="e">
        <v>#N/A</v>
      </c>
      <c r="O270" s="6" t="e">
        <v>#N/A</v>
      </c>
      <c r="R270" s="101" t="e">
        <v>#N/A</v>
      </c>
      <c r="Y270" s="6" t="e">
        <v>#N/A</v>
      </c>
      <c r="Z270" s="6" t="e">
        <v>#N/A</v>
      </c>
      <c r="AA270" s="6" t="e">
        <v>#N/A</v>
      </c>
      <c r="AD270" s="6" t="e">
        <v>#N/A</v>
      </c>
      <c r="AE270" s="6" t="e">
        <v>#N/A</v>
      </c>
      <c r="AG270" s="6" t="e">
        <v>#N/A</v>
      </c>
      <c r="AY270" s="8" t="s">
        <v>176</v>
      </c>
      <c r="AZ270" s="8" t="s">
        <v>195</v>
      </c>
      <c r="BA270" s="13" t="s">
        <v>643</v>
      </c>
      <c r="BB270" s="13" t="s">
        <v>200</v>
      </c>
      <c r="BC270" s="13">
        <v>111</v>
      </c>
      <c r="BD270" s="13">
        <v>112</v>
      </c>
      <c r="DC270" s="6" t="s">
        <v>644</v>
      </c>
      <c r="DD270" s="6" t="s">
        <v>189</v>
      </c>
      <c r="DH270" s="6" t="str">
        <f t="shared" si="144"/>
        <v>A5</v>
      </c>
      <c r="DI270" s="6" t="str">
        <f t="shared" si="145"/>
        <v>B5</v>
      </c>
      <c r="DK270" s="6" t="s">
        <v>173</v>
      </c>
      <c r="DL270" s="6" t="str">
        <f t="shared" si="146"/>
        <v/>
      </c>
      <c r="DO270" s="9" t="s">
        <v>170</v>
      </c>
      <c r="DP270" s="6" t="s">
        <v>171</v>
      </c>
      <c r="DQ270" s="6" t="s">
        <v>645</v>
      </c>
      <c r="DS270" s="6" t="str">
        <f t="shared" si="147"/>
        <v>AKB331</v>
      </c>
      <c r="DT270" s="10" t="str">
        <f t="shared" si="148"/>
        <v>FCS0111-5-3/1S–MC–118-R3-CN1</v>
      </c>
      <c r="DU270" s="6" t="str">
        <f t="shared" si="149"/>
        <v/>
      </c>
      <c r="DV270" s="19">
        <v>1</v>
      </c>
      <c r="DW270" s="20" t="str">
        <f t="shared" si="150"/>
        <v>11</v>
      </c>
      <c r="DX270" s="21">
        <v>5</v>
      </c>
      <c r="DY270" s="22">
        <v>3</v>
      </c>
      <c r="DZ270" s="23" t="s">
        <v>204</v>
      </c>
      <c r="EA270" s="23">
        <v>5</v>
      </c>
      <c r="ED270" s="9" t="str">
        <f t="shared" si="151"/>
        <v>ANB10D</v>
      </c>
      <c r="EF270" s="6" t="s">
        <v>647</v>
      </c>
      <c r="EH270" s="6" t="s">
        <v>819</v>
      </c>
      <c r="EI270" s="6" t="s">
        <v>820</v>
      </c>
      <c r="EJ270" s="12">
        <v>100</v>
      </c>
      <c r="EN270" s="6" t="s">
        <v>1125</v>
      </c>
      <c r="EP270" s="6" t="s">
        <v>1148</v>
      </c>
      <c r="ET270" s="6" t="str">
        <f t="shared" si="152"/>
        <v>짝수</v>
      </c>
      <c r="EU270" s="12">
        <v>54</v>
      </c>
      <c r="EV270" s="45" t="str">
        <f t="shared" ca="1" si="157"/>
        <v>A</v>
      </c>
      <c r="EW270" s="6">
        <f t="shared" ca="1" si="153"/>
        <v>65</v>
      </c>
      <c r="FR270" s="6">
        <v>1</v>
      </c>
      <c r="FS270" s="6" t="str">
        <f t="shared" si="154"/>
        <v/>
      </c>
      <c r="FT270" s="6">
        <f t="shared" si="155"/>
        <v>1</v>
      </c>
      <c r="FU270" s="6" t="str">
        <f t="shared" ca="1" si="158"/>
        <v/>
      </c>
      <c r="FV270" s="6" t="str">
        <f t="shared" ca="1" si="156"/>
        <v/>
      </c>
      <c r="FW270" s="6" t="str">
        <f t="shared" ca="1" si="140"/>
        <v>R3-11</v>
      </c>
      <c r="FX270" s="6" t="str">
        <f t="shared" ca="1" si="141"/>
        <v>R3-12</v>
      </c>
      <c r="FY270" s="6" t="str">
        <f t="shared" ca="1" si="142"/>
        <v>R3-21</v>
      </c>
      <c r="FZ270" s="6" t="str">
        <f t="shared" ca="1" si="143"/>
        <v>R3-22</v>
      </c>
    </row>
    <row r="271" spans="1:182" ht="15.95" customHeight="1">
      <c r="A271" s="6">
        <v>470</v>
      </c>
      <c r="B271" s="6" t="s">
        <v>175</v>
      </c>
      <c r="E271" s="6" t="s">
        <v>821</v>
      </c>
      <c r="F271" s="6" t="s">
        <v>1530</v>
      </c>
      <c r="G271" s="6" t="s">
        <v>1290</v>
      </c>
      <c r="H271" s="7" t="s">
        <v>1291</v>
      </c>
      <c r="I271" s="7"/>
      <c r="J271" s="6" t="s">
        <v>1199</v>
      </c>
      <c r="K271" s="6" t="s">
        <v>1201</v>
      </c>
      <c r="N271" s="6" t="s">
        <v>1203</v>
      </c>
      <c r="O271" s="6" t="s">
        <v>1205</v>
      </c>
      <c r="R271" s="101" t="s">
        <v>1220</v>
      </c>
      <c r="Y271" s="6" t="s">
        <v>1524</v>
      </c>
      <c r="Z271" s="6">
        <v>47</v>
      </c>
      <c r="AA271" s="6">
        <v>48</v>
      </c>
      <c r="AD271" s="6" t="s">
        <v>1203</v>
      </c>
      <c r="AE271" s="6" t="s">
        <v>1205</v>
      </c>
      <c r="AG271" s="6" t="s">
        <v>1525</v>
      </c>
      <c r="AY271" s="8" t="s">
        <v>176</v>
      </c>
      <c r="AZ271" s="8" t="s">
        <v>195</v>
      </c>
      <c r="BA271" s="13" t="s">
        <v>643</v>
      </c>
      <c r="BB271" s="13" t="s">
        <v>740</v>
      </c>
      <c r="BC271" s="13">
        <v>19</v>
      </c>
      <c r="BD271" s="13">
        <v>20</v>
      </c>
      <c r="DC271" s="6" t="s">
        <v>644</v>
      </c>
      <c r="DD271" s="6" t="s">
        <v>189</v>
      </c>
      <c r="DH271" s="6" t="str">
        <f t="shared" si="144"/>
        <v>A6</v>
      </c>
      <c r="DI271" s="6" t="str">
        <f t="shared" si="145"/>
        <v>B6</v>
      </c>
      <c r="DK271" s="6" t="s">
        <v>173</v>
      </c>
      <c r="DL271" s="6" t="str">
        <f t="shared" si="146"/>
        <v/>
      </c>
      <c r="DO271" s="9" t="s">
        <v>170</v>
      </c>
      <c r="DP271" s="6" t="s">
        <v>171</v>
      </c>
      <c r="DQ271" s="6" t="s">
        <v>645</v>
      </c>
      <c r="DS271" s="6" t="str">
        <f t="shared" si="147"/>
        <v>AKB331</v>
      </c>
      <c r="DT271" s="10" t="str">
        <f t="shared" si="148"/>
        <v>FCS0111-5-3/1S–MC–118-R3-CN1</v>
      </c>
      <c r="DU271" s="6" t="str">
        <f t="shared" si="149"/>
        <v/>
      </c>
      <c r="DV271" s="19">
        <v>1</v>
      </c>
      <c r="DW271" s="20" t="str">
        <f t="shared" si="150"/>
        <v>11</v>
      </c>
      <c r="DX271" s="21">
        <v>5</v>
      </c>
      <c r="DY271" s="22">
        <v>3</v>
      </c>
      <c r="DZ271" s="23" t="s">
        <v>204</v>
      </c>
      <c r="EA271" s="23">
        <v>6</v>
      </c>
      <c r="ED271" s="9" t="str">
        <f t="shared" si="151"/>
        <v>ANB10D</v>
      </c>
      <c r="EF271" s="6" t="s">
        <v>647</v>
      </c>
      <c r="EH271" s="6" t="s">
        <v>821</v>
      </c>
      <c r="EI271" s="6" t="s">
        <v>822</v>
      </c>
      <c r="EJ271" s="12">
        <v>100</v>
      </c>
      <c r="EN271" s="6" t="s">
        <v>1125</v>
      </c>
      <c r="EP271" s="6" t="s">
        <v>1148</v>
      </c>
      <c r="ET271" s="6" t="str">
        <f t="shared" si="152"/>
        <v>짝수</v>
      </c>
      <c r="EU271" s="12">
        <v>54</v>
      </c>
      <c r="EV271" s="45" t="str">
        <f t="shared" ca="1" si="157"/>
        <v>B</v>
      </c>
      <c r="EW271" s="6">
        <f t="shared" ca="1" si="153"/>
        <v>66</v>
      </c>
      <c r="FR271" s="6">
        <v>1</v>
      </c>
      <c r="FS271" s="6" t="str">
        <f t="shared" si="154"/>
        <v/>
      </c>
      <c r="FT271" s="6">
        <f t="shared" si="155"/>
        <v>1</v>
      </c>
      <c r="FU271" s="6" t="str">
        <f t="shared" ca="1" si="158"/>
        <v/>
      </c>
      <c r="FV271" s="6" t="str">
        <f t="shared" ca="1" si="156"/>
        <v/>
      </c>
      <c r="FW271" s="6" t="str">
        <f t="shared" ca="1" si="140"/>
        <v>R3-11</v>
      </c>
      <c r="FX271" s="6" t="str">
        <f t="shared" ca="1" si="141"/>
        <v>R3-12</v>
      </c>
      <c r="FY271" s="6" t="str">
        <f t="shared" ca="1" si="142"/>
        <v>R3-21</v>
      </c>
      <c r="FZ271" s="6" t="str">
        <f t="shared" ca="1" si="143"/>
        <v>R3-22</v>
      </c>
    </row>
    <row r="272" spans="1:182" ht="15.95" customHeight="1">
      <c r="A272" s="6">
        <v>471</v>
      </c>
      <c r="B272" s="6" t="s">
        <v>175</v>
      </c>
      <c r="E272" s="6" t="s">
        <v>823</v>
      </c>
      <c r="F272" s="6" t="s">
        <v>1531</v>
      </c>
      <c r="G272" s="6" t="s">
        <v>1290</v>
      </c>
      <c r="H272" s="7" t="s">
        <v>1291</v>
      </c>
      <c r="I272" s="7"/>
      <c r="J272" s="6" t="s">
        <v>1199</v>
      </c>
      <c r="K272" s="6" t="s">
        <v>1201</v>
      </c>
      <c r="N272" s="6" t="s">
        <v>1203</v>
      </c>
      <c r="O272" s="6" t="s">
        <v>1205</v>
      </c>
      <c r="R272" s="101" t="s">
        <v>1220</v>
      </c>
      <c r="Y272" s="6" t="s">
        <v>1524</v>
      </c>
      <c r="Z272" s="6">
        <v>49</v>
      </c>
      <c r="AA272" s="6">
        <v>50</v>
      </c>
      <c r="AD272" s="6" t="s">
        <v>1203</v>
      </c>
      <c r="AE272" s="6" t="s">
        <v>1205</v>
      </c>
      <c r="AG272" s="6" t="s">
        <v>1525</v>
      </c>
      <c r="AY272" s="8" t="s">
        <v>176</v>
      </c>
      <c r="AZ272" s="8" t="s">
        <v>195</v>
      </c>
      <c r="BA272" s="13" t="s">
        <v>643</v>
      </c>
      <c r="BB272" s="13" t="s">
        <v>740</v>
      </c>
      <c r="BC272" s="13">
        <v>21</v>
      </c>
      <c r="BD272" s="13">
        <v>22</v>
      </c>
      <c r="DC272" s="6" t="s">
        <v>644</v>
      </c>
      <c r="DD272" s="6" t="s">
        <v>189</v>
      </c>
      <c r="DH272" s="6" t="str">
        <f t="shared" si="144"/>
        <v>A7</v>
      </c>
      <c r="DI272" s="6" t="str">
        <f t="shared" si="145"/>
        <v>B7</v>
      </c>
      <c r="DK272" s="6" t="s">
        <v>173</v>
      </c>
      <c r="DL272" s="6" t="str">
        <f t="shared" si="146"/>
        <v/>
      </c>
      <c r="DO272" s="9" t="s">
        <v>170</v>
      </c>
      <c r="DP272" s="6" t="s">
        <v>171</v>
      </c>
      <c r="DQ272" s="6" t="s">
        <v>645</v>
      </c>
      <c r="DS272" s="6" t="str">
        <f t="shared" si="147"/>
        <v>AKB331</v>
      </c>
      <c r="DT272" s="10" t="str">
        <f t="shared" si="148"/>
        <v>FCS0111-5-3/1S–MC–118-R3-CN1</v>
      </c>
      <c r="DU272" s="6" t="str">
        <f t="shared" si="149"/>
        <v/>
      </c>
      <c r="DV272" s="19">
        <v>1</v>
      </c>
      <c r="DW272" s="20" t="str">
        <f t="shared" si="150"/>
        <v>11</v>
      </c>
      <c r="DX272" s="21">
        <v>5</v>
      </c>
      <c r="DY272" s="22">
        <v>3</v>
      </c>
      <c r="DZ272" s="23" t="s">
        <v>204</v>
      </c>
      <c r="EA272" s="23">
        <v>7</v>
      </c>
      <c r="ED272" s="9" t="str">
        <f t="shared" si="151"/>
        <v>ANB10D</v>
      </c>
      <c r="EF272" s="6" t="s">
        <v>647</v>
      </c>
      <c r="EH272" s="6" t="s">
        <v>823</v>
      </c>
      <c r="EI272" s="6" t="s">
        <v>824</v>
      </c>
      <c r="EJ272" s="12">
        <v>100</v>
      </c>
      <c r="EN272" s="6" t="s">
        <v>1125</v>
      </c>
      <c r="EP272" s="6" t="s">
        <v>1148</v>
      </c>
      <c r="ET272" s="6" t="str">
        <f t="shared" si="152"/>
        <v>짝수</v>
      </c>
      <c r="EU272" s="12">
        <v>54</v>
      </c>
      <c r="EV272" s="45" t="str">
        <f t="shared" ca="1" si="157"/>
        <v>C</v>
      </c>
      <c r="EW272" s="6">
        <f t="shared" ca="1" si="153"/>
        <v>67</v>
      </c>
      <c r="FR272" s="6">
        <v>1</v>
      </c>
      <c r="FS272" s="6" t="str">
        <f t="shared" si="154"/>
        <v/>
      </c>
      <c r="FT272" s="6">
        <f t="shared" si="155"/>
        <v>1</v>
      </c>
      <c r="FU272" s="6" t="str">
        <f t="shared" ca="1" si="158"/>
        <v/>
      </c>
      <c r="FV272" s="6" t="str">
        <f t="shared" ca="1" si="156"/>
        <v/>
      </c>
      <c r="FW272" s="6" t="str">
        <f t="shared" ca="1" si="140"/>
        <v>R3-11</v>
      </c>
      <c r="FX272" s="6" t="str">
        <f t="shared" ca="1" si="141"/>
        <v>R3-12</v>
      </c>
      <c r="FY272" s="6" t="str">
        <f t="shared" ca="1" si="142"/>
        <v>R3-21</v>
      </c>
      <c r="FZ272" s="6" t="str">
        <f t="shared" ca="1" si="143"/>
        <v>R3-22</v>
      </c>
    </row>
    <row r="273" spans="1:182" ht="15.95" customHeight="1">
      <c r="A273" s="6">
        <v>472</v>
      </c>
      <c r="B273" s="6" t="s">
        <v>175</v>
      </c>
      <c r="E273" s="6" t="s">
        <v>825</v>
      </c>
      <c r="F273" s="6" t="s">
        <v>1532</v>
      </c>
      <c r="G273" s="6" t="s">
        <v>1290</v>
      </c>
      <c r="H273" s="7" t="s">
        <v>1291</v>
      </c>
      <c r="I273" s="7"/>
      <c r="J273" s="6" t="s">
        <v>1199</v>
      </c>
      <c r="K273" s="6" t="s">
        <v>1201</v>
      </c>
      <c r="N273" s="6" t="s">
        <v>1203</v>
      </c>
      <c r="O273" s="6" t="s">
        <v>1205</v>
      </c>
      <c r="R273" s="101" t="s">
        <v>1220</v>
      </c>
      <c r="Y273" s="6" t="s">
        <v>1524</v>
      </c>
      <c r="Z273" s="6">
        <v>53</v>
      </c>
      <c r="AA273" s="6">
        <v>54</v>
      </c>
      <c r="AD273" s="6" t="s">
        <v>1203</v>
      </c>
      <c r="AE273" s="6" t="s">
        <v>1205</v>
      </c>
      <c r="AG273" s="6" t="s">
        <v>1525</v>
      </c>
      <c r="AY273" s="8" t="s">
        <v>176</v>
      </c>
      <c r="AZ273" s="8" t="s">
        <v>195</v>
      </c>
      <c r="BA273" s="13" t="s">
        <v>643</v>
      </c>
      <c r="BB273" s="13" t="s">
        <v>740</v>
      </c>
      <c r="BC273" s="13">
        <v>25</v>
      </c>
      <c r="BD273" s="13">
        <v>26</v>
      </c>
      <c r="DC273" s="6" t="s">
        <v>644</v>
      </c>
      <c r="DD273" s="6" t="s">
        <v>189</v>
      </c>
      <c r="DH273" s="6" t="str">
        <f t="shared" si="144"/>
        <v>A8</v>
      </c>
      <c r="DI273" s="6" t="str">
        <f t="shared" si="145"/>
        <v>B8</v>
      </c>
      <c r="DK273" s="6" t="s">
        <v>173</v>
      </c>
      <c r="DL273" s="6" t="str">
        <f t="shared" si="146"/>
        <v/>
      </c>
      <c r="DO273" s="9" t="s">
        <v>170</v>
      </c>
      <c r="DP273" s="6" t="s">
        <v>171</v>
      </c>
      <c r="DQ273" s="6" t="s">
        <v>645</v>
      </c>
      <c r="DS273" s="6" t="str">
        <f t="shared" si="147"/>
        <v>AKB331</v>
      </c>
      <c r="DT273" s="10" t="str">
        <f t="shared" si="148"/>
        <v>FCS0111-5-3/1S–MC–118-R3-CN1</v>
      </c>
      <c r="DU273" s="6" t="str">
        <f t="shared" si="149"/>
        <v/>
      </c>
      <c r="DV273" s="19">
        <v>1</v>
      </c>
      <c r="DW273" s="20" t="str">
        <f t="shared" si="150"/>
        <v>11</v>
      </c>
      <c r="DX273" s="21">
        <v>5</v>
      </c>
      <c r="DY273" s="22">
        <v>3</v>
      </c>
      <c r="DZ273" s="23" t="s">
        <v>204</v>
      </c>
      <c r="EA273" s="23">
        <v>8</v>
      </c>
      <c r="ED273" s="9" t="str">
        <f t="shared" si="151"/>
        <v>ANB10D</v>
      </c>
      <c r="EF273" s="6" t="s">
        <v>647</v>
      </c>
      <c r="EH273" s="6" t="s">
        <v>825</v>
      </c>
      <c r="EI273" s="6" t="s">
        <v>826</v>
      </c>
      <c r="EJ273" s="12">
        <v>100</v>
      </c>
      <c r="EN273" s="6" t="s">
        <v>1125</v>
      </c>
      <c r="EP273" s="6" t="s">
        <v>1148</v>
      </c>
      <c r="ET273" s="6" t="str">
        <f t="shared" si="152"/>
        <v>짝수</v>
      </c>
      <c r="EU273" s="12">
        <v>54</v>
      </c>
      <c r="EV273" s="45" t="str">
        <f t="shared" ca="1" si="157"/>
        <v>D</v>
      </c>
      <c r="EW273" s="6">
        <f t="shared" ca="1" si="153"/>
        <v>68</v>
      </c>
      <c r="FR273" s="6">
        <v>1</v>
      </c>
      <c r="FS273" s="6" t="str">
        <f t="shared" si="154"/>
        <v/>
      </c>
      <c r="FT273" s="6">
        <f t="shared" si="155"/>
        <v>1</v>
      </c>
      <c r="FU273" s="6" t="str">
        <f t="shared" ca="1" si="158"/>
        <v/>
      </c>
      <c r="FV273" s="6" t="str">
        <f t="shared" ca="1" si="156"/>
        <v/>
      </c>
      <c r="FW273" s="6" t="str">
        <f t="shared" ca="1" si="140"/>
        <v>R3-11</v>
      </c>
      <c r="FX273" s="6" t="str">
        <f t="shared" ca="1" si="141"/>
        <v>R3-12</v>
      </c>
      <c r="FY273" s="6" t="str">
        <f t="shared" ca="1" si="142"/>
        <v>R3-21</v>
      </c>
      <c r="FZ273" s="6" t="str">
        <f t="shared" ca="1" si="143"/>
        <v>R3-22</v>
      </c>
    </row>
    <row r="274" spans="1:182" ht="15.95" customHeight="1">
      <c r="A274" s="6">
        <v>474</v>
      </c>
      <c r="B274" s="6" t="s">
        <v>175</v>
      </c>
      <c r="E274" s="6" t="s">
        <v>827</v>
      </c>
      <c r="F274" s="6" t="s">
        <v>1533</v>
      </c>
      <c r="G274" s="6" t="s">
        <v>1290</v>
      </c>
      <c r="H274" s="7" t="s">
        <v>1291</v>
      </c>
      <c r="I274" s="7"/>
      <c r="J274" s="6" t="e">
        <v>#N/A</v>
      </c>
      <c r="K274" s="6" t="e">
        <v>#N/A</v>
      </c>
      <c r="N274" s="6" t="e">
        <v>#N/A</v>
      </c>
      <c r="O274" s="6" t="e">
        <v>#N/A</v>
      </c>
      <c r="R274" s="101" t="e">
        <v>#N/A</v>
      </c>
      <c r="Y274" s="6" t="e">
        <v>#N/A</v>
      </c>
      <c r="Z274" s="6" t="e">
        <v>#N/A</v>
      </c>
      <c r="AA274" s="6" t="e">
        <v>#N/A</v>
      </c>
      <c r="AD274" s="6" t="e">
        <v>#N/A</v>
      </c>
      <c r="AE274" s="6" t="e">
        <v>#N/A</v>
      </c>
      <c r="AG274" s="6" t="e">
        <v>#N/A</v>
      </c>
      <c r="AY274" s="8" t="s">
        <v>176</v>
      </c>
      <c r="AZ274" s="8" t="s">
        <v>195</v>
      </c>
      <c r="BA274" s="13" t="s">
        <v>643</v>
      </c>
      <c r="BB274" s="13" t="s">
        <v>1089</v>
      </c>
      <c r="BC274" s="13">
        <v>3</v>
      </c>
      <c r="BD274" s="13">
        <v>4</v>
      </c>
      <c r="DC274" s="6" t="s">
        <v>644</v>
      </c>
      <c r="DD274" s="6" t="s">
        <v>189</v>
      </c>
      <c r="DH274" s="6" t="str">
        <f t="shared" si="144"/>
        <v>A10</v>
      </c>
      <c r="DI274" s="6" t="str">
        <f t="shared" si="145"/>
        <v>B10</v>
      </c>
      <c r="DK274" s="6" t="s">
        <v>173</v>
      </c>
      <c r="DL274" s="6" t="str">
        <f t="shared" si="146"/>
        <v/>
      </c>
      <c r="DO274" s="9" t="s">
        <v>170</v>
      </c>
      <c r="DP274" s="6" t="s">
        <v>171</v>
      </c>
      <c r="DQ274" s="6" t="s">
        <v>645</v>
      </c>
      <c r="DS274" s="6" t="str">
        <f t="shared" si="147"/>
        <v>AKB331</v>
      </c>
      <c r="DT274" s="10" t="str">
        <f t="shared" si="148"/>
        <v>FCS0111-5-3/1S–MC–118-R3-CN1</v>
      </c>
      <c r="DU274" s="6" t="str">
        <f t="shared" si="149"/>
        <v/>
      </c>
      <c r="DV274" s="19">
        <v>1</v>
      </c>
      <c r="DW274" s="20" t="str">
        <f t="shared" si="150"/>
        <v>11</v>
      </c>
      <c r="DX274" s="21">
        <v>5</v>
      </c>
      <c r="DY274" s="22">
        <v>3</v>
      </c>
      <c r="DZ274" s="23" t="s">
        <v>204</v>
      </c>
      <c r="EA274" s="23">
        <v>10</v>
      </c>
      <c r="ED274" s="9" t="str">
        <f t="shared" si="151"/>
        <v>ANB10D</v>
      </c>
      <c r="EF274" s="6" t="s">
        <v>647</v>
      </c>
      <c r="EH274" s="6" t="s">
        <v>827</v>
      </c>
      <c r="EI274" s="6" t="s">
        <v>1070</v>
      </c>
      <c r="EJ274" s="12">
        <v>100</v>
      </c>
      <c r="EN274" s="6" t="s">
        <v>1125</v>
      </c>
      <c r="EP274" s="6" t="s">
        <v>1148</v>
      </c>
      <c r="ET274" s="6" t="str">
        <f t="shared" si="152"/>
        <v>홀수</v>
      </c>
      <c r="EU274" s="12">
        <v>55</v>
      </c>
      <c r="EV274" s="45" t="str">
        <f t="shared" ca="1" si="157"/>
        <v>A</v>
      </c>
      <c r="EW274" s="6">
        <f t="shared" ca="1" si="153"/>
        <v>65</v>
      </c>
      <c r="FR274" s="6">
        <v>1</v>
      </c>
      <c r="FS274" s="6" t="str">
        <f t="shared" si="154"/>
        <v/>
      </c>
      <c r="FT274" s="6">
        <f t="shared" si="155"/>
        <v>1</v>
      </c>
      <c r="FU274" s="6" t="str">
        <f t="shared" ca="1" si="158"/>
        <v/>
      </c>
      <c r="FV274" s="6" t="str">
        <f t="shared" ca="1" si="156"/>
        <v/>
      </c>
      <c r="FW274" s="6" t="str">
        <f t="shared" ca="1" si="140"/>
        <v>R3-11</v>
      </c>
      <c r="FX274" s="6" t="str">
        <f t="shared" ca="1" si="141"/>
        <v>R3-12</v>
      </c>
      <c r="FY274" s="6" t="str">
        <f t="shared" ca="1" si="142"/>
        <v>R3-21</v>
      </c>
      <c r="FZ274" s="6" t="str">
        <f t="shared" ca="1" si="143"/>
        <v>R3-22</v>
      </c>
    </row>
    <row r="275" spans="1:182" ht="15.95" customHeight="1">
      <c r="A275" s="6">
        <v>475</v>
      </c>
      <c r="B275" s="6" t="s">
        <v>175</v>
      </c>
      <c r="E275" s="6" t="s">
        <v>828</v>
      </c>
      <c r="F275" s="6" t="s">
        <v>1534</v>
      </c>
      <c r="G275" s="6" t="s">
        <v>1290</v>
      </c>
      <c r="H275" s="7" t="s">
        <v>1291</v>
      </c>
      <c r="I275" s="7"/>
      <c r="J275" s="6" t="e">
        <v>#N/A</v>
      </c>
      <c r="K275" s="6" t="e">
        <v>#N/A</v>
      </c>
      <c r="N275" s="6" t="e">
        <v>#N/A</v>
      </c>
      <c r="O275" s="6" t="e">
        <v>#N/A</v>
      </c>
      <c r="R275" s="101" t="e">
        <v>#N/A</v>
      </c>
      <c r="Y275" s="6" t="e">
        <v>#N/A</v>
      </c>
      <c r="Z275" s="6" t="e">
        <v>#N/A</v>
      </c>
      <c r="AA275" s="6" t="e">
        <v>#N/A</v>
      </c>
      <c r="AD275" s="6" t="e">
        <v>#N/A</v>
      </c>
      <c r="AE275" s="6" t="e">
        <v>#N/A</v>
      </c>
      <c r="AG275" s="6" t="e">
        <v>#N/A</v>
      </c>
      <c r="AY275" s="8" t="s">
        <v>176</v>
      </c>
      <c r="AZ275" s="8" t="s">
        <v>195</v>
      </c>
      <c r="BA275" s="13" t="s">
        <v>643</v>
      </c>
      <c r="BB275" s="13" t="s">
        <v>1089</v>
      </c>
      <c r="BC275" s="13">
        <v>5</v>
      </c>
      <c r="BD275" s="13">
        <v>6</v>
      </c>
      <c r="DC275" s="6" t="s">
        <v>644</v>
      </c>
      <c r="DD275" s="6" t="s">
        <v>189</v>
      </c>
      <c r="DH275" s="6" t="str">
        <f t="shared" si="144"/>
        <v>A11</v>
      </c>
      <c r="DI275" s="6" t="str">
        <f t="shared" si="145"/>
        <v>B11</v>
      </c>
      <c r="DK275" s="6" t="s">
        <v>173</v>
      </c>
      <c r="DL275" s="6" t="str">
        <f t="shared" si="146"/>
        <v/>
      </c>
      <c r="DO275" s="9" t="s">
        <v>170</v>
      </c>
      <c r="DP275" s="6" t="s">
        <v>171</v>
      </c>
      <c r="DQ275" s="6" t="s">
        <v>645</v>
      </c>
      <c r="DS275" s="6" t="str">
        <f t="shared" si="147"/>
        <v>AKB331</v>
      </c>
      <c r="DT275" s="10" t="str">
        <f t="shared" si="148"/>
        <v>FCS0111-5-3/1S–MC–118-R3-CN1</v>
      </c>
      <c r="DU275" s="6" t="str">
        <f t="shared" si="149"/>
        <v/>
      </c>
      <c r="DV275" s="19">
        <v>1</v>
      </c>
      <c r="DW275" s="20" t="str">
        <f t="shared" si="150"/>
        <v>11</v>
      </c>
      <c r="DX275" s="21">
        <v>5</v>
      </c>
      <c r="DY275" s="22">
        <v>3</v>
      </c>
      <c r="DZ275" s="23" t="s">
        <v>204</v>
      </c>
      <c r="EA275" s="23">
        <v>11</v>
      </c>
      <c r="ED275" s="9" t="str">
        <f t="shared" si="151"/>
        <v>ANB10D</v>
      </c>
      <c r="EF275" s="6" t="s">
        <v>647</v>
      </c>
      <c r="EH275" s="6" t="s">
        <v>828</v>
      </c>
      <c r="EI275" s="6" t="s">
        <v>1071</v>
      </c>
      <c r="EJ275" s="12">
        <v>100</v>
      </c>
      <c r="EN275" s="6" t="s">
        <v>1125</v>
      </c>
      <c r="EP275" s="6" t="s">
        <v>1148</v>
      </c>
      <c r="ET275" s="6" t="str">
        <f t="shared" si="152"/>
        <v>홀수</v>
      </c>
      <c r="EU275" s="12">
        <v>55</v>
      </c>
      <c r="EV275" s="45" t="str">
        <f t="shared" ca="1" si="157"/>
        <v>B</v>
      </c>
      <c r="EW275" s="6">
        <f t="shared" ca="1" si="153"/>
        <v>66</v>
      </c>
      <c r="FR275" s="6">
        <v>1</v>
      </c>
      <c r="FS275" s="6" t="str">
        <f t="shared" si="154"/>
        <v/>
      </c>
      <c r="FT275" s="6">
        <f t="shared" si="155"/>
        <v>1</v>
      </c>
      <c r="FU275" s="6" t="str">
        <f t="shared" ca="1" si="158"/>
        <v/>
      </c>
      <c r="FV275" s="6" t="str">
        <f t="shared" ca="1" si="156"/>
        <v/>
      </c>
      <c r="FW275" s="6" t="str">
        <f t="shared" ca="1" si="140"/>
        <v>R3-11</v>
      </c>
      <c r="FX275" s="6" t="str">
        <f t="shared" ca="1" si="141"/>
        <v>R3-12</v>
      </c>
      <c r="FY275" s="6" t="str">
        <f t="shared" ca="1" si="142"/>
        <v>R3-21</v>
      </c>
      <c r="FZ275" s="6" t="str">
        <f t="shared" ca="1" si="143"/>
        <v>R3-22</v>
      </c>
    </row>
    <row r="276" spans="1:182" ht="15.95" customHeight="1">
      <c r="A276" s="6">
        <v>477</v>
      </c>
      <c r="B276" s="6" t="s">
        <v>175</v>
      </c>
      <c r="E276" s="6" t="s">
        <v>829</v>
      </c>
      <c r="F276" s="6" t="s">
        <v>1535</v>
      </c>
      <c r="G276" s="6" t="s">
        <v>1290</v>
      </c>
      <c r="H276" s="7" t="s">
        <v>1291</v>
      </c>
      <c r="I276" s="7"/>
      <c r="J276" s="6" t="e">
        <v>#N/A</v>
      </c>
      <c r="K276" s="6" t="e">
        <v>#N/A</v>
      </c>
      <c r="N276" s="6" t="e">
        <v>#N/A</v>
      </c>
      <c r="O276" s="6" t="e">
        <v>#N/A</v>
      </c>
      <c r="R276" s="101" t="e">
        <v>#N/A</v>
      </c>
      <c r="Y276" s="6" t="e">
        <v>#N/A</v>
      </c>
      <c r="Z276" s="6" t="e">
        <v>#N/A</v>
      </c>
      <c r="AA276" s="6" t="e">
        <v>#N/A</v>
      </c>
      <c r="AD276" s="6" t="e">
        <v>#N/A</v>
      </c>
      <c r="AE276" s="6" t="e">
        <v>#N/A</v>
      </c>
      <c r="AG276" s="6" t="e">
        <v>#N/A</v>
      </c>
      <c r="AY276" s="8" t="s">
        <v>176</v>
      </c>
      <c r="AZ276" s="8" t="s">
        <v>195</v>
      </c>
      <c r="BA276" s="13" t="s">
        <v>643</v>
      </c>
      <c r="BB276" s="13" t="s">
        <v>200</v>
      </c>
      <c r="BC276" s="13">
        <v>95</v>
      </c>
      <c r="BD276" s="13">
        <v>96</v>
      </c>
      <c r="DC276" s="6" t="s">
        <v>644</v>
      </c>
      <c r="DD276" s="6" t="s">
        <v>189</v>
      </c>
      <c r="DH276" s="6" t="str">
        <f t="shared" si="144"/>
        <v>A13</v>
      </c>
      <c r="DI276" s="6" t="str">
        <f t="shared" si="145"/>
        <v>B13</v>
      </c>
      <c r="DK276" s="6" t="s">
        <v>173</v>
      </c>
      <c r="DL276" s="6" t="str">
        <f t="shared" si="146"/>
        <v/>
      </c>
      <c r="DO276" s="9" t="s">
        <v>170</v>
      </c>
      <c r="DP276" s="6" t="s">
        <v>171</v>
      </c>
      <c r="DQ276" s="6" t="s">
        <v>645</v>
      </c>
      <c r="DS276" s="6" t="str">
        <f t="shared" si="147"/>
        <v>AKB331</v>
      </c>
      <c r="DT276" s="10" t="str">
        <f t="shared" si="148"/>
        <v>FCS0111-5-3/1S–MC–118-R3-CN1</v>
      </c>
      <c r="DU276" s="6" t="str">
        <f t="shared" si="149"/>
        <v/>
      </c>
      <c r="DV276" s="19">
        <v>1</v>
      </c>
      <c r="DW276" s="20" t="str">
        <f t="shared" si="150"/>
        <v>11</v>
      </c>
      <c r="DX276" s="21">
        <v>5</v>
      </c>
      <c r="DY276" s="22">
        <v>3</v>
      </c>
      <c r="DZ276" s="23" t="s">
        <v>204</v>
      </c>
      <c r="EA276" s="23">
        <v>13</v>
      </c>
      <c r="ED276" s="9" t="str">
        <f t="shared" si="151"/>
        <v>ANB10D</v>
      </c>
      <c r="EF276" s="6" t="s">
        <v>647</v>
      </c>
      <c r="EH276" s="6" t="s">
        <v>829</v>
      </c>
      <c r="EI276" s="6" t="s">
        <v>1070</v>
      </c>
      <c r="EJ276" s="12">
        <v>100</v>
      </c>
      <c r="EN276" s="6" t="s">
        <v>1125</v>
      </c>
      <c r="EP276" s="6" t="s">
        <v>1148</v>
      </c>
      <c r="ET276" s="6" t="str">
        <f t="shared" si="152"/>
        <v>홀수</v>
      </c>
      <c r="EU276" s="12">
        <v>55</v>
      </c>
      <c r="EV276" s="45" t="str">
        <f t="shared" ca="1" si="157"/>
        <v>C</v>
      </c>
      <c r="EW276" s="6">
        <f t="shared" ca="1" si="153"/>
        <v>67</v>
      </c>
      <c r="FR276" s="6">
        <v>1</v>
      </c>
      <c r="FS276" s="6" t="str">
        <f t="shared" si="154"/>
        <v/>
      </c>
      <c r="FT276" s="6">
        <f t="shared" si="155"/>
        <v>1</v>
      </c>
      <c r="FU276" s="6" t="str">
        <f t="shared" ca="1" si="158"/>
        <v/>
      </c>
      <c r="FV276" s="6" t="str">
        <f t="shared" ca="1" si="156"/>
        <v/>
      </c>
      <c r="FW276" s="6" t="str">
        <f t="shared" ca="1" si="140"/>
        <v>R3-11</v>
      </c>
      <c r="FX276" s="6" t="str">
        <f t="shared" ca="1" si="141"/>
        <v>R3-12</v>
      </c>
      <c r="FY276" s="6" t="str">
        <f t="shared" ca="1" si="142"/>
        <v>R3-21</v>
      </c>
      <c r="FZ276" s="6" t="str">
        <f t="shared" ca="1" si="143"/>
        <v>R3-22</v>
      </c>
    </row>
    <row r="277" spans="1:182" ht="15.95" customHeight="1">
      <c r="A277" s="6">
        <v>478</v>
      </c>
      <c r="B277" s="6" t="s">
        <v>175</v>
      </c>
      <c r="E277" s="6" t="s">
        <v>830</v>
      </c>
      <c r="F277" s="6" t="s">
        <v>1536</v>
      </c>
      <c r="G277" s="6" t="s">
        <v>1290</v>
      </c>
      <c r="H277" s="7" t="s">
        <v>1291</v>
      </c>
      <c r="I277" s="7"/>
      <c r="J277" s="6" t="e">
        <v>#N/A</v>
      </c>
      <c r="K277" s="6" t="e">
        <v>#N/A</v>
      </c>
      <c r="N277" s="6" t="e">
        <v>#N/A</v>
      </c>
      <c r="O277" s="6" t="e">
        <v>#N/A</v>
      </c>
      <c r="R277" s="101" t="e">
        <v>#N/A</v>
      </c>
      <c r="Y277" s="6" t="e">
        <v>#N/A</v>
      </c>
      <c r="Z277" s="6" t="e">
        <v>#N/A</v>
      </c>
      <c r="AA277" s="6" t="e">
        <v>#N/A</v>
      </c>
      <c r="AD277" s="6" t="e">
        <v>#N/A</v>
      </c>
      <c r="AE277" s="6" t="e">
        <v>#N/A</v>
      </c>
      <c r="AG277" s="6" t="e">
        <v>#N/A</v>
      </c>
      <c r="AY277" s="8" t="s">
        <v>176</v>
      </c>
      <c r="AZ277" s="8" t="s">
        <v>195</v>
      </c>
      <c r="BA277" s="13" t="s">
        <v>643</v>
      </c>
      <c r="BB277" s="13" t="s">
        <v>200</v>
      </c>
      <c r="BC277" s="13">
        <v>97</v>
      </c>
      <c r="BD277" s="13">
        <v>98</v>
      </c>
      <c r="DC277" s="6" t="s">
        <v>644</v>
      </c>
      <c r="DD277" s="6" t="s">
        <v>189</v>
      </c>
      <c r="DH277" s="6" t="str">
        <f t="shared" si="144"/>
        <v>A14</v>
      </c>
      <c r="DI277" s="6" t="str">
        <f t="shared" si="145"/>
        <v>B14</v>
      </c>
      <c r="DK277" s="6" t="s">
        <v>173</v>
      </c>
      <c r="DL277" s="6" t="str">
        <f t="shared" si="146"/>
        <v/>
      </c>
      <c r="DO277" s="9" t="s">
        <v>170</v>
      </c>
      <c r="DP277" s="6" t="s">
        <v>171</v>
      </c>
      <c r="DQ277" s="6" t="s">
        <v>645</v>
      </c>
      <c r="DS277" s="6" t="str">
        <f t="shared" si="147"/>
        <v>AKB331</v>
      </c>
      <c r="DT277" s="10" t="str">
        <f t="shared" si="148"/>
        <v>FCS0111-5-3/1S–MC–118-R3-CN1</v>
      </c>
      <c r="DU277" s="6" t="str">
        <f t="shared" si="149"/>
        <v/>
      </c>
      <c r="DV277" s="19">
        <v>1</v>
      </c>
      <c r="DW277" s="20" t="str">
        <f t="shared" si="150"/>
        <v>11</v>
      </c>
      <c r="DX277" s="21">
        <v>5</v>
      </c>
      <c r="DY277" s="22">
        <v>3</v>
      </c>
      <c r="DZ277" s="23" t="s">
        <v>204</v>
      </c>
      <c r="EA277" s="23">
        <v>14</v>
      </c>
      <c r="ED277" s="9" t="str">
        <f t="shared" si="151"/>
        <v>ANB10D</v>
      </c>
      <c r="EF277" s="6" t="s">
        <v>647</v>
      </c>
      <c r="EH277" s="6" t="s">
        <v>830</v>
      </c>
      <c r="EI277" s="6" t="s">
        <v>1071</v>
      </c>
      <c r="EJ277" s="12">
        <v>100</v>
      </c>
      <c r="EN277" s="6" t="s">
        <v>1125</v>
      </c>
      <c r="EP277" s="6" t="s">
        <v>1148</v>
      </c>
      <c r="ET277" s="6" t="str">
        <f t="shared" si="152"/>
        <v>홀수</v>
      </c>
      <c r="EU277" s="12">
        <v>55</v>
      </c>
      <c r="EV277" s="45" t="str">
        <f t="shared" ca="1" si="157"/>
        <v>D</v>
      </c>
      <c r="EW277" s="6">
        <f t="shared" ca="1" si="153"/>
        <v>68</v>
      </c>
      <c r="FR277" s="6">
        <v>1</v>
      </c>
      <c r="FS277" s="6" t="str">
        <f t="shared" si="154"/>
        <v/>
      </c>
      <c r="FT277" s="6">
        <f t="shared" si="155"/>
        <v>1</v>
      </c>
      <c r="FU277" s="6" t="str">
        <f t="shared" ca="1" si="158"/>
        <v/>
      </c>
      <c r="FV277" s="6" t="str">
        <f t="shared" ca="1" si="156"/>
        <v/>
      </c>
      <c r="FW277" s="6" t="str">
        <f t="shared" ca="1" si="140"/>
        <v>R3-11</v>
      </c>
      <c r="FX277" s="6" t="str">
        <f t="shared" ca="1" si="141"/>
        <v>R3-12</v>
      </c>
      <c r="FY277" s="6" t="str">
        <f t="shared" ca="1" si="142"/>
        <v>R3-21</v>
      </c>
      <c r="FZ277" s="6" t="str">
        <f t="shared" ca="1" si="143"/>
        <v>R3-22</v>
      </c>
    </row>
    <row r="278" spans="1:182" ht="15.95" customHeight="1">
      <c r="A278" s="6">
        <v>479</v>
      </c>
      <c r="B278" s="6" t="s">
        <v>175</v>
      </c>
      <c r="E278" s="6" t="s">
        <v>831</v>
      </c>
      <c r="F278" s="6" t="s">
        <v>1537</v>
      </c>
      <c r="G278" s="6" t="s">
        <v>1290</v>
      </c>
      <c r="H278" s="7" t="s">
        <v>1291</v>
      </c>
      <c r="I278" s="7"/>
      <c r="J278" s="6" t="s">
        <v>1199</v>
      </c>
      <c r="K278" s="6" t="s">
        <v>1201</v>
      </c>
      <c r="N278" s="6" t="s">
        <v>1203</v>
      </c>
      <c r="O278" s="6" t="s">
        <v>1205</v>
      </c>
      <c r="R278" s="101" t="s">
        <v>1220</v>
      </c>
      <c r="Y278" s="6" t="s">
        <v>1524</v>
      </c>
      <c r="Z278" s="6">
        <v>51</v>
      </c>
      <c r="AA278" s="6">
        <v>52</v>
      </c>
      <c r="AD278" s="6" t="s">
        <v>1203</v>
      </c>
      <c r="AE278" s="6" t="s">
        <v>1205</v>
      </c>
      <c r="AG278" s="6" t="s">
        <v>1525</v>
      </c>
      <c r="AY278" s="8" t="s">
        <v>176</v>
      </c>
      <c r="AZ278" s="8" t="s">
        <v>195</v>
      </c>
      <c r="BA278" s="13" t="s">
        <v>643</v>
      </c>
      <c r="BB278" s="13" t="s">
        <v>740</v>
      </c>
      <c r="BC278" s="13">
        <v>23</v>
      </c>
      <c r="BD278" s="13">
        <v>24</v>
      </c>
      <c r="DC278" s="6" t="s">
        <v>644</v>
      </c>
      <c r="DD278" s="6" t="s">
        <v>189</v>
      </c>
      <c r="DH278" s="6" t="str">
        <f t="shared" si="144"/>
        <v>A15</v>
      </c>
      <c r="DI278" s="6" t="str">
        <f t="shared" si="145"/>
        <v>B15</v>
      </c>
      <c r="DK278" s="6" t="s">
        <v>173</v>
      </c>
      <c r="DL278" s="6" t="str">
        <f t="shared" si="146"/>
        <v/>
      </c>
      <c r="DO278" s="9" t="s">
        <v>170</v>
      </c>
      <c r="DP278" s="6" t="s">
        <v>171</v>
      </c>
      <c r="DQ278" s="6" t="s">
        <v>645</v>
      </c>
      <c r="DS278" s="6" t="str">
        <f t="shared" si="147"/>
        <v>AKB331</v>
      </c>
      <c r="DT278" s="10" t="str">
        <f t="shared" si="148"/>
        <v>FCS0111-5-3/1S–MC–118-R3-CN1</v>
      </c>
      <c r="DU278" s="6" t="str">
        <f t="shared" si="149"/>
        <v/>
      </c>
      <c r="DV278" s="19">
        <v>1</v>
      </c>
      <c r="DW278" s="20" t="str">
        <f t="shared" si="150"/>
        <v>11</v>
      </c>
      <c r="DX278" s="21">
        <v>5</v>
      </c>
      <c r="DY278" s="22">
        <v>3</v>
      </c>
      <c r="DZ278" s="23" t="s">
        <v>204</v>
      </c>
      <c r="EA278" s="23">
        <v>15</v>
      </c>
      <c r="ED278" s="9" t="str">
        <f t="shared" si="151"/>
        <v>ANB10D</v>
      </c>
      <c r="EF278" s="6" t="s">
        <v>647</v>
      </c>
      <c r="EH278" s="6" t="s">
        <v>831</v>
      </c>
      <c r="EI278" s="6" t="s">
        <v>832</v>
      </c>
      <c r="EJ278" s="12">
        <v>100</v>
      </c>
      <c r="EN278" s="6" t="s">
        <v>1125</v>
      </c>
      <c r="EP278" s="6" t="s">
        <v>1148</v>
      </c>
      <c r="ET278" s="6" t="str">
        <f t="shared" si="152"/>
        <v>짝수</v>
      </c>
      <c r="EU278" s="12">
        <v>56</v>
      </c>
      <c r="EV278" s="45" t="str">
        <f t="shared" ca="1" si="157"/>
        <v>A</v>
      </c>
      <c r="EW278" s="6">
        <f t="shared" ca="1" si="153"/>
        <v>65</v>
      </c>
      <c r="FR278" s="6">
        <v>1</v>
      </c>
      <c r="FS278" s="6" t="str">
        <f t="shared" si="154"/>
        <v/>
      </c>
      <c r="FT278" s="6">
        <f t="shared" si="155"/>
        <v>1</v>
      </c>
      <c r="FU278" s="6" t="str">
        <f t="shared" ca="1" si="158"/>
        <v/>
      </c>
      <c r="FV278" s="6" t="str">
        <f t="shared" ca="1" si="156"/>
        <v/>
      </c>
      <c r="FW278" s="6" t="str">
        <f t="shared" ca="1" si="140"/>
        <v>R3-11</v>
      </c>
      <c r="FX278" s="6" t="str">
        <f t="shared" ca="1" si="141"/>
        <v>R3-12</v>
      </c>
      <c r="FY278" s="6" t="str">
        <f t="shared" ca="1" si="142"/>
        <v>R3-21</v>
      </c>
      <c r="FZ278" s="6" t="str">
        <f t="shared" ca="1" si="143"/>
        <v>R3-22</v>
      </c>
    </row>
    <row r="279" spans="1:182" ht="15.95" customHeight="1">
      <c r="A279" s="6">
        <v>480</v>
      </c>
      <c r="B279" s="6" t="s">
        <v>175</v>
      </c>
      <c r="E279" s="6" t="s">
        <v>833</v>
      </c>
      <c r="F279" s="6" t="s">
        <v>1538</v>
      </c>
      <c r="G279" s="6" t="s">
        <v>1290</v>
      </c>
      <c r="H279" s="7" t="s">
        <v>1291</v>
      </c>
      <c r="I279" s="7"/>
      <c r="J279" s="6" t="s">
        <v>1199</v>
      </c>
      <c r="K279" s="6" t="s">
        <v>1201</v>
      </c>
      <c r="N279" s="6" t="s">
        <v>1203</v>
      </c>
      <c r="O279" s="6" t="s">
        <v>1205</v>
      </c>
      <c r="R279" s="101" t="s">
        <v>1220</v>
      </c>
      <c r="Y279" s="6" t="s">
        <v>1524</v>
      </c>
      <c r="Z279" s="6">
        <v>55</v>
      </c>
      <c r="AA279" s="6">
        <v>56</v>
      </c>
      <c r="AD279" s="6" t="s">
        <v>1203</v>
      </c>
      <c r="AE279" s="6" t="s">
        <v>1205</v>
      </c>
      <c r="AG279" s="6" t="s">
        <v>1525</v>
      </c>
      <c r="AY279" s="8" t="s">
        <v>176</v>
      </c>
      <c r="AZ279" s="8" t="s">
        <v>195</v>
      </c>
      <c r="BA279" s="13" t="s">
        <v>643</v>
      </c>
      <c r="BB279" s="13" t="s">
        <v>740</v>
      </c>
      <c r="BC279" s="13">
        <v>27</v>
      </c>
      <c r="BD279" s="13">
        <v>28</v>
      </c>
      <c r="DC279" s="6" t="s">
        <v>644</v>
      </c>
      <c r="DD279" s="6" t="s">
        <v>189</v>
      </c>
      <c r="DH279" s="6" t="str">
        <f t="shared" si="144"/>
        <v>A16</v>
      </c>
      <c r="DI279" s="6" t="str">
        <f t="shared" si="145"/>
        <v>B16</v>
      </c>
      <c r="DK279" s="6" t="s">
        <v>173</v>
      </c>
      <c r="DL279" s="6" t="str">
        <f t="shared" si="146"/>
        <v/>
      </c>
      <c r="DO279" s="9" t="s">
        <v>170</v>
      </c>
      <c r="DP279" s="6" t="s">
        <v>171</v>
      </c>
      <c r="DQ279" s="6" t="s">
        <v>645</v>
      </c>
      <c r="DS279" s="6" t="str">
        <f t="shared" si="147"/>
        <v>AKB331</v>
      </c>
      <c r="DT279" s="10" t="str">
        <f t="shared" si="148"/>
        <v>FCS0111-5-3/1S–MC–118-R3-CN1</v>
      </c>
      <c r="DU279" s="6" t="str">
        <f t="shared" si="149"/>
        <v/>
      </c>
      <c r="DV279" s="19">
        <v>1</v>
      </c>
      <c r="DW279" s="20" t="str">
        <f t="shared" si="150"/>
        <v>11</v>
      </c>
      <c r="DX279" s="21">
        <v>5</v>
      </c>
      <c r="DY279" s="22">
        <v>3</v>
      </c>
      <c r="DZ279" s="23" t="s">
        <v>204</v>
      </c>
      <c r="EA279" s="23">
        <v>16</v>
      </c>
      <c r="ED279" s="9" t="str">
        <f t="shared" si="151"/>
        <v>ANB10D</v>
      </c>
      <c r="EF279" s="6" t="s">
        <v>647</v>
      </c>
      <c r="EH279" s="6" t="s">
        <v>833</v>
      </c>
      <c r="EI279" s="6" t="s">
        <v>834</v>
      </c>
      <c r="EJ279" s="12">
        <v>100</v>
      </c>
      <c r="EN279" s="6" t="s">
        <v>1125</v>
      </c>
      <c r="EP279" s="6" t="s">
        <v>1148</v>
      </c>
      <c r="ET279" s="6" t="str">
        <f t="shared" si="152"/>
        <v>짝수</v>
      </c>
      <c r="EU279" s="12">
        <v>56</v>
      </c>
      <c r="EV279" s="45" t="str">
        <f t="shared" ca="1" si="157"/>
        <v>B</v>
      </c>
      <c r="EW279" s="6">
        <f t="shared" ca="1" si="153"/>
        <v>66</v>
      </c>
      <c r="FR279" s="6">
        <v>1</v>
      </c>
      <c r="FS279" s="6" t="str">
        <f t="shared" si="154"/>
        <v/>
      </c>
      <c r="FT279" s="6">
        <f t="shared" si="155"/>
        <v>1</v>
      </c>
      <c r="FU279" s="6" t="str">
        <f t="shared" ca="1" si="158"/>
        <v/>
      </c>
      <c r="FV279" s="6" t="str">
        <f t="shared" ca="1" si="156"/>
        <v/>
      </c>
      <c r="FW279" s="6" t="str">
        <f t="shared" ca="1" si="140"/>
        <v>R3-11</v>
      </c>
      <c r="FX279" s="6" t="str">
        <f t="shared" ca="1" si="141"/>
        <v>R3-12</v>
      </c>
      <c r="FY279" s="6" t="str">
        <f t="shared" ca="1" si="142"/>
        <v>R3-21</v>
      </c>
      <c r="FZ279" s="6" t="str">
        <f t="shared" ca="1" si="143"/>
        <v>R3-22</v>
      </c>
    </row>
    <row r="280" spans="1:182" ht="15.95" customHeight="1">
      <c r="A280" s="6">
        <v>481</v>
      </c>
      <c r="B280" s="6" t="s">
        <v>175</v>
      </c>
      <c r="E280" s="6" t="s">
        <v>835</v>
      </c>
      <c r="F280" s="6" t="s">
        <v>1539</v>
      </c>
      <c r="G280" s="6" t="s">
        <v>1290</v>
      </c>
      <c r="H280" s="7" t="s">
        <v>1291</v>
      </c>
      <c r="I280" s="7"/>
      <c r="J280" s="6" t="e">
        <v>#N/A</v>
      </c>
      <c r="K280" s="6" t="e">
        <v>#N/A</v>
      </c>
      <c r="N280" s="6" t="e">
        <v>#N/A</v>
      </c>
      <c r="O280" s="6" t="e">
        <v>#N/A</v>
      </c>
      <c r="R280" s="101" t="e">
        <v>#N/A</v>
      </c>
      <c r="Y280" s="6" t="e">
        <v>#N/A</v>
      </c>
      <c r="Z280" s="6" t="e">
        <v>#N/A</v>
      </c>
      <c r="AA280" s="6" t="e">
        <v>#N/A</v>
      </c>
      <c r="AD280" s="6" t="e">
        <v>#N/A</v>
      </c>
      <c r="AE280" s="6" t="e">
        <v>#N/A</v>
      </c>
      <c r="AG280" s="6" t="e">
        <v>#N/A</v>
      </c>
      <c r="AY280" s="8" t="s">
        <v>176</v>
      </c>
      <c r="AZ280" s="8" t="s">
        <v>195</v>
      </c>
      <c r="BA280" s="13" t="s">
        <v>643</v>
      </c>
      <c r="BB280" s="13" t="s">
        <v>200</v>
      </c>
      <c r="BC280" s="13">
        <v>113</v>
      </c>
      <c r="BD280" s="13">
        <v>114</v>
      </c>
      <c r="DC280" s="6" t="s">
        <v>644</v>
      </c>
      <c r="DD280" s="6" t="s">
        <v>189</v>
      </c>
      <c r="DH280" s="6" t="str">
        <f t="shared" si="144"/>
        <v>A17</v>
      </c>
      <c r="DI280" s="6" t="str">
        <f t="shared" si="145"/>
        <v>B17</v>
      </c>
      <c r="DK280" s="6" t="s">
        <v>173</v>
      </c>
      <c r="DL280" s="6" t="str">
        <f t="shared" si="146"/>
        <v/>
      </c>
      <c r="DO280" s="9" t="s">
        <v>170</v>
      </c>
      <c r="DP280" s="6" t="s">
        <v>171</v>
      </c>
      <c r="DQ280" s="6" t="s">
        <v>645</v>
      </c>
      <c r="DS280" s="6" t="str">
        <f t="shared" si="147"/>
        <v>AKB331</v>
      </c>
      <c r="DT280" s="10" t="str">
        <f t="shared" si="148"/>
        <v>FCS0111-5-3/1S–MC–118-R3-CN1</v>
      </c>
      <c r="DU280" s="6" t="str">
        <f t="shared" si="149"/>
        <v/>
      </c>
      <c r="DV280" s="19">
        <v>1</v>
      </c>
      <c r="DW280" s="20" t="str">
        <f t="shared" si="150"/>
        <v>11</v>
      </c>
      <c r="DX280" s="21">
        <v>5</v>
      </c>
      <c r="DY280" s="22">
        <v>3</v>
      </c>
      <c r="DZ280" s="23" t="s">
        <v>204</v>
      </c>
      <c r="EA280" s="23">
        <v>17</v>
      </c>
      <c r="ED280" s="9" t="str">
        <f t="shared" si="151"/>
        <v>ANB10D</v>
      </c>
      <c r="EF280" s="6" t="s">
        <v>647</v>
      </c>
      <c r="EH280" s="6" t="s">
        <v>835</v>
      </c>
      <c r="EI280" s="6" t="s">
        <v>836</v>
      </c>
      <c r="EJ280" s="12">
        <v>100</v>
      </c>
      <c r="EN280" s="6" t="s">
        <v>1125</v>
      </c>
      <c r="EP280" s="6" t="s">
        <v>1148</v>
      </c>
      <c r="ET280" s="6" t="str">
        <f t="shared" si="152"/>
        <v>짝수</v>
      </c>
      <c r="EU280" s="12">
        <v>56</v>
      </c>
      <c r="EV280" s="45" t="str">
        <f t="shared" ca="1" si="157"/>
        <v>C</v>
      </c>
      <c r="EW280" s="6">
        <f t="shared" ca="1" si="153"/>
        <v>67</v>
      </c>
      <c r="FR280" s="6">
        <v>1</v>
      </c>
      <c r="FS280" s="6" t="str">
        <f t="shared" si="154"/>
        <v/>
      </c>
      <c r="FT280" s="6">
        <f t="shared" si="155"/>
        <v>1</v>
      </c>
      <c r="FU280" s="6" t="str">
        <f t="shared" ca="1" si="158"/>
        <v/>
      </c>
      <c r="FV280" s="6" t="str">
        <f t="shared" ca="1" si="156"/>
        <v/>
      </c>
      <c r="FW280" s="6" t="str">
        <f t="shared" ca="1" si="140"/>
        <v>R3-11</v>
      </c>
      <c r="FX280" s="6" t="str">
        <f t="shared" ca="1" si="141"/>
        <v>R3-12</v>
      </c>
      <c r="FY280" s="6" t="str">
        <f t="shared" ca="1" si="142"/>
        <v>R3-21</v>
      </c>
      <c r="FZ280" s="6" t="str">
        <f t="shared" ca="1" si="143"/>
        <v>R3-22</v>
      </c>
    </row>
    <row r="281" spans="1:182" ht="15.95" customHeight="1">
      <c r="A281" s="6">
        <v>497</v>
      </c>
      <c r="B281" s="6" t="s">
        <v>175</v>
      </c>
      <c r="E281" s="6" t="s">
        <v>837</v>
      </c>
      <c r="F281" s="6" t="s">
        <v>1540</v>
      </c>
      <c r="G281" s="6" t="s">
        <v>1290</v>
      </c>
      <c r="H281" s="7" t="s">
        <v>1291</v>
      </c>
      <c r="I281" s="7"/>
      <c r="J281" s="6" t="e">
        <v>#N/A</v>
      </c>
      <c r="K281" s="6" t="e">
        <v>#N/A</v>
      </c>
      <c r="N281" s="6" t="e">
        <v>#N/A</v>
      </c>
      <c r="O281" s="6" t="e">
        <v>#N/A</v>
      </c>
      <c r="R281" s="101" t="e">
        <v>#N/A</v>
      </c>
      <c r="Y281" s="6" t="e">
        <v>#N/A</v>
      </c>
      <c r="Z281" s="6" t="e">
        <v>#N/A</v>
      </c>
      <c r="AA281" s="6" t="e">
        <v>#N/A</v>
      </c>
      <c r="AD281" s="6" t="e">
        <v>#N/A</v>
      </c>
      <c r="AE281" s="6" t="e">
        <v>#N/A</v>
      </c>
      <c r="AG281" s="6" t="e">
        <v>#N/A</v>
      </c>
      <c r="AY281" s="8" t="s">
        <v>176</v>
      </c>
      <c r="AZ281" s="8" t="s">
        <v>195</v>
      </c>
      <c r="BA281" s="13" t="s">
        <v>670</v>
      </c>
      <c r="BB281" s="13" t="s">
        <v>7</v>
      </c>
      <c r="BC281" s="13">
        <v>1</v>
      </c>
      <c r="BD281" s="13">
        <v>2</v>
      </c>
      <c r="DC281" s="6" t="s">
        <v>671</v>
      </c>
      <c r="DD281" s="6" t="s">
        <v>177</v>
      </c>
      <c r="DH281" s="6" t="str">
        <f t="shared" si="144"/>
        <v>A1</v>
      </c>
      <c r="DI281" s="6" t="str">
        <f t="shared" si="145"/>
        <v>B1</v>
      </c>
      <c r="DK281" s="6" t="s">
        <v>173</v>
      </c>
      <c r="DL281" s="6" t="str">
        <f t="shared" si="146"/>
        <v/>
      </c>
      <c r="DO281" s="9" t="s">
        <v>170</v>
      </c>
      <c r="DP281" s="6" t="s">
        <v>171</v>
      </c>
      <c r="DQ281" s="6" t="s">
        <v>645</v>
      </c>
      <c r="DS281" s="6" t="str">
        <f t="shared" si="147"/>
        <v>AKB331</v>
      </c>
      <c r="DT281" s="10" t="str">
        <f t="shared" si="148"/>
        <v>FCS0111-5-4/1S–MC–120-F1-CN1</v>
      </c>
      <c r="DU281" s="6" t="str">
        <f t="shared" si="149"/>
        <v/>
      </c>
      <c r="DV281" s="19">
        <v>1</v>
      </c>
      <c r="DW281" s="20" t="str">
        <f t="shared" si="150"/>
        <v>11</v>
      </c>
      <c r="DX281" s="21">
        <v>5</v>
      </c>
      <c r="DY281" s="22">
        <v>4</v>
      </c>
      <c r="DZ281" s="23" t="s">
        <v>204</v>
      </c>
      <c r="EA281" s="23">
        <v>1</v>
      </c>
      <c r="ED281" s="9" t="str">
        <f t="shared" si="151"/>
        <v>ANB10D</v>
      </c>
      <c r="EF281" s="6" t="s">
        <v>672</v>
      </c>
      <c r="EH281" s="6" t="s">
        <v>837</v>
      </c>
      <c r="EI281" s="6" t="s">
        <v>673</v>
      </c>
      <c r="EJ281" s="12">
        <v>200</v>
      </c>
      <c r="EN281" s="6" t="s">
        <v>1125</v>
      </c>
      <c r="EP281" s="6" t="s">
        <v>1152</v>
      </c>
      <c r="ET281" s="6" t="str">
        <f t="shared" si="152"/>
        <v>홀수</v>
      </c>
      <c r="EU281" s="12">
        <v>57</v>
      </c>
      <c r="EV281" s="45" t="str">
        <f t="shared" ca="1" si="157"/>
        <v>A</v>
      </c>
      <c r="EW281" s="6">
        <f t="shared" ca="1" si="153"/>
        <v>65</v>
      </c>
      <c r="FR281" s="6">
        <v>1</v>
      </c>
      <c r="FS281" s="6">
        <f t="shared" si="154"/>
        <v>1</v>
      </c>
      <c r="FT281" s="6">
        <f t="shared" si="155"/>
        <v>1</v>
      </c>
      <c r="FU281" s="6" t="str">
        <f t="shared" ca="1" si="158"/>
        <v>F1-11</v>
      </c>
      <c r="FV281" s="6" t="str">
        <f t="shared" ca="1" si="156"/>
        <v>F1-12</v>
      </c>
      <c r="FW281" s="6" t="s">
        <v>1093</v>
      </c>
      <c r="FX281" s="6" t="s">
        <v>1094</v>
      </c>
      <c r="FY281" s="6" t="s">
        <v>1093</v>
      </c>
      <c r="FZ281" s="6" t="s">
        <v>1094</v>
      </c>
    </row>
    <row r="282" spans="1:182" ht="15.95" customHeight="1">
      <c r="A282" s="6">
        <v>498</v>
      </c>
      <c r="B282" s="6" t="s">
        <v>175</v>
      </c>
      <c r="E282" s="6" t="s">
        <v>838</v>
      </c>
      <c r="F282" s="6" t="s">
        <v>1541</v>
      </c>
      <c r="G282" s="6" t="s">
        <v>1290</v>
      </c>
      <c r="H282" s="7" t="s">
        <v>1291</v>
      </c>
      <c r="I282" s="7"/>
      <c r="J282" s="6" t="e">
        <v>#N/A</v>
      </c>
      <c r="K282" s="6" t="e">
        <v>#N/A</v>
      </c>
      <c r="N282" s="6" t="e">
        <v>#N/A</v>
      </c>
      <c r="O282" s="6" t="e">
        <v>#N/A</v>
      </c>
      <c r="R282" s="101" t="e">
        <v>#N/A</v>
      </c>
      <c r="Y282" s="6" t="e">
        <v>#N/A</v>
      </c>
      <c r="Z282" s="6" t="e">
        <v>#N/A</v>
      </c>
      <c r="AA282" s="6" t="e">
        <v>#N/A</v>
      </c>
      <c r="AD282" s="6" t="e">
        <v>#N/A</v>
      </c>
      <c r="AE282" s="6" t="e">
        <v>#N/A</v>
      </c>
      <c r="AG282" s="6" t="e">
        <v>#N/A</v>
      </c>
      <c r="AY282" s="8" t="s">
        <v>176</v>
      </c>
      <c r="AZ282" s="8" t="s">
        <v>195</v>
      </c>
      <c r="BA282" s="13" t="s">
        <v>670</v>
      </c>
      <c r="BB282" s="13" t="s">
        <v>7</v>
      </c>
      <c r="BC282" s="13">
        <v>3</v>
      </c>
      <c r="BD282" s="13">
        <v>4</v>
      </c>
      <c r="DC282" s="6" t="s">
        <v>671</v>
      </c>
      <c r="DD282" s="6" t="s">
        <v>177</v>
      </c>
      <c r="DH282" s="6" t="str">
        <f t="shared" si="144"/>
        <v>A2</v>
      </c>
      <c r="DI282" s="6" t="str">
        <f t="shared" si="145"/>
        <v>B2</v>
      </c>
      <c r="DK282" s="6" t="s">
        <v>173</v>
      </c>
      <c r="DL282" s="6" t="str">
        <f t="shared" si="146"/>
        <v/>
      </c>
      <c r="DO282" s="9" t="s">
        <v>170</v>
      </c>
      <c r="DP282" s="6" t="s">
        <v>171</v>
      </c>
      <c r="DQ282" s="6" t="s">
        <v>645</v>
      </c>
      <c r="DS282" s="6" t="str">
        <f t="shared" si="147"/>
        <v>AKB331</v>
      </c>
      <c r="DT282" s="10" t="str">
        <f t="shared" si="148"/>
        <v>FCS0111-5-4/1S–MC–120-F1-CN1</v>
      </c>
      <c r="DU282" s="6" t="str">
        <f t="shared" si="149"/>
        <v/>
      </c>
      <c r="DV282" s="19">
        <v>1</v>
      </c>
      <c r="DW282" s="20" t="str">
        <f t="shared" si="150"/>
        <v>11</v>
      </c>
      <c r="DX282" s="21">
        <v>5</v>
      </c>
      <c r="DY282" s="22">
        <v>4</v>
      </c>
      <c r="DZ282" s="23" t="s">
        <v>204</v>
      </c>
      <c r="EA282" s="23">
        <v>2</v>
      </c>
      <c r="ED282" s="9" t="str">
        <f t="shared" si="151"/>
        <v>ANB10D</v>
      </c>
      <c r="EF282" s="6" t="s">
        <v>672</v>
      </c>
      <c r="EH282" s="6" t="s">
        <v>838</v>
      </c>
      <c r="EI282" s="6" t="s">
        <v>675</v>
      </c>
      <c r="EJ282" s="12">
        <v>200</v>
      </c>
      <c r="EN282" s="6" t="s">
        <v>1125</v>
      </c>
      <c r="EP282" s="6" t="s">
        <v>1152</v>
      </c>
      <c r="ET282" s="6" t="str">
        <f t="shared" si="152"/>
        <v>홀수</v>
      </c>
      <c r="EU282" s="12">
        <v>57</v>
      </c>
      <c r="EV282" s="45" t="str">
        <f t="shared" ca="1" si="157"/>
        <v>B</v>
      </c>
      <c r="EW282" s="6">
        <f t="shared" ca="1" si="153"/>
        <v>66</v>
      </c>
      <c r="FR282" s="6">
        <v>1</v>
      </c>
      <c r="FS282" s="6">
        <f t="shared" si="154"/>
        <v>1</v>
      </c>
      <c r="FT282" s="6">
        <f t="shared" si="155"/>
        <v>1</v>
      </c>
      <c r="FU282" s="6" t="str">
        <f t="shared" ca="1" si="158"/>
        <v>F1-11</v>
      </c>
      <c r="FV282" s="6" t="str">
        <f t="shared" ca="1" si="156"/>
        <v>F1-12</v>
      </c>
      <c r="FW282" s="6" t="s">
        <v>1093</v>
      </c>
      <c r="FX282" s="6" t="s">
        <v>1094</v>
      </c>
      <c r="FY282" s="6" t="s">
        <v>1093</v>
      </c>
      <c r="FZ282" s="6" t="s">
        <v>1094</v>
      </c>
    </row>
    <row r="283" spans="1:182" ht="15.95" customHeight="1">
      <c r="A283" s="6">
        <v>499</v>
      </c>
      <c r="B283" s="6" t="s">
        <v>175</v>
      </c>
      <c r="E283" s="6" t="s">
        <v>839</v>
      </c>
      <c r="F283" s="6" t="s">
        <v>1542</v>
      </c>
      <c r="G283" s="6" t="s">
        <v>1290</v>
      </c>
      <c r="H283" s="7" t="s">
        <v>1291</v>
      </c>
      <c r="I283" s="7"/>
      <c r="J283" s="6" t="e">
        <v>#N/A</v>
      </c>
      <c r="K283" s="6" t="e">
        <v>#N/A</v>
      </c>
      <c r="N283" s="6" t="e">
        <v>#N/A</v>
      </c>
      <c r="O283" s="6" t="e">
        <v>#N/A</v>
      </c>
      <c r="R283" s="101" t="e">
        <v>#N/A</v>
      </c>
      <c r="Y283" s="6" t="e">
        <v>#N/A</v>
      </c>
      <c r="Z283" s="6" t="e">
        <v>#N/A</v>
      </c>
      <c r="AA283" s="6" t="e">
        <v>#N/A</v>
      </c>
      <c r="AD283" s="6" t="e">
        <v>#N/A</v>
      </c>
      <c r="AE283" s="6" t="e">
        <v>#N/A</v>
      </c>
      <c r="AG283" s="6" t="e">
        <v>#N/A</v>
      </c>
      <c r="AY283" s="8" t="s">
        <v>176</v>
      </c>
      <c r="AZ283" s="8" t="s">
        <v>195</v>
      </c>
      <c r="BA283" s="13" t="s">
        <v>670</v>
      </c>
      <c r="BB283" s="13" t="s">
        <v>7</v>
      </c>
      <c r="BC283" s="13">
        <v>5</v>
      </c>
      <c r="BD283" s="13">
        <v>6</v>
      </c>
      <c r="DC283" s="6" t="s">
        <v>671</v>
      </c>
      <c r="DD283" s="6" t="s">
        <v>177</v>
      </c>
      <c r="DH283" s="6" t="str">
        <f t="shared" si="144"/>
        <v>A3</v>
      </c>
      <c r="DI283" s="6" t="str">
        <f t="shared" si="145"/>
        <v>B3</v>
      </c>
      <c r="DK283" s="6" t="s">
        <v>173</v>
      </c>
      <c r="DL283" s="6" t="str">
        <f t="shared" si="146"/>
        <v/>
      </c>
      <c r="DO283" s="9" t="s">
        <v>170</v>
      </c>
      <c r="DP283" s="6" t="s">
        <v>171</v>
      </c>
      <c r="DQ283" s="6" t="s">
        <v>645</v>
      </c>
      <c r="DS283" s="6" t="str">
        <f t="shared" si="147"/>
        <v>AKB331</v>
      </c>
      <c r="DT283" s="10" t="str">
        <f t="shared" si="148"/>
        <v>FCS0111-5-4/1S–MC–120-F1-CN1</v>
      </c>
      <c r="DU283" s="6" t="str">
        <f t="shared" si="149"/>
        <v/>
      </c>
      <c r="DV283" s="19">
        <v>1</v>
      </c>
      <c r="DW283" s="20" t="str">
        <f t="shared" si="150"/>
        <v>11</v>
      </c>
      <c r="DX283" s="21">
        <v>5</v>
      </c>
      <c r="DY283" s="22">
        <v>4</v>
      </c>
      <c r="DZ283" s="23" t="s">
        <v>204</v>
      </c>
      <c r="EA283" s="23">
        <v>3</v>
      </c>
      <c r="ED283" s="9" t="str">
        <f t="shared" si="151"/>
        <v>ANB10D</v>
      </c>
      <c r="EF283" s="6" t="s">
        <v>672</v>
      </c>
      <c r="EH283" s="6" t="s">
        <v>839</v>
      </c>
      <c r="EI283" s="6" t="s">
        <v>677</v>
      </c>
      <c r="EJ283" s="12">
        <v>200</v>
      </c>
      <c r="EN283" s="6" t="s">
        <v>1125</v>
      </c>
      <c r="EP283" s="6" t="s">
        <v>1152</v>
      </c>
      <c r="ET283" s="6" t="str">
        <f t="shared" si="152"/>
        <v>홀수</v>
      </c>
      <c r="EU283" s="12">
        <v>57</v>
      </c>
      <c r="EV283" s="45" t="str">
        <f t="shared" ca="1" si="157"/>
        <v>C</v>
      </c>
      <c r="EW283" s="6">
        <f t="shared" ca="1" si="153"/>
        <v>67</v>
      </c>
      <c r="FR283" s="6">
        <v>1</v>
      </c>
      <c r="FS283" s="6">
        <f t="shared" si="154"/>
        <v>1</v>
      </c>
      <c r="FT283" s="6">
        <f t="shared" si="155"/>
        <v>1</v>
      </c>
      <c r="FU283" s="6" t="str">
        <f t="shared" ca="1" si="158"/>
        <v>F1-11</v>
      </c>
      <c r="FV283" s="6" t="str">
        <f t="shared" ca="1" si="156"/>
        <v>F1-12</v>
      </c>
      <c r="FW283" s="6" t="s">
        <v>1093</v>
      </c>
      <c r="FX283" s="6" t="s">
        <v>1094</v>
      </c>
      <c r="FY283" s="6" t="s">
        <v>1093</v>
      </c>
      <c r="FZ283" s="6" t="s">
        <v>1094</v>
      </c>
    </row>
    <row r="284" spans="1:182" ht="15.95" customHeight="1">
      <c r="A284" s="6">
        <v>500</v>
      </c>
      <c r="B284" s="6" t="s">
        <v>175</v>
      </c>
      <c r="E284" s="6" t="s">
        <v>840</v>
      </c>
      <c r="F284" s="6" t="s">
        <v>1543</v>
      </c>
      <c r="G284" s="6" t="s">
        <v>1290</v>
      </c>
      <c r="H284" s="7" t="s">
        <v>1291</v>
      </c>
      <c r="I284" s="7"/>
      <c r="J284" s="6" t="e">
        <v>#N/A</v>
      </c>
      <c r="K284" s="6" t="e">
        <v>#N/A</v>
      </c>
      <c r="N284" s="6" t="e">
        <v>#N/A</v>
      </c>
      <c r="O284" s="6" t="e">
        <v>#N/A</v>
      </c>
      <c r="R284" s="101" t="e">
        <v>#N/A</v>
      </c>
      <c r="Y284" s="6" t="e">
        <v>#N/A</v>
      </c>
      <c r="Z284" s="6" t="e">
        <v>#N/A</v>
      </c>
      <c r="AA284" s="6" t="e">
        <v>#N/A</v>
      </c>
      <c r="AD284" s="6" t="e">
        <v>#N/A</v>
      </c>
      <c r="AE284" s="6" t="e">
        <v>#N/A</v>
      </c>
      <c r="AG284" s="6" t="e">
        <v>#N/A</v>
      </c>
      <c r="AY284" s="8" t="s">
        <v>176</v>
      </c>
      <c r="AZ284" s="8" t="s">
        <v>195</v>
      </c>
      <c r="BA284" s="13" t="s">
        <v>670</v>
      </c>
      <c r="BB284" s="13" t="s">
        <v>8</v>
      </c>
      <c r="BC284" s="13">
        <v>1</v>
      </c>
      <c r="BD284" s="13">
        <v>2</v>
      </c>
      <c r="DC284" s="6" t="s">
        <v>671</v>
      </c>
      <c r="DD284" s="6" t="s">
        <v>177</v>
      </c>
      <c r="DH284" s="6" t="str">
        <f t="shared" si="144"/>
        <v>A4</v>
      </c>
      <c r="DI284" s="6" t="str">
        <f t="shared" si="145"/>
        <v>B4</v>
      </c>
      <c r="DK284" s="6" t="s">
        <v>173</v>
      </c>
      <c r="DL284" s="6" t="str">
        <f t="shared" si="146"/>
        <v/>
      </c>
      <c r="DO284" s="9" t="s">
        <v>170</v>
      </c>
      <c r="DP284" s="6" t="s">
        <v>171</v>
      </c>
      <c r="DQ284" s="6" t="s">
        <v>645</v>
      </c>
      <c r="DS284" s="6" t="str">
        <f t="shared" si="147"/>
        <v>AKB331</v>
      </c>
      <c r="DT284" s="10" t="str">
        <f t="shared" si="148"/>
        <v>FCS0111-5-4/1S–MC–120-F1-CN1</v>
      </c>
      <c r="DU284" s="6" t="str">
        <f t="shared" si="149"/>
        <v/>
      </c>
      <c r="DV284" s="19">
        <v>1</v>
      </c>
      <c r="DW284" s="20" t="str">
        <f t="shared" si="150"/>
        <v>11</v>
      </c>
      <c r="DX284" s="21">
        <v>5</v>
      </c>
      <c r="DY284" s="22">
        <v>4</v>
      </c>
      <c r="DZ284" s="23" t="s">
        <v>204</v>
      </c>
      <c r="EA284" s="23">
        <v>4</v>
      </c>
      <c r="ED284" s="9" t="str">
        <f t="shared" si="151"/>
        <v>ANB10D</v>
      </c>
      <c r="EF284" s="6" t="s">
        <v>672</v>
      </c>
      <c r="EH284" s="6" t="s">
        <v>840</v>
      </c>
      <c r="EI284" s="6" t="s">
        <v>673</v>
      </c>
      <c r="EJ284" s="12">
        <v>200</v>
      </c>
      <c r="EN284" s="6" t="s">
        <v>1125</v>
      </c>
      <c r="EP284" s="6" t="s">
        <v>1152</v>
      </c>
      <c r="ET284" s="6" t="str">
        <f t="shared" si="152"/>
        <v>홀수</v>
      </c>
      <c r="EU284" s="12">
        <v>57</v>
      </c>
      <c r="EV284" s="45" t="str">
        <f t="shared" ca="1" si="157"/>
        <v>D</v>
      </c>
      <c r="EW284" s="6">
        <f t="shared" ca="1" si="153"/>
        <v>68</v>
      </c>
      <c r="FR284" s="6">
        <v>1</v>
      </c>
      <c r="FS284" s="6">
        <f t="shared" si="154"/>
        <v>1</v>
      </c>
      <c r="FT284" s="6">
        <f t="shared" si="155"/>
        <v>1</v>
      </c>
      <c r="FU284" s="6" t="str">
        <f t="shared" ca="1" si="158"/>
        <v>F1-11</v>
      </c>
      <c r="FV284" s="6" t="str">
        <f t="shared" ca="1" si="156"/>
        <v>F1-12</v>
      </c>
      <c r="FW284" s="6" t="s">
        <v>1093</v>
      </c>
      <c r="FX284" s="6" t="s">
        <v>1094</v>
      </c>
      <c r="FY284" s="6" t="s">
        <v>1093</v>
      </c>
      <c r="FZ284" s="6" t="s">
        <v>1094</v>
      </c>
    </row>
    <row r="285" spans="1:182" ht="15.95" customHeight="1">
      <c r="A285" s="6">
        <v>501</v>
      </c>
      <c r="B285" s="6" t="s">
        <v>175</v>
      </c>
      <c r="E285" s="6" t="s">
        <v>841</v>
      </c>
      <c r="F285" s="6" t="s">
        <v>1544</v>
      </c>
      <c r="G285" s="6" t="s">
        <v>1290</v>
      </c>
      <c r="H285" s="7" t="s">
        <v>1291</v>
      </c>
      <c r="I285" s="7"/>
      <c r="J285" s="6" t="e">
        <v>#N/A</v>
      </c>
      <c r="K285" s="6" t="e">
        <v>#N/A</v>
      </c>
      <c r="N285" s="6" t="e">
        <v>#N/A</v>
      </c>
      <c r="O285" s="6" t="e">
        <v>#N/A</v>
      </c>
      <c r="R285" s="101" t="e">
        <v>#N/A</v>
      </c>
      <c r="Y285" s="6" t="e">
        <v>#N/A</v>
      </c>
      <c r="Z285" s="6" t="e">
        <v>#N/A</v>
      </c>
      <c r="AA285" s="6" t="e">
        <v>#N/A</v>
      </c>
      <c r="AD285" s="6" t="e">
        <v>#N/A</v>
      </c>
      <c r="AE285" s="6" t="e">
        <v>#N/A</v>
      </c>
      <c r="AG285" s="6" t="e">
        <v>#N/A</v>
      </c>
      <c r="AY285" s="8" t="s">
        <v>176</v>
      </c>
      <c r="AZ285" s="8" t="s">
        <v>195</v>
      </c>
      <c r="BA285" s="13" t="s">
        <v>670</v>
      </c>
      <c r="BB285" s="13" t="s">
        <v>8</v>
      </c>
      <c r="BC285" s="13">
        <v>3</v>
      </c>
      <c r="BD285" s="13">
        <v>4</v>
      </c>
      <c r="DC285" s="6" t="s">
        <v>671</v>
      </c>
      <c r="DD285" s="6" t="s">
        <v>177</v>
      </c>
      <c r="DH285" s="6" t="str">
        <f t="shared" si="144"/>
        <v>A5</v>
      </c>
      <c r="DI285" s="6" t="str">
        <f t="shared" si="145"/>
        <v>B5</v>
      </c>
      <c r="DK285" s="6" t="s">
        <v>173</v>
      </c>
      <c r="DL285" s="6" t="str">
        <f t="shared" si="146"/>
        <v/>
      </c>
      <c r="DO285" s="9" t="s">
        <v>170</v>
      </c>
      <c r="DP285" s="6" t="s">
        <v>171</v>
      </c>
      <c r="DQ285" s="6" t="s">
        <v>645</v>
      </c>
      <c r="DS285" s="6" t="str">
        <f t="shared" si="147"/>
        <v>AKB331</v>
      </c>
      <c r="DT285" s="10" t="str">
        <f t="shared" si="148"/>
        <v>FCS0111-5-4/1S–MC–120-F1-CN1</v>
      </c>
      <c r="DU285" s="6" t="str">
        <f t="shared" si="149"/>
        <v/>
      </c>
      <c r="DV285" s="19">
        <v>1</v>
      </c>
      <c r="DW285" s="20" t="str">
        <f t="shared" si="150"/>
        <v>11</v>
      </c>
      <c r="DX285" s="21">
        <v>5</v>
      </c>
      <c r="DY285" s="22">
        <v>4</v>
      </c>
      <c r="DZ285" s="23" t="s">
        <v>204</v>
      </c>
      <c r="EA285" s="23">
        <v>5</v>
      </c>
      <c r="ED285" s="9" t="str">
        <f t="shared" si="151"/>
        <v>ANB10D</v>
      </c>
      <c r="EF285" s="6" t="s">
        <v>672</v>
      </c>
      <c r="EH285" s="6" t="s">
        <v>841</v>
      </c>
      <c r="EI285" s="6" t="s">
        <v>675</v>
      </c>
      <c r="EJ285" s="12">
        <v>200</v>
      </c>
      <c r="EN285" s="6" t="s">
        <v>1125</v>
      </c>
      <c r="EP285" s="6" t="s">
        <v>1152</v>
      </c>
      <c r="ET285" s="6" t="str">
        <f t="shared" si="152"/>
        <v>짝수</v>
      </c>
      <c r="EU285" s="12">
        <v>58</v>
      </c>
      <c r="EV285" s="45" t="str">
        <f t="shared" ca="1" si="157"/>
        <v>A</v>
      </c>
      <c r="EW285" s="6">
        <f t="shared" ca="1" si="153"/>
        <v>65</v>
      </c>
      <c r="FR285" s="6">
        <v>1</v>
      </c>
      <c r="FS285" s="6">
        <f t="shared" si="154"/>
        <v>1</v>
      </c>
      <c r="FT285" s="6">
        <f t="shared" si="155"/>
        <v>1</v>
      </c>
      <c r="FU285" s="6" t="str">
        <f t="shared" ca="1" si="158"/>
        <v>F1-11</v>
      </c>
      <c r="FV285" s="6" t="str">
        <f t="shared" ca="1" si="156"/>
        <v>F1-12</v>
      </c>
      <c r="FW285" s="6" t="s">
        <v>1093</v>
      </c>
      <c r="FX285" s="6" t="s">
        <v>1094</v>
      </c>
      <c r="FY285" s="6" t="s">
        <v>1093</v>
      </c>
      <c r="FZ285" s="6" t="s">
        <v>1094</v>
      </c>
    </row>
    <row r="286" spans="1:182" ht="15.95" customHeight="1">
      <c r="A286" s="6">
        <v>502</v>
      </c>
      <c r="B286" s="6" t="s">
        <v>175</v>
      </c>
      <c r="E286" s="6" t="s">
        <v>842</v>
      </c>
      <c r="F286" s="6" t="s">
        <v>1545</v>
      </c>
      <c r="G286" s="6" t="s">
        <v>1290</v>
      </c>
      <c r="H286" s="7" t="s">
        <v>1291</v>
      </c>
      <c r="I286" s="7"/>
      <c r="J286" s="6" t="e">
        <v>#N/A</v>
      </c>
      <c r="K286" s="6" t="e">
        <v>#N/A</v>
      </c>
      <c r="N286" s="6" t="e">
        <v>#N/A</v>
      </c>
      <c r="O286" s="6" t="e">
        <v>#N/A</v>
      </c>
      <c r="R286" s="101" t="e">
        <v>#N/A</v>
      </c>
      <c r="Y286" s="6" t="e">
        <v>#N/A</v>
      </c>
      <c r="Z286" s="6" t="e">
        <v>#N/A</v>
      </c>
      <c r="AA286" s="6" t="e">
        <v>#N/A</v>
      </c>
      <c r="AD286" s="6" t="e">
        <v>#N/A</v>
      </c>
      <c r="AE286" s="6" t="e">
        <v>#N/A</v>
      </c>
      <c r="AG286" s="6" t="e">
        <v>#N/A</v>
      </c>
      <c r="AY286" s="8" t="s">
        <v>176</v>
      </c>
      <c r="AZ286" s="8" t="s">
        <v>195</v>
      </c>
      <c r="BA286" s="13" t="s">
        <v>670</v>
      </c>
      <c r="BB286" s="13" t="s">
        <v>8</v>
      </c>
      <c r="BC286" s="13">
        <v>5</v>
      </c>
      <c r="BD286" s="13">
        <v>6</v>
      </c>
      <c r="DC286" s="6" t="s">
        <v>671</v>
      </c>
      <c r="DD286" s="6" t="s">
        <v>177</v>
      </c>
      <c r="DH286" s="6" t="str">
        <f t="shared" si="144"/>
        <v>A6</v>
      </c>
      <c r="DI286" s="6" t="str">
        <f t="shared" si="145"/>
        <v>B6</v>
      </c>
      <c r="DK286" s="6" t="s">
        <v>173</v>
      </c>
      <c r="DL286" s="6" t="str">
        <f t="shared" si="146"/>
        <v/>
      </c>
      <c r="DO286" s="9" t="s">
        <v>170</v>
      </c>
      <c r="DP286" s="6" t="s">
        <v>171</v>
      </c>
      <c r="DQ286" s="6" t="s">
        <v>645</v>
      </c>
      <c r="DS286" s="6" t="str">
        <f t="shared" si="147"/>
        <v>AKB331</v>
      </c>
      <c r="DT286" s="10" t="str">
        <f t="shared" si="148"/>
        <v>FCS0111-5-4/1S–MC–120-F1-CN1</v>
      </c>
      <c r="DU286" s="6" t="str">
        <f t="shared" si="149"/>
        <v/>
      </c>
      <c r="DV286" s="19">
        <v>1</v>
      </c>
      <c r="DW286" s="20" t="str">
        <f t="shared" si="150"/>
        <v>11</v>
      </c>
      <c r="DX286" s="21">
        <v>5</v>
      </c>
      <c r="DY286" s="22">
        <v>4</v>
      </c>
      <c r="DZ286" s="23" t="s">
        <v>204</v>
      </c>
      <c r="EA286" s="23">
        <v>6</v>
      </c>
      <c r="ED286" s="9" t="str">
        <f t="shared" si="151"/>
        <v>ANB10D</v>
      </c>
      <c r="EF286" s="6" t="s">
        <v>672</v>
      </c>
      <c r="EH286" s="6" t="s">
        <v>842</v>
      </c>
      <c r="EI286" s="6" t="s">
        <v>677</v>
      </c>
      <c r="EJ286" s="12">
        <v>200</v>
      </c>
      <c r="EN286" s="6" t="s">
        <v>1125</v>
      </c>
      <c r="EP286" s="6" t="s">
        <v>1152</v>
      </c>
      <c r="ET286" s="6" t="str">
        <f t="shared" si="152"/>
        <v>짝수</v>
      </c>
      <c r="EU286" s="12">
        <v>58</v>
      </c>
      <c r="EV286" s="45" t="str">
        <f t="shared" ca="1" si="157"/>
        <v>B</v>
      </c>
      <c r="EW286" s="6">
        <f t="shared" ca="1" si="153"/>
        <v>66</v>
      </c>
      <c r="FR286" s="6">
        <v>1</v>
      </c>
      <c r="FS286" s="6">
        <f t="shared" si="154"/>
        <v>1</v>
      </c>
      <c r="FT286" s="6">
        <f t="shared" si="155"/>
        <v>1</v>
      </c>
      <c r="FU286" s="6" t="str">
        <f t="shared" ca="1" si="158"/>
        <v>F1-11</v>
      </c>
      <c r="FV286" s="6" t="str">
        <f t="shared" ca="1" si="156"/>
        <v>F1-12</v>
      </c>
      <c r="FW286" s="6" t="s">
        <v>1093</v>
      </c>
      <c r="FX286" s="6" t="s">
        <v>1094</v>
      </c>
      <c r="FY286" s="6" t="s">
        <v>1093</v>
      </c>
      <c r="FZ286" s="6" t="s">
        <v>1094</v>
      </c>
    </row>
    <row r="287" spans="1:182" ht="15.95" customHeight="1">
      <c r="A287" s="6">
        <v>503</v>
      </c>
      <c r="B287" s="6" t="s">
        <v>175</v>
      </c>
      <c r="E287" s="6" t="s">
        <v>843</v>
      </c>
      <c r="F287" s="6" t="s">
        <v>1546</v>
      </c>
      <c r="G287" s="6" t="s">
        <v>1290</v>
      </c>
      <c r="H287" s="7" t="s">
        <v>1291</v>
      </c>
      <c r="I287" s="7"/>
      <c r="J287" s="6" t="e">
        <v>#N/A</v>
      </c>
      <c r="K287" s="6" t="e">
        <v>#N/A</v>
      </c>
      <c r="N287" s="6" t="e">
        <v>#N/A</v>
      </c>
      <c r="O287" s="6" t="e">
        <v>#N/A</v>
      </c>
      <c r="R287" s="101" t="e">
        <v>#N/A</v>
      </c>
      <c r="Y287" s="6" t="e">
        <v>#N/A</v>
      </c>
      <c r="Z287" s="6" t="e">
        <v>#N/A</v>
      </c>
      <c r="AA287" s="6" t="e">
        <v>#N/A</v>
      </c>
      <c r="AD287" s="6" t="e">
        <v>#N/A</v>
      </c>
      <c r="AE287" s="6" t="e">
        <v>#N/A</v>
      </c>
      <c r="AG287" s="6" t="e">
        <v>#N/A</v>
      </c>
      <c r="AY287" s="8" t="s">
        <v>176</v>
      </c>
      <c r="AZ287" s="8" t="s">
        <v>195</v>
      </c>
      <c r="BA287" s="13" t="s">
        <v>670</v>
      </c>
      <c r="BB287" s="13" t="s">
        <v>8</v>
      </c>
      <c r="BC287" s="13">
        <v>7</v>
      </c>
      <c r="BD287" s="13">
        <v>8</v>
      </c>
      <c r="DC287" s="6" t="s">
        <v>671</v>
      </c>
      <c r="DD287" s="6" t="s">
        <v>177</v>
      </c>
      <c r="DH287" s="6" t="str">
        <f t="shared" si="144"/>
        <v>A7</v>
      </c>
      <c r="DI287" s="6" t="str">
        <f t="shared" si="145"/>
        <v>B7</v>
      </c>
      <c r="DK287" s="6" t="s">
        <v>173</v>
      </c>
      <c r="DL287" s="6" t="str">
        <f t="shared" si="146"/>
        <v/>
      </c>
      <c r="DO287" s="9" t="s">
        <v>170</v>
      </c>
      <c r="DP287" s="6" t="s">
        <v>171</v>
      </c>
      <c r="DQ287" s="6" t="s">
        <v>645</v>
      </c>
      <c r="DS287" s="6" t="str">
        <f t="shared" si="147"/>
        <v>AKB331</v>
      </c>
      <c r="DT287" s="10" t="str">
        <f t="shared" si="148"/>
        <v>FCS0111-5-4/1S–MC–120-F1-CN1</v>
      </c>
      <c r="DU287" s="6" t="str">
        <f t="shared" si="149"/>
        <v/>
      </c>
      <c r="DV287" s="19">
        <v>1</v>
      </c>
      <c r="DW287" s="20" t="str">
        <f t="shared" si="150"/>
        <v>11</v>
      </c>
      <c r="DX287" s="21">
        <v>5</v>
      </c>
      <c r="DY287" s="22">
        <v>4</v>
      </c>
      <c r="DZ287" s="23" t="s">
        <v>204</v>
      </c>
      <c r="EA287" s="23">
        <v>7</v>
      </c>
      <c r="ED287" s="9" t="str">
        <f t="shared" si="151"/>
        <v>ANB10D</v>
      </c>
      <c r="EF287" s="6" t="s">
        <v>672</v>
      </c>
      <c r="EH287" s="6" t="s">
        <v>843</v>
      </c>
      <c r="EI287" s="6" t="s">
        <v>673</v>
      </c>
      <c r="EJ287" s="12">
        <v>200</v>
      </c>
      <c r="EN287" s="6" t="s">
        <v>1125</v>
      </c>
      <c r="EP287" s="6" t="s">
        <v>1152</v>
      </c>
      <c r="ET287" s="6" t="str">
        <f t="shared" si="152"/>
        <v>짝수</v>
      </c>
      <c r="EU287" s="12">
        <v>58</v>
      </c>
      <c r="EV287" s="45" t="str">
        <f t="shared" ca="1" si="157"/>
        <v>C</v>
      </c>
      <c r="EW287" s="6">
        <f t="shared" ca="1" si="153"/>
        <v>67</v>
      </c>
      <c r="FR287" s="6">
        <v>1</v>
      </c>
      <c r="FS287" s="6">
        <f t="shared" si="154"/>
        <v>1</v>
      </c>
      <c r="FT287" s="6">
        <f t="shared" si="155"/>
        <v>1</v>
      </c>
      <c r="FU287" s="6" t="str">
        <f t="shared" ca="1" si="158"/>
        <v>F1-11</v>
      </c>
      <c r="FV287" s="6" t="str">
        <f t="shared" ca="1" si="156"/>
        <v>F1-12</v>
      </c>
      <c r="FW287" s="6" t="s">
        <v>1093</v>
      </c>
      <c r="FX287" s="6" t="s">
        <v>1094</v>
      </c>
      <c r="FY287" s="6" t="s">
        <v>1093</v>
      </c>
      <c r="FZ287" s="6" t="s">
        <v>1094</v>
      </c>
    </row>
    <row r="288" spans="1:182" ht="15.95" customHeight="1">
      <c r="A288" s="6">
        <v>504</v>
      </c>
      <c r="B288" s="6" t="s">
        <v>175</v>
      </c>
      <c r="E288" s="6" t="s">
        <v>844</v>
      </c>
      <c r="F288" s="6" t="s">
        <v>1547</v>
      </c>
      <c r="G288" s="6" t="s">
        <v>1290</v>
      </c>
      <c r="H288" s="7" t="s">
        <v>1291</v>
      </c>
      <c r="I288" s="7"/>
      <c r="J288" s="6" t="e">
        <v>#N/A</v>
      </c>
      <c r="K288" s="6" t="e">
        <v>#N/A</v>
      </c>
      <c r="N288" s="6" t="e">
        <v>#N/A</v>
      </c>
      <c r="O288" s="6" t="e">
        <v>#N/A</v>
      </c>
      <c r="R288" s="101" t="e">
        <v>#N/A</v>
      </c>
      <c r="Y288" s="6" t="e">
        <v>#N/A</v>
      </c>
      <c r="Z288" s="6" t="e">
        <v>#N/A</v>
      </c>
      <c r="AA288" s="6" t="e">
        <v>#N/A</v>
      </c>
      <c r="AD288" s="6" t="e">
        <v>#N/A</v>
      </c>
      <c r="AE288" s="6" t="e">
        <v>#N/A</v>
      </c>
      <c r="AG288" s="6" t="e">
        <v>#N/A</v>
      </c>
      <c r="AY288" s="8" t="s">
        <v>176</v>
      </c>
      <c r="AZ288" s="8" t="s">
        <v>195</v>
      </c>
      <c r="BA288" s="13" t="s">
        <v>670</v>
      </c>
      <c r="BB288" s="13" t="s">
        <v>8</v>
      </c>
      <c r="BC288" s="13">
        <v>9</v>
      </c>
      <c r="BD288" s="13">
        <v>10</v>
      </c>
      <c r="DC288" s="6" t="s">
        <v>671</v>
      </c>
      <c r="DD288" s="6" t="s">
        <v>177</v>
      </c>
      <c r="DH288" s="6" t="str">
        <f t="shared" si="144"/>
        <v>A8</v>
      </c>
      <c r="DI288" s="6" t="str">
        <f t="shared" si="145"/>
        <v>B8</v>
      </c>
      <c r="DK288" s="6" t="s">
        <v>173</v>
      </c>
      <c r="DL288" s="6" t="str">
        <f t="shared" si="146"/>
        <v/>
      </c>
      <c r="DO288" s="9" t="s">
        <v>170</v>
      </c>
      <c r="DP288" s="6" t="s">
        <v>171</v>
      </c>
      <c r="DQ288" s="6" t="s">
        <v>645</v>
      </c>
      <c r="DS288" s="6" t="str">
        <f t="shared" si="147"/>
        <v>AKB331</v>
      </c>
      <c r="DT288" s="10" t="str">
        <f t="shared" si="148"/>
        <v>FCS0111-5-4/1S–MC–120-F1-CN1</v>
      </c>
      <c r="DU288" s="6" t="str">
        <f t="shared" si="149"/>
        <v/>
      </c>
      <c r="DV288" s="19">
        <v>1</v>
      </c>
      <c r="DW288" s="20" t="str">
        <f t="shared" si="150"/>
        <v>11</v>
      </c>
      <c r="DX288" s="21">
        <v>5</v>
      </c>
      <c r="DY288" s="22">
        <v>4</v>
      </c>
      <c r="DZ288" s="23" t="s">
        <v>204</v>
      </c>
      <c r="EA288" s="23">
        <v>8</v>
      </c>
      <c r="ED288" s="9" t="str">
        <f t="shared" si="151"/>
        <v>ANB10D</v>
      </c>
      <c r="EF288" s="6" t="s">
        <v>672</v>
      </c>
      <c r="EH288" s="6" t="s">
        <v>844</v>
      </c>
      <c r="EI288" s="6" t="s">
        <v>675</v>
      </c>
      <c r="EJ288" s="12">
        <v>200</v>
      </c>
      <c r="EN288" s="6" t="s">
        <v>1125</v>
      </c>
      <c r="EP288" s="6" t="s">
        <v>1152</v>
      </c>
      <c r="ET288" s="6" t="str">
        <f t="shared" si="152"/>
        <v>짝수</v>
      </c>
      <c r="EU288" s="12">
        <v>58</v>
      </c>
      <c r="EV288" s="45" t="str">
        <f t="shared" ca="1" si="157"/>
        <v>D</v>
      </c>
      <c r="EW288" s="6">
        <f t="shared" ca="1" si="153"/>
        <v>68</v>
      </c>
      <c r="FR288" s="6">
        <v>1</v>
      </c>
      <c r="FS288" s="6">
        <f t="shared" si="154"/>
        <v>1</v>
      </c>
      <c r="FT288" s="6">
        <f t="shared" si="155"/>
        <v>1</v>
      </c>
      <c r="FU288" s="6" t="str">
        <f t="shared" ca="1" si="158"/>
        <v>F1-11</v>
      </c>
      <c r="FV288" s="6" t="str">
        <f t="shared" ca="1" si="156"/>
        <v>F1-12</v>
      </c>
      <c r="FW288" s="6" t="s">
        <v>1093</v>
      </c>
      <c r="FX288" s="6" t="s">
        <v>1094</v>
      </c>
      <c r="FY288" s="6" t="s">
        <v>1093</v>
      </c>
      <c r="FZ288" s="6" t="s">
        <v>1094</v>
      </c>
    </row>
    <row r="289" spans="1:182" ht="15.95" customHeight="1">
      <c r="A289" s="6">
        <v>505</v>
      </c>
      <c r="B289" s="6" t="s">
        <v>175</v>
      </c>
      <c r="E289" s="6" t="s">
        <v>845</v>
      </c>
      <c r="F289" s="6" t="s">
        <v>1548</v>
      </c>
      <c r="G289" s="6" t="s">
        <v>1290</v>
      </c>
      <c r="H289" s="7" t="s">
        <v>1291</v>
      </c>
      <c r="I289" s="7"/>
      <c r="J289" s="6" t="e">
        <v>#N/A</v>
      </c>
      <c r="K289" s="6" t="e">
        <v>#N/A</v>
      </c>
      <c r="N289" s="6" t="e">
        <v>#N/A</v>
      </c>
      <c r="O289" s="6" t="e">
        <v>#N/A</v>
      </c>
      <c r="R289" s="101" t="e">
        <v>#N/A</v>
      </c>
      <c r="Y289" s="6" t="e">
        <v>#N/A</v>
      </c>
      <c r="Z289" s="6" t="e">
        <v>#N/A</v>
      </c>
      <c r="AA289" s="6" t="e">
        <v>#N/A</v>
      </c>
      <c r="AD289" s="6" t="e">
        <v>#N/A</v>
      </c>
      <c r="AE289" s="6" t="e">
        <v>#N/A</v>
      </c>
      <c r="AG289" s="6" t="e">
        <v>#N/A</v>
      </c>
      <c r="AY289" s="8" t="s">
        <v>176</v>
      </c>
      <c r="AZ289" s="8" t="s">
        <v>195</v>
      </c>
      <c r="BA289" s="13" t="s">
        <v>670</v>
      </c>
      <c r="BB289" s="13" t="s">
        <v>8</v>
      </c>
      <c r="BC289" s="13">
        <v>11</v>
      </c>
      <c r="BD289" s="13">
        <v>12</v>
      </c>
      <c r="DC289" s="6" t="s">
        <v>671</v>
      </c>
      <c r="DD289" s="6" t="s">
        <v>177</v>
      </c>
      <c r="DH289" s="6" t="str">
        <f t="shared" si="144"/>
        <v>A9</v>
      </c>
      <c r="DI289" s="6" t="str">
        <f t="shared" si="145"/>
        <v>B9</v>
      </c>
      <c r="DK289" s="6" t="s">
        <v>173</v>
      </c>
      <c r="DL289" s="6" t="str">
        <f t="shared" si="146"/>
        <v/>
      </c>
      <c r="DO289" s="9" t="s">
        <v>170</v>
      </c>
      <c r="DP289" s="6" t="s">
        <v>171</v>
      </c>
      <c r="DQ289" s="6" t="s">
        <v>645</v>
      </c>
      <c r="DS289" s="6" t="str">
        <f t="shared" si="147"/>
        <v>AKB331</v>
      </c>
      <c r="DT289" s="10" t="str">
        <f t="shared" si="148"/>
        <v>FCS0111-5-4/1S–MC–120-F1-CN1</v>
      </c>
      <c r="DU289" s="6" t="str">
        <f t="shared" si="149"/>
        <v/>
      </c>
      <c r="DV289" s="19">
        <v>1</v>
      </c>
      <c r="DW289" s="20" t="str">
        <f t="shared" si="150"/>
        <v>11</v>
      </c>
      <c r="DX289" s="21">
        <v>5</v>
      </c>
      <c r="DY289" s="22">
        <v>4</v>
      </c>
      <c r="DZ289" s="23" t="s">
        <v>204</v>
      </c>
      <c r="EA289" s="23">
        <v>9</v>
      </c>
      <c r="ED289" s="9" t="str">
        <f t="shared" si="151"/>
        <v>ANB10D</v>
      </c>
      <c r="EF289" s="6" t="s">
        <v>672</v>
      </c>
      <c r="EH289" s="6" t="s">
        <v>845</v>
      </c>
      <c r="EI289" s="6" t="s">
        <v>677</v>
      </c>
      <c r="EJ289" s="12">
        <v>200</v>
      </c>
      <c r="EN289" s="6" t="s">
        <v>1125</v>
      </c>
      <c r="EP289" s="6" t="s">
        <v>1152</v>
      </c>
      <c r="ET289" s="6" t="str">
        <f t="shared" si="152"/>
        <v>홀수</v>
      </c>
      <c r="EU289" s="12">
        <v>59</v>
      </c>
      <c r="EV289" s="45" t="str">
        <f t="shared" ca="1" si="157"/>
        <v>A</v>
      </c>
      <c r="EW289" s="6">
        <f t="shared" ca="1" si="153"/>
        <v>65</v>
      </c>
      <c r="FR289" s="6">
        <v>1</v>
      </c>
      <c r="FS289" s="6">
        <f t="shared" si="154"/>
        <v>1</v>
      </c>
      <c r="FT289" s="6">
        <f t="shared" si="155"/>
        <v>1</v>
      </c>
      <c r="FU289" s="6" t="str">
        <f t="shared" ca="1" si="158"/>
        <v>F1-11</v>
      </c>
      <c r="FV289" s="6" t="str">
        <f t="shared" ca="1" si="156"/>
        <v>F1-12</v>
      </c>
      <c r="FW289" s="6" t="s">
        <v>1093</v>
      </c>
      <c r="FX289" s="6" t="s">
        <v>1094</v>
      </c>
      <c r="FY289" s="6" t="s">
        <v>1093</v>
      </c>
      <c r="FZ289" s="6" t="s">
        <v>1094</v>
      </c>
    </row>
    <row r="290" spans="1:182" ht="15.95" customHeight="1">
      <c r="A290" s="6">
        <v>506</v>
      </c>
      <c r="B290" s="6" t="s">
        <v>175</v>
      </c>
      <c r="E290" s="6" t="s">
        <v>846</v>
      </c>
      <c r="F290" s="6" t="s">
        <v>1549</v>
      </c>
      <c r="G290" s="6" t="s">
        <v>1290</v>
      </c>
      <c r="H290" s="7" t="s">
        <v>1291</v>
      </c>
      <c r="I290" s="7"/>
      <c r="J290" s="6" t="e">
        <v>#N/A</v>
      </c>
      <c r="K290" s="6" t="e">
        <v>#N/A</v>
      </c>
      <c r="N290" s="6" t="e">
        <v>#N/A</v>
      </c>
      <c r="O290" s="6" t="e">
        <v>#N/A</v>
      </c>
      <c r="R290" s="101" t="e">
        <v>#N/A</v>
      </c>
      <c r="Y290" s="6" t="e">
        <v>#N/A</v>
      </c>
      <c r="Z290" s="6" t="e">
        <v>#N/A</v>
      </c>
      <c r="AA290" s="6" t="e">
        <v>#N/A</v>
      </c>
      <c r="AD290" s="6" t="e">
        <v>#N/A</v>
      </c>
      <c r="AE290" s="6" t="e">
        <v>#N/A</v>
      </c>
      <c r="AG290" s="6" t="e">
        <v>#N/A</v>
      </c>
      <c r="AY290" s="8" t="s">
        <v>176</v>
      </c>
      <c r="AZ290" s="8" t="s">
        <v>195</v>
      </c>
      <c r="BA290" s="13" t="s">
        <v>670</v>
      </c>
      <c r="BB290" s="13" t="s">
        <v>8</v>
      </c>
      <c r="BC290" s="13">
        <v>13</v>
      </c>
      <c r="BD290" s="13">
        <v>14</v>
      </c>
      <c r="DC290" s="6" t="s">
        <v>671</v>
      </c>
      <c r="DD290" s="6" t="s">
        <v>177</v>
      </c>
      <c r="DH290" s="6" t="str">
        <f t="shared" si="144"/>
        <v>A10</v>
      </c>
      <c r="DI290" s="6" t="str">
        <f t="shared" si="145"/>
        <v>B10</v>
      </c>
      <c r="DK290" s="6" t="s">
        <v>173</v>
      </c>
      <c r="DL290" s="6" t="str">
        <f t="shared" si="146"/>
        <v/>
      </c>
      <c r="DO290" s="9" t="s">
        <v>170</v>
      </c>
      <c r="DP290" s="6" t="s">
        <v>171</v>
      </c>
      <c r="DQ290" s="6" t="s">
        <v>645</v>
      </c>
      <c r="DS290" s="6" t="str">
        <f t="shared" si="147"/>
        <v>AKB331</v>
      </c>
      <c r="DT290" s="10" t="str">
        <f t="shared" si="148"/>
        <v>FCS0111-5-4/1S–MC–120-F1-CN1</v>
      </c>
      <c r="DU290" s="6" t="str">
        <f t="shared" si="149"/>
        <v/>
      </c>
      <c r="DV290" s="19">
        <v>1</v>
      </c>
      <c r="DW290" s="20" t="str">
        <f t="shared" si="150"/>
        <v>11</v>
      </c>
      <c r="DX290" s="21">
        <v>5</v>
      </c>
      <c r="DY290" s="22">
        <v>4</v>
      </c>
      <c r="DZ290" s="23" t="s">
        <v>204</v>
      </c>
      <c r="EA290" s="23">
        <v>10</v>
      </c>
      <c r="ED290" s="9" t="str">
        <f t="shared" si="151"/>
        <v>ANB10D</v>
      </c>
      <c r="EF290" s="6" t="s">
        <v>672</v>
      </c>
      <c r="EH290" s="6" t="s">
        <v>846</v>
      </c>
      <c r="EI290" s="6" t="s">
        <v>673</v>
      </c>
      <c r="EJ290" s="12">
        <v>200</v>
      </c>
      <c r="EN290" s="6" t="s">
        <v>1125</v>
      </c>
      <c r="EP290" s="6" t="s">
        <v>1152</v>
      </c>
      <c r="ET290" s="6" t="str">
        <f t="shared" si="152"/>
        <v>홀수</v>
      </c>
      <c r="EU290" s="12">
        <v>59</v>
      </c>
      <c r="EV290" s="45" t="str">
        <f t="shared" ca="1" si="157"/>
        <v>B</v>
      </c>
      <c r="EW290" s="6">
        <f t="shared" ca="1" si="153"/>
        <v>66</v>
      </c>
      <c r="FR290" s="6">
        <v>1</v>
      </c>
      <c r="FS290" s="6">
        <f t="shared" si="154"/>
        <v>1</v>
      </c>
      <c r="FT290" s="6">
        <f t="shared" si="155"/>
        <v>1</v>
      </c>
      <c r="FU290" s="6" t="str">
        <f t="shared" ca="1" si="158"/>
        <v>F1-11</v>
      </c>
      <c r="FV290" s="6" t="str">
        <f t="shared" ca="1" si="156"/>
        <v>F1-12</v>
      </c>
      <c r="FW290" s="6" t="s">
        <v>1093</v>
      </c>
      <c r="FX290" s="6" t="s">
        <v>1094</v>
      </c>
      <c r="FY290" s="6" t="s">
        <v>1093</v>
      </c>
      <c r="FZ290" s="6" t="s">
        <v>1094</v>
      </c>
    </row>
    <row r="291" spans="1:182" ht="15.95" customHeight="1">
      <c r="A291" s="6">
        <v>507</v>
      </c>
      <c r="B291" s="6" t="s">
        <v>175</v>
      </c>
      <c r="E291" s="6" t="s">
        <v>847</v>
      </c>
      <c r="F291" s="6" t="s">
        <v>1550</v>
      </c>
      <c r="G291" s="6" t="s">
        <v>1290</v>
      </c>
      <c r="H291" s="7" t="s">
        <v>1291</v>
      </c>
      <c r="I291" s="7"/>
      <c r="J291" s="6" t="e">
        <v>#N/A</v>
      </c>
      <c r="K291" s="6" t="e">
        <v>#N/A</v>
      </c>
      <c r="N291" s="6" t="e">
        <v>#N/A</v>
      </c>
      <c r="O291" s="6" t="e">
        <v>#N/A</v>
      </c>
      <c r="R291" s="101" t="e">
        <v>#N/A</v>
      </c>
      <c r="Y291" s="6" t="e">
        <v>#N/A</v>
      </c>
      <c r="Z291" s="6" t="e">
        <v>#N/A</v>
      </c>
      <c r="AA291" s="6" t="e">
        <v>#N/A</v>
      </c>
      <c r="AD291" s="6" t="e">
        <v>#N/A</v>
      </c>
      <c r="AE291" s="6" t="e">
        <v>#N/A</v>
      </c>
      <c r="AG291" s="6" t="e">
        <v>#N/A</v>
      </c>
      <c r="AY291" s="8" t="s">
        <v>176</v>
      </c>
      <c r="AZ291" s="8" t="s">
        <v>195</v>
      </c>
      <c r="BA291" s="13" t="s">
        <v>670</v>
      </c>
      <c r="BB291" s="13" t="s">
        <v>8</v>
      </c>
      <c r="BC291" s="13">
        <v>15</v>
      </c>
      <c r="BD291" s="13">
        <v>16</v>
      </c>
      <c r="DC291" s="6" t="s">
        <v>671</v>
      </c>
      <c r="DD291" s="6" t="s">
        <v>177</v>
      </c>
      <c r="DH291" s="6" t="str">
        <f t="shared" si="144"/>
        <v>A11</v>
      </c>
      <c r="DI291" s="6" t="str">
        <f t="shared" si="145"/>
        <v>B11</v>
      </c>
      <c r="DK291" s="6" t="s">
        <v>173</v>
      </c>
      <c r="DL291" s="6" t="str">
        <f t="shared" si="146"/>
        <v/>
      </c>
      <c r="DO291" s="9" t="s">
        <v>170</v>
      </c>
      <c r="DP291" s="6" t="s">
        <v>171</v>
      </c>
      <c r="DQ291" s="6" t="s">
        <v>645</v>
      </c>
      <c r="DS291" s="6" t="str">
        <f t="shared" si="147"/>
        <v>AKB331</v>
      </c>
      <c r="DT291" s="10" t="str">
        <f t="shared" si="148"/>
        <v>FCS0111-5-4/1S–MC–120-F1-CN1</v>
      </c>
      <c r="DU291" s="6" t="str">
        <f t="shared" si="149"/>
        <v/>
      </c>
      <c r="DV291" s="19">
        <v>1</v>
      </c>
      <c r="DW291" s="20" t="str">
        <f t="shared" si="150"/>
        <v>11</v>
      </c>
      <c r="DX291" s="21">
        <v>5</v>
      </c>
      <c r="DY291" s="22">
        <v>4</v>
      </c>
      <c r="DZ291" s="23" t="s">
        <v>204</v>
      </c>
      <c r="EA291" s="23">
        <v>11</v>
      </c>
      <c r="ED291" s="9" t="str">
        <f t="shared" si="151"/>
        <v>ANB10D</v>
      </c>
      <c r="EF291" s="6" t="s">
        <v>672</v>
      </c>
      <c r="EH291" s="6" t="s">
        <v>847</v>
      </c>
      <c r="EI291" s="6" t="s">
        <v>675</v>
      </c>
      <c r="EJ291" s="12">
        <v>200</v>
      </c>
      <c r="EN291" s="6" t="s">
        <v>1125</v>
      </c>
      <c r="EP291" s="6" t="s">
        <v>1152</v>
      </c>
      <c r="ET291" s="6" t="str">
        <f t="shared" si="152"/>
        <v>홀수</v>
      </c>
      <c r="EU291" s="12">
        <v>59</v>
      </c>
      <c r="EV291" s="45" t="str">
        <f t="shared" ca="1" si="157"/>
        <v>C</v>
      </c>
      <c r="EW291" s="6">
        <f t="shared" ca="1" si="153"/>
        <v>67</v>
      </c>
      <c r="FR291" s="6">
        <v>1</v>
      </c>
      <c r="FS291" s="6">
        <f t="shared" si="154"/>
        <v>1</v>
      </c>
      <c r="FT291" s="6">
        <f t="shared" si="155"/>
        <v>1</v>
      </c>
      <c r="FU291" s="6" t="str">
        <f t="shared" ca="1" si="158"/>
        <v>F1-11</v>
      </c>
      <c r="FV291" s="6" t="str">
        <f t="shared" ca="1" si="156"/>
        <v>F1-12</v>
      </c>
      <c r="FW291" s="6" t="s">
        <v>1093</v>
      </c>
      <c r="FX291" s="6" t="s">
        <v>1094</v>
      </c>
      <c r="FY291" s="6" t="s">
        <v>1093</v>
      </c>
      <c r="FZ291" s="6" t="s">
        <v>1094</v>
      </c>
    </row>
    <row r="292" spans="1:182" ht="15.95" customHeight="1">
      <c r="A292" s="6">
        <v>508</v>
      </c>
      <c r="B292" s="6" t="s">
        <v>175</v>
      </c>
      <c r="E292" s="6" t="s">
        <v>848</v>
      </c>
      <c r="F292" s="6" t="s">
        <v>1551</v>
      </c>
      <c r="G292" s="6" t="s">
        <v>1290</v>
      </c>
      <c r="H292" s="7" t="s">
        <v>1291</v>
      </c>
      <c r="I292" s="7"/>
      <c r="J292" s="6" t="e">
        <v>#N/A</v>
      </c>
      <c r="K292" s="6" t="e">
        <v>#N/A</v>
      </c>
      <c r="N292" s="6" t="e">
        <v>#N/A</v>
      </c>
      <c r="O292" s="6" t="e">
        <v>#N/A</v>
      </c>
      <c r="R292" s="101" t="e">
        <v>#N/A</v>
      </c>
      <c r="Y292" s="6" t="e">
        <v>#N/A</v>
      </c>
      <c r="Z292" s="6" t="e">
        <v>#N/A</v>
      </c>
      <c r="AA292" s="6" t="e">
        <v>#N/A</v>
      </c>
      <c r="AD292" s="6" t="e">
        <v>#N/A</v>
      </c>
      <c r="AE292" s="6" t="e">
        <v>#N/A</v>
      </c>
      <c r="AG292" s="6" t="e">
        <v>#N/A</v>
      </c>
      <c r="AY292" s="8" t="s">
        <v>176</v>
      </c>
      <c r="AZ292" s="8" t="s">
        <v>195</v>
      </c>
      <c r="BA292" s="13" t="s">
        <v>670</v>
      </c>
      <c r="BB292" s="13" t="s">
        <v>8</v>
      </c>
      <c r="BC292" s="13">
        <v>17</v>
      </c>
      <c r="BD292" s="13">
        <v>18</v>
      </c>
      <c r="DC292" s="6" t="s">
        <v>671</v>
      </c>
      <c r="DD292" s="6" t="s">
        <v>177</v>
      </c>
      <c r="DH292" s="6" t="str">
        <f t="shared" si="144"/>
        <v>A12</v>
      </c>
      <c r="DI292" s="6" t="str">
        <f t="shared" si="145"/>
        <v>B12</v>
      </c>
      <c r="DK292" s="6" t="s">
        <v>173</v>
      </c>
      <c r="DL292" s="6" t="str">
        <f t="shared" si="146"/>
        <v/>
      </c>
      <c r="DO292" s="9" t="s">
        <v>170</v>
      </c>
      <c r="DP292" s="6" t="s">
        <v>171</v>
      </c>
      <c r="DQ292" s="6" t="s">
        <v>645</v>
      </c>
      <c r="DS292" s="6" t="str">
        <f t="shared" si="147"/>
        <v>AKB331</v>
      </c>
      <c r="DT292" s="10" t="str">
        <f t="shared" si="148"/>
        <v>FCS0111-5-4/1S–MC–120-F1-CN1</v>
      </c>
      <c r="DU292" s="6" t="str">
        <f t="shared" si="149"/>
        <v/>
      </c>
      <c r="DV292" s="19">
        <v>1</v>
      </c>
      <c r="DW292" s="20" t="str">
        <f t="shared" si="150"/>
        <v>11</v>
      </c>
      <c r="DX292" s="21">
        <v>5</v>
      </c>
      <c r="DY292" s="22">
        <v>4</v>
      </c>
      <c r="DZ292" s="23" t="s">
        <v>204</v>
      </c>
      <c r="EA292" s="23">
        <v>12</v>
      </c>
      <c r="ED292" s="9" t="str">
        <f t="shared" si="151"/>
        <v>ANB10D</v>
      </c>
      <c r="EF292" s="6" t="s">
        <v>672</v>
      </c>
      <c r="EH292" s="6" t="s">
        <v>848</v>
      </c>
      <c r="EI292" s="6" t="s">
        <v>677</v>
      </c>
      <c r="EJ292" s="12">
        <v>200</v>
      </c>
      <c r="EN292" s="6" t="s">
        <v>1125</v>
      </c>
      <c r="EP292" s="6" t="s">
        <v>1152</v>
      </c>
      <c r="ET292" s="6" t="str">
        <f t="shared" si="152"/>
        <v>홀수</v>
      </c>
      <c r="EU292" s="12">
        <v>59</v>
      </c>
      <c r="EV292" s="45" t="str">
        <f t="shared" ca="1" si="157"/>
        <v>D</v>
      </c>
      <c r="EW292" s="6">
        <f t="shared" ca="1" si="153"/>
        <v>68</v>
      </c>
      <c r="FR292" s="6">
        <v>1</v>
      </c>
      <c r="FS292" s="6">
        <f t="shared" si="154"/>
        <v>1</v>
      </c>
      <c r="FT292" s="6">
        <f t="shared" si="155"/>
        <v>1</v>
      </c>
      <c r="FU292" s="6" t="str">
        <f t="shared" ca="1" si="158"/>
        <v>F1-11</v>
      </c>
      <c r="FV292" s="6" t="str">
        <f t="shared" ca="1" si="156"/>
        <v>F1-12</v>
      </c>
      <c r="FW292" s="6" t="s">
        <v>1093</v>
      </c>
      <c r="FX292" s="6" t="s">
        <v>1094</v>
      </c>
      <c r="FY292" s="6" t="s">
        <v>1093</v>
      </c>
      <c r="FZ292" s="6" t="s">
        <v>1094</v>
      </c>
    </row>
    <row r="293" spans="1:182" ht="15.95" customHeight="1">
      <c r="A293" s="6">
        <v>509</v>
      </c>
      <c r="B293" s="6" t="s">
        <v>175</v>
      </c>
      <c r="E293" s="6" t="s">
        <v>849</v>
      </c>
      <c r="F293" s="6" t="s">
        <v>1552</v>
      </c>
      <c r="G293" s="6" t="s">
        <v>1290</v>
      </c>
      <c r="H293" s="7" t="s">
        <v>1291</v>
      </c>
      <c r="I293" s="7"/>
      <c r="J293" s="6" t="e">
        <v>#N/A</v>
      </c>
      <c r="K293" s="6" t="e">
        <v>#N/A</v>
      </c>
      <c r="N293" s="6" t="e">
        <v>#N/A</v>
      </c>
      <c r="O293" s="6" t="e">
        <v>#N/A</v>
      </c>
      <c r="R293" s="101" t="e">
        <v>#N/A</v>
      </c>
      <c r="Y293" s="6" t="e">
        <v>#N/A</v>
      </c>
      <c r="Z293" s="6" t="e">
        <v>#N/A</v>
      </c>
      <c r="AA293" s="6" t="e">
        <v>#N/A</v>
      </c>
      <c r="AD293" s="6" t="e">
        <v>#N/A</v>
      </c>
      <c r="AE293" s="6" t="e">
        <v>#N/A</v>
      </c>
      <c r="AG293" s="6" t="e">
        <v>#N/A</v>
      </c>
      <c r="AY293" s="8" t="s">
        <v>176</v>
      </c>
      <c r="AZ293" s="8" t="s">
        <v>195</v>
      </c>
      <c r="BA293" s="13" t="s">
        <v>670</v>
      </c>
      <c r="BB293" s="13" t="s">
        <v>8</v>
      </c>
      <c r="BC293" s="13">
        <v>19</v>
      </c>
      <c r="BD293" s="13">
        <v>20</v>
      </c>
      <c r="DC293" s="6" t="s">
        <v>671</v>
      </c>
      <c r="DD293" s="6" t="s">
        <v>177</v>
      </c>
      <c r="DH293" s="6" t="str">
        <f t="shared" si="144"/>
        <v>A13</v>
      </c>
      <c r="DI293" s="6" t="str">
        <f t="shared" si="145"/>
        <v>B13</v>
      </c>
      <c r="DK293" s="6" t="s">
        <v>173</v>
      </c>
      <c r="DL293" s="6" t="str">
        <f t="shared" si="146"/>
        <v/>
      </c>
      <c r="DO293" s="9" t="s">
        <v>170</v>
      </c>
      <c r="DP293" s="6" t="s">
        <v>171</v>
      </c>
      <c r="DQ293" s="6" t="s">
        <v>645</v>
      </c>
      <c r="DS293" s="6" t="str">
        <f t="shared" si="147"/>
        <v>AKB331</v>
      </c>
      <c r="DT293" s="10" t="str">
        <f t="shared" si="148"/>
        <v>FCS0111-5-4/1S–MC–120-F1-CN1</v>
      </c>
      <c r="DU293" s="6" t="str">
        <f t="shared" si="149"/>
        <v/>
      </c>
      <c r="DV293" s="19">
        <v>1</v>
      </c>
      <c r="DW293" s="20" t="str">
        <f t="shared" si="150"/>
        <v>11</v>
      </c>
      <c r="DX293" s="21">
        <v>5</v>
      </c>
      <c r="DY293" s="22">
        <v>4</v>
      </c>
      <c r="DZ293" s="23" t="s">
        <v>204</v>
      </c>
      <c r="EA293" s="23">
        <v>13</v>
      </c>
      <c r="ED293" s="9" t="str">
        <f t="shared" si="151"/>
        <v>ANB10D</v>
      </c>
      <c r="EF293" s="6" t="s">
        <v>672</v>
      </c>
      <c r="EH293" s="6" t="s">
        <v>849</v>
      </c>
      <c r="EI293" s="6" t="s">
        <v>673</v>
      </c>
      <c r="EJ293" s="12">
        <v>200</v>
      </c>
      <c r="EN293" s="6" t="s">
        <v>1125</v>
      </c>
      <c r="EP293" s="6" t="s">
        <v>1152</v>
      </c>
      <c r="ET293" s="6" t="str">
        <f t="shared" si="152"/>
        <v>짝수</v>
      </c>
      <c r="EU293" s="12">
        <v>60</v>
      </c>
      <c r="EV293" s="45" t="str">
        <f t="shared" ca="1" si="157"/>
        <v>A</v>
      </c>
      <c r="EW293" s="6">
        <f t="shared" ca="1" si="153"/>
        <v>65</v>
      </c>
      <c r="FR293" s="6">
        <v>1</v>
      </c>
      <c r="FS293" s="6">
        <f t="shared" si="154"/>
        <v>1</v>
      </c>
      <c r="FT293" s="6">
        <f t="shared" si="155"/>
        <v>1</v>
      </c>
      <c r="FU293" s="6" t="str">
        <f t="shared" ca="1" si="158"/>
        <v>F1-11</v>
      </c>
      <c r="FV293" s="6" t="str">
        <f t="shared" ca="1" si="156"/>
        <v>F1-12</v>
      </c>
      <c r="FW293" s="6" t="s">
        <v>1093</v>
      </c>
      <c r="FX293" s="6" t="s">
        <v>1094</v>
      </c>
      <c r="FY293" s="6" t="s">
        <v>1093</v>
      </c>
      <c r="FZ293" s="6" t="s">
        <v>1094</v>
      </c>
    </row>
    <row r="294" spans="1:182" ht="15.95" customHeight="1">
      <c r="A294" s="6">
        <v>510</v>
      </c>
      <c r="B294" s="6" t="s">
        <v>175</v>
      </c>
      <c r="E294" s="6" t="s">
        <v>850</v>
      </c>
      <c r="F294" s="6" t="s">
        <v>1553</v>
      </c>
      <c r="G294" s="6" t="s">
        <v>1290</v>
      </c>
      <c r="H294" s="7" t="s">
        <v>1291</v>
      </c>
      <c r="I294" s="7"/>
      <c r="J294" s="6" t="e">
        <v>#N/A</v>
      </c>
      <c r="K294" s="6" t="e">
        <v>#N/A</v>
      </c>
      <c r="N294" s="6" t="e">
        <v>#N/A</v>
      </c>
      <c r="O294" s="6" t="e">
        <v>#N/A</v>
      </c>
      <c r="R294" s="101" t="e">
        <v>#N/A</v>
      </c>
      <c r="Y294" s="6" t="e">
        <v>#N/A</v>
      </c>
      <c r="Z294" s="6" t="e">
        <v>#N/A</v>
      </c>
      <c r="AA294" s="6" t="e">
        <v>#N/A</v>
      </c>
      <c r="AD294" s="6" t="e">
        <v>#N/A</v>
      </c>
      <c r="AE294" s="6" t="e">
        <v>#N/A</v>
      </c>
      <c r="AG294" s="6" t="e">
        <v>#N/A</v>
      </c>
      <c r="AY294" s="8" t="s">
        <v>176</v>
      </c>
      <c r="AZ294" s="8" t="s">
        <v>195</v>
      </c>
      <c r="BA294" s="13" t="s">
        <v>670</v>
      </c>
      <c r="BB294" s="13" t="s">
        <v>8</v>
      </c>
      <c r="BC294" s="13">
        <v>21</v>
      </c>
      <c r="BD294" s="13">
        <v>22</v>
      </c>
      <c r="DC294" s="6" t="s">
        <v>671</v>
      </c>
      <c r="DD294" s="6" t="s">
        <v>177</v>
      </c>
      <c r="DH294" s="6" t="str">
        <f t="shared" si="144"/>
        <v>A14</v>
      </c>
      <c r="DI294" s="6" t="str">
        <f t="shared" si="145"/>
        <v>B14</v>
      </c>
      <c r="DK294" s="6" t="s">
        <v>173</v>
      </c>
      <c r="DL294" s="6" t="str">
        <f t="shared" si="146"/>
        <v/>
      </c>
      <c r="DO294" s="9" t="s">
        <v>170</v>
      </c>
      <c r="DP294" s="6" t="s">
        <v>171</v>
      </c>
      <c r="DQ294" s="6" t="s">
        <v>645</v>
      </c>
      <c r="DS294" s="6" t="str">
        <f t="shared" si="147"/>
        <v>AKB331</v>
      </c>
      <c r="DT294" s="10" t="str">
        <f t="shared" si="148"/>
        <v>FCS0111-5-4/1S–MC–120-F1-CN1</v>
      </c>
      <c r="DU294" s="6" t="str">
        <f t="shared" si="149"/>
        <v/>
      </c>
      <c r="DV294" s="19">
        <v>1</v>
      </c>
      <c r="DW294" s="20" t="str">
        <f t="shared" si="150"/>
        <v>11</v>
      </c>
      <c r="DX294" s="21">
        <v>5</v>
      </c>
      <c r="DY294" s="22">
        <v>4</v>
      </c>
      <c r="DZ294" s="23" t="s">
        <v>204</v>
      </c>
      <c r="EA294" s="23">
        <v>14</v>
      </c>
      <c r="ED294" s="9" t="str">
        <f t="shared" si="151"/>
        <v>ANB10D</v>
      </c>
      <c r="EF294" s="6" t="s">
        <v>672</v>
      </c>
      <c r="EH294" s="6" t="s">
        <v>850</v>
      </c>
      <c r="EI294" s="6" t="s">
        <v>675</v>
      </c>
      <c r="EJ294" s="12">
        <v>200</v>
      </c>
      <c r="EN294" s="6" t="s">
        <v>1125</v>
      </c>
      <c r="EP294" s="6" t="s">
        <v>1152</v>
      </c>
      <c r="ET294" s="6" t="str">
        <f t="shared" si="152"/>
        <v>짝수</v>
      </c>
      <c r="EU294" s="12">
        <v>60</v>
      </c>
      <c r="EV294" s="45" t="str">
        <f t="shared" ca="1" si="157"/>
        <v>B</v>
      </c>
      <c r="EW294" s="6">
        <f t="shared" ca="1" si="153"/>
        <v>66</v>
      </c>
      <c r="FR294" s="6">
        <v>1</v>
      </c>
      <c r="FS294" s="6">
        <f t="shared" si="154"/>
        <v>1</v>
      </c>
      <c r="FT294" s="6">
        <f t="shared" si="155"/>
        <v>1</v>
      </c>
      <c r="FU294" s="6" t="str">
        <f t="shared" ca="1" si="158"/>
        <v>F1-11</v>
      </c>
      <c r="FV294" s="6" t="str">
        <f t="shared" ca="1" si="156"/>
        <v>F1-12</v>
      </c>
      <c r="FW294" s="6" t="s">
        <v>1093</v>
      </c>
      <c r="FX294" s="6" t="s">
        <v>1094</v>
      </c>
      <c r="FY294" s="6" t="s">
        <v>1093</v>
      </c>
      <c r="FZ294" s="6" t="s">
        <v>1094</v>
      </c>
    </row>
    <row r="295" spans="1:182" ht="15.95" customHeight="1">
      <c r="A295" s="6">
        <v>511</v>
      </c>
      <c r="B295" s="6" t="s">
        <v>175</v>
      </c>
      <c r="E295" s="6" t="s">
        <v>851</v>
      </c>
      <c r="F295" s="6" t="s">
        <v>1554</v>
      </c>
      <c r="G295" s="6" t="s">
        <v>1290</v>
      </c>
      <c r="H295" s="7" t="s">
        <v>1291</v>
      </c>
      <c r="I295" s="7"/>
      <c r="J295" s="6" t="e">
        <v>#N/A</v>
      </c>
      <c r="K295" s="6" t="e">
        <v>#N/A</v>
      </c>
      <c r="N295" s="6" t="e">
        <v>#N/A</v>
      </c>
      <c r="O295" s="6" t="e">
        <v>#N/A</v>
      </c>
      <c r="R295" s="101" t="e">
        <v>#N/A</v>
      </c>
      <c r="Y295" s="6" t="e">
        <v>#N/A</v>
      </c>
      <c r="Z295" s="6" t="e">
        <v>#N/A</v>
      </c>
      <c r="AA295" s="6" t="e">
        <v>#N/A</v>
      </c>
      <c r="AD295" s="6" t="e">
        <v>#N/A</v>
      </c>
      <c r="AE295" s="6" t="e">
        <v>#N/A</v>
      </c>
      <c r="AG295" s="6" t="e">
        <v>#N/A</v>
      </c>
      <c r="AY295" s="8" t="s">
        <v>176</v>
      </c>
      <c r="AZ295" s="8" t="s">
        <v>195</v>
      </c>
      <c r="BA295" s="13" t="s">
        <v>670</v>
      </c>
      <c r="BB295" s="13" t="s">
        <v>8</v>
      </c>
      <c r="BC295" s="13">
        <v>23</v>
      </c>
      <c r="BD295" s="13">
        <v>24</v>
      </c>
      <c r="DC295" s="6" t="s">
        <v>671</v>
      </c>
      <c r="DD295" s="6" t="s">
        <v>177</v>
      </c>
      <c r="DH295" s="6" t="str">
        <f t="shared" si="144"/>
        <v>A15</v>
      </c>
      <c r="DI295" s="6" t="str">
        <f t="shared" si="145"/>
        <v>B15</v>
      </c>
      <c r="DK295" s="6" t="s">
        <v>173</v>
      </c>
      <c r="DL295" s="6" t="str">
        <f t="shared" si="146"/>
        <v/>
      </c>
      <c r="DO295" s="9" t="s">
        <v>170</v>
      </c>
      <c r="DP295" s="6" t="s">
        <v>171</v>
      </c>
      <c r="DQ295" s="6" t="s">
        <v>645</v>
      </c>
      <c r="DS295" s="6" t="str">
        <f t="shared" si="147"/>
        <v>AKB331</v>
      </c>
      <c r="DT295" s="10" t="str">
        <f t="shared" si="148"/>
        <v>FCS0111-5-4/1S–MC–120-F1-CN1</v>
      </c>
      <c r="DU295" s="6" t="str">
        <f t="shared" si="149"/>
        <v/>
      </c>
      <c r="DV295" s="19">
        <v>1</v>
      </c>
      <c r="DW295" s="20" t="str">
        <f t="shared" si="150"/>
        <v>11</v>
      </c>
      <c r="DX295" s="21">
        <v>5</v>
      </c>
      <c r="DY295" s="22">
        <v>4</v>
      </c>
      <c r="DZ295" s="23" t="s">
        <v>204</v>
      </c>
      <c r="EA295" s="23">
        <v>15</v>
      </c>
      <c r="ED295" s="9" t="str">
        <f t="shared" si="151"/>
        <v>ANB10D</v>
      </c>
      <c r="EF295" s="6" t="s">
        <v>672</v>
      </c>
      <c r="EH295" s="6" t="s">
        <v>851</v>
      </c>
      <c r="EI295" s="6" t="s">
        <v>677</v>
      </c>
      <c r="EJ295" s="12">
        <v>200</v>
      </c>
      <c r="EN295" s="6" t="s">
        <v>1125</v>
      </c>
      <c r="EP295" s="6" t="s">
        <v>1152</v>
      </c>
      <c r="ET295" s="6" t="str">
        <f t="shared" si="152"/>
        <v>짝수</v>
      </c>
      <c r="EU295" s="12">
        <v>60</v>
      </c>
      <c r="EV295" s="45" t="str">
        <f t="shared" ca="1" si="157"/>
        <v>C</v>
      </c>
      <c r="EW295" s="6">
        <f t="shared" ca="1" si="153"/>
        <v>67</v>
      </c>
      <c r="FR295" s="6">
        <v>1</v>
      </c>
      <c r="FS295" s="6">
        <f t="shared" si="154"/>
        <v>1</v>
      </c>
      <c r="FT295" s="6">
        <f t="shared" si="155"/>
        <v>1</v>
      </c>
      <c r="FU295" s="6" t="str">
        <f t="shared" ca="1" si="158"/>
        <v>F1-11</v>
      </c>
      <c r="FV295" s="6" t="str">
        <f t="shared" ca="1" si="156"/>
        <v>F1-12</v>
      </c>
      <c r="FW295" s="6" t="s">
        <v>1093</v>
      </c>
      <c r="FX295" s="6" t="s">
        <v>1094</v>
      </c>
      <c r="FY295" s="6" t="s">
        <v>1093</v>
      </c>
      <c r="FZ295" s="6" t="s">
        <v>1094</v>
      </c>
    </row>
    <row r="296" spans="1:182" ht="15.95" customHeight="1">
      <c r="A296" s="6">
        <v>512</v>
      </c>
      <c r="B296" s="6" t="s">
        <v>175</v>
      </c>
      <c r="E296" s="6" t="s">
        <v>852</v>
      </c>
      <c r="F296" s="6" t="s">
        <v>1555</v>
      </c>
      <c r="G296" s="6" t="s">
        <v>1290</v>
      </c>
      <c r="H296" s="7" t="s">
        <v>1291</v>
      </c>
      <c r="I296" s="7"/>
      <c r="J296" s="6" t="e">
        <v>#N/A</v>
      </c>
      <c r="K296" s="6" t="e">
        <v>#N/A</v>
      </c>
      <c r="N296" s="6" t="e">
        <v>#N/A</v>
      </c>
      <c r="O296" s="6" t="e">
        <v>#N/A</v>
      </c>
      <c r="R296" s="101" t="e">
        <v>#N/A</v>
      </c>
      <c r="Y296" s="6" t="e">
        <v>#N/A</v>
      </c>
      <c r="Z296" s="6" t="e">
        <v>#N/A</v>
      </c>
      <c r="AA296" s="6" t="e">
        <v>#N/A</v>
      </c>
      <c r="AD296" s="6" t="e">
        <v>#N/A</v>
      </c>
      <c r="AE296" s="6" t="e">
        <v>#N/A</v>
      </c>
      <c r="AG296" s="6" t="e">
        <v>#N/A</v>
      </c>
      <c r="AY296" s="8" t="s">
        <v>176</v>
      </c>
      <c r="AZ296" s="8" t="s">
        <v>195</v>
      </c>
      <c r="BA296" s="13" t="s">
        <v>670</v>
      </c>
      <c r="BB296" s="13" t="s">
        <v>7</v>
      </c>
      <c r="BC296" s="13">
        <v>7</v>
      </c>
      <c r="BD296" s="13">
        <v>8</v>
      </c>
      <c r="DC296" s="6" t="s">
        <v>671</v>
      </c>
      <c r="DD296" s="6" t="s">
        <v>177</v>
      </c>
      <c r="DH296" s="6" t="str">
        <f t="shared" si="144"/>
        <v>A16</v>
      </c>
      <c r="DI296" s="6" t="str">
        <f t="shared" si="145"/>
        <v>B16</v>
      </c>
      <c r="DK296" s="6" t="s">
        <v>173</v>
      </c>
      <c r="DL296" s="6" t="str">
        <f t="shared" si="146"/>
        <v/>
      </c>
      <c r="DO296" s="9" t="s">
        <v>170</v>
      </c>
      <c r="DP296" s="6" t="s">
        <v>171</v>
      </c>
      <c r="DQ296" s="6" t="s">
        <v>645</v>
      </c>
      <c r="DS296" s="6" t="str">
        <f t="shared" si="147"/>
        <v>AKB331</v>
      </c>
      <c r="DT296" s="10" t="str">
        <f t="shared" si="148"/>
        <v>FCS0111-5-4/1S–MC–120-F1-CN1</v>
      </c>
      <c r="DU296" s="6" t="str">
        <f t="shared" si="149"/>
        <v/>
      </c>
      <c r="DV296" s="19">
        <v>1</v>
      </c>
      <c r="DW296" s="20" t="str">
        <f t="shared" si="150"/>
        <v>11</v>
      </c>
      <c r="DX296" s="21">
        <v>5</v>
      </c>
      <c r="DY296" s="22">
        <v>4</v>
      </c>
      <c r="DZ296" s="23" t="s">
        <v>204</v>
      </c>
      <c r="EA296" s="23">
        <v>16</v>
      </c>
      <c r="ED296" s="9" t="str">
        <f t="shared" si="151"/>
        <v>ANB10D</v>
      </c>
      <c r="EF296" s="6" t="s">
        <v>672</v>
      </c>
      <c r="EH296" s="6" t="s">
        <v>852</v>
      </c>
      <c r="EI296" s="6" t="s">
        <v>673</v>
      </c>
      <c r="EJ296" s="12">
        <v>200</v>
      </c>
      <c r="EN296" s="6" t="s">
        <v>1125</v>
      </c>
      <c r="EP296" s="6" t="s">
        <v>1152</v>
      </c>
      <c r="ET296" s="6" t="str">
        <f t="shared" si="152"/>
        <v>짝수</v>
      </c>
      <c r="EU296" s="12">
        <v>60</v>
      </c>
      <c r="EV296" s="45" t="str">
        <f t="shared" ca="1" si="157"/>
        <v>D</v>
      </c>
      <c r="EW296" s="6">
        <f t="shared" ca="1" si="153"/>
        <v>68</v>
      </c>
      <c r="FR296" s="6">
        <v>1</v>
      </c>
      <c r="FS296" s="6">
        <f t="shared" si="154"/>
        <v>1</v>
      </c>
      <c r="FT296" s="6">
        <f t="shared" si="155"/>
        <v>1</v>
      </c>
      <c r="FU296" s="6" t="str">
        <f t="shared" ca="1" si="158"/>
        <v>F1-11</v>
      </c>
      <c r="FV296" s="6" t="str">
        <f t="shared" ca="1" si="156"/>
        <v>F1-12</v>
      </c>
      <c r="FW296" s="6" t="s">
        <v>1093</v>
      </c>
      <c r="FX296" s="6" t="s">
        <v>1094</v>
      </c>
      <c r="FY296" s="6" t="s">
        <v>1093</v>
      </c>
      <c r="FZ296" s="6" t="s">
        <v>1094</v>
      </c>
    </row>
    <row r="297" spans="1:182" ht="15.95" customHeight="1">
      <c r="A297" s="6">
        <v>513</v>
      </c>
      <c r="B297" s="6" t="s">
        <v>175</v>
      </c>
      <c r="E297" s="6" t="s">
        <v>853</v>
      </c>
      <c r="F297" s="6" t="s">
        <v>1556</v>
      </c>
      <c r="G297" s="6" t="s">
        <v>1290</v>
      </c>
      <c r="H297" s="7" t="s">
        <v>1291</v>
      </c>
      <c r="I297" s="7"/>
      <c r="J297" s="6" t="e">
        <v>#N/A</v>
      </c>
      <c r="K297" s="6" t="e">
        <v>#N/A</v>
      </c>
      <c r="N297" s="6" t="e">
        <v>#N/A</v>
      </c>
      <c r="O297" s="6" t="e">
        <v>#N/A</v>
      </c>
      <c r="R297" s="101" t="e">
        <v>#N/A</v>
      </c>
      <c r="Y297" s="6" t="e">
        <v>#N/A</v>
      </c>
      <c r="Z297" s="6" t="e">
        <v>#N/A</v>
      </c>
      <c r="AA297" s="6" t="e">
        <v>#N/A</v>
      </c>
      <c r="AD297" s="6" t="e">
        <v>#N/A</v>
      </c>
      <c r="AE297" s="6" t="e">
        <v>#N/A</v>
      </c>
      <c r="AG297" s="6" t="e">
        <v>#N/A</v>
      </c>
      <c r="AY297" s="8" t="s">
        <v>176</v>
      </c>
      <c r="AZ297" s="8" t="s">
        <v>195</v>
      </c>
      <c r="BA297" s="13" t="s">
        <v>670</v>
      </c>
      <c r="BB297" s="13" t="s">
        <v>7</v>
      </c>
      <c r="BC297" s="13">
        <v>9</v>
      </c>
      <c r="BD297" s="13">
        <v>10</v>
      </c>
      <c r="DC297" s="6" t="s">
        <v>671</v>
      </c>
      <c r="DD297" s="6" t="s">
        <v>177</v>
      </c>
      <c r="DH297" s="6" t="str">
        <f t="shared" si="144"/>
        <v>A17</v>
      </c>
      <c r="DI297" s="6" t="str">
        <f t="shared" si="145"/>
        <v>B17</v>
      </c>
      <c r="DK297" s="6" t="s">
        <v>173</v>
      </c>
      <c r="DL297" s="6" t="str">
        <f t="shared" si="146"/>
        <v/>
      </c>
      <c r="DO297" s="9" t="s">
        <v>170</v>
      </c>
      <c r="DP297" s="6" t="s">
        <v>171</v>
      </c>
      <c r="DQ297" s="6" t="s">
        <v>645</v>
      </c>
      <c r="DS297" s="6" t="str">
        <f t="shared" ref="DS297:DS357" si="159">IF(MID(EF297,2,1)="A","KS1","AKB331")</f>
        <v>AKB331</v>
      </c>
      <c r="DT297" s="10" t="str">
        <f t="shared" ref="DT297:DT357" si="160">DQ297&amp;"-"&amp;DX297&amp;"-"&amp;DY297&amp;"/"&amp;BA297&amp;"-"&amp;DD297&amp;"-"&amp;DK297</f>
        <v>FCS0111-5-4/1S–MC–120-F1-CN1</v>
      </c>
      <c r="DU297" s="6" t="str">
        <f t="shared" ref="DU297:DU357" si="161">IF(DL297="","",DQ297&amp;"-"&amp;DX297&amp;"-"&amp;DY297&amp;"/"&amp;BA297&amp;"-"&amp;DD297&amp;"-"&amp;DL297)</f>
        <v/>
      </c>
      <c r="DV297" s="19">
        <v>1</v>
      </c>
      <c r="DW297" s="20" t="str">
        <f t="shared" ref="DW297:DW357" si="162">RIGHT(DQ297,2)</f>
        <v>11</v>
      </c>
      <c r="DX297" s="21">
        <v>5</v>
      </c>
      <c r="DY297" s="22">
        <v>4</v>
      </c>
      <c r="DZ297" s="23" t="s">
        <v>204</v>
      </c>
      <c r="EA297" s="23">
        <v>17</v>
      </c>
      <c r="ED297" s="9" t="str">
        <f t="shared" ref="ED297:ED326" si="163">IF(DX297="1","AFV30D","ANB10D")</f>
        <v>ANB10D</v>
      </c>
      <c r="EF297" s="6" t="s">
        <v>672</v>
      </c>
      <c r="EH297" s="6" t="s">
        <v>853</v>
      </c>
      <c r="EI297" s="6" t="s">
        <v>675</v>
      </c>
      <c r="EJ297" s="12">
        <v>200</v>
      </c>
      <c r="EN297" s="6" t="s">
        <v>1125</v>
      </c>
      <c r="EP297" s="6" t="s">
        <v>1152</v>
      </c>
      <c r="ET297" s="6" t="str">
        <f t="shared" si="152"/>
        <v>홀수</v>
      </c>
      <c r="EU297" s="12">
        <v>61</v>
      </c>
      <c r="EV297" s="45" t="str">
        <f t="shared" ca="1" si="157"/>
        <v>A</v>
      </c>
      <c r="EW297" s="6">
        <f t="shared" ca="1" si="153"/>
        <v>65</v>
      </c>
      <c r="FR297" s="6">
        <v>1</v>
      </c>
      <c r="FS297" s="6">
        <f t="shared" si="154"/>
        <v>1</v>
      </c>
      <c r="FT297" s="6">
        <f t="shared" si="155"/>
        <v>1</v>
      </c>
      <c r="FU297" s="6" t="str">
        <f t="shared" ca="1" si="158"/>
        <v>F1-11</v>
      </c>
      <c r="FV297" s="6" t="str">
        <f t="shared" ca="1" si="156"/>
        <v>F1-12</v>
      </c>
      <c r="FW297" s="6" t="s">
        <v>1093</v>
      </c>
      <c r="FX297" s="6" t="s">
        <v>1094</v>
      </c>
      <c r="FY297" s="6" t="s">
        <v>1093</v>
      </c>
      <c r="FZ297" s="6" t="s">
        <v>1094</v>
      </c>
    </row>
    <row r="298" spans="1:182" ht="15.95" customHeight="1">
      <c r="A298" s="6">
        <v>514</v>
      </c>
      <c r="B298" s="6" t="s">
        <v>175</v>
      </c>
      <c r="E298" s="6" t="s">
        <v>854</v>
      </c>
      <c r="F298" s="6" t="s">
        <v>1557</v>
      </c>
      <c r="G298" s="6" t="s">
        <v>1290</v>
      </c>
      <c r="H298" s="7" t="s">
        <v>1291</v>
      </c>
      <c r="I298" s="7"/>
      <c r="J298" s="6" t="e">
        <v>#N/A</v>
      </c>
      <c r="K298" s="6" t="e">
        <v>#N/A</v>
      </c>
      <c r="N298" s="6" t="e">
        <v>#N/A</v>
      </c>
      <c r="O298" s="6" t="e">
        <v>#N/A</v>
      </c>
      <c r="R298" s="101" t="e">
        <v>#N/A</v>
      </c>
      <c r="Y298" s="6" t="e">
        <v>#N/A</v>
      </c>
      <c r="Z298" s="6" t="e">
        <v>#N/A</v>
      </c>
      <c r="AA298" s="6" t="e">
        <v>#N/A</v>
      </c>
      <c r="AD298" s="6" t="e">
        <v>#N/A</v>
      </c>
      <c r="AE298" s="6" t="e">
        <v>#N/A</v>
      </c>
      <c r="AG298" s="6" t="e">
        <v>#N/A</v>
      </c>
      <c r="AY298" s="8" t="s">
        <v>176</v>
      </c>
      <c r="AZ298" s="8" t="s">
        <v>195</v>
      </c>
      <c r="BA298" s="13" t="s">
        <v>670</v>
      </c>
      <c r="BB298" s="13" t="s">
        <v>7</v>
      </c>
      <c r="BC298" s="13">
        <v>11</v>
      </c>
      <c r="BD298" s="13">
        <v>12</v>
      </c>
      <c r="DC298" s="6" t="s">
        <v>671</v>
      </c>
      <c r="DD298" s="6" t="s">
        <v>177</v>
      </c>
      <c r="DH298" s="6" t="str">
        <f t="shared" ref="DH298:DH359" si="164">"A"&amp;EA298</f>
        <v>A18</v>
      </c>
      <c r="DI298" s="6" t="str">
        <f t="shared" ref="DI298:DI359" si="165">"B"&amp;EA298</f>
        <v>B18</v>
      </c>
      <c r="DK298" s="6" t="s">
        <v>173</v>
      </c>
      <c r="DL298" s="6" t="str">
        <f t="shared" ref="DL298:DL359" si="166">IF(DZ298&lt;&gt;"","CN2","")</f>
        <v/>
      </c>
      <c r="DO298" s="9" t="s">
        <v>170</v>
      </c>
      <c r="DP298" s="6" t="s">
        <v>171</v>
      </c>
      <c r="DQ298" s="6" t="s">
        <v>645</v>
      </c>
      <c r="DS298" s="6" t="str">
        <f t="shared" si="159"/>
        <v>AKB331</v>
      </c>
      <c r="DT298" s="10" t="str">
        <f t="shared" si="160"/>
        <v>FCS0111-5-4/1S–MC–120-F1-CN1</v>
      </c>
      <c r="DU298" s="6" t="str">
        <f t="shared" si="161"/>
        <v/>
      </c>
      <c r="DV298" s="19">
        <v>1</v>
      </c>
      <c r="DW298" s="20" t="str">
        <f t="shared" si="162"/>
        <v>11</v>
      </c>
      <c r="DX298" s="21">
        <v>5</v>
      </c>
      <c r="DY298" s="22">
        <v>4</v>
      </c>
      <c r="DZ298" s="23" t="s">
        <v>204</v>
      </c>
      <c r="EA298" s="23">
        <v>18</v>
      </c>
      <c r="ED298" s="9" t="str">
        <f t="shared" si="163"/>
        <v>ANB10D</v>
      </c>
      <c r="EF298" s="6" t="s">
        <v>672</v>
      </c>
      <c r="EH298" s="6" t="s">
        <v>854</v>
      </c>
      <c r="EI298" s="6" t="s">
        <v>677</v>
      </c>
      <c r="EJ298" s="12">
        <v>200</v>
      </c>
      <c r="EN298" s="6" t="s">
        <v>1125</v>
      </c>
      <c r="EP298" s="6" t="s">
        <v>1152</v>
      </c>
      <c r="ET298" s="6" t="str">
        <f t="shared" si="152"/>
        <v>홀수</v>
      </c>
      <c r="EU298" s="12">
        <v>61</v>
      </c>
      <c r="EV298" s="45" t="str">
        <f t="shared" ca="1" si="157"/>
        <v>B</v>
      </c>
      <c r="EW298" s="6">
        <f t="shared" ca="1" si="153"/>
        <v>66</v>
      </c>
      <c r="FR298" s="6">
        <v>1</v>
      </c>
      <c r="FS298" s="6">
        <f t="shared" si="154"/>
        <v>1</v>
      </c>
      <c r="FT298" s="6">
        <f t="shared" si="155"/>
        <v>1</v>
      </c>
      <c r="FU298" s="6" t="str">
        <f t="shared" ca="1" si="158"/>
        <v>F1-11</v>
      </c>
      <c r="FV298" s="6" t="str">
        <f t="shared" ca="1" si="156"/>
        <v>F1-12</v>
      </c>
      <c r="FW298" s="6" t="s">
        <v>1093</v>
      </c>
      <c r="FX298" s="6" t="s">
        <v>1094</v>
      </c>
      <c r="FY298" s="6" t="s">
        <v>1093</v>
      </c>
      <c r="FZ298" s="6" t="s">
        <v>1094</v>
      </c>
    </row>
    <row r="299" spans="1:182" ht="15.95" customHeight="1">
      <c r="A299" s="6">
        <v>515</v>
      </c>
      <c r="B299" s="6" t="s">
        <v>175</v>
      </c>
      <c r="E299" s="6" t="s">
        <v>855</v>
      </c>
      <c r="F299" s="6" t="s">
        <v>1558</v>
      </c>
      <c r="G299" s="6" t="s">
        <v>1290</v>
      </c>
      <c r="H299" s="7" t="s">
        <v>1291</v>
      </c>
      <c r="I299" s="7"/>
      <c r="J299" s="6" t="e">
        <v>#N/A</v>
      </c>
      <c r="K299" s="6" t="e">
        <v>#N/A</v>
      </c>
      <c r="N299" s="6" t="e">
        <v>#N/A</v>
      </c>
      <c r="O299" s="6" t="e">
        <v>#N/A</v>
      </c>
      <c r="R299" s="101" t="e">
        <v>#N/A</v>
      </c>
      <c r="Y299" s="6" t="e">
        <v>#N/A</v>
      </c>
      <c r="Z299" s="6" t="e">
        <v>#N/A</v>
      </c>
      <c r="AA299" s="6" t="e">
        <v>#N/A</v>
      </c>
      <c r="AD299" s="6" t="e">
        <v>#N/A</v>
      </c>
      <c r="AE299" s="6" t="e">
        <v>#N/A</v>
      </c>
      <c r="AG299" s="6" t="e">
        <v>#N/A</v>
      </c>
      <c r="AY299" s="8" t="s">
        <v>176</v>
      </c>
      <c r="AZ299" s="8" t="s">
        <v>195</v>
      </c>
      <c r="BA299" s="13" t="s">
        <v>670</v>
      </c>
      <c r="BB299" s="13" t="s">
        <v>7</v>
      </c>
      <c r="BC299" s="13">
        <v>13</v>
      </c>
      <c r="BD299" s="13">
        <v>14</v>
      </c>
      <c r="DC299" s="6" t="s">
        <v>671</v>
      </c>
      <c r="DD299" s="6" t="s">
        <v>177</v>
      </c>
      <c r="DH299" s="6" t="str">
        <f t="shared" si="164"/>
        <v>A19</v>
      </c>
      <c r="DI299" s="6" t="str">
        <f t="shared" si="165"/>
        <v>B19</v>
      </c>
      <c r="DK299" s="6" t="s">
        <v>173</v>
      </c>
      <c r="DL299" s="6" t="str">
        <f t="shared" si="166"/>
        <v/>
      </c>
      <c r="DO299" s="9" t="s">
        <v>170</v>
      </c>
      <c r="DP299" s="6" t="s">
        <v>171</v>
      </c>
      <c r="DQ299" s="6" t="s">
        <v>645</v>
      </c>
      <c r="DS299" s="6" t="str">
        <f t="shared" si="159"/>
        <v>AKB331</v>
      </c>
      <c r="DT299" s="10" t="str">
        <f t="shared" si="160"/>
        <v>FCS0111-5-4/1S–MC–120-F1-CN1</v>
      </c>
      <c r="DU299" s="6" t="str">
        <f t="shared" si="161"/>
        <v/>
      </c>
      <c r="DV299" s="19">
        <v>1</v>
      </c>
      <c r="DW299" s="20" t="str">
        <f t="shared" si="162"/>
        <v>11</v>
      </c>
      <c r="DX299" s="21">
        <v>5</v>
      </c>
      <c r="DY299" s="22">
        <v>4</v>
      </c>
      <c r="DZ299" s="23" t="s">
        <v>204</v>
      </c>
      <c r="EA299" s="23">
        <v>19</v>
      </c>
      <c r="ED299" s="9" t="str">
        <f t="shared" si="163"/>
        <v>ANB10D</v>
      </c>
      <c r="EF299" s="6" t="s">
        <v>672</v>
      </c>
      <c r="EH299" s="6" t="s">
        <v>855</v>
      </c>
      <c r="EI299" s="6" t="s">
        <v>673</v>
      </c>
      <c r="EJ299" s="12">
        <v>200</v>
      </c>
      <c r="EN299" s="6" t="s">
        <v>1125</v>
      </c>
      <c r="EP299" s="6" t="s">
        <v>1152</v>
      </c>
      <c r="ET299" s="6" t="str">
        <f t="shared" si="152"/>
        <v>홀수</v>
      </c>
      <c r="EU299" s="12">
        <v>61</v>
      </c>
      <c r="EV299" s="45" t="str">
        <f t="shared" ca="1" si="157"/>
        <v>C</v>
      </c>
      <c r="EW299" s="6">
        <f t="shared" ca="1" si="153"/>
        <v>67</v>
      </c>
      <c r="FR299" s="6">
        <v>1</v>
      </c>
      <c r="FS299" s="6">
        <f t="shared" si="154"/>
        <v>1</v>
      </c>
      <c r="FT299" s="6">
        <f t="shared" si="155"/>
        <v>1</v>
      </c>
      <c r="FU299" s="6" t="str">
        <f t="shared" ca="1" si="158"/>
        <v>F1-11</v>
      </c>
      <c r="FV299" s="6" t="str">
        <f t="shared" ca="1" si="156"/>
        <v>F1-12</v>
      </c>
      <c r="FW299" s="6" t="s">
        <v>1093</v>
      </c>
      <c r="FX299" s="6" t="s">
        <v>1094</v>
      </c>
      <c r="FY299" s="6" t="s">
        <v>1093</v>
      </c>
      <c r="FZ299" s="6" t="s">
        <v>1094</v>
      </c>
    </row>
    <row r="300" spans="1:182" ht="15.95" customHeight="1">
      <c r="A300" s="6">
        <v>516</v>
      </c>
      <c r="B300" s="6" t="s">
        <v>175</v>
      </c>
      <c r="E300" s="6" t="s">
        <v>856</v>
      </c>
      <c r="F300" s="6" t="s">
        <v>1559</v>
      </c>
      <c r="G300" s="6" t="s">
        <v>1290</v>
      </c>
      <c r="H300" s="7" t="s">
        <v>1291</v>
      </c>
      <c r="I300" s="7"/>
      <c r="J300" s="6" t="e">
        <v>#N/A</v>
      </c>
      <c r="K300" s="6" t="e">
        <v>#N/A</v>
      </c>
      <c r="N300" s="6" t="e">
        <v>#N/A</v>
      </c>
      <c r="O300" s="6" t="e">
        <v>#N/A</v>
      </c>
      <c r="R300" s="101" t="e">
        <v>#N/A</v>
      </c>
      <c r="Y300" s="6" t="e">
        <v>#N/A</v>
      </c>
      <c r="Z300" s="6" t="e">
        <v>#N/A</v>
      </c>
      <c r="AA300" s="6" t="e">
        <v>#N/A</v>
      </c>
      <c r="AD300" s="6" t="e">
        <v>#N/A</v>
      </c>
      <c r="AE300" s="6" t="e">
        <v>#N/A</v>
      </c>
      <c r="AG300" s="6" t="e">
        <v>#N/A</v>
      </c>
      <c r="AY300" s="8" t="s">
        <v>176</v>
      </c>
      <c r="AZ300" s="8" t="s">
        <v>195</v>
      </c>
      <c r="BA300" s="13" t="s">
        <v>670</v>
      </c>
      <c r="BB300" s="13" t="s">
        <v>7</v>
      </c>
      <c r="BC300" s="13">
        <v>15</v>
      </c>
      <c r="BD300" s="13">
        <v>16</v>
      </c>
      <c r="DC300" s="6" t="s">
        <v>671</v>
      </c>
      <c r="DD300" s="6" t="s">
        <v>177</v>
      </c>
      <c r="DH300" s="6" t="str">
        <f t="shared" si="164"/>
        <v>A20</v>
      </c>
      <c r="DI300" s="6" t="str">
        <f t="shared" si="165"/>
        <v>B20</v>
      </c>
      <c r="DK300" s="6" t="s">
        <v>173</v>
      </c>
      <c r="DL300" s="6" t="str">
        <f t="shared" si="166"/>
        <v/>
      </c>
      <c r="DO300" s="9" t="s">
        <v>170</v>
      </c>
      <c r="DP300" s="6" t="s">
        <v>171</v>
      </c>
      <c r="DQ300" s="6" t="s">
        <v>645</v>
      </c>
      <c r="DS300" s="6" t="str">
        <f t="shared" si="159"/>
        <v>AKB331</v>
      </c>
      <c r="DT300" s="10" t="str">
        <f t="shared" si="160"/>
        <v>FCS0111-5-4/1S–MC–120-F1-CN1</v>
      </c>
      <c r="DU300" s="6" t="str">
        <f t="shared" si="161"/>
        <v/>
      </c>
      <c r="DV300" s="19">
        <v>1</v>
      </c>
      <c r="DW300" s="20" t="str">
        <f t="shared" si="162"/>
        <v>11</v>
      </c>
      <c r="DX300" s="21">
        <v>5</v>
      </c>
      <c r="DY300" s="22">
        <v>4</v>
      </c>
      <c r="DZ300" s="23" t="s">
        <v>204</v>
      </c>
      <c r="EA300" s="23">
        <v>20</v>
      </c>
      <c r="ED300" s="9" t="str">
        <f t="shared" si="163"/>
        <v>ANB10D</v>
      </c>
      <c r="EF300" s="6" t="s">
        <v>672</v>
      </c>
      <c r="EH300" s="6" t="s">
        <v>856</v>
      </c>
      <c r="EI300" s="6" t="s">
        <v>675</v>
      </c>
      <c r="EJ300" s="12">
        <v>200</v>
      </c>
      <c r="EN300" s="6" t="s">
        <v>1125</v>
      </c>
      <c r="EP300" s="6" t="s">
        <v>1152</v>
      </c>
      <c r="ET300" s="6" t="str">
        <f t="shared" si="152"/>
        <v>홀수</v>
      </c>
      <c r="EU300" s="12">
        <v>61</v>
      </c>
      <c r="EV300" s="45" t="str">
        <f t="shared" ca="1" si="157"/>
        <v>D</v>
      </c>
      <c r="EW300" s="6">
        <f t="shared" ca="1" si="153"/>
        <v>68</v>
      </c>
      <c r="FR300" s="6">
        <v>1</v>
      </c>
      <c r="FS300" s="6">
        <f t="shared" si="154"/>
        <v>1</v>
      </c>
      <c r="FT300" s="6">
        <f t="shared" si="155"/>
        <v>1</v>
      </c>
      <c r="FU300" s="6" t="str">
        <f t="shared" ca="1" si="158"/>
        <v>F1-11</v>
      </c>
      <c r="FV300" s="6" t="str">
        <f t="shared" ca="1" si="156"/>
        <v>F1-12</v>
      </c>
      <c r="FW300" s="6" t="s">
        <v>1093</v>
      </c>
      <c r="FX300" s="6" t="s">
        <v>1094</v>
      </c>
      <c r="FY300" s="6" t="s">
        <v>1093</v>
      </c>
      <c r="FZ300" s="6" t="s">
        <v>1094</v>
      </c>
    </row>
    <row r="301" spans="1:182" ht="15.95" customHeight="1">
      <c r="A301" s="6">
        <v>517</v>
      </c>
      <c r="B301" s="6" t="s">
        <v>175</v>
      </c>
      <c r="E301" s="6" t="s">
        <v>857</v>
      </c>
      <c r="F301" s="6" t="s">
        <v>1560</v>
      </c>
      <c r="G301" s="6" t="s">
        <v>1290</v>
      </c>
      <c r="H301" s="7" t="s">
        <v>1291</v>
      </c>
      <c r="I301" s="7"/>
      <c r="J301" s="6" t="e">
        <v>#N/A</v>
      </c>
      <c r="K301" s="6" t="e">
        <v>#N/A</v>
      </c>
      <c r="N301" s="6" t="e">
        <v>#N/A</v>
      </c>
      <c r="O301" s="6" t="e">
        <v>#N/A</v>
      </c>
      <c r="R301" s="101" t="e">
        <v>#N/A</v>
      </c>
      <c r="Y301" s="6" t="e">
        <v>#N/A</v>
      </c>
      <c r="Z301" s="6" t="e">
        <v>#N/A</v>
      </c>
      <c r="AA301" s="6" t="e">
        <v>#N/A</v>
      </c>
      <c r="AD301" s="6" t="e">
        <v>#N/A</v>
      </c>
      <c r="AE301" s="6" t="e">
        <v>#N/A</v>
      </c>
      <c r="AG301" s="6" t="e">
        <v>#N/A</v>
      </c>
      <c r="AY301" s="8" t="s">
        <v>176</v>
      </c>
      <c r="AZ301" s="8" t="s">
        <v>195</v>
      </c>
      <c r="BA301" s="13" t="s">
        <v>670</v>
      </c>
      <c r="BB301" s="13" t="s">
        <v>7</v>
      </c>
      <c r="BC301" s="13">
        <v>17</v>
      </c>
      <c r="BD301" s="13">
        <v>18</v>
      </c>
      <c r="DC301" s="6" t="s">
        <v>671</v>
      </c>
      <c r="DD301" s="6" t="s">
        <v>177</v>
      </c>
      <c r="DH301" s="6" t="str">
        <f t="shared" si="164"/>
        <v>A21</v>
      </c>
      <c r="DI301" s="6" t="str">
        <f t="shared" si="165"/>
        <v>B21</v>
      </c>
      <c r="DK301" s="6" t="s">
        <v>173</v>
      </c>
      <c r="DL301" s="6" t="str">
        <f t="shared" si="166"/>
        <v/>
      </c>
      <c r="DO301" s="9" t="s">
        <v>170</v>
      </c>
      <c r="DP301" s="6" t="s">
        <v>171</v>
      </c>
      <c r="DQ301" s="6" t="s">
        <v>645</v>
      </c>
      <c r="DS301" s="6" t="str">
        <f t="shared" si="159"/>
        <v>AKB331</v>
      </c>
      <c r="DT301" s="10" t="str">
        <f t="shared" si="160"/>
        <v>FCS0111-5-4/1S–MC–120-F1-CN1</v>
      </c>
      <c r="DU301" s="6" t="str">
        <f t="shared" si="161"/>
        <v/>
      </c>
      <c r="DV301" s="19">
        <v>1</v>
      </c>
      <c r="DW301" s="20" t="str">
        <f t="shared" si="162"/>
        <v>11</v>
      </c>
      <c r="DX301" s="21">
        <v>5</v>
      </c>
      <c r="DY301" s="22">
        <v>4</v>
      </c>
      <c r="DZ301" s="23" t="s">
        <v>204</v>
      </c>
      <c r="EA301" s="23">
        <v>21</v>
      </c>
      <c r="ED301" s="9" t="str">
        <f t="shared" si="163"/>
        <v>ANB10D</v>
      </c>
      <c r="EF301" s="6" t="s">
        <v>672</v>
      </c>
      <c r="EH301" s="6" t="s">
        <v>857</v>
      </c>
      <c r="EI301" s="6" t="s">
        <v>677</v>
      </c>
      <c r="EJ301" s="12">
        <v>200</v>
      </c>
      <c r="EN301" s="6" t="s">
        <v>1125</v>
      </c>
      <c r="EP301" s="6" t="s">
        <v>1152</v>
      </c>
      <c r="ET301" s="6" t="str">
        <f t="shared" si="152"/>
        <v>짝수</v>
      </c>
      <c r="EU301" s="12">
        <v>62</v>
      </c>
      <c r="EV301" s="45" t="str">
        <f t="shared" ca="1" si="157"/>
        <v>A</v>
      </c>
      <c r="EW301" s="6">
        <f t="shared" ca="1" si="153"/>
        <v>65</v>
      </c>
      <c r="FR301" s="6">
        <v>1</v>
      </c>
      <c r="FS301" s="6">
        <f t="shared" si="154"/>
        <v>1</v>
      </c>
      <c r="FT301" s="6">
        <f t="shared" si="155"/>
        <v>1</v>
      </c>
      <c r="FU301" s="6" t="str">
        <f t="shared" ca="1" si="158"/>
        <v>F1-11</v>
      </c>
      <c r="FV301" s="6" t="str">
        <f t="shared" ca="1" si="156"/>
        <v>F1-12</v>
      </c>
      <c r="FW301" s="6" t="s">
        <v>1093</v>
      </c>
      <c r="FX301" s="6" t="s">
        <v>1094</v>
      </c>
      <c r="FY301" s="6" t="s">
        <v>1093</v>
      </c>
      <c r="FZ301" s="6" t="s">
        <v>1094</v>
      </c>
    </row>
    <row r="302" spans="1:182" ht="15.95" customHeight="1">
      <c r="A302" s="6">
        <v>518</v>
      </c>
      <c r="B302" s="6" t="s">
        <v>175</v>
      </c>
      <c r="E302" s="6" t="s">
        <v>858</v>
      </c>
      <c r="F302" s="6" t="s">
        <v>1561</v>
      </c>
      <c r="G302" s="6" t="s">
        <v>1290</v>
      </c>
      <c r="H302" s="7" t="s">
        <v>1291</v>
      </c>
      <c r="I302" s="7"/>
      <c r="J302" s="6" t="e">
        <v>#N/A</v>
      </c>
      <c r="K302" s="6" t="e">
        <v>#N/A</v>
      </c>
      <c r="N302" s="6" t="e">
        <v>#N/A</v>
      </c>
      <c r="O302" s="6" t="e">
        <v>#N/A</v>
      </c>
      <c r="R302" s="101" t="e">
        <v>#N/A</v>
      </c>
      <c r="Y302" s="6" t="e">
        <v>#N/A</v>
      </c>
      <c r="Z302" s="6" t="e">
        <v>#N/A</v>
      </c>
      <c r="AA302" s="6" t="e">
        <v>#N/A</v>
      </c>
      <c r="AD302" s="6" t="e">
        <v>#N/A</v>
      </c>
      <c r="AE302" s="6" t="e">
        <v>#N/A</v>
      </c>
      <c r="AG302" s="6" t="e">
        <v>#N/A</v>
      </c>
      <c r="AY302" s="8" t="s">
        <v>176</v>
      </c>
      <c r="AZ302" s="8" t="s">
        <v>195</v>
      </c>
      <c r="BA302" s="13" t="s">
        <v>670</v>
      </c>
      <c r="BB302" s="13" t="s">
        <v>7</v>
      </c>
      <c r="BC302" s="13">
        <v>25</v>
      </c>
      <c r="BD302" s="13">
        <v>26</v>
      </c>
      <c r="DC302" s="6" t="s">
        <v>671</v>
      </c>
      <c r="DD302" s="6" t="s">
        <v>177</v>
      </c>
      <c r="DH302" s="6" t="str">
        <f t="shared" si="164"/>
        <v>A22</v>
      </c>
      <c r="DI302" s="6" t="str">
        <f t="shared" si="165"/>
        <v>B22</v>
      </c>
      <c r="DK302" s="6" t="s">
        <v>173</v>
      </c>
      <c r="DL302" s="6" t="str">
        <f t="shared" si="166"/>
        <v/>
      </c>
      <c r="DO302" s="9" t="s">
        <v>170</v>
      </c>
      <c r="DP302" s="6" t="s">
        <v>171</v>
      </c>
      <c r="DQ302" s="6" t="s">
        <v>645</v>
      </c>
      <c r="DS302" s="6" t="str">
        <f t="shared" si="159"/>
        <v>AKB331</v>
      </c>
      <c r="DT302" s="10" t="str">
        <f t="shared" si="160"/>
        <v>FCS0111-5-4/1S–MC–120-F1-CN1</v>
      </c>
      <c r="DU302" s="6" t="str">
        <f t="shared" si="161"/>
        <v/>
      </c>
      <c r="DV302" s="19">
        <v>1</v>
      </c>
      <c r="DW302" s="20" t="str">
        <f t="shared" si="162"/>
        <v>11</v>
      </c>
      <c r="DX302" s="21">
        <v>5</v>
      </c>
      <c r="DY302" s="22">
        <v>4</v>
      </c>
      <c r="DZ302" s="23" t="s">
        <v>204</v>
      </c>
      <c r="EA302" s="23">
        <v>22</v>
      </c>
      <c r="ED302" s="9" t="str">
        <f t="shared" si="163"/>
        <v>ANB10D</v>
      </c>
      <c r="EF302" s="6" t="s">
        <v>672</v>
      </c>
      <c r="EH302" s="6" t="s">
        <v>858</v>
      </c>
      <c r="EI302" s="6" t="s">
        <v>673</v>
      </c>
      <c r="EJ302" s="12">
        <v>200</v>
      </c>
      <c r="EN302" s="6" t="s">
        <v>1125</v>
      </c>
      <c r="EP302" s="6" t="s">
        <v>1152</v>
      </c>
      <c r="ET302" s="6" t="str">
        <f t="shared" si="152"/>
        <v>짝수</v>
      </c>
      <c r="EU302" s="12">
        <v>62</v>
      </c>
      <c r="EV302" s="45" t="str">
        <f t="shared" ca="1" si="157"/>
        <v>B</v>
      </c>
      <c r="EW302" s="6">
        <f t="shared" ca="1" si="153"/>
        <v>66</v>
      </c>
      <c r="FR302" s="6">
        <v>1</v>
      </c>
      <c r="FS302" s="6">
        <f t="shared" si="154"/>
        <v>1</v>
      </c>
      <c r="FT302" s="6">
        <f t="shared" si="155"/>
        <v>1</v>
      </c>
      <c r="FU302" s="6" t="str">
        <f t="shared" ca="1" si="158"/>
        <v>F1-11</v>
      </c>
      <c r="FV302" s="6" t="str">
        <f t="shared" ca="1" si="156"/>
        <v>F1-12</v>
      </c>
      <c r="FW302" s="6" t="s">
        <v>1093</v>
      </c>
      <c r="FX302" s="6" t="s">
        <v>1094</v>
      </c>
      <c r="FY302" s="6" t="s">
        <v>1093</v>
      </c>
      <c r="FZ302" s="6" t="s">
        <v>1094</v>
      </c>
    </row>
    <row r="303" spans="1:182" ht="15.95" customHeight="1">
      <c r="A303" s="6">
        <v>519</v>
      </c>
      <c r="B303" s="6" t="s">
        <v>175</v>
      </c>
      <c r="E303" s="6" t="s">
        <v>859</v>
      </c>
      <c r="F303" s="6" t="s">
        <v>1562</v>
      </c>
      <c r="G303" s="6" t="s">
        <v>1290</v>
      </c>
      <c r="H303" s="7" t="s">
        <v>1291</v>
      </c>
      <c r="I303" s="7"/>
      <c r="J303" s="6" t="e">
        <v>#N/A</v>
      </c>
      <c r="K303" s="6" t="e">
        <v>#N/A</v>
      </c>
      <c r="N303" s="6" t="e">
        <v>#N/A</v>
      </c>
      <c r="O303" s="6" t="e">
        <v>#N/A</v>
      </c>
      <c r="R303" s="101" t="e">
        <v>#N/A</v>
      </c>
      <c r="Y303" s="6" t="e">
        <v>#N/A</v>
      </c>
      <c r="Z303" s="6" t="e">
        <v>#N/A</v>
      </c>
      <c r="AA303" s="6" t="e">
        <v>#N/A</v>
      </c>
      <c r="AD303" s="6" t="e">
        <v>#N/A</v>
      </c>
      <c r="AE303" s="6" t="e">
        <v>#N/A</v>
      </c>
      <c r="AG303" s="6" t="e">
        <v>#N/A</v>
      </c>
      <c r="AY303" s="8" t="s">
        <v>176</v>
      </c>
      <c r="AZ303" s="8" t="s">
        <v>195</v>
      </c>
      <c r="BA303" s="13" t="s">
        <v>670</v>
      </c>
      <c r="BB303" s="13" t="s">
        <v>7</v>
      </c>
      <c r="BC303" s="13">
        <v>27</v>
      </c>
      <c r="BD303" s="13">
        <v>28</v>
      </c>
      <c r="DC303" s="6" t="s">
        <v>671</v>
      </c>
      <c r="DD303" s="6" t="s">
        <v>177</v>
      </c>
      <c r="DH303" s="6" t="str">
        <f t="shared" si="164"/>
        <v>A23</v>
      </c>
      <c r="DI303" s="6" t="str">
        <f t="shared" si="165"/>
        <v>B23</v>
      </c>
      <c r="DK303" s="6" t="s">
        <v>173</v>
      </c>
      <c r="DL303" s="6" t="str">
        <f t="shared" si="166"/>
        <v/>
      </c>
      <c r="DO303" s="9" t="s">
        <v>170</v>
      </c>
      <c r="DP303" s="6" t="s">
        <v>171</v>
      </c>
      <c r="DQ303" s="6" t="s">
        <v>645</v>
      </c>
      <c r="DS303" s="6" t="str">
        <f t="shared" si="159"/>
        <v>AKB331</v>
      </c>
      <c r="DT303" s="10" t="str">
        <f t="shared" si="160"/>
        <v>FCS0111-5-4/1S–MC–120-F1-CN1</v>
      </c>
      <c r="DU303" s="6" t="str">
        <f t="shared" si="161"/>
        <v/>
      </c>
      <c r="DV303" s="19">
        <v>1</v>
      </c>
      <c r="DW303" s="20" t="str">
        <f t="shared" si="162"/>
        <v>11</v>
      </c>
      <c r="DX303" s="21">
        <v>5</v>
      </c>
      <c r="DY303" s="22">
        <v>4</v>
      </c>
      <c r="DZ303" s="23" t="s">
        <v>204</v>
      </c>
      <c r="EA303" s="23">
        <v>23</v>
      </c>
      <c r="ED303" s="9" t="str">
        <f t="shared" si="163"/>
        <v>ANB10D</v>
      </c>
      <c r="EF303" s="6" t="s">
        <v>672</v>
      </c>
      <c r="EH303" s="6" t="s">
        <v>859</v>
      </c>
      <c r="EI303" s="6" t="s">
        <v>675</v>
      </c>
      <c r="EJ303" s="12">
        <v>200</v>
      </c>
      <c r="EN303" s="6" t="s">
        <v>1125</v>
      </c>
      <c r="EP303" s="6" t="s">
        <v>1152</v>
      </c>
      <c r="ET303" s="6" t="str">
        <f t="shared" si="152"/>
        <v>짝수</v>
      </c>
      <c r="EU303" s="12">
        <v>62</v>
      </c>
      <c r="EV303" s="45" t="str">
        <f t="shared" ca="1" si="157"/>
        <v>C</v>
      </c>
      <c r="EW303" s="6">
        <f t="shared" ca="1" si="153"/>
        <v>67</v>
      </c>
      <c r="FR303" s="6">
        <v>1</v>
      </c>
      <c r="FS303" s="6">
        <f t="shared" si="154"/>
        <v>1</v>
      </c>
      <c r="FT303" s="6">
        <f t="shared" si="155"/>
        <v>1</v>
      </c>
      <c r="FU303" s="6" t="str">
        <f t="shared" ca="1" si="158"/>
        <v>F1-11</v>
      </c>
      <c r="FV303" s="6" t="str">
        <f t="shared" ca="1" si="156"/>
        <v>F1-12</v>
      </c>
      <c r="FW303" s="6" t="s">
        <v>1093</v>
      </c>
      <c r="FX303" s="6" t="s">
        <v>1094</v>
      </c>
      <c r="FY303" s="6" t="s">
        <v>1093</v>
      </c>
      <c r="FZ303" s="6" t="s">
        <v>1094</v>
      </c>
    </row>
    <row r="304" spans="1:182" ht="15.95" customHeight="1">
      <c r="A304" s="6">
        <v>520</v>
      </c>
      <c r="B304" s="6" t="s">
        <v>175</v>
      </c>
      <c r="E304" s="6" t="s">
        <v>860</v>
      </c>
      <c r="F304" s="6" t="s">
        <v>1563</v>
      </c>
      <c r="G304" s="6" t="s">
        <v>1290</v>
      </c>
      <c r="H304" s="7" t="s">
        <v>1291</v>
      </c>
      <c r="I304" s="7"/>
      <c r="J304" s="6" t="e">
        <v>#N/A</v>
      </c>
      <c r="K304" s="6" t="e">
        <v>#N/A</v>
      </c>
      <c r="N304" s="6" t="e">
        <v>#N/A</v>
      </c>
      <c r="O304" s="6" t="e">
        <v>#N/A</v>
      </c>
      <c r="R304" s="101" t="e">
        <v>#N/A</v>
      </c>
      <c r="Y304" s="6" t="e">
        <v>#N/A</v>
      </c>
      <c r="Z304" s="6" t="e">
        <v>#N/A</v>
      </c>
      <c r="AA304" s="6" t="e">
        <v>#N/A</v>
      </c>
      <c r="AD304" s="6" t="e">
        <v>#N/A</v>
      </c>
      <c r="AE304" s="6" t="e">
        <v>#N/A</v>
      </c>
      <c r="AG304" s="6" t="e">
        <v>#N/A</v>
      </c>
      <c r="AY304" s="8" t="s">
        <v>176</v>
      </c>
      <c r="AZ304" s="8" t="s">
        <v>195</v>
      </c>
      <c r="BA304" s="13" t="s">
        <v>670</v>
      </c>
      <c r="BB304" s="13" t="s">
        <v>7</v>
      </c>
      <c r="BC304" s="13">
        <v>29</v>
      </c>
      <c r="BD304" s="13">
        <v>30</v>
      </c>
      <c r="DC304" s="6" t="s">
        <v>671</v>
      </c>
      <c r="DD304" s="6" t="s">
        <v>177</v>
      </c>
      <c r="DH304" s="6" t="str">
        <f t="shared" si="164"/>
        <v>A24</v>
      </c>
      <c r="DI304" s="6" t="str">
        <f t="shared" si="165"/>
        <v>B24</v>
      </c>
      <c r="DK304" s="6" t="s">
        <v>173</v>
      </c>
      <c r="DL304" s="6" t="str">
        <f t="shared" si="166"/>
        <v/>
      </c>
      <c r="DO304" s="9" t="s">
        <v>170</v>
      </c>
      <c r="DP304" s="6" t="s">
        <v>171</v>
      </c>
      <c r="DQ304" s="6" t="s">
        <v>645</v>
      </c>
      <c r="DS304" s="6" t="str">
        <f t="shared" si="159"/>
        <v>AKB331</v>
      </c>
      <c r="DT304" s="10" t="str">
        <f t="shared" si="160"/>
        <v>FCS0111-5-4/1S–MC–120-F1-CN1</v>
      </c>
      <c r="DU304" s="6" t="str">
        <f t="shared" si="161"/>
        <v/>
      </c>
      <c r="DV304" s="19">
        <v>1</v>
      </c>
      <c r="DW304" s="20" t="str">
        <f t="shared" si="162"/>
        <v>11</v>
      </c>
      <c r="DX304" s="21">
        <v>5</v>
      </c>
      <c r="DY304" s="22">
        <v>4</v>
      </c>
      <c r="DZ304" s="23" t="s">
        <v>204</v>
      </c>
      <c r="EA304" s="23">
        <v>24</v>
      </c>
      <c r="ED304" s="9" t="str">
        <f t="shared" si="163"/>
        <v>ANB10D</v>
      </c>
      <c r="EF304" s="6" t="s">
        <v>672</v>
      </c>
      <c r="EH304" s="6" t="s">
        <v>860</v>
      </c>
      <c r="EI304" s="6" t="s">
        <v>677</v>
      </c>
      <c r="EJ304" s="12">
        <v>200</v>
      </c>
      <c r="EN304" s="6" t="s">
        <v>1125</v>
      </c>
      <c r="EP304" s="6" t="s">
        <v>1152</v>
      </c>
      <c r="ET304" s="6" t="str">
        <f t="shared" si="152"/>
        <v>짝수</v>
      </c>
      <c r="EU304" s="12">
        <v>62</v>
      </c>
      <c r="EV304" s="45" t="str">
        <f t="shared" ca="1" si="157"/>
        <v>D</v>
      </c>
      <c r="EW304" s="6">
        <f t="shared" ca="1" si="153"/>
        <v>68</v>
      </c>
      <c r="FR304" s="6">
        <v>1</v>
      </c>
      <c r="FS304" s="6">
        <f t="shared" si="154"/>
        <v>1</v>
      </c>
      <c r="FT304" s="6">
        <f t="shared" si="155"/>
        <v>1</v>
      </c>
      <c r="FU304" s="6" t="str">
        <f t="shared" ca="1" si="158"/>
        <v>F1-11</v>
      </c>
      <c r="FV304" s="6" t="str">
        <f t="shared" ca="1" si="156"/>
        <v>F1-12</v>
      </c>
      <c r="FW304" s="6" t="s">
        <v>1093</v>
      </c>
      <c r="FX304" s="6" t="s">
        <v>1094</v>
      </c>
      <c r="FY304" s="6" t="s">
        <v>1093</v>
      </c>
      <c r="FZ304" s="6" t="s">
        <v>1094</v>
      </c>
    </row>
    <row r="305" spans="1:182" ht="15.95" customHeight="1">
      <c r="A305" s="6">
        <v>521</v>
      </c>
      <c r="B305" s="6" t="s">
        <v>175</v>
      </c>
      <c r="E305" s="6" t="s">
        <v>861</v>
      </c>
      <c r="F305" s="6" t="s">
        <v>1564</v>
      </c>
      <c r="G305" s="6" t="s">
        <v>1290</v>
      </c>
      <c r="H305" s="7" t="s">
        <v>1291</v>
      </c>
      <c r="I305" s="7"/>
      <c r="J305" s="6" t="e">
        <v>#N/A</v>
      </c>
      <c r="K305" s="6" t="e">
        <v>#N/A</v>
      </c>
      <c r="N305" s="6" t="e">
        <v>#N/A</v>
      </c>
      <c r="O305" s="6" t="e">
        <v>#N/A</v>
      </c>
      <c r="R305" s="101" t="e">
        <v>#N/A</v>
      </c>
      <c r="Y305" s="6" t="e">
        <v>#N/A</v>
      </c>
      <c r="Z305" s="6" t="e">
        <v>#N/A</v>
      </c>
      <c r="AA305" s="6" t="e">
        <v>#N/A</v>
      </c>
      <c r="AD305" s="6" t="e">
        <v>#N/A</v>
      </c>
      <c r="AE305" s="6" t="e">
        <v>#N/A</v>
      </c>
      <c r="AG305" s="6" t="e">
        <v>#N/A</v>
      </c>
      <c r="AY305" s="8" t="s">
        <v>176</v>
      </c>
      <c r="AZ305" s="8" t="s">
        <v>195</v>
      </c>
      <c r="BA305" s="13" t="s">
        <v>670</v>
      </c>
      <c r="BB305" s="13" t="s">
        <v>7</v>
      </c>
      <c r="BC305" s="13">
        <v>19</v>
      </c>
      <c r="BD305" s="13">
        <v>20</v>
      </c>
      <c r="DC305" s="6" t="s">
        <v>671</v>
      </c>
      <c r="DD305" s="6" t="s">
        <v>177</v>
      </c>
      <c r="DH305" s="6" t="str">
        <f t="shared" si="164"/>
        <v>A25</v>
      </c>
      <c r="DI305" s="6" t="str">
        <f t="shared" si="165"/>
        <v>B25</v>
      </c>
      <c r="DK305" s="6" t="s">
        <v>173</v>
      </c>
      <c r="DL305" s="6" t="str">
        <f t="shared" si="166"/>
        <v/>
      </c>
      <c r="DO305" s="9" t="s">
        <v>170</v>
      </c>
      <c r="DP305" s="6" t="s">
        <v>171</v>
      </c>
      <c r="DQ305" s="6" t="s">
        <v>645</v>
      </c>
      <c r="DS305" s="6" t="str">
        <f t="shared" si="159"/>
        <v>AKB331</v>
      </c>
      <c r="DT305" s="10" t="str">
        <f t="shared" si="160"/>
        <v>FCS0111-5-4/1S–MC–120-F1-CN1</v>
      </c>
      <c r="DU305" s="6" t="str">
        <f t="shared" si="161"/>
        <v/>
      </c>
      <c r="DV305" s="19">
        <v>1</v>
      </c>
      <c r="DW305" s="20" t="str">
        <f t="shared" si="162"/>
        <v>11</v>
      </c>
      <c r="DX305" s="21">
        <v>5</v>
      </c>
      <c r="DY305" s="22">
        <v>4</v>
      </c>
      <c r="DZ305" s="23" t="s">
        <v>204</v>
      </c>
      <c r="EA305" s="23">
        <v>25</v>
      </c>
      <c r="ED305" s="9" t="str">
        <f t="shared" si="163"/>
        <v>ANB10D</v>
      </c>
      <c r="EF305" s="6" t="s">
        <v>672</v>
      </c>
      <c r="EH305" s="6" t="s">
        <v>861</v>
      </c>
      <c r="EI305" s="6" t="s">
        <v>673</v>
      </c>
      <c r="EJ305" s="12">
        <v>200</v>
      </c>
      <c r="EN305" s="6" t="s">
        <v>1125</v>
      </c>
      <c r="EP305" s="6" t="s">
        <v>1152</v>
      </c>
      <c r="ET305" s="6" t="str">
        <f t="shared" si="152"/>
        <v>홀수</v>
      </c>
      <c r="EU305" s="12">
        <v>63</v>
      </c>
      <c r="EV305" s="45" t="str">
        <f t="shared" ca="1" si="157"/>
        <v>A</v>
      </c>
      <c r="EW305" s="6">
        <f t="shared" ca="1" si="153"/>
        <v>65</v>
      </c>
      <c r="FR305" s="6">
        <v>1</v>
      </c>
      <c r="FS305" s="6">
        <f t="shared" si="154"/>
        <v>1</v>
      </c>
      <c r="FT305" s="6">
        <f t="shared" si="155"/>
        <v>1</v>
      </c>
      <c r="FU305" s="6" t="str">
        <f t="shared" ca="1" si="158"/>
        <v>F1-11</v>
      </c>
      <c r="FV305" s="6" t="str">
        <f t="shared" ca="1" si="156"/>
        <v>F1-12</v>
      </c>
      <c r="FW305" s="6" t="s">
        <v>1093</v>
      </c>
      <c r="FX305" s="6" t="s">
        <v>1094</v>
      </c>
      <c r="FY305" s="6" t="s">
        <v>1093</v>
      </c>
      <c r="FZ305" s="6" t="s">
        <v>1094</v>
      </c>
    </row>
    <row r="306" spans="1:182" ht="15.95" customHeight="1">
      <c r="A306" s="6">
        <v>522</v>
      </c>
      <c r="B306" s="6" t="s">
        <v>175</v>
      </c>
      <c r="E306" s="6" t="s">
        <v>862</v>
      </c>
      <c r="F306" s="6" t="s">
        <v>1565</v>
      </c>
      <c r="G306" s="6" t="s">
        <v>1290</v>
      </c>
      <c r="H306" s="7" t="s">
        <v>1291</v>
      </c>
      <c r="I306" s="7"/>
      <c r="J306" s="6" t="e">
        <v>#N/A</v>
      </c>
      <c r="K306" s="6" t="e">
        <v>#N/A</v>
      </c>
      <c r="N306" s="6" t="e">
        <v>#N/A</v>
      </c>
      <c r="O306" s="6" t="e">
        <v>#N/A</v>
      </c>
      <c r="R306" s="101" t="e">
        <v>#N/A</v>
      </c>
      <c r="Y306" s="6" t="e">
        <v>#N/A</v>
      </c>
      <c r="Z306" s="6" t="e">
        <v>#N/A</v>
      </c>
      <c r="AA306" s="6" t="e">
        <v>#N/A</v>
      </c>
      <c r="AD306" s="6" t="e">
        <v>#N/A</v>
      </c>
      <c r="AE306" s="6" t="e">
        <v>#N/A</v>
      </c>
      <c r="AG306" s="6" t="e">
        <v>#N/A</v>
      </c>
      <c r="AY306" s="8" t="s">
        <v>176</v>
      </c>
      <c r="AZ306" s="8" t="s">
        <v>195</v>
      </c>
      <c r="BA306" s="13" t="s">
        <v>670</v>
      </c>
      <c r="BB306" s="13" t="s">
        <v>7</v>
      </c>
      <c r="BC306" s="13">
        <v>21</v>
      </c>
      <c r="BD306" s="13">
        <v>22</v>
      </c>
      <c r="DC306" s="6" t="s">
        <v>671</v>
      </c>
      <c r="DD306" s="6" t="s">
        <v>177</v>
      </c>
      <c r="DH306" s="6" t="str">
        <f t="shared" si="164"/>
        <v>A26</v>
      </c>
      <c r="DI306" s="6" t="str">
        <f t="shared" si="165"/>
        <v>B26</v>
      </c>
      <c r="DK306" s="6" t="s">
        <v>173</v>
      </c>
      <c r="DL306" s="6" t="str">
        <f t="shared" si="166"/>
        <v/>
      </c>
      <c r="DO306" s="9" t="s">
        <v>170</v>
      </c>
      <c r="DP306" s="6" t="s">
        <v>171</v>
      </c>
      <c r="DQ306" s="6" t="s">
        <v>645</v>
      </c>
      <c r="DS306" s="6" t="str">
        <f t="shared" si="159"/>
        <v>AKB331</v>
      </c>
      <c r="DT306" s="10" t="str">
        <f t="shared" si="160"/>
        <v>FCS0111-5-4/1S–MC–120-F1-CN1</v>
      </c>
      <c r="DU306" s="6" t="str">
        <f t="shared" si="161"/>
        <v/>
      </c>
      <c r="DV306" s="19">
        <v>1</v>
      </c>
      <c r="DW306" s="20" t="str">
        <f t="shared" si="162"/>
        <v>11</v>
      </c>
      <c r="DX306" s="21">
        <v>5</v>
      </c>
      <c r="DY306" s="22">
        <v>4</v>
      </c>
      <c r="DZ306" s="23" t="s">
        <v>204</v>
      </c>
      <c r="EA306" s="23">
        <v>26</v>
      </c>
      <c r="ED306" s="9" t="str">
        <f t="shared" si="163"/>
        <v>ANB10D</v>
      </c>
      <c r="EF306" s="6" t="s">
        <v>672</v>
      </c>
      <c r="EH306" s="6" t="s">
        <v>862</v>
      </c>
      <c r="EI306" s="6" t="s">
        <v>675</v>
      </c>
      <c r="EJ306" s="12">
        <v>200</v>
      </c>
      <c r="EN306" s="6" t="s">
        <v>1125</v>
      </c>
      <c r="EP306" s="6" t="s">
        <v>1152</v>
      </c>
      <c r="ET306" s="6" t="str">
        <f t="shared" si="152"/>
        <v>홀수</v>
      </c>
      <c r="EU306" s="12">
        <v>63</v>
      </c>
      <c r="EV306" s="45" t="str">
        <f t="shared" ca="1" si="157"/>
        <v>B</v>
      </c>
      <c r="EW306" s="6">
        <f t="shared" ca="1" si="153"/>
        <v>66</v>
      </c>
      <c r="FR306" s="6">
        <v>1</v>
      </c>
      <c r="FS306" s="6">
        <f t="shared" si="154"/>
        <v>1</v>
      </c>
      <c r="FT306" s="6">
        <f t="shared" si="155"/>
        <v>1</v>
      </c>
      <c r="FU306" s="6" t="str">
        <f t="shared" ca="1" si="158"/>
        <v>F1-11</v>
      </c>
      <c r="FV306" s="6" t="str">
        <f t="shared" ca="1" si="156"/>
        <v>F1-12</v>
      </c>
      <c r="FW306" s="6" t="s">
        <v>1093</v>
      </c>
      <c r="FX306" s="6" t="s">
        <v>1094</v>
      </c>
      <c r="FY306" s="6" t="s">
        <v>1093</v>
      </c>
      <c r="FZ306" s="6" t="s">
        <v>1094</v>
      </c>
    </row>
    <row r="307" spans="1:182" ht="15.95" customHeight="1">
      <c r="A307" s="6">
        <v>523</v>
      </c>
      <c r="B307" s="6" t="s">
        <v>175</v>
      </c>
      <c r="E307" s="6" t="s">
        <v>863</v>
      </c>
      <c r="F307" s="6" t="s">
        <v>1566</v>
      </c>
      <c r="G307" s="6" t="s">
        <v>1290</v>
      </c>
      <c r="H307" s="7" t="s">
        <v>1291</v>
      </c>
      <c r="I307" s="7"/>
      <c r="J307" s="6" t="e">
        <v>#N/A</v>
      </c>
      <c r="K307" s="6" t="e">
        <v>#N/A</v>
      </c>
      <c r="N307" s="6" t="e">
        <v>#N/A</v>
      </c>
      <c r="O307" s="6" t="e">
        <v>#N/A</v>
      </c>
      <c r="R307" s="101" t="e">
        <v>#N/A</v>
      </c>
      <c r="Y307" s="6" t="e">
        <v>#N/A</v>
      </c>
      <c r="Z307" s="6" t="e">
        <v>#N/A</v>
      </c>
      <c r="AA307" s="6" t="e">
        <v>#N/A</v>
      </c>
      <c r="AD307" s="6" t="e">
        <v>#N/A</v>
      </c>
      <c r="AE307" s="6" t="e">
        <v>#N/A</v>
      </c>
      <c r="AG307" s="6" t="e">
        <v>#N/A</v>
      </c>
      <c r="AY307" s="8" t="s">
        <v>176</v>
      </c>
      <c r="AZ307" s="8" t="s">
        <v>195</v>
      </c>
      <c r="BA307" s="13" t="s">
        <v>670</v>
      </c>
      <c r="BB307" s="13" t="s">
        <v>7</v>
      </c>
      <c r="BC307" s="13">
        <v>23</v>
      </c>
      <c r="BD307" s="13">
        <v>24</v>
      </c>
      <c r="DC307" s="6" t="s">
        <v>671</v>
      </c>
      <c r="DD307" s="6" t="s">
        <v>177</v>
      </c>
      <c r="DH307" s="6" t="str">
        <f t="shared" si="164"/>
        <v>A27</v>
      </c>
      <c r="DI307" s="6" t="str">
        <f t="shared" si="165"/>
        <v>B27</v>
      </c>
      <c r="DK307" s="6" t="s">
        <v>173</v>
      </c>
      <c r="DL307" s="6" t="str">
        <f t="shared" si="166"/>
        <v/>
      </c>
      <c r="DO307" s="9" t="s">
        <v>170</v>
      </c>
      <c r="DP307" s="6" t="s">
        <v>171</v>
      </c>
      <c r="DQ307" s="6" t="s">
        <v>645</v>
      </c>
      <c r="DS307" s="6" t="str">
        <f t="shared" si="159"/>
        <v>AKB331</v>
      </c>
      <c r="DT307" s="10" t="str">
        <f t="shared" si="160"/>
        <v>FCS0111-5-4/1S–MC–120-F1-CN1</v>
      </c>
      <c r="DU307" s="6" t="str">
        <f t="shared" si="161"/>
        <v/>
      </c>
      <c r="DV307" s="19">
        <v>1</v>
      </c>
      <c r="DW307" s="20" t="str">
        <f t="shared" si="162"/>
        <v>11</v>
      </c>
      <c r="DX307" s="21">
        <v>5</v>
      </c>
      <c r="DY307" s="22">
        <v>4</v>
      </c>
      <c r="DZ307" s="23" t="s">
        <v>204</v>
      </c>
      <c r="EA307" s="23">
        <v>27</v>
      </c>
      <c r="ED307" s="9" t="str">
        <f t="shared" si="163"/>
        <v>ANB10D</v>
      </c>
      <c r="EF307" s="6" t="s">
        <v>672</v>
      </c>
      <c r="EH307" s="6" t="s">
        <v>863</v>
      </c>
      <c r="EI307" s="6" t="s">
        <v>677</v>
      </c>
      <c r="EJ307" s="12">
        <v>200</v>
      </c>
      <c r="EN307" s="6" t="s">
        <v>1125</v>
      </c>
      <c r="EP307" s="6" t="s">
        <v>1152</v>
      </c>
      <c r="ET307" s="6" t="str">
        <f t="shared" si="152"/>
        <v>홀수</v>
      </c>
      <c r="EU307" s="12">
        <v>63</v>
      </c>
      <c r="EV307" s="45" t="str">
        <f t="shared" ca="1" si="157"/>
        <v>C</v>
      </c>
      <c r="EW307" s="6">
        <f t="shared" ca="1" si="153"/>
        <v>67</v>
      </c>
      <c r="FR307" s="6">
        <v>1</v>
      </c>
      <c r="FS307" s="6">
        <f t="shared" si="154"/>
        <v>1</v>
      </c>
      <c r="FT307" s="6">
        <f t="shared" si="155"/>
        <v>1</v>
      </c>
      <c r="FU307" s="6" t="str">
        <f t="shared" ca="1" si="158"/>
        <v>F1-11</v>
      </c>
      <c r="FV307" s="6" t="str">
        <f t="shared" ca="1" si="156"/>
        <v>F1-12</v>
      </c>
      <c r="FW307" s="6" t="s">
        <v>1093</v>
      </c>
      <c r="FX307" s="6" t="s">
        <v>1094</v>
      </c>
      <c r="FY307" s="6" t="s">
        <v>1093</v>
      </c>
      <c r="FZ307" s="6" t="s">
        <v>1094</v>
      </c>
    </row>
    <row r="308" spans="1:182" ht="15.95" customHeight="1">
      <c r="A308" s="6">
        <v>524</v>
      </c>
      <c r="B308" s="6" t="s">
        <v>175</v>
      </c>
      <c r="E308" s="6" t="s">
        <v>864</v>
      </c>
      <c r="F308" s="6" t="s">
        <v>1567</v>
      </c>
      <c r="G308" s="6" t="s">
        <v>1290</v>
      </c>
      <c r="H308" s="7" t="s">
        <v>1291</v>
      </c>
      <c r="I308" s="7"/>
      <c r="J308" s="6" t="e">
        <v>#N/A</v>
      </c>
      <c r="K308" s="6" t="e">
        <v>#N/A</v>
      </c>
      <c r="N308" s="6" t="e">
        <v>#N/A</v>
      </c>
      <c r="O308" s="6" t="e">
        <v>#N/A</v>
      </c>
      <c r="R308" s="101" t="e">
        <v>#N/A</v>
      </c>
      <c r="Y308" s="6" t="e">
        <v>#N/A</v>
      </c>
      <c r="Z308" s="6" t="e">
        <v>#N/A</v>
      </c>
      <c r="AA308" s="6" t="e">
        <v>#N/A</v>
      </c>
      <c r="AD308" s="6" t="e">
        <v>#N/A</v>
      </c>
      <c r="AE308" s="6" t="e">
        <v>#N/A</v>
      </c>
      <c r="AG308" s="6" t="e">
        <v>#N/A</v>
      </c>
      <c r="AY308" s="8" t="s">
        <v>176</v>
      </c>
      <c r="AZ308" s="8" t="s">
        <v>195</v>
      </c>
      <c r="BA308" s="13" t="s">
        <v>670</v>
      </c>
      <c r="BB308" s="13" t="s">
        <v>7</v>
      </c>
      <c r="BC308" s="13">
        <v>31</v>
      </c>
      <c r="BD308" s="13">
        <v>32</v>
      </c>
      <c r="DC308" s="6" t="s">
        <v>671</v>
      </c>
      <c r="DD308" s="6" t="s">
        <v>177</v>
      </c>
      <c r="DH308" s="6" t="str">
        <f t="shared" si="164"/>
        <v>A28</v>
      </c>
      <c r="DI308" s="6" t="str">
        <f t="shared" si="165"/>
        <v>B28</v>
      </c>
      <c r="DK308" s="6" t="s">
        <v>173</v>
      </c>
      <c r="DL308" s="6" t="str">
        <f t="shared" si="166"/>
        <v/>
      </c>
      <c r="DO308" s="9" t="s">
        <v>170</v>
      </c>
      <c r="DP308" s="6" t="s">
        <v>171</v>
      </c>
      <c r="DQ308" s="6" t="s">
        <v>645</v>
      </c>
      <c r="DS308" s="6" t="str">
        <f t="shared" si="159"/>
        <v>AKB331</v>
      </c>
      <c r="DT308" s="10" t="str">
        <f t="shared" si="160"/>
        <v>FCS0111-5-4/1S–MC–120-F1-CN1</v>
      </c>
      <c r="DU308" s="6" t="str">
        <f t="shared" si="161"/>
        <v/>
      </c>
      <c r="DV308" s="19">
        <v>1</v>
      </c>
      <c r="DW308" s="20" t="str">
        <f t="shared" si="162"/>
        <v>11</v>
      </c>
      <c r="DX308" s="21">
        <v>5</v>
      </c>
      <c r="DY308" s="22">
        <v>4</v>
      </c>
      <c r="DZ308" s="23" t="s">
        <v>204</v>
      </c>
      <c r="EA308" s="23">
        <v>28</v>
      </c>
      <c r="ED308" s="9" t="str">
        <f t="shared" si="163"/>
        <v>ANB10D</v>
      </c>
      <c r="EF308" s="6" t="s">
        <v>672</v>
      </c>
      <c r="EH308" s="6" t="s">
        <v>864</v>
      </c>
      <c r="EI308" s="6" t="s">
        <v>673</v>
      </c>
      <c r="EJ308" s="12">
        <v>200</v>
      </c>
      <c r="EN308" s="6" t="s">
        <v>1125</v>
      </c>
      <c r="EP308" s="6" t="s">
        <v>1152</v>
      </c>
      <c r="ET308" s="6" t="str">
        <f t="shared" si="152"/>
        <v>홀수</v>
      </c>
      <c r="EU308" s="12">
        <v>63</v>
      </c>
      <c r="EV308" s="45" t="str">
        <f t="shared" ca="1" si="157"/>
        <v>D</v>
      </c>
      <c r="EW308" s="6">
        <f t="shared" ca="1" si="153"/>
        <v>68</v>
      </c>
      <c r="FR308" s="6">
        <v>1</v>
      </c>
      <c r="FS308" s="6">
        <f t="shared" si="154"/>
        <v>1</v>
      </c>
      <c r="FT308" s="6">
        <f t="shared" si="155"/>
        <v>1</v>
      </c>
      <c r="FU308" s="6" t="str">
        <f t="shared" ca="1" si="158"/>
        <v>F1-11</v>
      </c>
      <c r="FV308" s="6" t="str">
        <f t="shared" ca="1" si="156"/>
        <v>F1-12</v>
      </c>
      <c r="FW308" s="6" t="s">
        <v>1093</v>
      </c>
      <c r="FX308" s="6" t="s">
        <v>1094</v>
      </c>
      <c r="FY308" s="6" t="s">
        <v>1093</v>
      </c>
      <c r="FZ308" s="6" t="s">
        <v>1094</v>
      </c>
    </row>
    <row r="309" spans="1:182" ht="15.95" customHeight="1">
      <c r="A309" s="6">
        <v>525</v>
      </c>
      <c r="B309" s="6" t="s">
        <v>175</v>
      </c>
      <c r="E309" s="6" t="s">
        <v>865</v>
      </c>
      <c r="F309" s="6" t="s">
        <v>1568</v>
      </c>
      <c r="G309" s="6" t="s">
        <v>1290</v>
      </c>
      <c r="H309" s="7" t="s">
        <v>1291</v>
      </c>
      <c r="I309" s="7"/>
      <c r="J309" s="6" t="e">
        <v>#N/A</v>
      </c>
      <c r="K309" s="6" t="e">
        <v>#N/A</v>
      </c>
      <c r="N309" s="6" t="e">
        <v>#N/A</v>
      </c>
      <c r="O309" s="6" t="e">
        <v>#N/A</v>
      </c>
      <c r="R309" s="101" t="e">
        <v>#N/A</v>
      </c>
      <c r="Y309" s="6" t="e">
        <v>#N/A</v>
      </c>
      <c r="Z309" s="6" t="e">
        <v>#N/A</v>
      </c>
      <c r="AA309" s="6" t="e">
        <v>#N/A</v>
      </c>
      <c r="AD309" s="6" t="e">
        <v>#N/A</v>
      </c>
      <c r="AE309" s="6" t="e">
        <v>#N/A</v>
      </c>
      <c r="AG309" s="6" t="e">
        <v>#N/A</v>
      </c>
      <c r="AY309" s="8" t="s">
        <v>176</v>
      </c>
      <c r="AZ309" s="8" t="s">
        <v>195</v>
      </c>
      <c r="BA309" s="13" t="s">
        <v>670</v>
      </c>
      <c r="BB309" s="13" t="s">
        <v>7</v>
      </c>
      <c r="BC309" s="13">
        <v>33</v>
      </c>
      <c r="BD309" s="13">
        <v>34</v>
      </c>
      <c r="DC309" s="6" t="s">
        <v>671</v>
      </c>
      <c r="DD309" s="6" t="s">
        <v>177</v>
      </c>
      <c r="DH309" s="6" t="str">
        <f t="shared" si="164"/>
        <v>A29</v>
      </c>
      <c r="DI309" s="6" t="str">
        <f t="shared" si="165"/>
        <v>B29</v>
      </c>
      <c r="DK309" s="6" t="s">
        <v>173</v>
      </c>
      <c r="DL309" s="6" t="str">
        <f t="shared" si="166"/>
        <v/>
      </c>
      <c r="DO309" s="9" t="s">
        <v>170</v>
      </c>
      <c r="DP309" s="6" t="s">
        <v>171</v>
      </c>
      <c r="DQ309" s="6" t="s">
        <v>645</v>
      </c>
      <c r="DS309" s="6" t="str">
        <f t="shared" si="159"/>
        <v>AKB331</v>
      </c>
      <c r="DT309" s="10" t="str">
        <f t="shared" si="160"/>
        <v>FCS0111-5-4/1S–MC–120-F1-CN1</v>
      </c>
      <c r="DU309" s="6" t="str">
        <f t="shared" si="161"/>
        <v/>
      </c>
      <c r="DV309" s="19">
        <v>1</v>
      </c>
      <c r="DW309" s="20" t="str">
        <f t="shared" si="162"/>
        <v>11</v>
      </c>
      <c r="DX309" s="21">
        <v>5</v>
      </c>
      <c r="DY309" s="22">
        <v>4</v>
      </c>
      <c r="DZ309" s="23" t="s">
        <v>204</v>
      </c>
      <c r="EA309" s="23">
        <v>29</v>
      </c>
      <c r="ED309" s="9" t="str">
        <f t="shared" si="163"/>
        <v>ANB10D</v>
      </c>
      <c r="EF309" s="6" t="s">
        <v>672</v>
      </c>
      <c r="EH309" s="6" t="s">
        <v>865</v>
      </c>
      <c r="EI309" s="6" t="s">
        <v>675</v>
      </c>
      <c r="EJ309" s="12">
        <v>200</v>
      </c>
      <c r="EN309" s="6" t="s">
        <v>1125</v>
      </c>
      <c r="EP309" s="6" t="s">
        <v>1152</v>
      </c>
      <c r="ET309" s="6" t="str">
        <f t="shared" si="152"/>
        <v>짝수</v>
      </c>
      <c r="EU309" s="12">
        <v>64</v>
      </c>
      <c r="EV309" s="45" t="str">
        <f t="shared" ca="1" si="157"/>
        <v>A</v>
      </c>
      <c r="EW309" s="6">
        <f t="shared" ca="1" si="153"/>
        <v>65</v>
      </c>
      <c r="FR309" s="6">
        <v>1</v>
      </c>
      <c r="FS309" s="6">
        <f t="shared" si="154"/>
        <v>1</v>
      </c>
      <c r="FT309" s="6">
        <f t="shared" si="155"/>
        <v>1</v>
      </c>
      <c r="FU309" s="6" t="str">
        <f t="shared" ca="1" si="158"/>
        <v>F1-11</v>
      </c>
      <c r="FV309" s="6" t="str">
        <f t="shared" ca="1" si="156"/>
        <v>F1-12</v>
      </c>
      <c r="FW309" s="6" t="s">
        <v>1093</v>
      </c>
      <c r="FX309" s="6" t="s">
        <v>1094</v>
      </c>
      <c r="FY309" s="6" t="s">
        <v>1093</v>
      </c>
      <c r="FZ309" s="6" t="s">
        <v>1094</v>
      </c>
    </row>
    <row r="310" spans="1:182" ht="15.95" customHeight="1">
      <c r="A310" s="6">
        <v>526</v>
      </c>
      <c r="B310" s="6" t="s">
        <v>175</v>
      </c>
      <c r="E310" s="6" t="s">
        <v>866</v>
      </c>
      <c r="F310" s="6" t="s">
        <v>1569</v>
      </c>
      <c r="G310" s="6" t="s">
        <v>1290</v>
      </c>
      <c r="H310" s="7" t="s">
        <v>1291</v>
      </c>
      <c r="I310" s="7"/>
      <c r="J310" s="6" t="e">
        <v>#N/A</v>
      </c>
      <c r="K310" s="6" t="e">
        <v>#N/A</v>
      </c>
      <c r="N310" s="6" t="e">
        <v>#N/A</v>
      </c>
      <c r="O310" s="6" t="e">
        <v>#N/A</v>
      </c>
      <c r="R310" s="101" t="e">
        <v>#N/A</v>
      </c>
      <c r="Y310" s="6" t="e">
        <v>#N/A</v>
      </c>
      <c r="Z310" s="6" t="e">
        <v>#N/A</v>
      </c>
      <c r="AA310" s="6" t="e">
        <v>#N/A</v>
      </c>
      <c r="AD310" s="6" t="e">
        <v>#N/A</v>
      </c>
      <c r="AE310" s="6" t="e">
        <v>#N/A</v>
      </c>
      <c r="AG310" s="6" t="e">
        <v>#N/A</v>
      </c>
      <c r="AY310" s="8" t="s">
        <v>176</v>
      </c>
      <c r="AZ310" s="8" t="s">
        <v>195</v>
      </c>
      <c r="BA310" s="13" t="s">
        <v>670</v>
      </c>
      <c r="BB310" s="13" t="s">
        <v>7</v>
      </c>
      <c r="BC310" s="13">
        <v>35</v>
      </c>
      <c r="BD310" s="13">
        <v>36</v>
      </c>
      <c r="DC310" s="6" t="s">
        <v>671</v>
      </c>
      <c r="DD310" s="6" t="s">
        <v>177</v>
      </c>
      <c r="DH310" s="6" t="str">
        <f t="shared" si="164"/>
        <v>A30</v>
      </c>
      <c r="DI310" s="6" t="str">
        <f t="shared" si="165"/>
        <v>B30</v>
      </c>
      <c r="DK310" s="6" t="s">
        <v>173</v>
      </c>
      <c r="DL310" s="6" t="str">
        <f t="shared" si="166"/>
        <v/>
      </c>
      <c r="DO310" s="9" t="s">
        <v>170</v>
      </c>
      <c r="DP310" s="6" t="s">
        <v>171</v>
      </c>
      <c r="DQ310" s="6" t="s">
        <v>645</v>
      </c>
      <c r="DS310" s="6" t="str">
        <f t="shared" si="159"/>
        <v>AKB331</v>
      </c>
      <c r="DT310" s="10" t="str">
        <f t="shared" si="160"/>
        <v>FCS0111-5-4/1S–MC–120-F1-CN1</v>
      </c>
      <c r="DU310" s="6" t="str">
        <f t="shared" si="161"/>
        <v/>
      </c>
      <c r="DV310" s="19">
        <v>1</v>
      </c>
      <c r="DW310" s="20" t="str">
        <f t="shared" si="162"/>
        <v>11</v>
      </c>
      <c r="DX310" s="21">
        <v>5</v>
      </c>
      <c r="DY310" s="22">
        <v>4</v>
      </c>
      <c r="DZ310" s="23" t="s">
        <v>204</v>
      </c>
      <c r="EA310" s="23">
        <v>30</v>
      </c>
      <c r="ED310" s="9" t="str">
        <f t="shared" si="163"/>
        <v>ANB10D</v>
      </c>
      <c r="EF310" s="6" t="s">
        <v>672</v>
      </c>
      <c r="EH310" s="6" t="s">
        <v>866</v>
      </c>
      <c r="EI310" s="6" t="s">
        <v>677</v>
      </c>
      <c r="EJ310" s="12">
        <v>200</v>
      </c>
      <c r="EN310" s="6" t="s">
        <v>1125</v>
      </c>
      <c r="EP310" s="6" t="s">
        <v>1152</v>
      </c>
      <c r="ET310" s="6" t="str">
        <f t="shared" si="152"/>
        <v>짝수</v>
      </c>
      <c r="EU310" s="12">
        <v>64</v>
      </c>
      <c r="EV310" s="45" t="str">
        <f t="shared" ca="1" si="157"/>
        <v>B</v>
      </c>
      <c r="EW310" s="6">
        <f t="shared" ca="1" si="153"/>
        <v>66</v>
      </c>
      <c r="FR310" s="6">
        <v>1</v>
      </c>
      <c r="FS310" s="6">
        <f t="shared" si="154"/>
        <v>1</v>
      </c>
      <c r="FT310" s="6">
        <f t="shared" si="155"/>
        <v>1</v>
      </c>
      <c r="FU310" s="6" t="str">
        <f t="shared" ca="1" si="158"/>
        <v>F1-11</v>
      </c>
      <c r="FV310" s="6" t="str">
        <f t="shared" ca="1" si="156"/>
        <v>F1-12</v>
      </c>
      <c r="FW310" s="6" t="s">
        <v>1093</v>
      </c>
      <c r="FX310" s="6" t="s">
        <v>1094</v>
      </c>
      <c r="FY310" s="6" t="s">
        <v>1093</v>
      </c>
      <c r="FZ310" s="6" t="s">
        <v>1094</v>
      </c>
    </row>
    <row r="311" spans="1:182" ht="15.95" customHeight="1">
      <c r="A311" s="6">
        <v>529</v>
      </c>
      <c r="B311" s="6" t="s">
        <v>175</v>
      </c>
      <c r="E311" s="6" t="s">
        <v>867</v>
      </c>
      <c r="F311" s="6" t="s">
        <v>1570</v>
      </c>
      <c r="G311" s="6" t="s">
        <v>1290</v>
      </c>
      <c r="H311" s="7" t="s">
        <v>1291</v>
      </c>
      <c r="I311" s="7"/>
      <c r="J311" s="6" t="s">
        <v>1199</v>
      </c>
      <c r="K311" s="6" t="s">
        <v>1201</v>
      </c>
      <c r="N311" s="6" t="s">
        <v>1203</v>
      </c>
      <c r="O311" s="6" t="s">
        <v>1205</v>
      </c>
      <c r="R311" s="101" t="s">
        <v>1220</v>
      </c>
      <c r="Y311" s="6" t="s">
        <v>1571</v>
      </c>
      <c r="Z311" s="6">
        <v>1</v>
      </c>
      <c r="AA311" s="6">
        <v>2</v>
      </c>
      <c r="AD311" s="6" t="s">
        <v>1203</v>
      </c>
      <c r="AE311" s="6" t="s">
        <v>1205</v>
      </c>
      <c r="AG311" s="6" t="s">
        <v>1572</v>
      </c>
      <c r="AY311" s="8" t="s">
        <v>176</v>
      </c>
      <c r="AZ311" s="8" t="s">
        <v>195</v>
      </c>
      <c r="BA311" s="13" t="s">
        <v>643</v>
      </c>
      <c r="BB311" s="13" t="s">
        <v>740</v>
      </c>
      <c r="BC311" s="13">
        <v>55</v>
      </c>
      <c r="BD311" s="13">
        <v>56</v>
      </c>
      <c r="DC311" s="6" t="s">
        <v>644</v>
      </c>
      <c r="DD311" s="6" t="s">
        <v>190</v>
      </c>
      <c r="DH311" s="6" t="str">
        <f t="shared" si="164"/>
        <v>A1</v>
      </c>
      <c r="DI311" s="6" t="str">
        <f t="shared" si="165"/>
        <v>B1</v>
      </c>
      <c r="DK311" s="6" t="s">
        <v>173</v>
      </c>
      <c r="DL311" s="6" t="str">
        <f t="shared" si="166"/>
        <v/>
      </c>
      <c r="DO311" s="9" t="s">
        <v>170</v>
      </c>
      <c r="DP311" s="6" t="s">
        <v>171</v>
      </c>
      <c r="DQ311" s="6" t="s">
        <v>645</v>
      </c>
      <c r="DS311" s="6" t="str">
        <f t="shared" si="159"/>
        <v>AKB331</v>
      </c>
      <c r="DT311" s="10" t="str">
        <f t="shared" si="160"/>
        <v>FCS0111-5-5/1S–MC–118-R4-CN1</v>
      </c>
      <c r="DU311" s="6" t="str">
        <f t="shared" si="161"/>
        <v/>
      </c>
      <c r="DV311" s="19">
        <v>1</v>
      </c>
      <c r="DW311" s="20" t="str">
        <f t="shared" si="162"/>
        <v>11</v>
      </c>
      <c r="DX311" s="21">
        <v>5</v>
      </c>
      <c r="DY311" s="22">
        <v>5</v>
      </c>
      <c r="DZ311" s="23" t="s">
        <v>204</v>
      </c>
      <c r="EA311" s="23">
        <v>1</v>
      </c>
      <c r="ED311" s="9" t="str">
        <f t="shared" si="163"/>
        <v>ANB10D</v>
      </c>
      <c r="EF311" s="6" t="s">
        <v>647</v>
      </c>
      <c r="EH311" s="6" t="s">
        <v>867</v>
      </c>
      <c r="EI311" s="6" t="s">
        <v>430</v>
      </c>
      <c r="EJ311" s="12">
        <v>100</v>
      </c>
      <c r="EN311" s="6" t="s">
        <v>1125</v>
      </c>
      <c r="EP311" s="6" t="s">
        <v>1148</v>
      </c>
      <c r="ET311" s="6" t="str">
        <f t="shared" si="152"/>
        <v>짝수</v>
      </c>
      <c r="EU311" s="12">
        <v>64</v>
      </c>
      <c r="EV311" s="45" t="str">
        <f t="shared" ca="1" si="157"/>
        <v>C</v>
      </c>
      <c r="EW311" s="6">
        <f t="shared" ca="1" si="153"/>
        <v>67</v>
      </c>
      <c r="FR311" s="6">
        <v>1</v>
      </c>
      <c r="FS311" s="6" t="str">
        <f t="shared" si="154"/>
        <v/>
      </c>
      <c r="FT311" s="6">
        <f t="shared" si="155"/>
        <v>1</v>
      </c>
      <c r="FU311" s="6" t="str">
        <f t="shared" ca="1" si="158"/>
        <v/>
      </c>
      <c r="FV311" s="6" t="str">
        <f t="shared" ca="1" si="156"/>
        <v/>
      </c>
      <c r="FW311" s="6" t="str">
        <f t="shared" ref="FW311:FW327" ca="1" si="167">IF(AND(FT311=1,FU311=""),DD311&amp;"-11",IF(AND(FT311=1,FU311&lt;&gt;""),DD311&amp;"-21",""))</f>
        <v>R4-11</v>
      </c>
      <c r="FX311" s="6" t="str">
        <f t="shared" ref="FX311:FX327" ca="1" si="168">IF(AND(FT311=1,FU311=""),DD311&amp;"-12",IF(AND(FT311=1,FU311&lt;&gt;""),DD311&amp;"-22",""))</f>
        <v>R4-12</v>
      </c>
      <c r="FY311" s="6" t="str">
        <f t="shared" ref="FY311:FY327" ca="1" si="169">IF(AND(FS311="",OFFSET(FS311,0,1)="",DC311="A1BA4D"),"",IF(DC311="A1BD5D",LEFT(FW311,3)&amp;"21",FW311))</f>
        <v>R4-21</v>
      </c>
      <c r="FZ311" s="6" t="str">
        <f t="shared" ref="FZ311:FZ327" ca="1" si="170" xml:space="preserve">
IF(AND(FS311="",OFFSET(FS311,0,1)="",DC311="A1BA4D"),"",IF(DC311="A1BD5D",LEFT(FW311,3)&amp;"22",FW311))</f>
        <v>R4-22</v>
      </c>
    </row>
    <row r="312" spans="1:182" ht="15.95" customHeight="1">
      <c r="A312" s="6">
        <v>530</v>
      </c>
      <c r="B312" s="6" t="s">
        <v>175</v>
      </c>
      <c r="E312" s="6" t="s">
        <v>868</v>
      </c>
      <c r="F312" s="6" t="s">
        <v>1573</v>
      </c>
      <c r="G312" s="6" t="s">
        <v>1290</v>
      </c>
      <c r="H312" s="7" t="s">
        <v>1291</v>
      </c>
      <c r="I312" s="7"/>
      <c r="J312" s="6" t="s">
        <v>1199</v>
      </c>
      <c r="K312" s="6" t="s">
        <v>1201</v>
      </c>
      <c r="N312" s="6" t="s">
        <v>1203</v>
      </c>
      <c r="O312" s="6" t="s">
        <v>1205</v>
      </c>
      <c r="R312" s="101" t="s">
        <v>1220</v>
      </c>
      <c r="Y312" s="6" t="s">
        <v>1292</v>
      </c>
      <c r="Z312" s="6">
        <v>1</v>
      </c>
      <c r="AA312" s="6">
        <v>2</v>
      </c>
      <c r="AD312" s="6" t="s">
        <v>1203</v>
      </c>
      <c r="AE312" s="6" t="s">
        <v>1205</v>
      </c>
      <c r="AG312" s="6" t="s">
        <v>1574</v>
      </c>
      <c r="AY312" s="8" t="s">
        <v>176</v>
      </c>
      <c r="AZ312" s="8" t="s">
        <v>195</v>
      </c>
      <c r="BA312" s="13" t="s">
        <v>643</v>
      </c>
      <c r="BB312" s="13" t="s">
        <v>200</v>
      </c>
      <c r="BC312" s="13">
        <v>23</v>
      </c>
      <c r="BD312" s="13">
        <v>24</v>
      </c>
      <c r="DC312" s="6" t="s">
        <v>644</v>
      </c>
      <c r="DD312" s="6" t="s">
        <v>190</v>
      </c>
      <c r="DH312" s="6" t="str">
        <f t="shared" si="164"/>
        <v>A2</v>
      </c>
      <c r="DI312" s="6" t="str">
        <f t="shared" si="165"/>
        <v>B2</v>
      </c>
      <c r="DK312" s="6" t="s">
        <v>173</v>
      </c>
      <c r="DL312" s="6" t="str">
        <f t="shared" si="166"/>
        <v/>
      </c>
      <c r="DO312" s="9" t="s">
        <v>170</v>
      </c>
      <c r="DP312" s="6" t="s">
        <v>171</v>
      </c>
      <c r="DQ312" s="6" t="s">
        <v>645</v>
      </c>
      <c r="DS312" s="6" t="str">
        <f t="shared" si="159"/>
        <v>AKB331</v>
      </c>
      <c r="DT312" s="10" t="str">
        <f t="shared" si="160"/>
        <v>FCS0111-5-5/1S–MC–118-R4-CN1</v>
      </c>
      <c r="DU312" s="6" t="str">
        <f t="shared" si="161"/>
        <v/>
      </c>
      <c r="DV312" s="19">
        <v>1</v>
      </c>
      <c r="DW312" s="20" t="str">
        <f t="shared" si="162"/>
        <v>11</v>
      </c>
      <c r="DX312" s="21">
        <v>5</v>
      </c>
      <c r="DY312" s="22">
        <v>5</v>
      </c>
      <c r="DZ312" s="23" t="s">
        <v>204</v>
      </c>
      <c r="EA312" s="23">
        <v>2</v>
      </c>
      <c r="ED312" s="9" t="str">
        <f t="shared" si="163"/>
        <v>ANB10D</v>
      </c>
      <c r="EF312" s="6" t="s">
        <v>647</v>
      </c>
      <c r="EH312" s="6" t="s">
        <v>868</v>
      </c>
      <c r="EI312" s="6" t="s">
        <v>430</v>
      </c>
      <c r="EJ312" s="12">
        <v>100</v>
      </c>
      <c r="EN312" s="6" t="s">
        <v>1125</v>
      </c>
      <c r="EP312" s="6" t="s">
        <v>1148</v>
      </c>
      <c r="ET312" s="6" t="str">
        <f t="shared" si="152"/>
        <v>짝수</v>
      </c>
      <c r="EU312" s="12">
        <v>64</v>
      </c>
      <c r="EV312" s="45" t="str">
        <f t="shared" ca="1" si="157"/>
        <v>D</v>
      </c>
      <c r="EW312" s="6">
        <f t="shared" ca="1" si="153"/>
        <v>68</v>
      </c>
      <c r="FR312" s="6">
        <v>1</v>
      </c>
      <c r="FS312" s="6" t="str">
        <f t="shared" si="154"/>
        <v/>
      </c>
      <c r="FT312" s="6">
        <f t="shared" si="155"/>
        <v>1</v>
      </c>
      <c r="FU312" s="6" t="str">
        <f t="shared" ca="1" si="158"/>
        <v/>
      </c>
      <c r="FV312" s="6" t="str">
        <f t="shared" ca="1" si="156"/>
        <v/>
      </c>
      <c r="FW312" s="6" t="str">
        <f t="shared" ca="1" si="167"/>
        <v>R4-11</v>
      </c>
      <c r="FX312" s="6" t="str">
        <f t="shared" ca="1" si="168"/>
        <v>R4-12</v>
      </c>
      <c r="FY312" s="6" t="str">
        <f t="shared" ca="1" si="169"/>
        <v>R4-21</v>
      </c>
      <c r="FZ312" s="6" t="str">
        <f t="shared" ca="1" si="170"/>
        <v>R4-22</v>
      </c>
    </row>
    <row r="313" spans="1:182" ht="15.95" customHeight="1">
      <c r="A313" s="6">
        <v>531</v>
      </c>
      <c r="B313" s="6" t="s">
        <v>175</v>
      </c>
      <c r="E313" s="6" t="s">
        <v>869</v>
      </c>
      <c r="F313" s="6" t="s">
        <v>1575</v>
      </c>
      <c r="G313" s="6" t="s">
        <v>1290</v>
      </c>
      <c r="H313" s="7" t="s">
        <v>1291</v>
      </c>
      <c r="I313" s="7"/>
      <c r="J313" s="6" t="s">
        <v>1199</v>
      </c>
      <c r="K313" s="6" t="s">
        <v>1201</v>
      </c>
      <c r="N313" s="6" t="s">
        <v>1203</v>
      </c>
      <c r="O313" s="6" t="s">
        <v>1205</v>
      </c>
      <c r="R313" s="101" t="s">
        <v>1220</v>
      </c>
      <c r="Y313" s="6" t="s">
        <v>1444</v>
      </c>
      <c r="Z313" s="6">
        <v>1</v>
      </c>
      <c r="AA313" s="6">
        <v>2</v>
      </c>
      <c r="AD313" s="6" t="s">
        <v>1203</v>
      </c>
      <c r="AE313" s="6" t="s">
        <v>1205</v>
      </c>
      <c r="AG313" s="6" t="s">
        <v>1445</v>
      </c>
      <c r="AY313" s="8" t="s">
        <v>176</v>
      </c>
      <c r="AZ313" s="8" t="s">
        <v>195</v>
      </c>
      <c r="BA313" s="13" t="s">
        <v>643</v>
      </c>
      <c r="BB313" s="13" t="s">
        <v>740</v>
      </c>
      <c r="BC313" s="13">
        <v>107</v>
      </c>
      <c r="BD313" s="13">
        <v>108</v>
      </c>
      <c r="DC313" s="6" t="s">
        <v>644</v>
      </c>
      <c r="DD313" s="6" t="s">
        <v>190</v>
      </c>
      <c r="DH313" s="6" t="str">
        <f t="shared" si="164"/>
        <v>A3</v>
      </c>
      <c r="DI313" s="6" t="str">
        <f t="shared" si="165"/>
        <v>B3</v>
      </c>
      <c r="DK313" s="6" t="s">
        <v>173</v>
      </c>
      <c r="DL313" s="6" t="str">
        <f t="shared" si="166"/>
        <v/>
      </c>
      <c r="DO313" s="9" t="s">
        <v>170</v>
      </c>
      <c r="DP313" s="6" t="s">
        <v>171</v>
      </c>
      <c r="DQ313" s="6" t="s">
        <v>645</v>
      </c>
      <c r="DS313" s="6" t="str">
        <f t="shared" si="159"/>
        <v>AKB331</v>
      </c>
      <c r="DT313" s="10" t="str">
        <f t="shared" si="160"/>
        <v>FCS0111-5-5/1S–MC–118-R4-CN1</v>
      </c>
      <c r="DU313" s="6" t="str">
        <f t="shared" si="161"/>
        <v/>
      </c>
      <c r="DV313" s="19">
        <v>1</v>
      </c>
      <c r="DW313" s="20" t="str">
        <f t="shared" si="162"/>
        <v>11</v>
      </c>
      <c r="DX313" s="21">
        <v>5</v>
      </c>
      <c r="DY313" s="22">
        <v>5</v>
      </c>
      <c r="DZ313" s="23" t="s">
        <v>204</v>
      </c>
      <c r="EA313" s="23">
        <v>3</v>
      </c>
      <c r="ED313" s="9" t="str">
        <f t="shared" si="163"/>
        <v>ANB10D</v>
      </c>
      <c r="EF313" s="6" t="s">
        <v>647</v>
      </c>
      <c r="EH313" s="6" t="s">
        <v>869</v>
      </c>
      <c r="EI313" s="6" t="s">
        <v>430</v>
      </c>
      <c r="EJ313" s="12">
        <v>100</v>
      </c>
      <c r="EN313" s="6" t="s">
        <v>1125</v>
      </c>
      <c r="EP313" s="6" t="s">
        <v>1148</v>
      </c>
      <c r="ET313" s="6" t="str">
        <f t="shared" si="152"/>
        <v>홀수</v>
      </c>
      <c r="EU313" s="12">
        <v>65</v>
      </c>
      <c r="EV313" s="45" t="str">
        <f t="shared" ca="1" si="157"/>
        <v>A</v>
      </c>
      <c r="EW313" s="6">
        <f t="shared" ca="1" si="153"/>
        <v>65</v>
      </c>
      <c r="FR313" s="6">
        <v>1</v>
      </c>
      <c r="FS313" s="6" t="str">
        <f t="shared" si="154"/>
        <v/>
      </c>
      <c r="FT313" s="6">
        <f t="shared" si="155"/>
        <v>1</v>
      </c>
      <c r="FU313" s="6" t="str">
        <f t="shared" ca="1" si="158"/>
        <v/>
      </c>
      <c r="FV313" s="6" t="str">
        <f t="shared" ca="1" si="156"/>
        <v/>
      </c>
      <c r="FW313" s="6" t="str">
        <f t="shared" ca="1" si="167"/>
        <v>R4-11</v>
      </c>
      <c r="FX313" s="6" t="str">
        <f t="shared" ca="1" si="168"/>
        <v>R4-12</v>
      </c>
      <c r="FY313" s="6" t="str">
        <f t="shared" ca="1" si="169"/>
        <v>R4-21</v>
      </c>
      <c r="FZ313" s="6" t="str">
        <f t="shared" ca="1" si="170"/>
        <v>R4-22</v>
      </c>
    </row>
    <row r="314" spans="1:182" ht="15.95" customHeight="1">
      <c r="A314" s="6">
        <v>532</v>
      </c>
      <c r="B314" s="6" t="s">
        <v>175</v>
      </c>
      <c r="E314" s="6" t="s">
        <v>870</v>
      </c>
      <c r="F314" s="6" t="s">
        <v>1576</v>
      </c>
      <c r="G314" s="6" t="s">
        <v>1290</v>
      </c>
      <c r="H314" s="7" t="s">
        <v>1291</v>
      </c>
      <c r="I314" s="7"/>
      <c r="J314" s="6" t="s">
        <v>1199</v>
      </c>
      <c r="K314" s="6" t="s">
        <v>1201</v>
      </c>
      <c r="N314" s="6" t="s">
        <v>1203</v>
      </c>
      <c r="O314" s="6" t="s">
        <v>1205</v>
      </c>
      <c r="R314" s="101" t="s">
        <v>1220</v>
      </c>
      <c r="Y314" s="6" t="s">
        <v>1444</v>
      </c>
      <c r="Z314" s="6">
        <v>3</v>
      </c>
      <c r="AA314" s="6">
        <v>4</v>
      </c>
      <c r="AD314" s="6" t="s">
        <v>1203</v>
      </c>
      <c r="AE314" s="6" t="s">
        <v>1205</v>
      </c>
      <c r="AG314" s="6" t="s">
        <v>1445</v>
      </c>
      <c r="AY314" s="8" t="s">
        <v>176</v>
      </c>
      <c r="AZ314" s="8" t="s">
        <v>195</v>
      </c>
      <c r="BA314" s="13" t="s">
        <v>643</v>
      </c>
      <c r="BB314" s="13" t="s">
        <v>740</v>
      </c>
      <c r="BC314" s="13">
        <v>109</v>
      </c>
      <c r="BD314" s="13">
        <v>110</v>
      </c>
      <c r="DC314" s="6" t="s">
        <v>644</v>
      </c>
      <c r="DD314" s="6" t="s">
        <v>190</v>
      </c>
      <c r="DH314" s="6" t="str">
        <f t="shared" si="164"/>
        <v>A4</v>
      </c>
      <c r="DI314" s="6" t="str">
        <f t="shared" si="165"/>
        <v>B4</v>
      </c>
      <c r="DK314" s="6" t="s">
        <v>173</v>
      </c>
      <c r="DL314" s="6" t="str">
        <f t="shared" si="166"/>
        <v/>
      </c>
      <c r="DO314" s="9" t="s">
        <v>170</v>
      </c>
      <c r="DP314" s="6" t="s">
        <v>171</v>
      </c>
      <c r="DQ314" s="6" t="s">
        <v>645</v>
      </c>
      <c r="DS314" s="6" t="str">
        <f t="shared" si="159"/>
        <v>AKB331</v>
      </c>
      <c r="DT314" s="10" t="str">
        <f t="shared" si="160"/>
        <v>FCS0111-5-5/1S–MC–118-R4-CN1</v>
      </c>
      <c r="DU314" s="6" t="str">
        <f t="shared" si="161"/>
        <v/>
      </c>
      <c r="DV314" s="19">
        <v>1</v>
      </c>
      <c r="DW314" s="20" t="str">
        <f t="shared" si="162"/>
        <v>11</v>
      </c>
      <c r="DX314" s="21">
        <v>5</v>
      </c>
      <c r="DY314" s="22">
        <v>5</v>
      </c>
      <c r="DZ314" s="23" t="s">
        <v>204</v>
      </c>
      <c r="EA314" s="23">
        <v>4</v>
      </c>
      <c r="ED314" s="9" t="str">
        <f t="shared" si="163"/>
        <v>ANB10D</v>
      </c>
      <c r="EF314" s="6" t="s">
        <v>647</v>
      </c>
      <c r="EH314" s="6" t="s">
        <v>870</v>
      </c>
      <c r="EI314" s="6" t="s">
        <v>430</v>
      </c>
      <c r="EJ314" s="12">
        <v>100</v>
      </c>
      <c r="EN314" s="6" t="s">
        <v>1125</v>
      </c>
      <c r="EP314" s="6" t="s">
        <v>1148</v>
      </c>
      <c r="ET314" s="6" t="str">
        <f t="shared" si="152"/>
        <v>홀수</v>
      </c>
      <c r="EU314" s="12">
        <v>65</v>
      </c>
      <c r="EV314" s="45" t="str">
        <f t="shared" ca="1" si="157"/>
        <v>B</v>
      </c>
      <c r="EW314" s="6">
        <f t="shared" ca="1" si="153"/>
        <v>66</v>
      </c>
      <c r="FR314" s="6">
        <v>1</v>
      </c>
      <c r="FS314" s="6" t="str">
        <f t="shared" si="154"/>
        <v/>
      </c>
      <c r="FT314" s="6">
        <f t="shared" si="155"/>
        <v>1</v>
      </c>
      <c r="FU314" s="6" t="str">
        <f t="shared" ca="1" si="158"/>
        <v/>
      </c>
      <c r="FV314" s="6" t="str">
        <f t="shared" ca="1" si="156"/>
        <v/>
      </c>
      <c r="FW314" s="6" t="str">
        <f t="shared" ca="1" si="167"/>
        <v>R4-11</v>
      </c>
      <c r="FX314" s="6" t="str">
        <f t="shared" ca="1" si="168"/>
        <v>R4-12</v>
      </c>
      <c r="FY314" s="6" t="str">
        <f t="shared" ca="1" si="169"/>
        <v>R4-21</v>
      </c>
      <c r="FZ314" s="6" t="str">
        <f t="shared" ca="1" si="170"/>
        <v>R4-22</v>
      </c>
    </row>
    <row r="315" spans="1:182" ht="15.95" customHeight="1">
      <c r="A315" s="6">
        <v>533</v>
      </c>
      <c r="B315" s="6" t="s">
        <v>175</v>
      </c>
      <c r="E315" s="6" t="s">
        <v>871</v>
      </c>
      <c r="F315" s="6" t="s">
        <v>1577</v>
      </c>
      <c r="G315" s="6" t="s">
        <v>1290</v>
      </c>
      <c r="H315" s="7" t="s">
        <v>1291</v>
      </c>
      <c r="I315" s="7"/>
      <c r="J315" s="6" t="s">
        <v>1199</v>
      </c>
      <c r="K315" s="6" t="s">
        <v>1201</v>
      </c>
      <c r="N315" s="6" t="s">
        <v>1203</v>
      </c>
      <c r="O315" s="6" t="s">
        <v>1205</v>
      </c>
      <c r="R315" s="101" t="s">
        <v>1220</v>
      </c>
      <c r="Y315" s="6" t="s">
        <v>1292</v>
      </c>
      <c r="Z315" s="6">
        <v>3</v>
      </c>
      <c r="AA315" s="6">
        <v>4</v>
      </c>
      <c r="AD315" s="6" t="s">
        <v>1203</v>
      </c>
      <c r="AE315" s="6" t="s">
        <v>1205</v>
      </c>
      <c r="AG315" s="6" t="s">
        <v>1574</v>
      </c>
      <c r="AY315" s="8" t="s">
        <v>176</v>
      </c>
      <c r="AZ315" s="8" t="s">
        <v>195</v>
      </c>
      <c r="BA315" s="13" t="s">
        <v>643</v>
      </c>
      <c r="BB315" s="13" t="s">
        <v>200</v>
      </c>
      <c r="BC315" s="13">
        <v>25</v>
      </c>
      <c r="BD315" s="13">
        <v>26</v>
      </c>
      <c r="DC315" s="6" t="s">
        <v>644</v>
      </c>
      <c r="DD315" s="6" t="s">
        <v>190</v>
      </c>
      <c r="DH315" s="6" t="str">
        <f t="shared" si="164"/>
        <v>A5</v>
      </c>
      <c r="DI315" s="6" t="str">
        <f t="shared" si="165"/>
        <v>B5</v>
      </c>
      <c r="DK315" s="6" t="s">
        <v>173</v>
      </c>
      <c r="DL315" s="6" t="str">
        <f t="shared" si="166"/>
        <v/>
      </c>
      <c r="DO315" s="9" t="s">
        <v>170</v>
      </c>
      <c r="DP315" s="6" t="s">
        <v>171</v>
      </c>
      <c r="DQ315" s="6" t="s">
        <v>645</v>
      </c>
      <c r="DS315" s="6" t="str">
        <f t="shared" si="159"/>
        <v>AKB331</v>
      </c>
      <c r="DT315" s="10" t="str">
        <f t="shared" si="160"/>
        <v>FCS0111-5-5/1S–MC–118-R4-CN1</v>
      </c>
      <c r="DU315" s="6" t="str">
        <f t="shared" si="161"/>
        <v/>
      </c>
      <c r="DV315" s="19">
        <v>1</v>
      </c>
      <c r="DW315" s="20" t="str">
        <f t="shared" si="162"/>
        <v>11</v>
      </c>
      <c r="DX315" s="21">
        <v>5</v>
      </c>
      <c r="DY315" s="22">
        <v>5</v>
      </c>
      <c r="DZ315" s="23" t="s">
        <v>204</v>
      </c>
      <c r="EA315" s="23">
        <v>5</v>
      </c>
      <c r="ED315" s="9" t="str">
        <f t="shared" si="163"/>
        <v>ANB10D</v>
      </c>
      <c r="EF315" s="6" t="s">
        <v>647</v>
      </c>
      <c r="EH315" s="6" t="s">
        <v>871</v>
      </c>
      <c r="EI315" s="6" t="s">
        <v>430</v>
      </c>
      <c r="EJ315" s="12">
        <v>100</v>
      </c>
      <c r="EN315" s="6" t="s">
        <v>1125</v>
      </c>
      <c r="EP315" s="6" t="s">
        <v>1148</v>
      </c>
      <c r="ET315" s="6" t="str">
        <f t="shared" si="152"/>
        <v>홀수</v>
      </c>
      <c r="EU315" s="12">
        <v>65</v>
      </c>
      <c r="EV315" s="45" t="str">
        <f t="shared" ca="1" si="157"/>
        <v>C</v>
      </c>
      <c r="EW315" s="6">
        <f t="shared" ca="1" si="153"/>
        <v>67</v>
      </c>
      <c r="FR315" s="6">
        <v>1</v>
      </c>
      <c r="FS315" s="6" t="str">
        <f t="shared" si="154"/>
        <v/>
      </c>
      <c r="FT315" s="6">
        <f t="shared" si="155"/>
        <v>1</v>
      </c>
      <c r="FU315" s="6" t="str">
        <f t="shared" ca="1" si="158"/>
        <v/>
      </c>
      <c r="FV315" s="6" t="str">
        <f t="shared" ca="1" si="156"/>
        <v/>
      </c>
      <c r="FW315" s="6" t="str">
        <f t="shared" ca="1" si="167"/>
        <v>R4-11</v>
      </c>
      <c r="FX315" s="6" t="str">
        <f t="shared" ca="1" si="168"/>
        <v>R4-12</v>
      </c>
      <c r="FY315" s="6" t="str">
        <f t="shared" ca="1" si="169"/>
        <v>R4-21</v>
      </c>
      <c r="FZ315" s="6" t="str">
        <f t="shared" ca="1" si="170"/>
        <v>R4-22</v>
      </c>
    </row>
    <row r="316" spans="1:182" ht="15.95" customHeight="1">
      <c r="A316" s="6">
        <v>534</v>
      </c>
      <c r="B316" s="6" t="s">
        <v>175</v>
      </c>
      <c r="E316" s="6" t="s">
        <v>872</v>
      </c>
      <c r="F316" s="6" t="s">
        <v>1578</v>
      </c>
      <c r="G316" s="6" t="s">
        <v>1290</v>
      </c>
      <c r="H316" s="7" t="s">
        <v>1291</v>
      </c>
      <c r="I316" s="7"/>
      <c r="J316" s="6" t="s">
        <v>1199</v>
      </c>
      <c r="K316" s="6" t="s">
        <v>1201</v>
      </c>
      <c r="N316" s="6" t="s">
        <v>1203</v>
      </c>
      <c r="O316" s="6" t="s">
        <v>1205</v>
      </c>
      <c r="R316" s="101" t="s">
        <v>1220</v>
      </c>
      <c r="Y316" s="6" t="s">
        <v>1579</v>
      </c>
      <c r="Z316" s="6">
        <v>1</v>
      </c>
      <c r="AA316" s="6">
        <v>2</v>
      </c>
      <c r="AD316" s="6" t="s">
        <v>1203</v>
      </c>
      <c r="AE316" s="6" t="s">
        <v>1205</v>
      </c>
      <c r="AG316" s="6" t="s">
        <v>1580</v>
      </c>
      <c r="AY316" s="8" t="s">
        <v>176</v>
      </c>
      <c r="AZ316" s="8" t="s">
        <v>195</v>
      </c>
      <c r="BA316" s="13" t="s">
        <v>643</v>
      </c>
      <c r="BB316" s="13" t="s">
        <v>740</v>
      </c>
      <c r="BC316" s="13">
        <v>1</v>
      </c>
      <c r="BD316" s="13">
        <v>2</v>
      </c>
      <c r="DC316" s="6" t="s">
        <v>644</v>
      </c>
      <c r="DD316" s="6" t="s">
        <v>190</v>
      </c>
      <c r="DH316" s="6" t="str">
        <f t="shared" si="164"/>
        <v>A6</v>
      </c>
      <c r="DI316" s="6" t="str">
        <f t="shared" si="165"/>
        <v>B6</v>
      </c>
      <c r="DK316" s="6" t="s">
        <v>173</v>
      </c>
      <c r="DL316" s="6" t="str">
        <f t="shared" si="166"/>
        <v/>
      </c>
      <c r="DO316" s="9" t="s">
        <v>170</v>
      </c>
      <c r="DP316" s="6" t="s">
        <v>171</v>
      </c>
      <c r="DQ316" s="6" t="s">
        <v>645</v>
      </c>
      <c r="DS316" s="6" t="str">
        <f t="shared" si="159"/>
        <v>AKB331</v>
      </c>
      <c r="DT316" s="10" t="str">
        <f t="shared" si="160"/>
        <v>FCS0111-5-5/1S–MC–118-R4-CN1</v>
      </c>
      <c r="DU316" s="6" t="str">
        <f t="shared" si="161"/>
        <v/>
      </c>
      <c r="DV316" s="19">
        <v>1</v>
      </c>
      <c r="DW316" s="20" t="str">
        <f t="shared" si="162"/>
        <v>11</v>
      </c>
      <c r="DX316" s="21">
        <v>5</v>
      </c>
      <c r="DY316" s="22">
        <v>5</v>
      </c>
      <c r="DZ316" s="23" t="s">
        <v>204</v>
      </c>
      <c r="EA316" s="23">
        <v>6</v>
      </c>
      <c r="ED316" s="9" t="str">
        <f t="shared" si="163"/>
        <v>ANB10D</v>
      </c>
      <c r="EF316" s="6" t="s">
        <v>647</v>
      </c>
      <c r="EH316" s="6" t="s">
        <v>872</v>
      </c>
      <c r="EI316" s="6" t="s">
        <v>430</v>
      </c>
      <c r="EJ316" s="12">
        <v>100</v>
      </c>
      <c r="EN316" s="6" t="s">
        <v>1125</v>
      </c>
      <c r="EP316" s="6" t="s">
        <v>1148</v>
      </c>
      <c r="ET316" s="6" t="str">
        <f t="shared" si="152"/>
        <v>홀수</v>
      </c>
      <c r="EU316" s="12">
        <v>65</v>
      </c>
      <c r="EV316" s="45" t="str">
        <f t="shared" ca="1" si="157"/>
        <v>D</v>
      </c>
      <c r="EW316" s="6">
        <f t="shared" ca="1" si="153"/>
        <v>68</v>
      </c>
      <c r="FR316" s="6">
        <v>1</v>
      </c>
      <c r="FS316" s="6" t="str">
        <f t="shared" si="154"/>
        <v/>
      </c>
      <c r="FT316" s="6">
        <f t="shared" si="155"/>
        <v>1</v>
      </c>
      <c r="FU316" s="6" t="str">
        <f t="shared" ca="1" si="158"/>
        <v/>
      </c>
      <c r="FV316" s="6" t="str">
        <f t="shared" ca="1" si="156"/>
        <v/>
      </c>
      <c r="FW316" s="6" t="str">
        <f t="shared" ca="1" si="167"/>
        <v>R4-11</v>
      </c>
      <c r="FX316" s="6" t="str">
        <f t="shared" ca="1" si="168"/>
        <v>R4-12</v>
      </c>
      <c r="FY316" s="6" t="str">
        <f t="shared" ca="1" si="169"/>
        <v>R4-21</v>
      </c>
      <c r="FZ316" s="6" t="str">
        <f t="shared" ca="1" si="170"/>
        <v>R4-22</v>
      </c>
    </row>
    <row r="317" spans="1:182" ht="15.95" customHeight="1">
      <c r="A317" s="6">
        <v>535</v>
      </c>
      <c r="B317" s="6" t="s">
        <v>175</v>
      </c>
      <c r="E317" s="6" t="s">
        <v>873</v>
      </c>
      <c r="F317" s="6" t="s">
        <v>1581</v>
      </c>
      <c r="G317" s="6" t="s">
        <v>1290</v>
      </c>
      <c r="H317" s="7" t="s">
        <v>1291</v>
      </c>
      <c r="I317" s="7"/>
      <c r="J317" s="6" t="s">
        <v>1199</v>
      </c>
      <c r="K317" s="6" t="s">
        <v>1201</v>
      </c>
      <c r="N317" s="6" t="s">
        <v>1203</v>
      </c>
      <c r="O317" s="6" t="s">
        <v>1205</v>
      </c>
      <c r="R317" s="101" t="s">
        <v>1220</v>
      </c>
      <c r="Y317" s="6" t="s">
        <v>1579</v>
      </c>
      <c r="Z317" s="6">
        <v>3</v>
      </c>
      <c r="AA317" s="6">
        <v>4</v>
      </c>
      <c r="AD317" s="6" t="s">
        <v>1203</v>
      </c>
      <c r="AE317" s="6" t="s">
        <v>1205</v>
      </c>
      <c r="AG317" s="6" t="s">
        <v>1580</v>
      </c>
      <c r="AY317" s="8" t="s">
        <v>176</v>
      </c>
      <c r="AZ317" s="8" t="s">
        <v>195</v>
      </c>
      <c r="BA317" s="13" t="s">
        <v>643</v>
      </c>
      <c r="BB317" s="13" t="s">
        <v>740</v>
      </c>
      <c r="BC317" s="13">
        <v>3</v>
      </c>
      <c r="BD317" s="13">
        <v>4</v>
      </c>
      <c r="DC317" s="6" t="s">
        <v>644</v>
      </c>
      <c r="DD317" s="6" t="s">
        <v>190</v>
      </c>
      <c r="DH317" s="6" t="str">
        <f t="shared" si="164"/>
        <v>A7</v>
      </c>
      <c r="DI317" s="6" t="str">
        <f t="shared" si="165"/>
        <v>B7</v>
      </c>
      <c r="DK317" s="6" t="s">
        <v>173</v>
      </c>
      <c r="DL317" s="6" t="str">
        <f t="shared" si="166"/>
        <v/>
      </c>
      <c r="DO317" s="9" t="s">
        <v>170</v>
      </c>
      <c r="DP317" s="6" t="s">
        <v>171</v>
      </c>
      <c r="DQ317" s="6" t="s">
        <v>645</v>
      </c>
      <c r="DS317" s="6" t="str">
        <f t="shared" si="159"/>
        <v>AKB331</v>
      </c>
      <c r="DT317" s="10" t="str">
        <f t="shared" si="160"/>
        <v>FCS0111-5-5/1S–MC–118-R4-CN1</v>
      </c>
      <c r="DU317" s="6" t="str">
        <f t="shared" si="161"/>
        <v/>
      </c>
      <c r="DV317" s="19">
        <v>1</v>
      </c>
      <c r="DW317" s="20" t="str">
        <f t="shared" si="162"/>
        <v>11</v>
      </c>
      <c r="DX317" s="21">
        <v>5</v>
      </c>
      <c r="DY317" s="22">
        <v>5</v>
      </c>
      <c r="DZ317" s="23" t="s">
        <v>204</v>
      </c>
      <c r="EA317" s="23">
        <v>7</v>
      </c>
      <c r="ED317" s="9" t="str">
        <f t="shared" si="163"/>
        <v>ANB10D</v>
      </c>
      <c r="EF317" s="6" t="s">
        <v>647</v>
      </c>
      <c r="EH317" s="6" t="s">
        <v>873</v>
      </c>
      <c r="EI317" s="6" t="s">
        <v>430</v>
      </c>
      <c r="EJ317" s="12">
        <v>100</v>
      </c>
      <c r="EN317" s="6" t="s">
        <v>1125</v>
      </c>
      <c r="EP317" s="6" t="s">
        <v>1148</v>
      </c>
      <c r="ET317" s="6" t="str">
        <f t="shared" si="152"/>
        <v>짝수</v>
      </c>
      <c r="EU317" s="12">
        <v>66</v>
      </c>
      <c r="EV317" s="45" t="str">
        <f t="shared" ca="1" si="157"/>
        <v>A</v>
      </c>
      <c r="EW317" s="6">
        <f t="shared" ca="1" si="153"/>
        <v>65</v>
      </c>
      <c r="FR317" s="6">
        <v>1</v>
      </c>
      <c r="FS317" s="6" t="str">
        <f t="shared" si="154"/>
        <v/>
      </c>
      <c r="FT317" s="6">
        <f t="shared" si="155"/>
        <v>1</v>
      </c>
      <c r="FU317" s="6" t="str">
        <f t="shared" ca="1" si="158"/>
        <v/>
      </c>
      <c r="FV317" s="6" t="str">
        <f t="shared" ca="1" si="156"/>
        <v/>
      </c>
      <c r="FW317" s="6" t="str">
        <f t="shared" ca="1" si="167"/>
        <v>R4-11</v>
      </c>
      <c r="FX317" s="6" t="str">
        <f t="shared" ca="1" si="168"/>
        <v>R4-12</v>
      </c>
      <c r="FY317" s="6" t="str">
        <f t="shared" ca="1" si="169"/>
        <v>R4-21</v>
      </c>
      <c r="FZ317" s="6" t="str">
        <f t="shared" ca="1" si="170"/>
        <v>R4-22</v>
      </c>
    </row>
    <row r="318" spans="1:182" ht="15.95" customHeight="1">
      <c r="A318" s="6">
        <v>536</v>
      </c>
      <c r="B318" s="6" t="s">
        <v>175</v>
      </c>
      <c r="E318" s="6" t="s">
        <v>874</v>
      </c>
      <c r="F318" s="6" t="s">
        <v>1582</v>
      </c>
      <c r="G318" s="6" t="s">
        <v>1290</v>
      </c>
      <c r="H318" s="7" t="s">
        <v>1291</v>
      </c>
      <c r="I318" s="7"/>
      <c r="J318" s="6" t="s">
        <v>1199</v>
      </c>
      <c r="K318" s="6" t="s">
        <v>1201</v>
      </c>
      <c r="N318" s="6" t="s">
        <v>1203</v>
      </c>
      <c r="O318" s="6" t="s">
        <v>1205</v>
      </c>
      <c r="R318" s="101" t="s">
        <v>1220</v>
      </c>
      <c r="Y318" s="6" t="s">
        <v>1444</v>
      </c>
      <c r="Z318" s="6">
        <v>5</v>
      </c>
      <c r="AA318" s="6">
        <v>6</v>
      </c>
      <c r="AD318" s="6" t="s">
        <v>1203</v>
      </c>
      <c r="AE318" s="6" t="s">
        <v>1205</v>
      </c>
      <c r="AG318" s="6" t="s">
        <v>1445</v>
      </c>
      <c r="AY318" s="8" t="s">
        <v>176</v>
      </c>
      <c r="AZ318" s="8" t="s">
        <v>195</v>
      </c>
      <c r="BA318" s="13" t="s">
        <v>643</v>
      </c>
      <c r="BB318" s="13" t="s">
        <v>740</v>
      </c>
      <c r="BC318" s="13">
        <v>111</v>
      </c>
      <c r="BD318" s="13">
        <v>112</v>
      </c>
      <c r="DC318" s="6" t="s">
        <v>644</v>
      </c>
      <c r="DD318" s="6" t="s">
        <v>190</v>
      </c>
      <c r="DH318" s="6" t="str">
        <f t="shared" si="164"/>
        <v>A8</v>
      </c>
      <c r="DI318" s="6" t="str">
        <f t="shared" si="165"/>
        <v>B8</v>
      </c>
      <c r="DK318" s="6" t="s">
        <v>173</v>
      </c>
      <c r="DL318" s="6" t="str">
        <f t="shared" si="166"/>
        <v/>
      </c>
      <c r="DO318" s="9" t="s">
        <v>170</v>
      </c>
      <c r="DP318" s="6" t="s">
        <v>171</v>
      </c>
      <c r="DQ318" s="6" t="s">
        <v>645</v>
      </c>
      <c r="DS318" s="6" t="str">
        <f t="shared" si="159"/>
        <v>AKB331</v>
      </c>
      <c r="DT318" s="10" t="str">
        <f t="shared" si="160"/>
        <v>FCS0111-5-5/1S–MC–118-R4-CN1</v>
      </c>
      <c r="DU318" s="6" t="str">
        <f t="shared" si="161"/>
        <v/>
      </c>
      <c r="DV318" s="19">
        <v>1</v>
      </c>
      <c r="DW318" s="20" t="str">
        <f t="shared" si="162"/>
        <v>11</v>
      </c>
      <c r="DX318" s="21">
        <v>5</v>
      </c>
      <c r="DY318" s="22">
        <v>5</v>
      </c>
      <c r="DZ318" s="23" t="s">
        <v>204</v>
      </c>
      <c r="EA318" s="23">
        <v>8</v>
      </c>
      <c r="ED318" s="9" t="str">
        <f t="shared" si="163"/>
        <v>ANB10D</v>
      </c>
      <c r="EF318" s="6" t="s">
        <v>647</v>
      </c>
      <c r="EH318" s="6" t="s">
        <v>874</v>
      </c>
      <c r="EI318" s="6" t="s">
        <v>430</v>
      </c>
      <c r="EJ318" s="12">
        <v>100</v>
      </c>
      <c r="EN318" s="6" t="s">
        <v>1125</v>
      </c>
      <c r="EP318" s="6" t="s">
        <v>1148</v>
      </c>
      <c r="ET318" s="6" t="str">
        <f t="shared" si="152"/>
        <v>짝수</v>
      </c>
      <c r="EU318" s="12">
        <v>66</v>
      </c>
      <c r="EV318" s="45" t="str">
        <f t="shared" ca="1" si="157"/>
        <v>B</v>
      </c>
      <c r="EW318" s="6">
        <f t="shared" ca="1" si="153"/>
        <v>66</v>
      </c>
      <c r="FR318" s="6">
        <v>1</v>
      </c>
      <c r="FS318" s="6" t="str">
        <f t="shared" si="154"/>
        <v/>
      </c>
      <c r="FT318" s="6">
        <f t="shared" si="155"/>
        <v>1</v>
      </c>
      <c r="FU318" s="6" t="str">
        <f t="shared" ca="1" si="158"/>
        <v/>
      </c>
      <c r="FV318" s="6" t="str">
        <f t="shared" ca="1" si="156"/>
        <v/>
      </c>
      <c r="FW318" s="6" t="str">
        <f t="shared" ca="1" si="167"/>
        <v>R4-11</v>
      </c>
      <c r="FX318" s="6" t="str">
        <f t="shared" ca="1" si="168"/>
        <v>R4-12</v>
      </c>
      <c r="FY318" s="6" t="str">
        <f t="shared" ca="1" si="169"/>
        <v>R4-21</v>
      </c>
      <c r="FZ318" s="6" t="str">
        <f t="shared" ca="1" si="170"/>
        <v>R4-22</v>
      </c>
    </row>
    <row r="319" spans="1:182" ht="15.95" customHeight="1">
      <c r="A319" s="6">
        <v>537</v>
      </c>
      <c r="B319" s="6" t="s">
        <v>175</v>
      </c>
      <c r="E319" s="6" t="s">
        <v>875</v>
      </c>
      <c r="F319" s="6" t="s">
        <v>1583</v>
      </c>
      <c r="G319" s="6" t="s">
        <v>1290</v>
      </c>
      <c r="H319" s="7" t="s">
        <v>1291</v>
      </c>
      <c r="I319" s="7"/>
      <c r="J319" s="6" t="s">
        <v>1199</v>
      </c>
      <c r="K319" s="6" t="s">
        <v>1201</v>
      </c>
      <c r="N319" s="6" t="s">
        <v>1203</v>
      </c>
      <c r="O319" s="6" t="s">
        <v>1205</v>
      </c>
      <c r="R319" s="101" t="s">
        <v>1220</v>
      </c>
      <c r="Y319" s="6" t="s">
        <v>1571</v>
      </c>
      <c r="Z319" s="6">
        <v>3</v>
      </c>
      <c r="AA319" s="6">
        <v>4</v>
      </c>
      <c r="AD319" s="6" t="s">
        <v>1203</v>
      </c>
      <c r="AE319" s="6" t="s">
        <v>1205</v>
      </c>
      <c r="AG319" s="6" t="s">
        <v>1572</v>
      </c>
      <c r="AY319" s="8" t="s">
        <v>176</v>
      </c>
      <c r="AZ319" s="8" t="s">
        <v>195</v>
      </c>
      <c r="BA319" s="13" t="s">
        <v>643</v>
      </c>
      <c r="BB319" s="13" t="s">
        <v>740</v>
      </c>
      <c r="BC319" s="13">
        <v>57</v>
      </c>
      <c r="BD319" s="13">
        <v>58</v>
      </c>
      <c r="DC319" s="6" t="s">
        <v>644</v>
      </c>
      <c r="DD319" s="6" t="s">
        <v>190</v>
      </c>
      <c r="DH319" s="6" t="str">
        <f t="shared" si="164"/>
        <v>A9</v>
      </c>
      <c r="DI319" s="6" t="str">
        <f t="shared" si="165"/>
        <v>B9</v>
      </c>
      <c r="DK319" s="6" t="s">
        <v>173</v>
      </c>
      <c r="DL319" s="6" t="str">
        <f t="shared" si="166"/>
        <v/>
      </c>
      <c r="DO319" s="9" t="s">
        <v>170</v>
      </c>
      <c r="DP319" s="6" t="s">
        <v>171</v>
      </c>
      <c r="DQ319" s="6" t="s">
        <v>645</v>
      </c>
      <c r="DS319" s="6" t="str">
        <f t="shared" si="159"/>
        <v>AKB331</v>
      </c>
      <c r="DT319" s="10" t="str">
        <f t="shared" si="160"/>
        <v>FCS0111-5-5/1S–MC–118-R4-CN1</v>
      </c>
      <c r="DU319" s="6" t="str">
        <f t="shared" si="161"/>
        <v/>
      </c>
      <c r="DV319" s="19">
        <v>1</v>
      </c>
      <c r="DW319" s="20" t="str">
        <f t="shared" si="162"/>
        <v>11</v>
      </c>
      <c r="DX319" s="21">
        <v>5</v>
      </c>
      <c r="DY319" s="22">
        <v>5</v>
      </c>
      <c r="DZ319" s="23" t="s">
        <v>204</v>
      </c>
      <c r="EA319" s="23">
        <v>9</v>
      </c>
      <c r="ED319" s="9" t="str">
        <f t="shared" si="163"/>
        <v>ANB10D</v>
      </c>
      <c r="EF319" s="6" t="s">
        <v>647</v>
      </c>
      <c r="EH319" s="6" t="s">
        <v>875</v>
      </c>
      <c r="EI319" s="6" t="s">
        <v>679</v>
      </c>
      <c r="EJ319" s="12">
        <v>100</v>
      </c>
      <c r="EN319" s="6" t="s">
        <v>1125</v>
      </c>
      <c r="EP319" s="6" t="s">
        <v>1148</v>
      </c>
      <c r="ET319" s="6" t="str">
        <f t="shared" si="152"/>
        <v>짝수</v>
      </c>
      <c r="EU319" s="12">
        <v>66</v>
      </c>
      <c r="EV319" s="45" t="str">
        <f t="shared" ca="1" si="157"/>
        <v>C</v>
      </c>
      <c r="EW319" s="6">
        <f t="shared" ca="1" si="153"/>
        <v>67</v>
      </c>
      <c r="FR319" s="6">
        <v>1</v>
      </c>
      <c r="FS319" s="6" t="str">
        <f t="shared" si="154"/>
        <v/>
      </c>
      <c r="FT319" s="6">
        <f t="shared" si="155"/>
        <v>1</v>
      </c>
      <c r="FU319" s="6" t="str">
        <f t="shared" ca="1" si="158"/>
        <v/>
      </c>
      <c r="FV319" s="6" t="str">
        <f t="shared" ca="1" si="156"/>
        <v/>
      </c>
      <c r="FW319" s="6" t="str">
        <f t="shared" ca="1" si="167"/>
        <v>R4-11</v>
      </c>
      <c r="FX319" s="6" t="str">
        <f t="shared" ca="1" si="168"/>
        <v>R4-12</v>
      </c>
      <c r="FY319" s="6" t="str">
        <f t="shared" ca="1" si="169"/>
        <v>R4-21</v>
      </c>
      <c r="FZ319" s="6" t="str">
        <f t="shared" ca="1" si="170"/>
        <v>R4-22</v>
      </c>
    </row>
    <row r="320" spans="1:182" ht="15.95" customHeight="1">
      <c r="A320" s="6">
        <v>538</v>
      </c>
      <c r="B320" s="6" t="s">
        <v>175</v>
      </c>
      <c r="E320" s="6" t="s">
        <v>876</v>
      </c>
      <c r="F320" s="6" t="s">
        <v>1584</v>
      </c>
      <c r="G320" s="6" t="s">
        <v>1290</v>
      </c>
      <c r="H320" s="7" t="s">
        <v>1291</v>
      </c>
      <c r="I320" s="7"/>
      <c r="J320" s="6" t="s">
        <v>1199</v>
      </c>
      <c r="K320" s="6" t="s">
        <v>1201</v>
      </c>
      <c r="N320" s="6" t="s">
        <v>1203</v>
      </c>
      <c r="O320" s="6" t="s">
        <v>1205</v>
      </c>
      <c r="R320" s="101" t="s">
        <v>1220</v>
      </c>
      <c r="Y320" s="6" t="s">
        <v>1292</v>
      </c>
      <c r="Z320" s="6">
        <v>5</v>
      </c>
      <c r="AA320" s="6">
        <v>6</v>
      </c>
      <c r="AD320" s="6" t="s">
        <v>1203</v>
      </c>
      <c r="AE320" s="6" t="s">
        <v>1205</v>
      </c>
      <c r="AG320" s="6" t="s">
        <v>1574</v>
      </c>
      <c r="AY320" s="8" t="s">
        <v>176</v>
      </c>
      <c r="AZ320" s="8" t="s">
        <v>195</v>
      </c>
      <c r="BA320" s="13" t="s">
        <v>643</v>
      </c>
      <c r="BB320" s="13" t="s">
        <v>200</v>
      </c>
      <c r="BC320" s="13">
        <v>27</v>
      </c>
      <c r="BD320" s="13">
        <v>28</v>
      </c>
      <c r="DC320" s="6" t="s">
        <v>644</v>
      </c>
      <c r="DD320" s="6" t="s">
        <v>190</v>
      </c>
      <c r="DH320" s="6" t="str">
        <f t="shared" si="164"/>
        <v>A10</v>
      </c>
      <c r="DI320" s="6" t="str">
        <f t="shared" si="165"/>
        <v>B10</v>
      </c>
      <c r="DK320" s="6" t="s">
        <v>173</v>
      </c>
      <c r="DL320" s="6" t="str">
        <f t="shared" si="166"/>
        <v/>
      </c>
      <c r="DO320" s="9" t="s">
        <v>170</v>
      </c>
      <c r="DP320" s="6" t="s">
        <v>171</v>
      </c>
      <c r="DQ320" s="6" t="s">
        <v>645</v>
      </c>
      <c r="DS320" s="6" t="str">
        <f t="shared" si="159"/>
        <v>AKB331</v>
      </c>
      <c r="DT320" s="10" t="str">
        <f t="shared" si="160"/>
        <v>FCS0111-5-5/1S–MC–118-R4-CN1</v>
      </c>
      <c r="DU320" s="6" t="str">
        <f t="shared" si="161"/>
        <v/>
      </c>
      <c r="DV320" s="19">
        <v>1</v>
      </c>
      <c r="DW320" s="20" t="str">
        <f t="shared" si="162"/>
        <v>11</v>
      </c>
      <c r="DX320" s="21">
        <v>5</v>
      </c>
      <c r="DY320" s="22">
        <v>5</v>
      </c>
      <c r="DZ320" s="23" t="s">
        <v>204</v>
      </c>
      <c r="EA320" s="23">
        <v>10</v>
      </c>
      <c r="ED320" s="9" t="str">
        <f t="shared" si="163"/>
        <v>ANB10D</v>
      </c>
      <c r="EF320" s="6" t="s">
        <v>647</v>
      </c>
      <c r="EH320" s="6" t="s">
        <v>876</v>
      </c>
      <c r="EI320" s="6" t="s">
        <v>685</v>
      </c>
      <c r="EJ320" s="12">
        <v>100</v>
      </c>
      <c r="EN320" s="6" t="s">
        <v>1125</v>
      </c>
      <c r="EP320" s="6" t="s">
        <v>1148</v>
      </c>
      <c r="ET320" s="6" t="str">
        <f t="shared" si="152"/>
        <v>짝수</v>
      </c>
      <c r="EU320" s="12">
        <v>66</v>
      </c>
      <c r="EV320" s="45" t="str">
        <f t="shared" ca="1" si="157"/>
        <v>D</v>
      </c>
      <c r="EW320" s="6">
        <f t="shared" ca="1" si="153"/>
        <v>68</v>
      </c>
      <c r="FR320" s="6">
        <v>1</v>
      </c>
      <c r="FS320" s="6" t="str">
        <f t="shared" si="154"/>
        <v/>
      </c>
      <c r="FT320" s="6">
        <f t="shared" si="155"/>
        <v>1</v>
      </c>
      <c r="FU320" s="6" t="str">
        <f t="shared" ca="1" si="158"/>
        <v/>
      </c>
      <c r="FV320" s="6" t="str">
        <f t="shared" ca="1" si="156"/>
        <v/>
      </c>
      <c r="FW320" s="6" t="str">
        <f t="shared" ca="1" si="167"/>
        <v>R4-11</v>
      </c>
      <c r="FX320" s="6" t="str">
        <f t="shared" ca="1" si="168"/>
        <v>R4-12</v>
      </c>
      <c r="FY320" s="6" t="str">
        <f t="shared" ca="1" si="169"/>
        <v>R4-21</v>
      </c>
      <c r="FZ320" s="6" t="str">
        <f t="shared" ca="1" si="170"/>
        <v>R4-22</v>
      </c>
    </row>
    <row r="321" spans="1:182" ht="15.95" customHeight="1">
      <c r="A321" s="6">
        <v>539</v>
      </c>
      <c r="B321" s="6" t="s">
        <v>175</v>
      </c>
      <c r="E321" s="6" t="s">
        <v>877</v>
      </c>
      <c r="F321" s="6" t="s">
        <v>1585</v>
      </c>
      <c r="G321" s="6" t="s">
        <v>1290</v>
      </c>
      <c r="H321" s="7" t="s">
        <v>1291</v>
      </c>
      <c r="I321" s="7"/>
      <c r="J321" s="6" t="s">
        <v>1199</v>
      </c>
      <c r="K321" s="6" t="s">
        <v>1201</v>
      </c>
      <c r="N321" s="6" t="s">
        <v>1203</v>
      </c>
      <c r="O321" s="6" t="s">
        <v>1205</v>
      </c>
      <c r="R321" s="101" t="s">
        <v>1220</v>
      </c>
      <c r="Y321" s="6" t="s">
        <v>1292</v>
      </c>
      <c r="Z321" s="6">
        <v>7</v>
      </c>
      <c r="AA321" s="6">
        <v>8</v>
      </c>
      <c r="AD321" s="6" t="s">
        <v>1203</v>
      </c>
      <c r="AE321" s="6" t="s">
        <v>1205</v>
      </c>
      <c r="AG321" s="6" t="s">
        <v>1574</v>
      </c>
      <c r="AY321" s="8" t="s">
        <v>176</v>
      </c>
      <c r="AZ321" s="8" t="s">
        <v>195</v>
      </c>
      <c r="BA321" s="13" t="s">
        <v>643</v>
      </c>
      <c r="BB321" s="13" t="s">
        <v>200</v>
      </c>
      <c r="BC321" s="13">
        <v>29</v>
      </c>
      <c r="BD321" s="13">
        <v>30</v>
      </c>
      <c r="DC321" s="6" t="s">
        <v>644</v>
      </c>
      <c r="DD321" s="6" t="s">
        <v>190</v>
      </c>
      <c r="DH321" s="6" t="str">
        <f t="shared" si="164"/>
        <v>A11</v>
      </c>
      <c r="DI321" s="6" t="str">
        <f t="shared" si="165"/>
        <v>B11</v>
      </c>
      <c r="DK321" s="6" t="s">
        <v>173</v>
      </c>
      <c r="DL321" s="6" t="str">
        <f t="shared" si="166"/>
        <v/>
      </c>
      <c r="DO321" s="9" t="s">
        <v>170</v>
      </c>
      <c r="DP321" s="6" t="s">
        <v>171</v>
      </c>
      <c r="DQ321" s="6" t="s">
        <v>645</v>
      </c>
      <c r="DS321" s="6" t="str">
        <f t="shared" si="159"/>
        <v>AKB331</v>
      </c>
      <c r="DT321" s="10" t="str">
        <f t="shared" si="160"/>
        <v>FCS0111-5-5/1S–MC–118-R4-CN1</v>
      </c>
      <c r="DU321" s="6" t="str">
        <f t="shared" si="161"/>
        <v/>
      </c>
      <c r="DV321" s="19">
        <v>1</v>
      </c>
      <c r="DW321" s="20" t="str">
        <f t="shared" si="162"/>
        <v>11</v>
      </c>
      <c r="DX321" s="21">
        <v>5</v>
      </c>
      <c r="DY321" s="22">
        <v>5</v>
      </c>
      <c r="DZ321" s="23" t="s">
        <v>204</v>
      </c>
      <c r="EA321" s="23">
        <v>11</v>
      </c>
      <c r="ED321" s="9" t="str">
        <f t="shared" si="163"/>
        <v>ANB10D</v>
      </c>
      <c r="EF321" s="6" t="s">
        <v>647</v>
      </c>
      <c r="EH321" s="6" t="s">
        <v>877</v>
      </c>
      <c r="EI321" s="6" t="s">
        <v>697</v>
      </c>
      <c r="EJ321" s="12">
        <v>100</v>
      </c>
      <c r="EN321" s="6" t="s">
        <v>1125</v>
      </c>
      <c r="EP321" s="6" t="s">
        <v>1148</v>
      </c>
      <c r="ET321" s="6" t="str">
        <f t="shared" si="152"/>
        <v>홀수</v>
      </c>
      <c r="EU321" s="12">
        <v>67</v>
      </c>
      <c r="EV321" s="45" t="str">
        <f t="shared" ca="1" si="157"/>
        <v>A</v>
      </c>
      <c r="EW321" s="6">
        <f t="shared" ca="1" si="153"/>
        <v>65</v>
      </c>
      <c r="FR321" s="6">
        <v>1</v>
      </c>
      <c r="FS321" s="6" t="str">
        <f t="shared" si="154"/>
        <v/>
      </c>
      <c r="FT321" s="6">
        <f t="shared" si="155"/>
        <v>1</v>
      </c>
      <c r="FU321" s="6" t="str">
        <f t="shared" ca="1" si="158"/>
        <v/>
      </c>
      <c r="FV321" s="6" t="str">
        <f t="shared" ca="1" si="156"/>
        <v/>
      </c>
      <c r="FW321" s="6" t="str">
        <f t="shared" ca="1" si="167"/>
        <v>R4-11</v>
      </c>
      <c r="FX321" s="6" t="str">
        <f t="shared" ca="1" si="168"/>
        <v>R4-12</v>
      </c>
      <c r="FY321" s="6" t="str">
        <f t="shared" ca="1" si="169"/>
        <v>R4-21</v>
      </c>
      <c r="FZ321" s="6" t="str">
        <f t="shared" ca="1" si="170"/>
        <v>R4-22</v>
      </c>
    </row>
    <row r="322" spans="1:182" ht="15.95" customHeight="1">
      <c r="A322" s="6">
        <v>540</v>
      </c>
      <c r="B322" s="6" t="s">
        <v>175</v>
      </c>
      <c r="E322" s="6" t="s">
        <v>878</v>
      </c>
      <c r="F322" s="6" t="s">
        <v>1586</v>
      </c>
      <c r="G322" s="6" t="s">
        <v>1290</v>
      </c>
      <c r="H322" s="7" t="s">
        <v>1291</v>
      </c>
      <c r="I322" s="7"/>
      <c r="J322" s="6" t="s">
        <v>1199</v>
      </c>
      <c r="K322" s="6" t="s">
        <v>1201</v>
      </c>
      <c r="N322" s="6" t="s">
        <v>1203</v>
      </c>
      <c r="O322" s="6" t="s">
        <v>1205</v>
      </c>
      <c r="R322" s="101" t="s">
        <v>1220</v>
      </c>
      <c r="Y322" s="6" t="s">
        <v>1292</v>
      </c>
      <c r="Z322" s="6">
        <v>9</v>
      </c>
      <c r="AA322" s="6">
        <v>10</v>
      </c>
      <c r="AD322" s="6" t="s">
        <v>1203</v>
      </c>
      <c r="AE322" s="6" t="s">
        <v>1205</v>
      </c>
      <c r="AG322" s="6" t="s">
        <v>1574</v>
      </c>
      <c r="AY322" s="8" t="s">
        <v>176</v>
      </c>
      <c r="AZ322" s="8" t="s">
        <v>195</v>
      </c>
      <c r="BA322" s="13" t="s">
        <v>643</v>
      </c>
      <c r="BB322" s="13" t="s">
        <v>200</v>
      </c>
      <c r="BC322" s="13">
        <v>31</v>
      </c>
      <c r="BD322" s="13">
        <v>32</v>
      </c>
      <c r="DC322" s="6" t="s">
        <v>644</v>
      </c>
      <c r="DD322" s="6" t="s">
        <v>190</v>
      </c>
      <c r="DH322" s="6" t="str">
        <f t="shared" si="164"/>
        <v>A12</v>
      </c>
      <c r="DI322" s="6" t="str">
        <f t="shared" si="165"/>
        <v>B12</v>
      </c>
      <c r="DK322" s="6" t="s">
        <v>173</v>
      </c>
      <c r="DL322" s="6" t="str">
        <f t="shared" si="166"/>
        <v/>
      </c>
      <c r="DO322" s="9" t="s">
        <v>170</v>
      </c>
      <c r="DP322" s="6" t="s">
        <v>171</v>
      </c>
      <c r="DQ322" s="6" t="s">
        <v>645</v>
      </c>
      <c r="DS322" s="6" t="str">
        <f t="shared" si="159"/>
        <v>AKB331</v>
      </c>
      <c r="DT322" s="10" t="str">
        <f t="shared" si="160"/>
        <v>FCS0111-5-5/1S–MC–118-R4-CN1</v>
      </c>
      <c r="DU322" s="6" t="str">
        <f t="shared" si="161"/>
        <v/>
      </c>
      <c r="DV322" s="19">
        <v>1</v>
      </c>
      <c r="DW322" s="20" t="str">
        <f t="shared" si="162"/>
        <v>11</v>
      </c>
      <c r="DX322" s="21">
        <v>5</v>
      </c>
      <c r="DY322" s="22">
        <v>5</v>
      </c>
      <c r="DZ322" s="23" t="s">
        <v>204</v>
      </c>
      <c r="EA322" s="23">
        <v>12</v>
      </c>
      <c r="ED322" s="9" t="str">
        <f t="shared" si="163"/>
        <v>ANB10D</v>
      </c>
      <c r="EF322" s="6" t="s">
        <v>647</v>
      </c>
      <c r="EH322" s="6" t="s">
        <v>878</v>
      </c>
      <c r="EI322" s="6" t="s">
        <v>697</v>
      </c>
      <c r="EJ322" s="12">
        <v>100</v>
      </c>
      <c r="EN322" s="6" t="s">
        <v>1125</v>
      </c>
      <c r="EP322" s="6" t="s">
        <v>1148</v>
      </c>
      <c r="ET322" s="6" t="str">
        <f t="shared" si="152"/>
        <v>홀수</v>
      </c>
      <c r="EU322" s="12">
        <v>67</v>
      </c>
      <c r="EV322" s="45" t="str">
        <f t="shared" ca="1" si="157"/>
        <v>B</v>
      </c>
      <c r="EW322" s="6">
        <f t="shared" ca="1" si="153"/>
        <v>66</v>
      </c>
      <c r="FR322" s="6">
        <v>1</v>
      </c>
      <c r="FS322" s="6" t="str">
        <f t="shared" si="154"/>
        <v/>
      </c>
      <c r="FT322" s="6">
        <f t="shared" si="155"/>
        <v>1</v>
      </c>
      <c r="FU322" s="6" t="str">
        <f t="shared" ca="1" si="158"/>
        <v/>
      </c>
      <c r="FV322" s="6" t="str">
        <f t="shared" ca="1" si="156"/>
        <v/>
      </c>
      <c r="FW322" s="6" t="str">
        <f t="shared" ca="1" si="167"/>
        <v>R4-11</v>
      </c>
      <c r="FX322" s="6" t="str">
        <f t="shared" ca="1" si="168"/>
        <v>R4-12</v>
      </c>
      <c r="FY322" s="6" t="str">
        <f t="shared" ca="1" si="169"/>
        <v>R4-21</v>
      </c>
      <c r="FZ322" s="6" t="str">
        <f t="shared" ca="1" si="170"/>
        <v>R4-22</v>
      </c>
    </row>
    <row r="323" spans="1:182" ht="15.95" customHeight="1">
      <c r="A323" s="6">
        <v>541</v>
      </c>
      <c r="B323" s="6" t="s">
        <v>175</v>
      </c>
      <c r="E323" s="6" t="s">
        <v>879</v>
      </c>
      <c r="F323" s="6" t="s">
        <v>1587</v>
      </c>
      <c r="G323" s="6" t="s">
        <v>1290</v>
      </c>
      <c r="H323" s="7" t="s">
        <v>1291</v>
      </c>
      <c r="I323" s="7"/>
      <c r="J323" s="6" t="s">
        <v>1199</v>
      </c>
      <c r="K323" s="6" t="s">
        <v>1201</v>
      </c>
      <c r="N323" s="6" t="s">
        <v>1203</v>
      </c>
      <c r="O323" s="6" t="s">
        <v>1205</v>
      </c>
      <c r="R323" s="101" t="s">
        <v>1220</v>
      </c>
      <c r="Y323" s="6" t="s">
        <v>1292</v>
      </c>
      <c r="Z323" s="6">
        <v>11</v>
      </c>
      <c r="AA323" s="6">
        <v>12</v>
      </c>
      <c r="AD323" s="6" t="s">
        <v>1203</v>
      </c>
      <c r="AE323" s="6" t="s">
        <v>1205</v>
      </c>
      <c r="AG323" s="6" t="s">
        <v>1574</v>
      </c>
      <c r="AY323" s="8" t="s">
        <v>176</v>
      </c>
      <c r="AZ323" s="8" t="s">
        <v>195</v>
      </c>
      <c r="BA323" s="13" t="s">
        <v>643</v>
      </c>
      <c r="BB323" s="13" t="s">
        <v>200</v>
      </c>
      <c r="BC323" s="13">
        <v>33</v>
      </c>
      <c r="BD323" s="13">
        <v>34</v>
      </c>
      <c r="DC323" s="6" t="s">
        <v>644</v>
      </c>
      <c r="DD323" s="6" t="s">
        <v>190</v>
      </c>
      <c r="DH323" s="6" t="str">
        <f t="shared" si="164"/>
        <v>A13</v>
      </c>
      <c r="DI323" s="6" t="str">
        <f t="shared" si="165"/>
        <v>B13</v>
      </c>
      <c r="DK323" s="6" t="s">
        <v>173</v>
      </c>
      <c r="DL323" s="6" t="str">
        <f t="shared" si="166"/>
        <v/>
      </c>
      <c r="DO323" s="9" t="s">
        <v>170</v>
      </c>
      <c r="DP323" s="6" t="s">
        <v>171</v>
      </c>
      <c r="DQ323" s="6" t="s">
        <v>645</v>
      </c>
      <c r="DS323" s="6" t="str">
        <f t="shared" si="159"/>
        <v>AKB331</v>
      </c>
      <c r="DT323" s="10" t="str">
        <f t="shared" si="160"/>
        <v>FCS0111-5-5/1S–MC–118-R4-CN1</v>
      </c>
      <c r="DU323" s="6" t="str">
        <f t="shared" si="161"/>
        <v/>
      </c>
      <c r="DV323" s="19">
        <v>1</v>
      </c>
      <c r="DW323" s="20" t="str">
        <f t="shared" si="162"/>
        <v>11</v>
      </c>
      <c r="DX323" s="21">
        <v>5</v>
      </c>
      <c r="DY323" s="22">
        <v>5</v>
      </c>
      <c r="DZ323" s="23" t="s">
        <v>204</v>
      </c>
      <c r="EA323" s="23">
        <v>13</v>
      </c>
      <c r="ED323" s="9" t="str">
        <f t="shared" si="163"/>
        <v>ANB10D</v>
      </c>
      <c r="EF323" s="6" t="s">
        <v>647</v>
      </c>
      <c r="EH323" s="6" t="s">
        <v>879</v>
      </c>
      <c r="EI323" s="6" t="s">
        <v>705</v>
      </c>
      <c r="EJ323" s="12">
        <v>100</v>
      </c>
      <c r="EN323" s="6" t="s">
        <v>1125</v>
      </c>
      <c r="EP323" s="6" t="s">
        <v>1148</v>
      </c>
      <c r="ET323" s="6" t="str">
        <f t="shared" ref="ET323:ET386" si="171">IF(MOD(EU323,2) = 0, "짝수", "홀수")</f>
        <v>홀수</v>
      </c>
      <c r="EU323" s="12">
        <v>67</v>
      </c>
      <c r="EV323" s="45" t="str">
        <f t="shared" ca="1" si="157"/>
        <v>C</v>
      </c>
      <c r="EW323" s="6">
        <f t="shared" ref="EW323:EW386" ca="1" si="172">IF(EV323="A",65,IF(EV323="B",66,IF(EV323="C",67,68)))</f>
        <v>67</v>
      </c>
      <c r="FR323" s="6">
        <v>1</v>
      </c>
      <c r="FS323" s="6" t="str">
        <f t="shared" ref="FS323:FS386" si="173">IF(OR(DC323="A1BA4D",DC323="A1BD5D"),"",1)</f>
        <v/>
      </c>
      <c r="FT323" s="6">
        <f t="shared" ref="FT323:FT386" si="174">IF(OR(DC323="A1BA4D",DC323="ARM55D"),"",1)</f>
        <v>1</v>
      </c>
      <c r="FU323" s="6" t="str">
        <f t="shared" ca="1" si="158"/>
        <v/>
      </c>
      <c r="FV323" s="6" t="str">
        <f t="shared" ref="FV323:FV386" ca="1" si="175">IF(AND(FS323="",OFFSET(FS323,0,1)="",DC323="A1BA4D"),"",IF(DC323="A1BD5D","",DD323&amp;"-12"))</f>
        <v/>
      </c>
      <c r="FW323" s="6" t="str">
        <f t="shared" ca="1" si="167"/>
        <v>R4-11</v>
      </c>
      <c r="FX323" s="6" t="str">
        <f t="shared" ca="1" si="168"/>
        <v>R4-12</v>
      </c>
      <c r="FY323" s="6" t="str">
        <f t="shared" ca="1" si="169"/>
        <v>R4-21</v>
      </c>
      <c r="FZ323" s="6" t="str">
        <f t="shared" ca="1" si="170"/>
        <v>R4-22</v>
      </c>
    </row>
    <row r="324" spans="1:182" ht="15.95" customHeight="1">
      <c r="A324" s="6">
        <v>542</v>
      </c>
      <c r="B324" s="6" t="s">
        <v>175</v>
      </c>
      <c r="E324" s="6" t="s">
        <v>880</v>
      </c>
      <c r="F324" s="6" t="s">
        <v>1588</v>
      </c>
      <c r="G324" s="6" t="s">
        <v>1290</v>
      </c>
      <c r="H324" s="7" t="s">
        <v>1291</v>
      </c>
      <c r="I324" s="7"/>
      <c r="J324" s="6" t="s">
        <v>1199</v>
      </c>
      <c r="K324" s="6" t="s">
        <v>1201</v>
      </c>
      <c r="N324" s="6" t="s">
        <v>1203</v>
      </c>
      <c r="O324" s="6" t="s">
        <v>1205</v>
      </c>
      <c r="R324" s="101" t="s">
        <v>1220</v>
      </c>
      <c r="Y324" s="6" t="s">
        <v>1292</v>
      </c>
      <c r="Z324" s="6">
        <v>13</v>
      </c>
      <c r="AA324" s="6">
        <v>14</v>
      </c>
      <c r="AD324" s="6" t="s">
        <v>1203</v>
      </c>
      <c r="AE324" s="6" t="s">
        <v>1205</v>
      </c>
      <c r="AG324" s="6" t="s">
        <v>1574</v>
      </c>
      <c r="AY324" s="8" t="s">
        <v>176</v>
      </c>
      <c r="AZ324" s="8" t="s">
        <v>195</v>
      </c>
      <c r="BA324" s="13" t="s">
        <v>643</v>
      </c>
      <c r="BB324" s="13" t="s">
        <v>200</v>
      </c>
      <c r="BC324" s="13">
        <v>35</v>
      </c>
      <c r="BD324" s="13">
        <v>36</v>
      </c>
      <c r="DC324" s="6" t="s">
        <v>644</v>
      </c>
      <c r="DD324" s="6" t="s">
        <v>190</v>
      </c>
      <c r="DH324" s="6" t="str">
        <f t="shared" si="164"/>
        <v>A14</v>
      </c>
      <c r="DI324" s="6" t="str">
        <f t="shared" si="165"/>
        <v>B14</v>
      </c>
      <c r="DK324" s="6" t="s">
        <v>173</v>
      </c>
      <c r="DL324" s="6" t="str">
        <f t="shared" si="166"/>
        <v/>
      </c>
      <c r="DO324" s="9" t="s">
        <v>170</v>
      </c>
      <c r="DP324" s="6" t="s">
        <v>171</v>
      </c>
      <c r="DQ324" s="6" t="s">
        <v>645</v>
      </c>
      <c r="DS324" s="6" t="str">
        <f t="shared" si="159"/>
        <v>AKB331</v>
      </c>
      <c r="DT324" s="10" t="str">
        <f t="shared" si="160"/>
        <v>FCS0111-5-5/1S–MC–118-R4-CN1</v>
      </c>
      <c r="DU324" s="6" t="str">
        <f t="shared" si="161"/>
        <v/>
      </c>
      <c r="DV324" s="19">
        <v>1</v>
      </c>
      <c r="DW324" s="20" t="str">
        <f t="shared" si="162"/>
        <v>11</v>
      </c>
      <c r="DX324" s="21">
        <v>5</v>
      </c>
      <c r="DY324" s="22">
        <v>5</v>
      </c>
      <c r="DZ324" s="23" t="s">
        <v>204</v>
      </c>
      <c r="EA324" s="23">
        <v>14</v>
      </c>
      <c r="ED324" s="9" t="str">
        <f t="shared" si="163"/>
        <v>ANB10D</v>
      </c>
      <c r="EF324" s="6" t="s">
        <v>647</v>
      </c>
      <c r="EH324" s="6" t="s">
        <v>880</v>
      </c>
      <c r="EI324" s="6" t="s">
        <v>705</v>
      </c>
      <c r="EJ324" s="12">
        <v>100</v>
      </c>
      <c r="EN324" s="6" t="s">
        <v>1125</v>
      </c>
      <c r="EP324" s="6" t="s">
        <v>1148</v>
      </c>
      <c r="ET324" s="6" t="str">
        <f t="shared" si="171"/>
        <v>홀수</v>
      </c>
      <c r="EU324" s="12">
        <v>67</v>
      </c>
      <c r="EV324" s="45" t="str">
        <f t="shared" ca="1" si="157"/>
        <v>D</v>
      </c>
      <c r="EW324" s="6">
        <f t="shared" ca="1" si="172"/>
        <v>68</v>
      </c>
      <c r="FR324" s="6">
        <v>1</v>
      </c>
      <c r="FS324" s="6" t="str">
        <f t="shared" si="173"/>
        <v/>
      </c>
      <c r="FT324" s="6">
        <f t="shared" si="174"/>
        <v>1</v>
      </c>
      <c r="FU324" s="6" t="str">
        <f t="shared" ca="1" si="158"/>
        <v/>
      </c>
      <c r="FV324" s="6" t="str">
        <f t="shared" ca="1" si="175"/>
        <v/>
      </c>
      <c r="FW324" s="6" t="str">
        <f t="shared" ca="1" si="167"/>
        <v>R4-11</v>
      </c>
      <c r="FX324" s="6" t="str">
        <f t="shared" ca="1" si="168"/>
        <v>R4-12</v>
      </c>
      <c r="FY324" s="6" t="str">
        <f t="shared" ca="1" si="169"/>
        <v>R4-21</v>
      </c>
      <c r="FZ324" s="6" t="str">
        <f t="shared" ca="1" si="170"/>
        <v>R4-22</v>
      </c>
    </row>
    <row r="325" spans="1:182" ht="15.95" customHeight="1">
      <c r="A325" s="6">
        <v>543</v>
      </c>
      <c r="B325" s="6" t="s">
        <v>175</v>
      </c>
      <c r="E325" s="6" t="s">
        <v>881</v>
      </c>
      <c r="F325" s="6" t="s">
        <v>1589</v>
      </c>
      <c r="G325" s="6" t="s">
        <v>1290</v>
      </c>
      <c r="H325" s="7" t="s">
        <v>1291</v>
      </c>
      <c r="I325" s="7"/>
      <c r="J325" s="6" t="s">
        <v>1199</v>
      </c>
      <c r="K325" s="6" t="s">
        <v>1201</v>
      </c>
      <c r="N325" s="6" t="s">
        <v>1203</v>
      </c>
      <c r="O325" s="6" t="s">
        <v>1205</v>
      </c>
      <c r="R325" s="101" t="s">
        <v>1220</v>
      </c>
      <c r="Y325" s="6" t="s">
        <v>1292</v>
      </c>
      <c r="Z325" s="6">
        <v>15</v>
      </c>
      <c r="AA325" s="6">
        <v>16</v>
      </c>
      <c r="AD325" s="6" t="s">
        <v>1203</v>
      </c>
      <c r="AE325" s="6" t="s">
        <v>1205</v>
      </c>
      <c r="AG325" s="6" t="s">
        <v>1574</v>
      </c>
      <c r="AY325" s="8" t="s">
        <v>176</v>
      </c>
      <c r="AZ325" s="8" t="s">
        <v>195</v>
      </c>
      <c r="BA325" s="13" t="s">
        <v>643</v>
      </c>
      <c r="BB325" s="13" t="s">
        <v>200</v>
      </c>
      <c r="BC325" s="13">
        <v>37</v>
      </c>
      <c r="BD325" s="13">
        <v>38</v>
      </c>
      <c r="DC325" s="6" t="s">
        <v>644</v>
      </c>
      <c r="DD325" s="6" t="s">
        <v>190</v>
      </c>
      <c r="DH325" s="6" t="str">
        <f t="shared" si="164"/>
        <v>A15</v>
      </c>
      <c r="DI325" s="6" t="str">
        <f t="shared" si="165"/>
        <v>B15</v>
      </c>
      <c r="DK325" s="6" t="s">
        <v>173</v>
      </c>
      <c r="DL325" s="6" t="str">
        <f t="shared" si="166"/>
        <v/>
      </c>
      <c r="DO325" s="9" t="s">
        <v>170</v>
      </c>
      <c r="DP325" s="6" t="s">
        <v>171</v>
      </c>
      <c r="DQ325" s="6" t="s">
        <v>645</v>
      </c>
      <c r="DS325" s="6" t="str">
        <f t="shared" si="159"/>
        <v>AKB331</v>
      </c>
      <c r="DT325" s="10" t="str">
        <f t="shared" si="160"/>
        <v>FCS0111-5-5/1S–MC–118-R4-CN1</v>
      </c>
      <c r="DU325" s="6" t="str">
        <f t="shared" si="161"/>
        <v/>
      </c>
      <c r="DV325" s="19">
        <v>1</v>
      </c>
      <c r="DW325" s="20" t="str">
        <f t="shared" si="162"/>
        <v>11</v>
      </c>
      <c r="DX325" s="21">
        <v>5</v>
      </c>
      <c r="DY325" s="22">
        <v>5</v>
      </c>
      <c r="DZ325" s="23" t="s">
        <v>204</v>
      </c>
      <c r="EA325" s="23">
        <v>15</v>
      </c>
      <c r="ED325" s="9" t="str">
        <f t="shared" si="163"/>
        <v>ANB10D</v>
      </c>
      <c r="EF325" s="6" t="s">
        <v>647</v>
      </c>
      <c r="EH325" s="6" t="s">
        <v>881</v>
      </c>
      <c r="EI325" s="6" t="s">
        <v>882</v>
      </c>
      <c r="EJ325" s="12">
        <v>100</v>
      </c>
      <c r="EN325" s="6" t="s">
        <v>1125</v>
      </c>
      <c r="EP325" s="6" t="s">
        <v>1148</v>
      </c>
      <c r="ET325" s="6" t="str">
        <f t="shared" si="171"/>
        <v>짝수</v>
      </c>
      <c r="EU325" s="12">
        <v>68</v>
      </c>
      <c r="EV325" s="45" t="str">
        <f t="shared" ca="1" si="157"/>
        <v>A</v>
      </c>
      <c r="EW325" s="6">
        <f t="shared" ca="1" si="172"/>
        <v>65</v>
      </c>
      <c r="FR325" s="6">
        <v>1</v>
      </c>
      <c r="FS325" s="6" t="str">
        <f t="shared" si="173"/>
        <v/>
      </c>
      <c r="FT325" s="6">
        <f t="shared" si="174"/>
        <v>1</v>
      </c>
      <c r="FU325" s="6" t="str">
        <f t="shared" ca="1" si="158"/>
        <v/>
      </c>
      <c r="FV325" s="6" t="str">
        <f t="shared" ca="1" si="175"/>
        <v/>
      </c>
      <c r="FW325" s="6" t="str">
        <f t="shared" ca="1" si="167"/>
        <v>R4-11</v>
      </c>
      <c r="FX325" s="6" t="str">
        <f t="shared" ca="1" si="168"/>
        <v>R4-12</v>
      </c>
      <c r="FY325" s="6" t="str">
        <f t="shared" ca="1" si="169"/>
        <v>R4-21</v>
      </c>
      <c r="FZ325" s="6" t="str">
        <f t="shared" ca="1" si="170"/>
        <v>R4-22</v>
      </c>
    </row>
    <row r="326" spans="1:182" ht="15.95" customHeight="1">
      <c r="A326" s="6">
        <v>544</v>
      </c>
      <c r="B326" s="6" t="s">
        <v>175</v>
      </c>
      <c r="E326" s="6" t="s">
        <v>883</v>
      </c>
      <c r="F326" s="6" t="s">
        <v>1590</v>
      </c>
      <c r="G326" s="6" t="s">
        <v>1290</v>
      </c>
      <c r="H326" s="7" t="s">
        <v>1291</v>
      </c>
      <c r="I326" s="7"/>
      <c r="J326" s="6" t="s">
        <v>1199</v>
      </c>
      <c r="K326" s="6" t="s">
        <v>1201</v>
      </c>
      <c r="N326" s="6" t="s">
        <v>1203</v>
      </c>
      <c r="O326" s="6" t="s">
        <v>1205</v>
      </c>
      <c r="R326" s="101" t="s">
        <v>1220</v>
      </c>
      <c r="Y326" s="6" t="s">
        <v>1292</v>
      </c>
      <c r="Z326" s="6">
        <v>19</v>
      </c>
      <c r="AA326" s="6">
        <v>20</v>
      </c>
      <c r="AD326" s="6" t="s">
        <v>1203</v>
      </c>
      <c r="AE326" s="6" t="s">
        <v>1205</v>
      </c>
      <c r="AG326" s="6" t="s">
        <v>1574</v>
      </c>
      <c r="AY326" s="8" t="s">
        <v>176</v>
      </c>
      <c r="AZ326" s="8" t="s">
        <v>195</v>
      </c>
      <c r="BA326" s="13" t="s">
        <v>643</v>
      </c>
      <c r="BB326" s="13" t="s">
        <v>200</v>
      </c>
      <c r="BC326" s="13">
        <v>41</v>
      </c>
      <c r="BD326" s="13">
        <v>42</v>
      </c>
      <c r="DC326" s="6" t="s">
        <v>644</v>
      </c>
      <c r="DD326" s="6" t="s">
        <v>190</v>
      </c>
      <c r="DH326" s="6" t="str">
        <f t="shared" si="164"/>
        <v>A16</v>
      </c>
      <c r="DI326" s="6" t="str">
        <f t="shared" si="165"/>
        <v>B16</v>
      </c>
      <c r="DK326" s="6" t="s">
        <v>173</v>
      </c>
      <c r="DL326" s="6" t="str">
        <f t="shared" si="166"/>
        <v/>
      </c>
      <c r="DO326" s="9" t="s">
        <v>170</v>
      </c>
      <c r="DP326" s="6" t="s">
        <v>171</v>
      </c>
      <c r="DQ326" s="6" t="s">
        <v>645</v>
      </c>
      <c r="DS326" s="6" t="str">
        <f t="shared" si="159"/>
        <v>AKB331</v>
      </c>
      <c r="DT326" s="10" t="str">
        <f t="shared" si="160"/>
        <v>FCS0111-5-5/1S–MC–118-R4-CN1</v>
      </c>
      <c r="DU326" s="6" t="str">
        <f t="shared" si="161"/>
        <v/>
      </c>
      <c r="DV326" s="19">
        <v>1</v>
      </c>
      <c r="DW326" s="20" t="str">
        <f t="shared" si="162"/>
        <v>11</v>
      </c>
      <c r="DX326" s="21">
        <v>5</v>
      </c>
      <c r="DY326" s="22">
        <v>5</v>
      </c>
      <c r="DZ326" s="23" t="s">
        <v>204</v>
      </c>
      <c r="EA326" s="23">
        <v>16</v>
      </c>
      <c r="ED326" s="9" t="str">
        <f t="shared" si="163"/>
        <v>ANB10D</v>
      </c>
      <c r="EF326" s="6" t="s">
        <v>647</v>
      </c>
      <c r="EH326" s="6" t="s">
        <v>883</v>
      </c>
      <c r="EI326" s="6" t="s">
        <v>884</v>
      </c>
      <c r="EJ326" s="12">
        <v>8</v>
      </c>
      <c r="EK326" s="12"/>
      <c r="EM326" s="12"/>
      <c r="EN326" s="12" t="s">
        <v>1126</v>
      </c>
      <c r="EP326" s="6" t="s">
        <v>1155</v>
      </c>
      <c r="ER326" s="6" t="str">
        <f>LEFT(EH328,2)&amp;"O"&amp;MID(EH328,4,7)</f>
        <v>UVO40090</v>
      </c>
      <c r="ET326" s="6" t="str">
        <f t="shared" si="171"/>
        <v>짝수</v>
      </c>
      <c r="EU326" s="12">
        <v>68</v>
      </c>
      <c r="EV326" s="45" t="str">
        <f t="shared" ca="1" si="157"/>
        <v>B</v>
      </c>
      <c r="EW326" s="6">
        <f t="shared" ca="1" si="172"/>
        <v>66</v>
      </c>
      <c r="FR326" s="6">
        <v>1</v>
      </c>
      <c r="FS326" s="6" t="str">
        <f t="shared" si="173"/>
        <v/>
      </c>
      <c r="FT326" s="6">
        <f t="shared" si="174"/>
        <v>1</v>
      </c>
      <c r="FU326" s="6" t="str">
        <f t="shared" ca="1" si="158"/>
        <v/>
      </c>
      <c r="FV326" s="6" t="str">
        <f t="shared" ca="1" si="175"/>
        <v/>
      </c>
      <c r="FW326" s="6" t="str">
        <f t="shared" ca="1" si="167"/>
        <v>R4-11</v>
      </c>
      <c r="FX326" s="6" t="str">
        <f t="shared" ca="1" si="168"/>
        <v>R4-12</v>
      </c>
      <c r="FY326" s="6" t="str">
        <f t="shared" ca="1" si="169"/>
        <v>R4-21</v>
      </c>
      <c r="FZ326" s="6" t="str">
        <f t="shared" ca="1" si="170"/>
        <v>R4-22</v>
      </c>
    </row>
    <row r="327" spans="1:182" ht="15.95" customHeight="1">
      <c r="A327" s="6">
        <v>545</v>
      </c>
      <c r="B327" s="6" t="s">
        <v>641</v>
      </c>
      <c r="E327" s="6" t="s">
        <v>885</v>
      </c>
      <c r="F327" s="6" t="s">
        <v>1591</v>
      </c>
      <c r="G327" s="6" t="s">
        <v>1290</v>
      </c>
      <c r="H327" s="7" t="s">
        <v>1291</v>
      </c>
      <c r="I327" s="7"/>
      <c r="J327" s="6" t="s">
        <v>1199</v>
      </c>
      <c r="K327" s="6" t="s">
        <v>1201</v>
      </c>
      <c r="N327" s="6" t="s">
        <v>1203</v>
      </c>
      <c r="O327" s="6" t="s">
        <v>1205</v>
      </c>
      <c r="R327" s="101" t="s">
        <v>1220</v>
      </c>
      <c r="Y327" s="6" t="s">
        <v>1292</v>
      </c>
      <c r="Z327" s="6">
        <v>17</v>
      </c>
      <c r="AA327" s="6">
        <v>18</v>
      </c>
      <c r="AD327" s="6" t="s">
        <v>1203</v>
      </c>
      <c r="AE327" s="6" t="s">
        <v>1205</v>
      </c>
      <c r="AG327" s="6" t="s">
        <v>1574</v>
      </c>
      <c r="AY327" s="8" t="s">
        <v>176</v>
      </c>
      <c r="AZ327" s="8" t="s">
        <v>195</v>
      </c>
      <c r="BA327" s="13" t="s">
        <v>643</v>
      </c>
      <c r="BB327" s="13" t="s">
        <v>200</v>
      </c>
      <c r="BC327" s="13">
        <v>39</v>
      </c>
      <c r="BD327" s="13">
        <v>40</v>
      </c>
      <c r="DC327" s="6" t="s">
        <v>644</v>
      </c>
      <c r="DD327" s="6" t="s">
        <v>190</v>
      </c>
      <c r="DH327" s="6" t="str">
        <f t="shared" si="164"/>
        <v>A17</v>
      </c>
      <c r="DI327" s="6" t="str">
        <f t="shared" si="165"/>
        <v>B17</v>
      </c>
      <c r="DK327" s="6" t="s">
        <v>173</v>
      </c>
      <c r="DL327" s="6" t="str">
        <f t="shared" si="166"/>
        <v/>
      </c>
      <c r="DO327" s="9" t="s">
        <v>170</v>
      </c>
      <c r="DP327" s="6" t="s">
        <v>171</v>
      </c>
      <c r="DQ327" s="6" t="s">
        <v>645</v>
      </c>
      <c r="DR327" s="6" t="e">
        <f>#REF!&amp;RIGHT(#REF!,3)</f>
        <v>#REF!</v>
      </c>
      <c r="DS327" s="6" t="str">
        <f t="shared" si="159"/>
        <v>AKB331</v>
      </c>
      <c r="DT327" s="10" t="str">
        <f t="shared" si="160"/>
        <v>FCS0111-5-5/1S–MC–118-R4-CN1</v>
      </c>
      <c r="DU327" s="6" t="str">
        <f t="shared" si="161"/>
        <v/>
      </c>
      <c r="DV327" s="19">
        <v>1</v>
      </c>
      <c r="DW327" s="20" t="str">
        <f t="shared" si="162"/>
        <v>11</v>
      </c>
      <c r="DX327" s="20">
        <v>5</v>
      </c>
      <c r="DY327" s="21">
        <v>5</v>
      </c>
      <c r="DZ327" s="22" t="s">
        <v>204</v>
      </c>
      <c r="EA327" s="23">
        <v>17</v>
      </c>
      <c r="EB327" s="7">
        <v>1</v>
      </c>
      <c r="EC327" s="6">
        <v>1</v>
      </c>
      <c r="EE327" s="9" t="s">
        <v>646</v>
      </c>
      <c r="EF327" s="6" t="s">
        <v>647</v>
      </c>
      <c r="EG327" s="6" t="s">
        <v>647</v>
      </c>
      <c r="EH327" s="6" t="s">
        <v>885</v>
      </c>
      <c r="EI327" s="6" t="s">
        <v>884</v>
      </c>
      <c r="EJ327" s="12">
        <v>8</v>
      </c>
      <c r="EK327" s="12"/>
      <c r="EM327" s="12"/>
      <c r="EN327" s="12" t="s">
        <v>1126</v>
      </c>
      <c r="ET327" s="6" t="str">
        <f t="shared" si="171"/>
        <v>짝수</v>
      </c>
      <c r="EU327" s="12">
        <v>68</v>
      </c>
      <c r="EV327" s="45" t="str">
        <f t="shared" ca="1" si="157"/>
        <v>C</v>
      </c>
      <c r="EW327" s="6">
        <f t="shared" ca="1" si="172"/>
        <v>67</v>
      </c>
      <c r="FO327" s="6"/>
      <c r="FP327" s="11"/>
      <c r="FR327" s="6">
        <v>1</v>
      </c>
      <c r="FS327" s="6" t="str">
        <f t="shared" si="173"/>
        <v/>
      </c>
      <c r="FT327" s="6">
        <f t="shared" si="174"/>
        <v>1</v>
      </c>
      <c r="FU327" s="6" t="str">
        <f t="shared" ca="1" si="158"/>
        <v/>
      </c>
      <c r="FV327" s="6" t="str">
        <f t="shared" ca="1" si="175"/>
        <v/>
      </c>
      <c r="FW327" s="6" t="str">
        <f t="shared" ca="1" si="167"/>
        <v>R4-11</v>
      </c>
      <c r="FX327" s="6" t="str">
        <f t="shared" ca="1" si="168"/>
        <v>R4-12</v>
      </c>
      <c r="FY327" s="6" t="str">
        <f t="shared" ca="1" si="169"/>
        <v>R4-21</v>
      </c>
      <c r="FZ327" s="6" t="str">
        <f t="shared" ca="1" si="170"/>
        <v>R4-22</v>
      </c>
    </row>
    <row r="328" spans="1:182" ht="15.95" customHeight="1">
      <c r="A328" s="6">
        <v>789</v>
      </c>
      <c r="B328" s="6" t="s">
        <v>694</v>
      </c>
      <c r="E328" s="6" t="s">
        <v>996</v>
      </c>
      <c r="F328" s="6" t="s">
        <v>1207</v>
      </c>
      <c r="G328" s="6" t="s">
        <v>1290</v>
      </c>
      <c r="H328" s="7" t="s">
        <v>1291</v>
      </c>
      <c r="I328" s="7"/>
      <c r="J328" s="6" t="s">
        <v>1199</v>
      </c>
      <c r="K328" s="6" t="s">
        <v>1201</v>
      </c>
      <c r="N328" s="6" t="s">
        <v>1203</v>
      </c>
      <c r="O328" s="6" t="s">
        <v>1205</v>
      </c>
      <c r="R328" s="101" t="s">
        <v>1592</v>
      </c>
      <c r="Y328" s="6" t="s">
        <v>1593</v>
      </c>
      <c r="Z328" s="6">
        <v>7</v>
      </c>
      <c r="AA328" s="6">
        <v>8</v>
      </c>
      <c r="AD328" s="6" t="s">
        <v>1203</v>
      </c>
      <c r="AE328" s="6" t="s">
        <v>1205</v>
      </c>
      <c r="AG328" s="6" t="s">
        <v>1594</v>
      </c>
      <c r="AY328" s="8" t="s">
        <v>176</v>
      </c>
      <c r="AZ328" s="8" t="s">
        <v>195</v>
      </c>
      <c r="BA328" s="13" t="s">
        <v>670</v>
      </c>
      <c r="BB328" s="13" t="s">
        <v>200</v>
      </c>
      <c r="BC328" s="13">
        <v>7</v>
      </c>
      <c r="BD328" s="13">
        <v>8</v>
      </c>
      <c r="DC328" s="6" t="s">
        <v>992</v>
      </c>
      <c r="DD328" s="6" t="s">
        <v>187</v>
      </c>
      <c r="DH328" s="6" t="str">
        <f>"A"&amp;EA328</f>
        <v>A5</v>
      </c>
      <c r="DI328" s="6" t="str">
        <f>"B"&amp;EA328</f>
        <v>B5</v>
      </c>
      <c r="DK328" s="6" t="s">
        <v>173</v>
      </c>
      <c r="DL328" s="6" t="str">
        <f>IF(DZ328&lt;&gt;"","CN2","")</f>
        <v>CN2</v>
      </c>
      <c r="DO328" s="9" t="s">
        <v>170</v>
      </c>
      <c r="DP328" s="6" t="s">
        <v>171</v>
      </c>
      <c r="DQ328" s="6" t="s">
        <v>645</v>
      </c>
      <c r="DR328" s="6" t="e">
        <f>#REF!&amp;RIGHT(#REF!,3)</f>
        <v>#REF!</v>
      </c>
      <c r="DS328" s="6" t="str">
        <f>IF(MID(EF328,2,1)="A","KS1","AKB331")</f>
        <v>AKB331</v>
      </c>
      <c r="DT328" s="10" t="str">
        <f>DQ328&amp;"-"&amp;DX328&amp;"-"&amp;DY328&amp;"/"&amp;BA328&amp;"-"&amp;DD328&amp;"-"&amp;DK328</f>
        <v>FCS0111-7-7/1S–MC–120-R1-CN1</v>
      </c>
      <c r="DU328" s="6" t="str">
        <f>IF(DL328="","",DQ328&amp;"-"&amp;DX328&amp;"-"&amp;DY328&amp;"/"&amp;BA328&amp;"-"&amp;DD328&amp;"-"&amp;DL328)</f>
        <v>FCS0111-7-7/1S–MC–120-R1-CN2</v>
      </c>
      <c r="DV328" s="19">
        <v>1</v>
      </c>
      <c r="DW328" s="20" t="str">
        <f>RIGHT(DQ328,2)</f>
        <v>11</v>
      </c>
      <c r="DX328" s="20">
        <v>7</v>
      </c>
      <c r="DY328" s="21">
        <v>7</v>
      </c>
      <c r="DZ328" s="22">
        <v>8</v>
      </c>
      <c r="EA328" s="23">
        <v>5</v>
      </c>
      <c r="EB328" s="7">
        <v>21</v>
      </c>
      <c r="EE328" s="9" t="s">
        <v>693</v>
      </c>
      <c r="EF328" s="6" t="s">
        <v>672</v>
      </c>
      <c r="EG328" s="6" t="s">
        <v>647</v>
      </c>
      <c r="EH328" s="6" t="s">
        <v>996</v>
      </c>
      <c r="EI328" s="6" t="s">
        <v>884</v>
      </c>
      <c r="EJ328" s="12">
        <v>8</v>
      </c>
      <c r="EK328" s="12"/>
      <c r="EM328" s="12"/>
      <c r="EN328" s="12" t="s">
        <v>1126</v>
      </c>
      <c r="ET328" s="6" t="str">
        <f t="shared" si="171"/>
        <v>짝수</v>
      </c>
      <c r="EU328" s="12">
        <v>68</v>
      </c>
      <c r="EV328" s="45" t="str">
        <f t="shared" ref="EV328:EV391" ca="1" si="176">IF(EU328=OFFSET(EU328,-1,0),CHAR(EW327+1),"A")</f>
        <v>D</v>
      </c>
      <c r="EW328" s="6">
        <f t="shared" ca="1" si="172"/>
        <v>68</v>
      </c>
      <c r="FO328" s="6"/>
      <c r="FP328" s="11"/>
      <c r="FR328" s="6">
        <v>1</v>
      </c>
      <c r="FS328" s="6">
        <f t="shared" si="173"/>
        <v>1</v>
      </c>
      <c r="FT328" s="6">
        <f t="shared" si="174"/>
        <v>1</v>
      </c>
      <c r="FU328" s="6" t="str">
        <f t="shared" ca="1" si="158"/>
        <v>R1-11</v>
      </c>
      <c r="FV328" s="6" t="str">
        <f t="shared" ca="1" si="175"/>
        <v>R1-12</v>
      </c>
      <c r="FW328" s="6" t="s">
        <v>1095</v>
      </c>
      <c r="FX328" s="6" t="s">
        <v>1096</v>
      </c>
      <c r="FY328" s="6" t="s">
        <v>1095</v>
      </c>
      <c r="FZ328" s="6" t="s">
        <v>1096</v>
      </c>
    </row>
    <row r="329" spans="1:182" ht="15.95" customHeight="1">
      <c r="A329" s="6">
        <v>546</v>
      </c>
      <c r="B329" s="6" t="s">
        <v>641</v>
      </c>
      <c r="E329" s="6" t="s">
        <v>886</v>
      </c>
      <c r="F329" s="6" t="s">
        <v>1595</v>
      </c>
      <c r="G329" s="6" t="s">
        <v>1290</v>
      </c>
      <c r="H329" s="7" t="s">
        <v>1291</v>
      </c>
      <c r="I329" s="7"/>
      <c r="J329" s="6" t="s">
        <v>1199</v>
      </c>
      <c r="K329" s="6" t="s">
        <v>1201</v>
      </c>
      <c r="N329" s="6" t="s">
        <v>1203</v>
      </c>
      <c r="O329" s="6" t="s">
        <v>1205</v>
      </c>
      <c r="R329" s="101" t="s">
        <v>1220</v>
      </c>
      <c r="Y329" s="6" t="s">
        <v>1292</v>
      </c>
      <c r="Z329" s="6">
        <v>23</v>
      </c>
      <c r="AA329" s="6">
        <v>24</v>
      </c>
      <c r="AD329" s="6" t="s">
        <v>1203</v>
      </c>
      <c r="AE329" s="6" t="s">
        <v>1205</v>
      </c>
      <c r="AG329" s="6" t="s">
        <v>1574</v>
      </c>
      <c r="AY329" s="8" t="s">
        <v>176</v>
      </c>
      <c r="AZ329" s="8" t="s">
        <v>195</v>
      </c>
      <c r="BA329" s="13" t="s">
        <v>643</v>
      </c>
      <c r="BB329" s="13" t="s">
        <v>200</v>
      </c>
      <c r="BC329" s="13">
        <v>45</v>
      </c>
      <c r="BD329" s="13">
        <v>46</v>
      </c>
      <c r="DC329" s="6" t="s">
        <v>644</v>
      </c>
      <c r="DD329" s="6" t="s">
        <v>190</v>
      </c>
      <c r="DG329" s="6" t="s">
        <v>649</v>
      </c>
      <c r="DH329" s="6" t="str">
        <f t="shared" si="164"/>
        <v>A18</v>
      </c>
      <c r="DI329" s="6" t="str">
        <f t="shared" si="165"/>
        <v>B18</v>
      </c>
      <c r="DK329" s="6" t="s">
        <v>173</v>
      </c>
      <c r="DL329" s="6" t="str">
        <f t="shared" si="166"/>
        <v/>
      </c>
      <c r="DO329" s="9" t="s">
        <v>170</v>
      </c>
      <c r="DP329" s="6" t="s">
        <v>171</v>
      </c>
      <c r="DQ329" s="6" t="s">
        <v>645</v>
      </c>
      <c r="DR329" s="6" t="e">
        <f>#REF!&amp;RIGHT(#REF!,3)</f>
        <v>#REF!</v>
      </c>
      <c r="DS329" s="6" t="str">
        <f t="shared" si="159"/>
        <v>AKB331</v>
      </c>
      <c r="DT329" s="10" t="str">
        <f t="shared" si="160"/>
        <v>FCS0111-5-5/1S–MC–118-R4-CN1</v>
      </c>
      <c r="DU329" s="6" t="str">
        <f t="shared" si="161"/>
        <v/>
      </c>
      <c r="DV329" s="19">
        <v>1</v>
      </c>
      <c r="DW329" s="20" t="str">
        <f t="shared" si="162"/>
        <v>11</v>
      </c>
      <c r="DX329" s="20">
        <v>5</v>
      </c>
      <c r="DY329" s="21">
        <v>5</v>
      </c>
      <c r="DZ329" s="22" t="s">
        <v>204</v>
      </c>
      <c r="EA329" s="23">
        <v>18</v>
      </c>
      <c r="EB329" s="7">
        <v>2</v>
      </c>
      <c r="EC329" s="6">
        <v>1</v>
      </c>
      <c r="EE329" s="9" t="s">
        <v>646</v>
      </c>
      <c r="EF329" s="6" t="s">
        <v>647</v>
      </c>
      <c r="EG329" s="6" t="s">
        <v>647</v>
      </c>
      <c r="EH329" s="6" t="s">
        <v>886</v>
      </c>
      <c r="EI329" s="6" t="s">
        <v>887</v>
      </c>
      <c r="EJ329" s="12">
        <v>8</v>
      </c>
      <c r="EK329" s="12"/>
      <c r="EM329" s="12"/>
      <c r="EN329" s="12" t="s">
        <v>1126</v>
      </c>
      <c r="EP329" s="6" t="s">
        <v>1155</v>
      </c>
      <c r="ER329" s="6" t="str">
        <f>LEFT(EH331,2)&amp;"O"&amp;MID(EH331,4,7)</f>
        <v>UVO40091</v>
      </c>
      <c r="ET329" s="6" t="str">
        <f t="shared" si="171"/>
        <v>홀수</v>
      </c>
      <c r="EU329" s="12">
        <v>69</v>
      </c>
      <c r="EV329" s="45" t="str">
        <f t="shared" ca="1" si="176"/>
        <v>A</v>
      </c>
      <c r="EW329" s="6">
        <f t="shared" ca="1" si="172"/>
        <v>65</v>
      </c>
      <c r="FO329" s="6"/>
      <c r="FP329" s="11"/>
      <c r="FR329" s="6">
        <v>1</v>
      </c>
      <c r="FS329" s="6" t="str">
        <f t="shared" si="173"/>
        <v/>
      </c>
      <c r="FT329" s="6">
        <f t="shared" si="174"/>
        <v>1</v>
      </c>
      <c r="FU329" s="6" t="str">
        <f t="shared" ca="1" si="158"/>
        <v/>
      </c>
      <c r="FV329" s="6" t="str">
        <f t="shared" ca="1" si="175"/>
        <v/>
      </c>
      <c r="FW329" s="6" t="str">
        <f ca="1">IF(AND(FT329=1,FU329=""),DD329&amp;"-11",IF(AND(FT329=1,FU329&lt;&gt;""),DD329&amp;"-21",""))</f>
        <v>R4-11</v>
      </c>
      <c r="FX329" s="6" t="str">
        <f ca="1">IF(AND(FT329=1,FU329=""),DD329&amp;"-12",IF(AND(FT329=1,FU329&lt;&gt;""),DD329&amp;"-22",""))</f>
        <v>R4-12</v>
      </c>
      <c r="FY329" s="6" t="str">
        <f ca="1">IF(AND(FS329="",OFFSET(FS329,0,1)="",DC329="A1BA4D"),"",IF(DC329="A1BD5D",LEFT(FW329,3)&amp;"21",FW329))</f>
        <v>R4-21</v>
      </c>
      <c r="FZ329" s="6" t="str">
        <f ca="1" xml:space="preserve">
IF(AND(FS329="",OFFSET(FS329,0,1)="",DC329="A1BA4D"),"",IF(DC329="A1BD5D",LEFT(FW329,3)&amp;"22",FW329))</f>
        <v>R4-22</v>
      </c>
    </row>
    <row r="330" spans="1:182" ht="15.95" customHeight="1">
      <c r="A330" s="6">
        <v>547</v>
      </c>
      <c r="B330" s="6" t="s">
        <v>641</v>
      </c>
      <c r="E330" s="6" t="s">
        <v>888</v>
      </c>
      <c r="F330" s="6" t="s">
        <v>1596</v>
      </c>
      <c r="G330" s="6" t="s">
        <v>1290</v>
      </c>
      <c r="H330" s="7" t="s">
        <v>1291</v>
      </c>
      <c r="I330" s="7"/>
      <c r="J330" s="6" t="s">
        <v>1199</v>
      </c>
      <c r="K330" s="6" t="s">
        <v>1201</v>
      </c>
      <c r="N330" s="6" t="s">
        <v>1203</v>
      </c>
      <c r="O330" s="6" t="s">
        <v>1205</v>
      </c>
      <c r="R330" s="101" t="s">
        <v>1220</v>
      </c>
      <c r="Y330" s="6" t="s">
        <v>1292</v>
      </c>
      <c r="Z330" s="6">
        <v>21</v>
      </c>
      <c r="AA330" s="6">
        <v>22</v>
      </c>
      <c r="AD330" s="6" t="s">
        <v>1203</v>
      </c>
      <c r="AE330" s="6" t="s">
        <v>1205</v>
      </c>
      <c r="AG330" s="6" t="s">
        <v>1574</v>
      </c>
      <c r="AY330" s="8" t="s">
        <v>176</v>
      </c>
      <c r="AZ330" s="8" t="s">
        <v>195</v>
      </c>
      <c r="BA330" s="13" t="s">
        <v>643</v>
      </c>
      <c r="BB330" s="13" t="s">
        <v>200</v>
      </c>
      <c r="BC330" s="13">
        <v>43</v>
      </c>
      <c r="BD330" s="13">
        <v>44</v>
      </c>
      <c r="DC330" s="6" t="s">
        <v>644</v>
      </c>
      <c r="DD330" s="6" t="s">
        <v>190</v>
      </c>
      <c r="DF330" s="6" t="s">
        <v>650</v>
      </c>
      <c r="DH330" s="6" t="str">
        <f t="shared" si="164"/>
        <v>A19</v>
      </c>
      <c r="DI330" s="6" t="str">
        <f t="shared" si="165"/>
        <v>B19</v>
      </c>
      <c r="DK330" s="6" t="s">
        <v>173</v>
      </c>
      <c r="DL330" s="6" t="str">
        <f t="shared" si="166"/>
        <v/>
      </c>
      <c r="DO330" s="9" t="s">
        <v>170</v>
      </c>
      <c r="DP330" s="6" t="s">
        <v>171</v>
      </c>
      <c r="DQ330" s="6" t="s">
        <v>645</v>
      </c>
      <c r="DR330" s="6" t="e">
        <f>#REF!&amp;RIGHT(#REF!,3)</f>
        <v>#REF!</v>
      </c>
      <c r="DS330" s="6" t="str">
        <f t="shared" si="159"/>
        <v>AKB331</v>
      </c>
      <c r="DT330" s="10" t="str">
        <f t="shared" si="160"/>
        <v>FCS0111-5-5/1S–MC–118-R4-CN1</v>
      </c>
      <c r="DU330" s="6" t="str">
        <f t="shared" si="161"/>
        <v/>
      </c>
      <c r="DV330" s="19">
        <v>1</v>
      </c>
      <c r="DW330" s="20" t="str">
        <f t="shared" si="162"/>
        <v>11</v>
      </c>
      <c r="DX330" s="20">
        <v>5</v>
      </c>
      <c r="DY330" s="21">
        <v>5</v>
      </c>
      <c r="DZ330" s="22" t="s">
        <v>204</v>
      </c>
      <c r="EA330" s="23">
        <v>19</v>
      </c>
      <c r="EB330" s="7">
        <v>3</v>
      </c>
      <c r="EC330" s="6">
        <v>1</v>
      </c>
      <c r="EE330" s="9" t="s">
        <v>646</v>
      </c>
      <c r="EF330" s="6" t="s">
        <v>647</v>
      </c>
      <c r="EG330" s="6" t="s">
        <v>647</v>
      </c>
      <c r="EH330" s="6" t="s">
        <v>888</v>
      </c>
      <c r="EI330" s="6" t="s">
        <v>887</v>
      </c>
      <c r="EJ330" s="12">
        <v>8</v>
      </c>
      <c r="EK330" s="12"/>
      <c r="EM330" s="12"/>
      <c r="EN330" s="12" t="s">
        <v>1126</v>
      </c>
      <c r="ET330" s="6" t="str">
        <f t="shared" si="171"/>
        <v>홀수</v>
      </c>
      <c r="EU330" s="12">
        <v>69</v>
      </c>
      <c r="EV330" s="45" t="str">
        <f t="shared" ca="1" si="176"/>
        <v>B</v>
      </c>
      <c r="EW330" s="6">
        <f t="shared" ca="1" si="172"/>
        <v>66</v>
      </c>
      <c r="FO330" s="6"/>
      <c r="FP330" s="11"/>
      <c r="FR330" s="6">
        <v>1</v>
      </c>
      <c r="FS330" s="6" t="str">
        <f t="shared" si="173"/>
        <v/>
      </c>
      <c r="FT330" s="6">
        <f t="shared" si="174"/>
        <v>1</v>
      </c>
      <c r="FU330" s="6" t="str">
        <f t="shared" ca="1" si="158"/>
        <v/>
      </c>
      <c r="FV330" s="6" t="str">
        <f t="shared" ca="1" si="175"/>
        <v/>
      </c>
      <c r="FW330" s="6" t="str">
        <f ca="1">IF(AND(FT330=1,FU330=""),DD330&amp;"-11",IF(AND(FT330=1,FU330&lt;&gt;""),DD330&amp;"-21",""))</f>
        <v>R4-11</v>
      </c>
      <c r="FX330" s="6" t="str">
        <f ca="1">IF(AND(FT330=1,FU330=""),DD330&amp;"-12",IF(AND(FT330=1,FU330&lt;&gt;""),DD330&amp;"-22",""))</f>
        <v>R4-12</v>
      </c>
      <c r="FY330" s="6" t="str">
        <f ca="1">IF(AND(FS330="",OFFSET(FS330,0,1)="",DC330="A1BA4D"),"",IF(DC330="A1BD5D",LEFT(FW330,3)&amp;"21",FW330))</f>
        <v>R4-21</v>
      </c>
      <c r="FZ330" s="6" t="str">
        <f ca="1" xml:space="preserve">
IF(AND(FS330="",OFFSET(FS330,0,1)="",DC330="A1BA4D"),"",IF(DC330="A1BD5D",LEFT(FW330,3)&amp;"22",FW330))</f>
        <v>R4-22</v>
      </c>
    </row>
    <row r="331" spans="1:182" ht="15.95" customHeight="1">
      <c r="A331" s="6">
        <v>790</v>
      </c>
      <c r="B331" s="6" t="s">
        <v>694</v>
      </c>
      <c r="E331" s="6" t="s">
        <v>997</v>
      </c>
      <c r="F331" s="6" t="s">
        <v>1208</v>
      </c>
      <c r="G331" s="6" t="s">
        <v>1290</v>
      </c>
      <c r="H331" s="7" t="s">
        <v>1291</v>
      </c>
      <c r="I331" s="7"/>
      <c r="J331" s="6" t="s">
        <v>1199</v>
      </c>
      <c r="K331" s="6" t="s">
        <v>1201</v>
      </c>
      <c r="N331" s="6" t="s">
        <v>1203</v>
      </c>
      <c r="O331" s="6" t="s">
        <v>1205</v>
      </c>
      <c r="R331" s="101" t="s">
        <v>1592</v>
      </c>
      <c r="Y331" s="6" t="s">
        <v>1593</v>
      </c>
      <c r="Z331" s="6">
        <v>9</v>
      </c>
      <c r="AA331" s="6">
        <v>10</v>
      </c>
      <c r="AD331" s="6" t="s">
        <v>1203</v>
      </c>
      <c r="AE331" s="6" t="s">
        <v>1205</v>
      </c>
      <c r="AG331" s="6" t="s">
        <v>1594</v>
      </c>
      <c r="AY331" s="8" t="s">
        <v>176</v>
      </c>
      <c r="AZ331" s="8" t="s">
        <v>195</v>
      </c>
      <c r="BA331" s="13" t="s">
        <v>670</v>
      </c>
      <c r="BB331" s="13" t="s">
        <v>200</v>
      </c>
      <c r="BC331" s="13">
        <v>9</v>
      </c>
      <c r="BD331" s="13">
        <v>10</v>
      </c>
      <c r="DC331" s="6" t="s">
        <v>992</v>
      </c>
      <c r="DD331" s="6" t="s">
        <v>187</v>
      </c>
      <c r="DH331" s="6" t="str">
        <f>"A"&amp;EA331</f>
        <v>A6</v>
      </c>
      <c r="DI331" s="6" t="str">
        <f>"B"&amp;EA331</f>
        <v>B6</v>
      </c>
      <c r="DK331" s="6" t="s">
        <v>173</v>
      </c>
      <c r="DL331" s="6" t="str">
        <f>IF(DZ331&lt;&gt;"","CN2","")</f>
        <v>CN2</v>
      </c>
      <c r="DO331" s="9" t="s">
        <v>170</v>
      </c>
      <c r="DP331" s="6" t="s">
        <v>171</v>
      </c>
      <c r="DQ331" s="6" t="s">
        <v>645</v>
      </c>
      <c r="DR331" s="6" t="e">
        <f>#REF!&amp;RIGHT(#REF!,3)</f>
        <v>#REF!</v>
      </c>
      <c r="DS331" s="6" t="str">
        <f>IF(MID(EF331,2,1)="A","KS1","AKB331")</f>
        <v>AKB331</v>
      </c>
      <c r="DT331" s="10" t="str">
        <f>DQ331&amp;"-"&amp;DX331&amp;"-"&amp;DY331&amp;"/"&amp;BA331&amp;"-"&amp;DD331&amp;"-"&amp;DK331</f>
        <v>FCS0111-7-7/1S–MC–120-R1-CN1</v>
      </c>
      <c r="DU331" s="6" t="str">
        <f>IF(DL331="","",DQ331&amp;"-"&amp;DX331&amp;"-"&amp;DY331&amp;"/"&amp;BA331&amp;"-"&amp;DD331&amp;"-"&amp;DL331)</f>
        <v>FCS0111-7-7/1S–MC–120-R1-CN2</v>
      </c>
      <c r="DV331" s="19">
        <v>1</v>
      </c>
      <c r="DW331" s="20" t="str">
        <f>RIGHT(DQ331,2)</f>
        <v>11</v>
      </c>
      <c r="DX331" s="20">
        <v>7</v>
      </c>
      <c r="DY331" s="21">
        <v>7</v>
      </c>
      <c r="DZ331" s="22">
        <v>8</v>
      </c>
      <c r="EA331" s="23">
        <v>6</v>
      </c>
      <c r="EB331" s="7">
        <v>22</v>
      </c>
      <c r="EE331" s="9" t="s">
        <v>693</v>
      </c>
      <c r="EF331" s="6" t="s">
        <v>672</v>
      </c>
      <c r="EG331" s="6" t="s">
        <v>647</v>
      </c>
      <c r="EH331" s="6" t="s">
        <v>997</v>
      </c>
      <c r="EI331" s="6" t="s">
        <v>887</v>
      </c>
      <c r="EJ331" s="12">
        <v>8</v>
      </c>
      <c r="EK331" s="12"/>
      <c r="EM331" s="12"/>
      <c r="EN331" s="12" t="s">
        <v>1126</v>
      </c>
      <c r="ET331" s="6" t="str">
        <f t="shared" si="171"/>
        <v>홀수</v>
      </c>
      <c r="EU331" s="12">
        <v>69</v>
      </c>
      <c r="EV331" s="45" t="str">
        <f t="shared" ca="1" si="176"/>
        <v>C</v>
      </c>
      <c r="EW331" s="6">
        <f t="shared" ca="1" si="172"/>
        <v>67</v>
      </c>
      <c r="FO331" s="6"/>
      <c r="FP331" s="11"/>
      <c r="FR331" s="6">
        <v>1</v>
      </c>
      <c r="FS331" s="6">
        <f t="shared" si="173"/>
        <v>1</v>
      </c>
      <c r="FT331" s="6">
        <f t="shared" si="174"/>
        <v>1</v>
      </c>
      <c r="FU331" s="6" t="str">
        <f t="shared" ref="FU331:FU394" ca="1" si="177">IF(AND(FS331="",OFFSET(FS331,0,1)="",DC331="A1BA4D"),"",IF(DC331="A1BD5D","",DD331&amp;"-11"))</f>
        <v>R1-11</v>
      </c>
      <c r="FV331" s="6" t="str">
        <f t="shared" ca="1" si="175"/>
        <v>R1-12</v>
      </c>
      <c r="FW331" s="6" t="s">
        <v>1095</v>
      </c>
      <c r="FX331" s="6" t="s">
        <v>1096</v>
      </c>
      <c r="FY331" s="6" t="s">
        <v>1095</v>
      </c>
      <c r="FZ331" s="6" t="s">
        <v>1096</v>
      </c>
    </row>
    <row r="332" spans="1:182" ht="15.95" customHeight="1">
      <c r="A332" s="6">
        <v>548</v>
      </c>
      <c r="B332" s="6" t="s">
        <v>641</v>
      </c>
      <c r="E332" s="6" t="s">
        <v>889</v>
      </c>
      <c r="F332" s="6" t="s">
        <v>1597</v>
      </c>
      <c r="G332" s="6" t="s">
        <v>1290</v>
      </c>
      <c r="H332" s="7" t="s">
        <v>1291</v>
      </c>
      <c r="I332" s="7"/>
      <c r="J332" s="6" t="s">
        <v>1199</v>
      </c>
      <c r="K332" s="6" t="s">
        <v>1201</v>
      </c>
      <c r="N332" s="6" t="s">
        <v>1203</v>
      </c>
      <c r="O332" s="6" t="s">
        <v>1205</v>
      </c>
      <c r="R332" s="101" t="s">
        <v>1220</v>
      </c>
      <c r="Y332" s="6" t="s">
        <v>1598</v>
      </c>
      <c r="Z332" s="6">
        <v>1</v>
      </c>
      <c r="AA332" s="6">
        <v>2</v>
      </c>
      <c r="AD332" s="6" t="s">
        <v>1203</v>
      </c>
      <c r="AE332" s="6" t="s">
        <v>1205</v>
      </c>
      <c r="AG332" s="6" t="s">
        <v>1599</v>
      </c>
      <c r="AY332" s="8" t="s">
        <v>176</v>
      </c>
      <c r="AZ332" s="8" t="s">
        <v>195</v>
      </c>
      <c r="BA332" s="13" t="s">
        <v>643</v>
      </c>
      <c r="BB332" s="13" t="s">
        <v>740</v>
      </c>
      <c r="BC332" s="13">
        <v>87</v>
      </c>
      <c r="BD332" s="13">
        <v>88</v>
      </c>
      <c r="DC332" s="6" t="s">
        <v>644</v>
      </c>
      <c r="DD332" s="6" t="s">
        <v>190</v>
      </c>
      <c r="DF332" s="6" t="s">
        <v>651</v>
      </c>
      <c r="DH332" s="6" t="str">
        <f t="shared" si="164"/>
        <v>A20</v>
      </c>
      <c r="DI332" s="6" t="str">
        <f t="shared" si="165"/>
        <v>B20</v>
      </c>
      <c r="DK332" s="6" t="s">
        <v>173</v>
      </c>
      <c r="DL332" s="6" t="str">
        <f t="shared" si="166"/>
        <v/>
      </c>
      <c r="DO332" s="9" t="s">
        <v>170</v>
      </c>
      <c r="DP332" s="6" t="s">
        <v>171</v>
      </c>
      <c r="DQ332" s="6" t="s">
        <v>645</v>
      </c>
      <c r="DR332" s="6" t="e">
        <f>#REF!&amp;RIGHT(#REF!,3)</f>
        <v>#REF!</v>
      </c>
      <c r="DS332" s="6" t="str">
        <f t="shared" si="159"/>
        <v>AKB331</v>
      </c>
      <c r="DT332" s="10" t="str">
        <f t="shared" si="160"/>
        <v>FCS0111-5-5/1S–MC–118-R4-CN1</v>
      </c>
      <c r="DU332" s="6" t="str">
        <f t="shared" si="161"/>
        <v/>
      </c>
      <c r="DV332" s="19">
        <v>1</v>
      </c>
      <c r="DW332" s="20" t="str">
        <f t="shared" si="162"/>
        <v>11</v>
      </c>
      <c r="DX332" s="20">
        <v>5</v>
      </c>
      <c r="DY332" s="21">
        <v>5</v>
      </c>
      <c r="DZ332" s="22" t="s">
        <v>204</v>
      </c>
      <c r="EA332" s="23">
        <v>20</v>
      </c>
      <c r="EB332" s="7">
        <v>4</v>
      </c>
      <c r="EC332" s="6">
        <v>1</v>
      </c>
      <c r="EE332" s="9" t="s">
        <v>652</v>
      </c>
      <c r="EF332" s="6" t="s">
        <v>647</v>
      </c>
      <c r="EG332" s="6" t="s">
        <v>647</v>
      </c>
      <c r="EH332" s="6" t="s">
        <v>889</v>
      </c>
      <c r="EI332" s="6" t="s">
        <v>412</v>
      </c>
      <c r="EJ332" s="12">
        <v>100</v>
      </c>
      <c r="EL332" s="6"/>
      <c r="EM332" s="12"/>
      <c r="EN332" s="6" t="s">
        <v>1127</v>
      </c>
      <c r="EP332" s="6" t="s">
        <v>1148</v>
      </c>
      <c r="ET332" s="6" t="str">
        <f t="shared" si="171"/>
        <v>홀수</v>
      </c>
      <c r="EU332" s="12">
        <v>69</v>
      </c>
      <c r="EV332" s="45" t="str">
        <f t="shared" ca="1" si="176"/>
        <v>D</v>
      </c>
      <c r="EW332" s="6">
        <f t="shared" ca="1" si="172"/>
        <v>68</v>
      </c>
      <c r="FO332" s="6"/>
      <c r="FP332" s="11"/>
      <c r="FR332" s="6">
        <v>1</v>
      </c>
      <c r="FS332" s="6" t="str">
        <f t="shared" si="173"/>
        <v/>
      </c>
      <c r="FT332" s="6">
        <f t="shared" si="174"/>
        <v>1</v>
      </c>
      <c r="FU332" s="6" t="str">
        <f t="shared" ca="1" si="177"/>
        <v/>
      </c>
      <c r="FV332" s="6" t="str">
        <f t="shared" ca="1" si="175"/>
        <v/>
      </c>
      <c r="FW332" s="6" t="str">
        <f t="shared" ref="FW332:FW337" ca="1" si="178">IF(AND(FT332=1,FU332=""),DD332&amp;"-11",IF(AND(FT332=1,FU332&lt;&gt;""),DD332&amp;"-21",""))</f>
        <v>R4-11</v>
      </c>
      <c r="FX332" s="6" t="str">
        <f t="shared" ref="FX332:FX337" ca="1" si="179">IF(AND(FT332=1,FU332=""),DD332&amp;"-12",IF(AND(FT332=1,FU332&lt;&gt;""),DD332&amp;"-22",""))</f>
        <v>R4-12</v>
      </c>
      <c r="FY332" s="6" t="str">
        <f t="shared" ref="FY332:FY337" ca="1" si="180">IF(AND(FS332="",OFFSET(FS332,0,1)="",DC332="A1BA4D"),"",IF(DC332="A1BD5D",LEFT(FW332,3)&amp;"21",FW332))</f>
        <v>R4-21</v>
      </c>
      <c r="FZ332" s="6" t="str">
        <f t="shared" ref="FZ332:FZ337" ca="1" si="181" xml:space="preserve">
IF(AND(FS332="",OFFSET(FS332,0,1)="",DC332="A1BA4D"),"",IF(DC332="A1BD5D",LEFT(FW332,3)&amp;"22",FW332))</f>
        <v>R4-22</v>
      </c>
    </row>
    <row r="333" spans="1:182" ht="15.95" customHeight="1">
      <c r="A333" s="6">
        <v>549</v>
      </c>
      <c r="B333" s="6" t="s">
        <v>653</v>
      </c>
      <c r="E333" s="6" t="s">
        <v>890</v>
      </c>
      <c r="F333" s="6" t="s">
        <v>1600</v>
      </c>
      <c r="G333" s="6" t="s">
        <v>1290</v>
      </c>
      <c r="H333" s="7" t="s">
        <v>1291</v>
      </c>
      <c r="I333" s="7"/>
      <c r="J333" s="6" t="s">
        <v>1199</v>
      </c>
      <c r="K333" s="6" t="s">
        <v>1201</v>
      </c>
      <c r="N333" s="6" t="s">
        <v>1203</v>
      </c>
      <c r="O333" s="6" t="s">
        <v>1205</v>
      </c>
      <c r="R333" s="101" t="s">
        <v>1220</v>
      </c>
      <c r="Y333" s="6" t="s">
        <v>1598</v>
      </c>
      <c r="Z333" s="6">
        <v>3</v>
      </c>
      <c r="AA333" s="6">
        <v>4</v>
      </c>
      <c r="AD333" s="6" t="s">
        <v>1203</v>
      </c>
      <c r="AE333" s="6" t="s">
        <v>1205</v>
      </c>
      <c r="AG333" s="6" t="s">
        <v>1599</v>
      </c>
      <c r="AY333" s="8" t="s">
        <v>176</v>
      </c>
      <c r="AZ333" s="8" t="s">
        <v>195</v>
      </c>
      <c r="BA333" s="13" t="s">
        <v>643</v>
      </c>
      <c r="BB333" s="13" t="s">
        <v>740</v>
      </c>
      <c r="BC333" s="13">
        <v>89</v>
      </c>
      <c r="BD333" s="13">
        <v>90</v>
      </c>
      <c r="DC333" s="6" t="s">
        <v>644</v>
      </c>
      <c r="DD333" s="6" t="s">
        <v>190</v>
      </c>
      <c r="DH333" s="6" t="str">
        <f t="shared" si="164"/>
        <v>A21</v>
      </c>
      <c r="DI333" s="6" t="str">
        <f t="shared" si="165"/>
        <v>B21</v>
      </c>
      <c r="DK333" s="6" t="s">
        <v>173</v>
      </c>
      <c r="DL333" s="6" t="str">
        <f t="shared" si="166"/>
        <v/>
      </c>
      <c r="DO333" s="9" t="s">
        <v>170</v>
      </c>
      <c r="DP333" s="6" t="s">
        <v>171</v>
      </c>
      <c r="DQ333" s="6" t="s">
        <v>645</v>
      </c>
      <c r="DR333" s="6" t="e">
        <f>#REF!&amp;RIGHT(#REF!,3)</f>
        <v>#REF!</v>
      </c>
      <c r="DS333" s="6" t="str">
        <f t="shared" si="159"/>
        <v>AKB331</v>
      </c>
      <c r="DT333" s="10" t="str">
        <f t="shared" si="160"/>
        <v>FCS0111-5-5/1S–MC–118-R4-CN1</v>
      </c>
      <c r="DU333" s="6" t="str">
        <f t="shared" si="161"/>
        <v/>
      </c>
      <c r="DV333" s="19">
        <v>1</v>
      </c>
      <c r="DW333" s="20" t="str">
        <f t="shared" si="162"/>
        <v>11</v>
      </c>
      <c r="DX333" s="20">
        <v>5</v>
      </c>
      <c r="DY333" s="21">
        <v>5</v>
      </c>
      <c r="DZ333" s="22" t="s">
        <v>204</v>
      </c>
      <c r="EA333" s="23">
        <v>21</v>
      </c>
      <c r="EB333" s="7">
        <v>5</v>
      </c>
      <c r="EC333" s="6">
        <v>1</v>
      </c>
      <c r="EE333" s="9" t="s">
        <v>654</v>
      </c>
      <c r="EF333" s="6" t="s">
        <v>647</v>
      </c>
      <c r="EG333" s="6" t="s">
        <v>647</v>
      </c>
      <c r="EH333" s="6" t="s">
        <v>890</v>
      </c>
      <c r="EI333" s="6" t="s">
        <v>412</v>
      </c>
      <c r="EJ333" s="12">
        <v>100</v>
      </c>
      <c r="EL333" s="6"/>
      <c r="EM333" s="12"/>
      <c r="EN333" s="6" t="s">
        <v>1128</v>
      </c>
      <c r="EP333" s="6" t="s">
        <v>1148</v>
      </c>
      <c r="ET333" s="6" t="str">
        <f t="shared" si="171"/>
        <v>짝수</v>
      </c>
      <c r="EU333" s="12">
        <v>70</v>
      </c>
      <c r="EV333" s="45" t="str">
        <f t="shared" ca="1" si="176"/>
        <v>A</v>
      </c>
      <c r="EW333" s="6">
        <f t="shared" ca="1" si="172"/>
        <v>65</v>
      </c>
      <c r="FO333" s="6"/>
      <c r="FP333" s="11"/>
      <c r="FR333" s="6">
        <v>1</v>
      </c>
      <c r="FS333" s="6" t="str">
        <f t="shared" si="173"/>
        <v/>
      </c>
      <c r="FT333" s="6">
        <f t="shared" si="174"/>
        <v>1</v>
      </c>
      <c r="FU333" s="6" t="str">
        <f t="shared" ca="1" si="177"/>
        <v/>
      </c>
      <c r="FV333" s="6" t="str">
        <f t="shared" ca="1" si="175"/>
        <v/>
      </c>
      <c r="FW333" s="6" t="str">
        <f t="shared" ca="1" si="178"/>
        <v>R4-11</v>
      </c>
      <c r="FX333" s="6" t="str">
        <f t="shared" ca="1" si="179"/>
        <v>R4-12</v>
      </c>
      <c r="FY333" s="6" t="str">
        <f t="shared" ca="1" si="180"/>
        <v>R4-21</v>
      </c>
      <c r="FZ333" s="6" t="str">
        <f t="shared" ca="1" si="181"/>
        <v>R4-22</v>
      </c>
    </row>
    <row r="334" spans="1:182" ht="15.95" customHeight="1">
      <c r="A334" s="6">
        <v>551</v>
      </c>
      <c r="B334" s="6" t="s">
        <v>653</v>
      </c>
      <c r="E334" s="13" t="s">
        <v>893</v>
      </c>
      <c r="F334" s="6" t="s">
        <v>1601</v>
      </c>
      <c r="G334" s="6" t="s">
        <v>1290</v>
      </c>
      <c r="H334" s="7" t="s">
        <v>1291</v>
      </c>
      <c r="I334" s="7"/>
      <c r="J334" s="6" t="s">
        <v>1199</v>
      </c>
      <c r="K334" s="6" t="s">
        <v>1201</v>
      </c>
      <c r="N334" s="6" t="s">
        <v>1203</v>
      </c>
      <c r="O334" s="6" t="s">
        <v>1205</v>
      </c>
      <c r="R334" s="101" t="s">
        <v>1443</v>
      </c>
      <c r="Y334" s="6" t="s">
        <v>1602</v>
      </c>
      <c r="Z334" s="6">
        <v>3</v>
      </c>
      <c r="AA334" s="6">
        <v>4</v>
      </c>
      <c r="AD334" s="6" t="s">
        <v>1203</v>
      </c>
      <c r="AE334" s="6" t="s">
        <v>1205</v>
      </c>
      <c r="AG334" s="6" t="s">
        <v>1603</v>
      </c>
      <c r="AY334" s="8" t="s">
        <v>176</v>
      </c>
      <c r="AZ334" s="8" t="s">
        <v>195</v>
      </c>
      <c r="BA334" s="13" t="s">
        <v>643</v>
      </c>
      <c r="BB334" s="13" t="s">
        <v>740</v>
      </c>
      <c r="BC334" s="13">
        <v>45</v>
      </c>
      <c r="BD334" s="13">
        <v>46</v>
      </c>
      <c r="DC334" s="6" t="s">
        <v>644</v>
      </c>
      <c r="DD334" s="6" t="s">
        <v>190</v>
      </c>
      <c r="DH334" s="6" t="str">
        <f>"A"&amp;EA334</f>
        <v>A23</v>
      </c>
      <c r="DI334" s="6" t="str">
        <f>"B"&amp;EA334</f>
        <v>B23</v>
      </c>
      <c r="DK334" s="6" t="s">
        <v>173</v>
      </c>
      <c r="DL334" s="6" t="str">
        <f>IF(DZ334&lt;&gt;"","CN2","")</f>
        <v/>
      </c>
      <c r="DO334" s="9" t="s">
        <v>170</v>
      </c>
      <c r="DP334" s="6" t="s">
        <v>171</v>
      </c>
      <c r="DQ334" s="6" t="s">
        <v>645</v>
      </c>
      <c r="DR334" s="6" t="e">
        <f>#REF!&amp;RIGHT(#REF!,3)</f>
        <v>#REF!</v>
      </c>
      <c r="DS334" s="6" t="str">
        <f>IF(MID(EF334,2,1)="A","KS1","AKB331")</f>
        <v>AKB331</v>
      </c>
      <c r="DT334" s="10" t="str">
        <f>DQ334&amp;"-"&amp;DX334&amp;"-"&amp;DY334&amp;"/"&amp;BA334&amp;"-"&amp;DD334&amp;"-"&amp;DK334</f>
        <v>FCS0111-5-5/1S–MC–118-R4-CN1</v>
      </c>
      <c r="DU334" s="6" t="str">
        <f>IF(DL334="","",DQ334&amp;"-"&amp;DX334&amp;"-"&amp;DY334&amp;"/"&amp;BA334&amp;"-"&amp;DD334&amp;"-"&amp;DL334)</f>
        <v/>
      </c>
      <c r="DV334" s="19">
        <v>1</v>
      </c>
      <c r="DW334" s="20" t="str">
        <f>RIGHT(DQ334,2)</f>
        <v>11</v>
      </c>
      <c r="DX334" s="20">
        <v>5</v>
      </c>
      <c r="DY334" s="21">
        <v>5</v>
      </c>
      <c r="DZ334" s="22" t="s">
        <v>204</v>
      </c>
      <c r="EA334" s="23">
        <v>23</v>
      </c>
      <c r="EB334" s="7">
        <v>7</v>
      </c>
      <c r="EC334" s="6">
        <v>1</v>
      </c>
      <c r="EE334" s="9" t="s">
        <v>654</v>
      </c>
      <c r="EF334" s="6" t="s">
        <v>647</v>
      </c>
      <c r="EG334" s="6" t="s">
        <v>647</v>
      </c>
      <c r="EH334" s="6" t="s">
        <v>1129</v>
      </c>
      <c r="EI334" s="6" t="s">
        <v>892</v>
      </c>
      <c r="EJ334" s="12">
        <v>10</v>
      </c>
      <c r="EK334" s="12"/>
      <c r="EM334" s="12"/>
      <c r="EN334" s="12" t="s">
        <v>1126</v>
      </c>
      <c r="EP334" s="6" t="s">
        <v>1156</v>
      </c>
      <c r="ER334" s="6" t="str">
        <f>"UVOX"&amp;MID(EH334,4,6)</f>
        <v>UVOX40384</v>
      </c>
      <c r="ET334" s="6" t="str">
        <f t="shared" si="171"/>
        <v>짝수</v>
      </c>
      <c r="EU334" s="12">
        <v>70</v>
      </c>
      <c r="EV334" s="45" t="str">
        <f t="shared" ca="1" si="176"/>
        <v>B</v>
      </c>
      <c r="EW334" s="6">
        <f t="shared" ca="1" si="172"/>
        <v>66</v>
      </c>
      <c r="EZ334" s="24" t="str">
        <f>"UVNXD"&amp;MID(EH334,4,6)&amp;"I"</f>
        <v>UVNXD40384I</v>
      </c>
      <c r="FO334" s="6"/>
      <c r="FP334" s="11"/>
      <c r="FR334" s="6">
        <v>1</v>
      </c>
      <c r="FS334" s="6" t="str">
        <f t="shared" si="173"/>
        <v/>
      </c>
      <c r="FT334" s="6">
        <f t="shared" si="174"/>
        <v>1</v>
      </c>
      <c r="FU334" s="6" t="str">
        <f t="shared" ca="1" si="177"/>
        <v/>
      </c>
      <c r="FV334" s="6" t="str">
        <f t="shared" ca="1" si="175"/>
        <v/>
      </c>
      <c r="FW334" s="6" t="str">
        <f t="shared" ca="1" si="178"/>
        <v>R4-11</v>
      </c>
      <c r="FX334" s="6" t="str">
        <f t="shared" ca="1" si="179"/>
        <v>R4-12</v>
      </c>
      <c r="FY334" s="6" t="str">
        <f t="shared" ca="1" si="180"/>
        <v>R4-21</v>
      </c>
      <c r="FZ334" s="6" t="str">
        <f t="shared" ca="1" si="181"/>
        <v>R4-22</v>
      </c>
    </row>
    <row r="335" spans="1:182" ht="15.95" customHeight="1">
      <c r="A335" s="6">
        <v>550</v>
      </c>
      <c r="B335" s="6" t="s">
        <v>653</v>
      </c>
      <c r="E335" s="13" t="s">
        <v>891</v>
      </c>
      <c r="F335" s="6" t="s">
        <v>1604</v>
      </c>
      <c r="G335" s="6" t="s">
        <v>1290</v>
      </c>
      <c r="H335" s="7" t="s">
        <v>1291</v>
      </c>
      <c r="I335" s="7"/>
      <c r="J335" s="6" t="s">
        <v>1199</v>
      </c>
      <c r="K335" s="6" t="s">
        <v>1201</v>
      </c>
      <c r="N335" s="6" t="s">
        <v>1203</v>
      </c>
      <c r="O335" s="6" t="s">
        <v>1205</v>
      </c>
      <c r="R335" s="101" t="s">
        <v>1443</v>
      </c>
      <c r="Y335" s="6" t="s">
        <v>1602</v>
      </c>
      <c r="Z335" s="6">
        <v>1</v>
      </c>
      <c r="AA335" s="6">
        <v>2</v>
      </c>
      <c r="AD335" s="6" t="s">
        <v>1203</v>
      </c>
      <c r="AE335" s="6" t="s">
        <v>1205</v>
      </c>
      <c r="AG335" s="6" t="s">
        <v>1603</v>
      </c>
      <c r="AY335" s="8" t="s">
        <v>176</v>
      </c>
      <c r="AZ335" s="8" t="s">
        <v>195</v>
      </c>
      <c r="BA335" s="13" t="s">
        <v>643</v>
      </c>
      <c r="BB335" s="13" t="s">
        <v>740</v>
      </c>
      <c r="BC335" s="13">
        <v>43</v>
      </c>
      <c r="BD335" s="13">
        <v>44</v>
      </c>
      <c r="DC335" s="6" t="s">
        <v>644</v>
      </c>
      <c r="DD335" s="6" t="s">
        <v>190</v>
      </c>
      <c r="DH335" s="6" t="str">
        <f t="shared" si="164"/>
        <v>A22</v>
      </c>
      <c r="DI335" s="6" t="str">
        <f t="shared" si="165"/>
        <v>B22</v>
      </c>
      <c r="DK335" s="6" t="s">
        <v>173</v>
      </c>
      <c r="DL335" s="6" t="str">
        <f t="shared" si="166"/>
        <v/>
      </c>
      <c r="DO335" s="9" t="s">
        <v>170</v>
      </c>
      <c r="DP335" s="6" t="s">
        <v>171</v>
      </c>
      <c r="DQ335" s="6" t="s">
        <v>645</v>
      </c>
      <c r="DR335" s="6" t="e">
        <f>#REF!&amp;RIGHT(#REF!,3)</f>
        <v>#REF!</v>
      </c>
      <c r="DS335" s="6" t="str">
        <f t="shared" si="159"/>
        <v>AKB331</v>
      </c>
      <c r="DT335" s="10" t="str">
        <f t="shared" si="160"/>
        <v>FCS0111-5-5/1S–MC–118-R4-CN1</v>
      </c>
      <c r="DU335" s="6" t="str">
        <f t="shared" si="161"/>
        <v/>
      </c>
      <c r="DV335" s="19">
        <v>1</v>
      </c>
      <c r="DW335" s="20" t="str">
        <f t="shared" si="162"/>
        <v>11</v>
      </c>
      <c r="DX335" s="20">
        <v>5</v>
      </c>
      <c r="DY335" s="21">
        <v>5</v>
      </c>
      <c r="DZ335" s="22" t="s">
        <v>204</v>
      </c>
      <c r="EA335" s="23">
        <v>22</v>
      </c>
      <c r="EB335" s="7">
        <v>6</v>
      </c>
      <c r="EC335" s="6">
        <v>1</v>
      </c>
      <c r="EE335" s="9" t="s">
        <v>654</v>
      </c>
      <c r="EF335" s="6" t="s">
        <v>647</v>
      </c>
      <c r="EG335" s="6" t="s">
        <v>647</v>
      </c>
      <c r="EH335" s="6" t="s">
        <v>891</v>
      </c>
      <c r="EI335" s="6" t="s">
        <v>892</v>
      </c>
      <c r="EJ335" s="12">
        <v>10</v>
      </c>
      <c r="EK335" s="12"/>
      <c r="EM335" s="12"/>
      <c r="EN335" s="12" t="s">
        <v>1126</v>
      </c>
      <c r="ET335" s="6" t="str">
        <f t="shared" si="171"/>
        <v>짝수</v>
      </c>
      <c r="EU335" s="12">
        <v>70</v>
      </c>
      <c r="EV335" s="45" t="str">
        <f t="shared" ca="1" si="176"/>
        <v>C</v>
      </c>
      <c r="EW335" s="6">
        <f t="shared" ca="1" si="172"/>
        <v>67</v>
      </c>
      <c r="FO335" s="6"/>
      <c r="FP335" s="11"/>
      <c r="FR335" s="6">
        <v>1</v>
      </c>
      <c r="FS335" s="6" t="str">
        <f t="shared" si="173"/>
        <v/>
      </c>
      <c r="FT335" s="6">
        <f t="shared" si="174"/>
        <v>1</v>
      </c>
      <c r="FU335" s="6" t="str">
        <f t="shared" ca="1" si="177"/>
        <v/>
      </c>
      <c r="FV335" s="6" t="str">
        <f t="shared" ca="1" si="175"/>
        <v/>
      </c>
      <c r="FW335" s="6" t="str">
        <f t="shared" ca="1" si="178"/>
        <v>R4-11</v>
      </c>
      <c r="FX335" s="6" t="str">
        <f t="shared" ca="1" si="179"/>
        <v>R4-12</v>
      </c>
      <c r="FY335" s="6" t="str">
        <f t="shared" ca="1" si="180"/>
        <v>R4-21</v>
      </c>
      <c r="FZ335" s="6" t="str">
        <f t="shared" ca="1" si="181"/>
        <v>R4-22</v>
      </c>
    </row>
    <row r="336" spans="1:182" ht="15.95" customHeight="1">
      <c r="A336" s="6">
        <v>552</v>
      </c>
      <c r="B336" s="6" t="s">
        <v>653</v>
      </c>
      <c r="E336" s="6" t="s">
        <v>894</v>
      </c>
      <c r="F336" s="6" t="s">
        <v>1605</v>
      </c>
      <c r="G336" s="6" t="s">
        <v>1290</v>
      </c>
      <c r="H336" s="7" t="s">
        <v>1291</v>
      </c>
      <c r="I336" s="7"/>
      <c r="J336" s="6" t="s">
        <v>1199</v>
      </c>
      <c r="K336" s="6" t="s">
        <v>1201</v>
      </c>
      <c r="N336" s="6" t="s">
        <v>1203</v>
      </c>
      <c r="O336" s="6" t="s">
        <v>1205</v>
      </c>
      <c r="R336" s="101" t="s">
        <v>1443</v>
      </c>
      <c r="Y336" s="6" t="s">
        <v>1602</v>
      </c>
      <c r="Z336" s="6">
        <v>5</v>
      </c>
      <c r="AA336" s="6">
        <v>6</v>
      </c>
      <c r="AD336" s="6" t="s">
        <v>1203</v>
      </c>
      <c r="AE336" s="6" t="s">
        <v>1205</v>
      </c>
      <c r="AG336" s="6" t="s">
        <v>1603</v>
      </c>
      <c r="AY336" s="8" t="s">
        <v>176</v>
      </c>
      <c r="AZ336" s="8" t="s">
        <v>195</v>
      </c>
      <c r="BA336" s="13" t="s">
        <v>643</v>
      </c>
      <c r="BB336" s="13" t="s">
        <v>740</v>
      </c>
      <c r="BC336" s="13">
        <v>47</v>
      </c>
      <c r="BD336" s="13">
        <v>48</v>
      </c>
      <c r="DC336" s="6" t="s">
        <v>644</v>
      </c>
      <c r="DD336" s="6" t="s">
        <v>190</v>
      </c>
      <c r="DH336" s="6" t="str">
        <f t="shared" si="164"/>
        <v>A24</v>
      </c>
      <c r="DI336" s="6" t="str">
        <f t="shared" si="165"/>
        <v>B24</v>
      </c>
      <c r="DK336" s="6" t="s">
        <v>173</v>
      </c>
      <c r="DL336" s="6" t="str">
        <f t="shared" si="166"/>
        <v/>
      </c>
      <c r="DO336" s="9" t="s">
        <v>170</v>
      </c>
      <c r="DP336" s="6" t="s">
        <v>171</v>
      </c>
      <c r="DQ336" s="6" t="s">
        <v>645</v>
      </c>
      <c r="DR336" s="6" t="e">
        <f>#REF!&amp;RIGHT(#REF!,3)</f>
        <v>#REF!</v>
      </c>
      <c r="DS336" s="6" t="str">
        <f t="shared" si="159"/>
        <v>AKB331</v>
      </c>
      <c r="DT336" s="10" t="str">
        <f t="shared" si="160"/>
        <v>FCS0111-5-5/1S–MC–118-R4-CN1</v>
      </c>
      <c r="DU336" s="6" t="str">
        <f t="shared" si="161"/>
        <v/>
      </c>
      <c r="DV336" s="19">
        <v>1</v>
      </c>
      <c r="DW336" s="20" t="str">
        <f t="shared" si="162"/>
        <v>11</v>
      </c>
      <c r="DX336" s="20">
        <v>5</v>
      </c>
      <c r="DY336" s="21">
        <v>5</v>
      </c>
      <c r="DZ336" s="22" t="s">
        <v>204</v>
      </c>
      <c r="EA336" s="23">
        <v>24</v>
      </c>
      <c r="EB336" s="7">
        <v>8</v>
      </c>
      <c r="EC336" s="6">
        <v>1</v>
      </c>
      <c r="EE336" s="9" t="s">
        <v>654</v>
      </c>
      <c r="EF336" s="6" t="s">
        <v>647</v>
      </c>
      <c r="EG336" s="6" t="s">
        <v>647</v>
      </c>
      <c r="EH336" s="6" t="s">
        <v>894</v>
      </c>
      <c r="EI336" s="6" t="s">
        <v>895</v>
      </c>
      <c r="EJ336" s="12">
        <v>8</v>
      </c>
      <c r="EK336" s="12"/>
      <c r="EM336" s="12"/>
      <c r="EN336" s="12" t="s">
        <v>1126</v>
      </c>
      <c r="EP336" s="6" t="s">
        <v>1155</v>
      </c>
      <c r="ER336" s="6" t="str">
        <f>LEFT(EH338,2)&amp;"O"&amp;MID(EH338,4,7)</f>
        <v>HVO40385</v>
      </c>
      <c r="ET336" s="6" t="str">
        <f t="shared" si="171"/>
        <v>홀수</v>
      </c>
      <c r="EU336" s="12">
        <v>71</v>
      </c>
      <c r="EV336" s="45" t="str">
        <f t="shared" ca="1" si="176"/>
        <v>A</v>
      </c>
      <c r="EW336" s="6">
        <f t="shared" ca="1" si="172"/>
        <v>65</v>
      </c>
      <c r="FO336" s="6"/>
      <c r="FP336" s="11"/>
      <c r="FR336" s="6">
        <v>1</v>
      </c>
      <c r="FS336" s="6" t="str">
        <f t="shared" si="173"/>
        <v/>
      </c>
      <c r="FT336" s="6">
        <f t="shared" si="174"/>
        <v>1</v>
      </c>
      <c r="FU336" s="6" t="str">
        <f t="shared" ca="1" si="177"/>
        <v/>
      </c>
      <c r="FV336" s="6" t="str">
        <f t="shared" ca="1" si="175"/>
        <v/>
      </c>
      <c r="FW336" s="6" t="str">
        <f t="shared" ca="1" si="178"/>
        <v>R4-11</v>
      </c>
      <c r="FX336" s="6" t="str">
        <f t="shared" ca="1" si="179"/>
        <v>R4-12</v>
      </c>
      <c r="FY336" s="6" t="str">
        <f t="shared" ca="1" si="180"/>
        <v>R4-21</v>
      </c>
      <c r="FZ336" s="6" t="str">
        <f t="shared" ca="1" si="181"/>
        <v>R4-22</v>
      </c>
    </row>
    <row r="337" spans="1:182" ht="15.95" customHeight="1">
      <c r="A337" s="6">
        <v>553</v>
      </c>
      <c r="B337" s="6" t="s">
        <v>653</v>
      </c>
      <c r="E337" s="6" t="s">
        <v>896</v>
      </c>
      <c r="F337" s="6" t="s">
        <v>1606</v>
      </c>
      <c r="G337" s="6" t="s">
        <v>1290</v>
      </c>
      <c r="H337" s="7" t="s">
        <v>1291</v>
      </c>
      <c r="I337" s="7"/>
      <c r="J337" s="6" t="s">
        <v>1199</v>
      </c>
      <c r="K337" s="6" t="s">
        <v>1201</v>
      </c>
      <c r="N337" s="6" t="s">
        <v>1203</v>
      </c>
      <c r="O337" s="6" t="s">
        <v>1205</v>
      </c>
      <c r="R337" s="101" t="s">
        <v>1443</v>
      </c>
      <c r="Y337" s="6" t="s">
        <v>1602</v>
      </c>
      <c r="Z337" s="6">
        <v>7</v>
      </c>
      <c r="AA337" s="6">
        <v>8</v>
      </c>
      <c r="AD337" s="6" t="s">
        <v>1203</v>
      </c>
      <c r="AE337" s="6" t="s">
        <v>1205</v>
      </c>
      <c r="AG337" s="6" t="s">
        <v>1603</v>
      </c>
      <c r="AY337" s="8" t="s">
        <v>176</v>
      </c>
      <c r="AZ337" s="8" t="s">
        <v>195</v>
      </c>
      <c r="BA337" s="13" t="s">
        <v>643</v>
      </c>
      <c r="BB337" s="13" t="s">
        <v>740</v>
      </c>
      <c r="BC337" s="13">
        <v>49</v>
      </c>
      <c r="BD337" s="13">
        <v>50</v>
      </c>
      <c r="DC337" s="6" t="s">
        <v>644</v>
      </c>
      <c r="DD337" s="6" t="s">
        <v>190</v>
      </c>
      <c r="DH337" s="6" t="str">
        <f t="shared" si="164"/>
        <v>A25</v>
      </c>
      <c r="DI337" s="6" t="str">
        <f t="shared" si="165"/>
        <v>B25</v>
      </c>
      <c r="DK337" s="6" t="s">
        <v>173</v>
      </c>
      <c r="DL337" s="6" t="str">
        <f t="shared" si="166"/>
        <v/>
      </c>
      <c r="DO337" s="9" t="s">
        <v>170</v>
      </c>
      <c r="DP337" s="6" t="s">
        <v>171</v>
      </c>
      <c r="DQ337" s="6" t="s">
        <v>645</v>
      </c>
      <c r="DR337" s="6" t="e">
        <f>#REF!&amp;RIGHT(#REF!,3)</f>
        <v>#REF!</v>
      </c>
      <c r="DS337" s="6" t="str">
        <f t="shared" si="159"/>
        <v>AKB331</v>
      </c>
      <c r="DT337" s="10" t="str">
        <f t="shared" si="160"/>
        <v>FCS0111-5-5/1S–MC–118-R4-CN1</v>
      </c>
      <c r="DU337" s="6" t="str">
        <f t="shared" si="161"/>
        <v/>
      </c>
      <c r="DV337" s="19">
        <v>1</v>
      </c>
      <c r="DW337" s="20" t="str">
        <f t="shared" si="162"/>
        <v>11</v>
      </c>
      <c r="DX337" s="20">
        <v>5</v>
      </c>
      <c r="DY337" s="21">
        <v>5</v>
      </c>
      <c r="DZ337" s="22" t="s">
        <v>204</v>
      </c>
      <c r="EA337" s="23">
        <v>25</v>
      </c>
      <c r="EB337" s="7">
        <v>9</v>
      </c>
      <c r="EC337" s="6">
        <v>1</v>
      </c>
      <c r="EE337" s="9" t="s">
        <v>654</v>
      </c>
      <c r="EF337" s="6" t="s">
        <v>647</v>
      </c>
      <c r="EG337" s="6" t="s">
        <v>647</v>
      </c>
      <c r="EH337" s="6" t="s">
        <v>896</v>
      </c>
      <c r="EI337" s="6" t="s">
        <v>895</v>
      </c>
      <c r="EJ337" s="12">
        <v>8</v>
      </c>
      <c r="EK337" s="12"/>
      <c r="EM337" s="12"/>
      <c r="EN337" s="12" t="s">
        <v>1126</v>
      </c>
      <c r="ET337" s="6" t="str">
        <f t="shared" si="171"/>
        <v>홀수</v>
      </c>
      <c r="EU337" s="12">
        <v>71</v>
      </c>
      <c r="EV337" s="45" t="str">
        <f t="shared" ca="1" si="176"/>
        <v>B</v>
      </c>
      <c r="EW337" s="6">
        <f t="shared" ca="1" si="172"/>
        <v>66</v>
      </c>
      <c r="FO337" s="6"/>
      <c r="FP337" s="11"/>
      <c r="FR337" s="6">
        <v>1</v>
      </c>
      <c r="FS337" s="6" t="str">
        <f t="shared" si="173"/>
        <v/>
      </c>
      <c r="FT337" s="6">
        <f t="shared" si="174"/>
        <v>1</v>
      </c>
      <c r="FU337" s="6" t="str">
        <f t="shared" ca="1" si="177"/>
        <v/>
      </c>
      <c r="FV337" s="6" t="str">
        <f t="shared" ca="1" si="175"/>
        <v/>
      </c>
      <c r="FW337" s="6" t="str">
        <f t="shared" ca="1" si="178"/>
        <v>R4-11</v>
      </c>
      <c r="FX337" s="6" t="str">
        <f t="shared" ca="1" si="179"/>
        <v>R4-12</v>
      </c>
      <c r="FY337" s="6" t="str">
        <f t="shared" ca="1" si="180"/>
        <v>R4-21</v>
      </c>
      <c r="FZ337" s="6" t="str">
        <f t="shared" ca="1" si="181"/>
        <v>R4-22</v>
      </c>
    </row>
    <row r="338" spans="1:182" ht="15.95" customHeight="1">
      <c r="A338" s="6">
        <v>791</v>
      </c>
      <c r="B338" s="6" t="s">
        <v>694</v>
      </c>
      <c r="E338" s="6" t="s">
        <v>998</v>
      </c>
      <c r="F338" s="6" t="s">
        <v>1607</v>
      </c>
      <c r="G338" s="6" t="s">
        <v>1290</v>
      </c>
      <c r="H338" s="7" t="s">
        <v>1291</v>
      </c>
      <c r="I338" s="7"/>
      <c r="J338" s="6" t="s">
        <v>1199</v>
      </c>
      <c r="K338" s="6" t="s">
        <v>1201</v>
      </c>
      <c r="N338" s="6" t="s">
        <v>1203</v>
      </c>
      <c r="O338" s="6" t="s">
        <v>1205</v>
      </c>
      <c r="R338" s="101" t="s">
        <v>1592</v>
      </c>
      <c r="Y338" s="6" t="s">
        <v>1593</v>
      </c>
      <c r="Z338" s="6">
        <v>11</v>
      </c>
      <c r="AA338" s="6">
        <v>12</v>
      </c>
      <c r="AD338" s="6" t="s">
        <v>1203</v>
      </c>
      <c r="AE338" s="6" t="s">
        <v>1205</v>
      </c>
      <c r="AG338" s="6" t="s">
        <v>1594</v>
      </c>
      <c r="AY338" s="8" t="s">
        <v>176</v>
      </c>
      <c r="AZ338" s="8" t="s">
        <v>195</v>
      </c>
      <c r="BA338" s="13" t="s">
        <v>670</v>
      </c>
      <c r="BB338" s="13" t="s">
        <v>200</v>
      </c>
      <c r="BC338" s="13">
        <v>11</v>
      </c>
      <c r="BD338" s="13">
        <v>12</v>
      </c>
      <c r="DC338" s="6" t="s">
        <v>992</v>
      </c>
      <c r="DD338" s="6" t="s">
        <v>187</v>
      </c>
      <c r="DH338" s="6" t="str">
        <f>"A"&amp;EA338</f>
        <v>A7</v>
      </c>
      <c r="DI338" s="6" t="str">
        <f>"B"&amp;EA338</f>
        <v>B7</v>
      </c>
      <c r="DK338" s="6" t="s">
        <v>173</v>
      </c>
      <c r="DL338" s="6" t="str">
        <f>IF(DZ338&lt;&gt;"","CN2","")</f>
        <v>CN2</v>
      </c>
      <c r="DO338" s="9" t="s">
        <v>170</v>
      </c>
      <c r="DP338" s="6" t="s">
        <v>171</v>
      </c>
      <c r="DQ338" s="6" t="s">
        <v>645</v>
      </c>
      <c r="DR338" s="6" t="e">
        <f>#REF!&amp;RIGHT(#REF!,3)</f>
        <v>#REF!</v>
      </c>
      <c r="DS338" s="6" t="str">
        <f>IF(MID(EF338,2,1)="A","KS1","AKB331")</f>
        <v>AKB331</v>
      </c>
      <c r="DT338" s="10" t="str">
        <f>DQ338&amp;"-"&amp;DX338&amp;"-"&amp;DY338&amp;"/"&amp;BA338&amp;"-"&amp;DD338&amp;"-"&amp;DK338</f>
        <v>FCS0111-7-7/1S–MC–120-R1-CN1</v>
      </c>
      <c r="DU338" s="6" t="str">
        <f>IF(DL338="","",DQ338&amp;"-"&amp;DX338&amp;"-"&amp;DY338&amp;"/"&amp;BA338&amp;"-"&amp;DD338&amp;"-"&amp;DL338)</f>
        <v>FCS0111-7-7/1S–MC–120-R1-CN2</v>
      </c>
      <c r="DV338" s="19">
        <v>1</v>
      </c>
      <c r="DW338" s="20" t="str">
        <f>RIGHT(DQ338,2)</f>
        <v>11</v>
      </c>
      <c r="DX338" s="20">
        <v>7</v>
      </c>
      <c r="DY338" s="21">
        <v>7</v>
      </c>
      <c r="DZ338" s="22">
        <v>8</v>
      </c>
      <c r="EA338" s="23">
        <v>7</v>
      </c>
      <c r="EB338" s="7">
        <v>23</v>
      </c>
      <c r="EE338" s="9" t="s">
        <v>693</v>
      </c>
      <c r="EF338" s="6" t="s">
        <v>672</v>
      </c>
      <c r="EG338" s="6" t="s">
        <v>647</v>
      </c>
      <c r="EH338" s="6" t="s">
        <v>998</v>
      </c>
      <c r="EI338" s="6" t="s">
        <v>895</v>
      </c>
      <c r="EJ338" s="12">
        <v>8</v>
      </c>
      <c r="EK338" s="12"/>
      <c r="EM338" s="12"/>
      <c r="EN338" s="12" t="s">
        <v>1126</v>
      </c>
      <c r="ET338" s="6" t="str">
        <f t="shared" si="171"/>
        <v>홀수</v>
      </c>
      <c r="EU338" s="12">
        <v>71</v>
      </c>
      <c r="EV338" s="45" t="str">
        <f t="shared" ca="1" si="176"/>
        <v>C</v>
      </c>
      <c r="EW338" s="6">
        <f t="shared" ca="1" si="172"/>
        <v>67</v>
      </c>
      <c r="FO338" s="6"/>
      <c r="FP338" s="11"/>
      <c r="FR338" s="6">
        <v>1</v>
      </c>
      <c r="FS338" s="6">
        <f t="shared" si="173"/>
        <v>1</v>
      </c>
      <c r="FT338" s="6">
        <f t="shared" si="174"/>
        <v>1</v>
      </c>
      <c r="FU338" s="6" t="str">
        <f t="shared" ca="1" si="177"/>
        <v>R1-11</v>
      </c>
      <c r="FV338" s="6" t="str">
        <f t="shared" ca="1" si="175"/>
        <v>R1-12</v>
      </c>
      <c r="FW338" s="6" t="s">
        <v>1095</v>
      </c>
      <c r="FX338" s="6" t="s">
        <v>1096</v>
      </c>
      <c r="FY338" s="6" t="s">
        <v>1095</v>
      </c>
      <c r="FZ338" s="6" t="s">
        <v>1096</v>
      </c>
    </row>
    <row r="339" spans="1:182" ht="15.95" customHeight="1">
      <c r="A339" s="6">
        <v>554</v>
      </c>
      <c r="B339" s="6" t="s">
        <v>653</v>
      </c>
      <c r="E339" s="6" t="s">
        <v>897</v>
      </c>
      <c r="F339" s="6" t="s">
        <v>1608</v>
      </c>
      <c r="G339" s="6" t="s">
        <v>1290</v>
      </c>
      <c r="H339" s="7" t="s">
        <v>1291</v>
      </c>
      <c r="I339" s="7"/>
      <c r="J339" s="6" t="s">
        <v>1199</v>
      </c>
      <c r="K339" s="6" t="s">
        <v>1201</v>
      </c>
      <c r="N339" s="6" t="s">
        <v>1203</v>
      </c>
      <c r="O339" s="6" t="s">
        <v>1205</v>
      </c>
      <c r="R339" s="101" t="s">
        <v>1220</v>
      </c>
      <c r="Y339" s="6" t="s">
        <v>1602</v>
      </c>
      <c r="Z339" s="6">
        <v>9</v>
      </c>
      <c r="AA339" s="6">
        <v>10</v>
      </c>
      <c r="AD339" s="6" t="s">
        <v>1203</v>
      </c>
      <c r="AE339" s="6" t="s">
        <v>1205</v>
      </c>
      <c r="AG339" s="6" t="s">
        <v>1603</v>
      </c>
      <c r="AY339" s="8" t="s">
        <v>176</v>
      </c>
      <c r="AZ339" s="8" t="s">
        <v>195</v>
      </c>
      <c r="BA339" s="13" t="s">
        <v>643</v>
      </c>
      <c r="BB339" s="13" t="s">
        <v>740</v>
      </c>
      <c r="BC339" s="13">
        <v>51</v>
      </c>
      <c r="BD339" s="13">
        <v>52</v>
      </c>
      <c r="DC339" s="6" t="s">
        <v>644</v>
      </c>
      <c r="DD339" s="6" t="s">
        <v>190</v>
      </c>
      <c r="DH339" s="6" t="str">
        <f t="shared" si="164"/>
        <v>A26</v>
      </c>
      <c r="DI339" s="6" t="str">
        <f t="shared" si="165"/>
        <v>B26</v>
      </c>
      <c r="DK339" s="6" t="s">
        <v>173</v>
      </c>
      <c r="DL339" s="6" t="str">
        <f t="shared" si="166"/>
        <v/>
      </c>
      <c r="DO339" s="9" t="s">
        <v>170</v>
      </c>
      <c r="DP339" s="6" t="s">
        <v>171</v>
      </c>
      <c r="DQ339" s="6" t="s">
        <v>645</v>
      </c>
      <c r="DR339" s="6" t="e">
        <f>#REF!&amp;RIGHT(#REF!,3)</f>
        <v>#REF!</v>
      </c>
      <c r="DS339" s="6" t="str">
        <f t="shared" si="159"/>
        <v>AKB331</v>
      </c>
      <c r="DT339" s="10" t="str">
        <f t="shared" si="160"/>
        <v>FCS0111-5-5/1S–MC–118-R4-CN1</v>
      </c>
      <c r="DU339" s="6" t="str">
        <f t="shared" si="161"/>
        <v/>
      </c>
      <c r="DV339" s="19">
        <v>1</v>
      </c>
      <c r="DW339" s="20" t="str">
        <f t="shared" si="162"/>
        <v>11</v>
      </c>
      <c r="DX339" s="20">
        <v>5</v>
      </c>
      <c r="DY339" s="21">
        <v>5</v>
      </c>
      <c r="DZ339" s="22" t="s">
        <v>204</v>
      </c>
      <c r="EA339" s="23">
        <v>26</v>
      </c>
      <c r="EB339" s="7">
        <v>10</v>
      </c>
      <c r="EC339" s="6">
        <v>1</v>
      </c>
      <c r="EE339" s="9" t="s">
        <v>654</v>
      </c>
      <c r="EF339" s="6" t="s">
        <v>647</v>
      </c>
      <c r="EG339" s="6" t="s">
        <v>647</v>
      </c>
      <c r="EH339" s="6" t="s">
        <v>897</v>
      </c>
      <c r="EI339" s="6" t="s">
        <v>895</v>
      </c>
      <c r="EJ339" s="12">
        <v>100</v>
      </c>
      <c r="EL339" s="6"/>
      <c r="EM339" s="12"/>
      <c r="EN339" s="6" t="s">
        <v>1127</v>
      </c>
      <c r="EP339" s="6" t="s">
        <v>1161</v>
      </c>
      <c r="ET339" s="6" t="str">
        <f t="shared" si="171"/>
        <v>홀수</v>
      </c>
      <c r="EU339" s="12">
        <v>71</v>
      </c>
      <c r="EV339" s="45" t="str">
        <f t="shared" ca="1" si="176"/>
        <v>D</v>
      </c>
      <c r="EW339" s="6">
        <f t="shared" ca="1" si="172"/>
        <v>68</v>
      </c>
      <c r="FO339" s="6"/>
      <c r="FP339" s="11"/>
      <c r="FR339" s="6">
        <v>1</v>
      </c>
      <c r="FS339" s="6" t="str">
        <f t="shared" si="173"/>
        <v/>
      </c>
      <c r="FT339" s="6">
        <f t="shared" si="174"/>
        <v>1</v>
      </c>
      <c r="FU339" s="6" t="str">
        <f t="shared" ca="1" si="177"/>
        <v/>
      </c>
      <c r="FV339" s="6" t="str">
        <f t="shared" ca="1" si="175"/>
        <v/>
      </c>
      <c r="FW339" s="6" t="str">
        <f t="shared" ref="FW339:FW347" ca="1" si="182">IF(AND(FT339=1,FU339=""),DD339&amp;"-11",IF(AND(FT339=1,FU339&lt;&gt;""),DD339&amp;"-21",""))</f>
        <v>R4-11</v>
      </c>
      <c r="FX339" s="6" t="str">
        <f t="shared" ref="FX339:FX347" ca="1" si="183">IF(AND(FT339=1,FU339=""),DD339&amp;"-12",IF(AND(FT339=1,FU339&lt;&gt;""),DD339&amp;"-22",""))</f>
        <v>R4-12</v>
      </c>
      <c r="FY339" s="6" t="str">
        <f t="shared" ref="FY339:FY347" ca="1" si="184">IF(AND(FS339="",OFFSET(FS339,0,1)="",DC339="A1BA4D"),"",IF(DC339="A1BD5D",LEFT(FW339,3)&amp;"21",FW339))</f>
        <v>R4-21</v>
      </c>
      <c r="FZ339" s="6" t="str">
        <f t="shared" ref="FZ339:FZ347" ca="1" si="185" xml:space="preserve">
IF(AND(FS339="",OFFSET(FS339,0,1)="",DC339="A1BA4D"),"",IF(DC339="A1BD5D",LEFT(FW339,3)&amp;"22",FW339))</f>
        <v>R4-22</v>
      </c>
    </row>
    <row r="340" spans="1:182" ht="15.95" customHeight="1">
      <c r="A340" s="6">
        <v>555</v>
      </c>
      <c r="B340" s="6" t="s">
        <v>653</v>
      </c>
      <c r="E340" s="6" t="s">
        <v>898</v>
      </c>
      <c r="F340" s="6" t="s">
        <v>1609</v>
      </c>
      <c r="G340" s="6" t="s">
        <v>1290</v>
      </c>
      <c r="H340" s="7" t="s">
        <v>1291</v>
      </c>
      <c r="I340" s="7"/>
      <c r="J340" s="6" t="s">
        <v>1199</v>
      </c>
      <c r="K340" s="6" t="s">
        <v>1201</v>
      </c>
      <c r="N340" s="6" t="s">
        <v>1203</v>
      </c>
      <c r="O340" s="6" t="s">
        <v>1205</v>
      </c>
      <c r="R340" s="101" t="s">
        <v>1220</v>
      </c>
      <c r="Y340" s="6" t="s">
        <v>1602</v>
      </c>
      <c r="Z340" s="6">
        <v>11</v>
      </c>
      <c r="AA340" s="6">
        <v>12</v>
      </c>
      <c r="AD340" s="6" t="s">
        <v>1203</v>
      </c>
      <c r="AE340" s="6" t="s">
        <v>1205</v>
      </c>
      <c r="AG340" s="6" t="s">
        <v>1603</v>
      </c>
      <c r="AY340" s="8" t="s">
        <v>176</v>
      </c>
      <c r="AZ340" s="8" t="s">
        <v>195</v>
      </c>
      <c r="BA340" s="13" t="s">
        <v>643</v>
      </c>
      <c r="BB340" s="13" t="s">
        <v>740</v>
      </c>
      <c r="BC340" s="13">
        <v>53</v>
      </c>
      <c r="BD340" s="13">
        <v>54</v>
      </c>
      <c r="DC340" s="6" t="s">
        <v>644</v>
      </c>
      <c r="DD340" s="6" t="s">
        <v>190</v>
      </c>
      <c r="DH340" s="6" t="str">
        <f t="shared" si="164"/>
        <v>A27</v>
      </c>
      <c r="DI340" s="6" t="str">
        <f t="shared" si="165"/>
        <v>B27</v>
      </c>
      <c r="DK340" s="6" t="s">
        <v>173</v>
      </c>
      <c r="DL340" s="6" t="str">
        <f t="shared" si="166"/>
        <v/>
      </c>
      <c r="DO340" s="9" t="s">
        <v>170</v>
      </c>
      <c r="DP340" s="6" t="s">
        <v>171</v>
      </c>
      <c r="DQ340" s="6" t="s">
        <v>645</v>
      </c>
      <c r="DR340" s="6" t="e">
        <f>#REF!&amp;RIGHT(#REF!,3)</f>
        <v>#REF!</v>
      </c>
      <c r="DS340" s="6" t="str">
        <f t="shared" si="159"/>
        <v>AKB331</v>
      </c>
      <c r="DT340" s="10" t="str">
        <f t="shared" si="160"/>
        <v>FCS0111-5-5/1S–MC–118-R4-CN1</v>
      </c>
      <c r="DU340" s="6" t="str">
        <f t="shared" si="161"/>
        <v/>
      </c>
      <c r="DV340" s="19">
        <v>1</v>
      </c>
      <c r="DW340" s="20" t="str">
        <f t="shared" si="162"/>
        <v>11</v>
      </c>
      <c r="DX340" s="20">
        <v>5</v>
      </c>
      <c r="DY340" s="21">
        <v>5</v>
      </c>
      <c r="DZ340" s="22" t="s">
        <v>204</v>
      </c>
      <c r="EA340" s="23">
        <v>27</v>
      </c>
      <c r="EB340" s="7">
        <v>11</v>
      </c>
      <c r="EC340" s="6">
        <v>1</v>
      </c>
      <c r="EE340" s="9" t="s">
        <v>654</v>
      </c>
      <c r="EF340" s="6" t="s">
        <v>647</v>
      </c>
      <c r="EG340" s="6" t="s">
        <v>647</v>
      </c>
      <c r="EH340" s="6" t="s">
        <v>898</v>
      </c>
      <c r="EI340" s="6" t="s">
        <v>895</v>
      </c>
      <c r="EJ340" s="12">
        <v>100</v>
      </c>
      <c r="EL340" s="6"/>
      <c r="EM340" s="12"/>
      <c r="EN340" s="6" t="s">
        <v>1128</v>
      </c>
      <c r="EP340" s="6" t="s">
        <v>1161</v>
      </c>
      <c r="ET340" s="6" t="str">
        <f t="shared" si="171"/>
        <v>짝수</v>
      </c>
      <c r="EU340" s="12">
        <v>72</v>
      </c>
      <c r="EV340" s="45" t="str">
        <f t="shared" ca="1" si="176"/>
        <v>A</v>
      </c>
      <c r="EW340" s="6">
        <f t="shared" ca="1" si="172"/>
        <v>65</v>
      </c>
      <c r="FO340" s="6"/>
      <c r="FP340" s="11"/>
      <c r="FR340" s="6">
        <v>1</v>
      </c>
      <c r="FS340" s="6" t="str">
        <f t="shared" si="173"/>
        <v/>
      </c>
      <c r="FT340" s="6">
        <f t="shared" si="174"/>
        <v>1</v>
      </c>
      <c r="FU340" s="6" t="str">
        <f t="shared" ca="1" si="177"/>
        <v/>
      </c>
      <c r="FV340" s="6" t="str">
        <f t="shared" ca="1" si="175"/>
        <v/>
      </c>
      <c r="FW340" s="6" t="str">
        <f t="shared" ca="1" si="182"/>
        <v>R4-11</v>
      </c>
      <c r="FX340" s="6" t="str">
        <f t="shared" ca="1" si="183"/>
        <v>R4-12</v>
      </c>
      <c r="FY340" s="6" t="str">
        <f t="shared" ca="1" si="184"/>
        <v>R4-21</v>
      </c>
      <c r="FZ340" s="6" t="str">
        <f t="shared" ca="1" si="185"/>
        <v>R4-22</v>
      </c>
    </row>
    <row r="341" spans="1:182" ht="15.95" customHeight="1">
      <c r="A341" s="6">
        <v>561</v>
      </c>
      <c r="B341" s="6" t="s">
        <v>653</v>
      </c>
      <c r="E341" s="6" t="s">
        <v>899</v>
      </c>
      <c r="F341" s="6" t="s">
        <v>1610</v>
      </c>
      <c r="G341" s="6" t="s">
        <v>1290</v>
      </c>
      <c r="H341" s="7" t="s">
        <v>1291</v>
      </c>
      <c r="I341" s="7"/>
      <c r="J341" s="6" t="s">
        <v>1199</v>
      </c>
      <c r="K341" s="6" t="s">
        <v>1201</v>
      </c>
      <c r="N341" s="6" t="s">
        <v>1203</v>
      </c>
      <c r="O341" s="6" t="s">
        <v>1205</v>
      </c>
      <c r="R341" s="101" t="s">
        <v>1220</v>
      </c>
      <c r="Y341" s="6" t="s">
        <v>1598</v>
      </c>
      <c r="Z341" s="6">
        <v>5</v>
      </c>
      <c r="AA341" s="6">
        <v>6</v>
      </c>
      <c r="AD341" s="6" t="s">
        <v>1203</v>
      </c>
      <c r="AE341" s="6" t="s">
        <v>1205</v>
      </c>
      <c r="AG341" s="6" t="s">
        <v>1599</v>
      </c>
      <c r="AY341" s="8" t="s">
        <v>176</v>
      </c>
      <c r="AZ341" s="8" t="s">
        <v>195</v>
      </c>
      <c r="BA341" s="13" t="s">
        <v>643</v>
      </c>
      <c r="BB341" s="13" t="s">
        <v>740</v>
      </c>
      <c r="BC341" s="13">
        <v>91</v>
      </c>
      <c r="BD341" s="13">
        <v>92</v>
      </c>
      <c r="DC341" s="6" t="s">
        <v>644</v>
      </c>
      <c r="DD341" s="6" t="s">
        <v>191</v>
      </c>
      <c r="DH341" s="6" t="str">
        <f t="shared" si="164"/>
        <v>A1</v>
      </c>
      <c r="DI341" s="6" t="str">
        <f t="shared" si="165"/>
        <v>B1</v>
      </c>
      <c r="DK341" s="6" t="s">
        <v>173</v>
      </c>
      <c r="DL341" s="6" t="str">
        <f t="shared" si="166"/>
        <v/>
      </c>
      <c r="DO341" s="9" t="s">
        <v>170</v>
      </c>
      <c r="DP341" s="6" t="s">
        <v>171</v>
      </c>
      <c r="DQ341" s="6" t="s">
        <v>645</v>
      </c>
      <c r="DR341" s="6" t="e">
        <f>#REF!&amp;RIGHT(#REF!,3)</f>
        <v>#REF!</v>
      </c>
      <c r="DS341" s="6" t="str">
        <f t="shared" si="159"/>
        <v>AKB331</v>
      </c>
      <c r="DT341" s="10" t="str">
        <f t="shared" si="160"/>
        <v>FCS0111-5-6/1S–MC–118-R5-CN1</v>
      </c>
      <c r="DU341" s="6" t="str">
        <f t="shared" si="161"/>
        <v/>
      </c>
      <c r="DV341" s="19">
        <v>1</v>
      </c>
      <c r="DW341" s="20" t="str">
        <f t="shared" si="162"/>
        <v>11</v>
      </c>
      <c r="DX341" s="20">
        <v>5</v>
      </c>
      <c r="DY341" s="21">
        <v>6</v>
      </c>
      <c r="DZ341" s="22" t="s">
        <v>204</v>
      </c>
      <c r="EA341" s="23">
        <v>1</v>
      </c>
      <c r="EB341" s="7">
        <v>17</v>
      </c>
      <c r="EC341" s="6">
        <v>1</v>
      </c>
      <c r="EE341" s="9" t="s">
        <v>654</v>
      </c>
      <c r="EF341" s="6" t="s">
        <v>647</v>
      </c>
      <c r="EG341" s="6" t="s">
        <v>647</v>
      </c>
      <c r="EH341" s="6" t="s">
        <v>899</v>
      </c>
      <c r="EI341" s="6" t="s">
        <v>412</v>
      </c>
      <c r="EJ341" s="12">
        <v>100</v>
      </c>
      <c r="EL341" s="6"/>
      <c r="EM341" s="12"/>
      <c r="EN341" s="6" t="s">
        <v>1127</v>
      </c>
      <c r="EP341" s="6" t="s">
        <v>1148</v>
      </c>
      <c r="ET341" s="6" t="str">
        <f t="shared" si="171"/>
        <v>짝수</v>
      </c>
      <c r="EU341" s="12">
        <v>72</v>
      </c>
      <c r="EV341" s="45" t="str">
        <f t="shared" ca="1" si="176"/>
        <v>B</v>
      </c>
      <c r="EW341" s="6">
        <f t="shared" ca="1" si="172"/>
        <v>66</v>
      </c>
      <c r="FO341" s="6"/>
      <c r="FP341" s="11"/>
      <c r="FR341" s="6">
        <v>1</v>
      </c>
      <c r="FS341" s="6" t="str">
        <f t="shared" si="173"/>
        <v/>
      </c>
      <c r="FT341" s="6">
        <f t="shared" si="174"/>
        <v>1</v>
      </c>
      <c r="FU341" s="6" t="str">
        <f t="shared" ca="1" si="177"/>
        <v/>
      </c>
      <c r="FV341" s="6" t="str">
        <f t="shared" ca="1" si="175"/>
        <v/>
      </c>
      <c r="FW341" s="6" t="str">
        <f t="shared" ca="1" si="182"/>
        <v>R5-11</v>
      </c>
      <c r="FX341" s="6" t="str">
        <f t="shared" ca="1" si="183"/>
        <v>R5-12</v>
      </c>
      <c r="FY341" s="6" t="str">
        <f t="shared" ca="1" si="184"/>
        <v>R5-21</v>
      </c>
      <c r="FZ341" s="6" t="str">
        <f t="shared" ca="1" si="185"/>
        <v>R5-22</v>
      </c>
    </row>
    <row r="342" spans="1:182" ht="15.95" customHeight="1">
      <c r="A342" s="6">
        <v>562</v>
      </c>
      <c r="B342" s="6" t="s">
        <v>653</v>
      </c>
      <c r="E342" s="6" t="s">
        <v>900</v>
      </c>
      <c r="F342" s="6" t="s">
        <v>1611</v>
      </c>
      <c r="G342" s="6" t="s">
        <v>1290</v>
      </c>
      <c r="H342" s="7" t="s">
        <v>1291</v>
      </c>
      <c r="I342" s="7"/>
      <c r="J342" s="6" t="s">
        <v>1199</v>
      </c>
      <c r="K342" s="6" t="s">
        <v>1201</v>
      </c>
      <c r="N342" s="6" t="s">
        <v>1203</v>
      </c>
      <c r="O342" s="6" t="s">
        <v>1205</v>
      </c>
      <c r="R342" s="101" t="s">
        <v>1220</v>
      </c>
      <c r="Y342" s="6" t="s">
        <v>1598</v>
      </c>
      <c r="Z342" s="6">
        <v>7</v>
      </c>
      <c r="AA342" s="6">
        <v>8</v>
      </c>
      <c r="AD342" s="6" t="s">
        <v>1203</v>
      </c>
      <c r="AE342" s="6" t="s">
        <v>1205</v>
      </c>
      <c r="AG342" s="6" t="s">
        <v>1599</v>
      </c>
      <c r="AY342" s="8" t="s">
        <v>176</v>
      </c>
      <c r="AZ342" s="8" t="s">
        <v>195</v>
      </c>
      <c r="BA342" s="13" t="s">
        <v>643</v>
      </c>
      <c r="BB342" s="13" t="s">
        <v>740</v>
      </c>
      <c r="BC342" s="13">
        <v>93</v>
      </c>
      <c r="BD342" s="13">
        <v>94</v>
      </c>
      <c r="DC342" s="6" t="s">
        <v>644</v>
      </c>
      <c r="DD342" s="6" t="s">
        <v>191</v>
      </c>
      <c r="DH342" s="6" t="str">
        <f t="shared" si="164"/>
        <v>A2</v>
      </c>
      <c r="DI342" s="6" t="str">
        <f t="shared" si="165"/>
        <v>B2</v>
      </c>
      <c r="DK342" s="6" t="s">
        <v>173</v>
      </c>
      <c r="DL342" s="6" t="str">
        <f t="shared" si="166"/>
        <v/>
      </c>
      <c r="DO342" s="9" t="s">
        <v>170</v>
      </c>
      <c r="DP342" s="6" t="s">
        <v>171</v>
      </c>
      <c r="DQ342" s="6" t="s">
        <v>645</v>
      </c>
      <c r="DR342" s="6" t="e">
        <f>#REF!&amp;RIGHT(#REF!,3)</f>
        <v>#REF!</v>
      </c>
      <c r="DS342" s="6" t="str">
        <f t="shared" si="159"/>
        <v>AKB331</v>
      </c>
      <c r="DT342" s="10" t="str">
        <f t="shared" si="160"/>
        <v>FCS0111-5-6/1S–MC–118-R5-CN1</v>
      </c>
      <c r="DU342" s="6" t="str">
        <f t="shared" si="161"/>
        <v/>
      </c>
      <c r="DV342" s="19">
        <v>1</v>
      </c>
      <c r="DW342" s="20" t="str">
        <f t="shared" si="162"/>
        <v>11</v>
      </c>
      <c r="DX342" s="20">
        <v>5</v>
      </c>
      <c r="DY342" s="21">
        <v>6</v>
      </c>
      <c r="DZ342" s="22" t="s">
        <v>204</v>
      </c>
      <c r="EA342" s="23">
        <v>2</v>
      </c>
      <c r="EB342" s="7">
        <v>18</v>
      </c>
      <c r="EC342" s="6">
        <v>1</v>
      </c>
      <c r="EE342" s="9" t="s">
        <v>654</v>
      </c>
      <c r="EF342" s="6" t="s">
        <v>647</v>
      </c>
      <c r="EG342" s="6" t="s">
        <v>647</v>
      </c>
      <c r="EH342" s="6" t="s">
        <v>900</v>
      </c>
      <c r="EI342" s="6" t="s">
        <v>412</v>
      </c>
      <c r="EJ342" s="12">
        <v>100</v>
      </c>
      <c r="EL342" s="6"/>
      <c r="EM342" s="12"/>
      <c r="EN342" s="6" t="s">
        <v>1128</v>
      </c>
      <c r="EP342" s="6" t="s">
        <v>1148</v>
      </c>
      <c r="ET342" s="6" t="str">
        <f t="shared" si="171"/>
        <v>짝수</v>
      </c>
      <c r="EU342" s="12">
        <v>72</v>
      </c>
      <c r="EV342" s="45" t="str">
        <f t="shared" ca="1" si="176"/>
        <v>C</v>
      </c>
      <c r="EW342" s="6">
        <f t="shared" ca="1" si="172"/>
        <v>67</v>
      </c>
      <c r="FO342" s="6"/>
      <c r="FP342" s="11"/>
      <c r="FR342" s="6">
        <v>1</v>
      </c>
      <c r="FS342" s="6" t="str">
        <f t="shared" si="173"/>
        <v/>
      </c>
      <c r="FT342" s="6">
        <f t="shared" si="174"/>
        <v>1</v>
      </c>
      <c r="FU342" s="6" t="str">
        <f t="shared" ca="1" si="177"/>
        <v/>
      </c>
      <c r="FV342" s="6" t="str">
        <f t="shared" ca="1" si="175"/>
        <v/>
      </c>
      <c r="FW342" s="6" t="str">
        <f t="shared" ca="1" si="182"/>
        <v>R5-11</v>
      </c>
      <c r="FX342" s="6" t="str">
        <f t="shared" ca="1" si="183"/>
        <v>R5-12</v>
      </c>
      <c r="FY342" s="6" t="str">
        <f t="shared" ca="1" si="184"/>
        <v>R5-21</v>
      </c>
      <c r="FZ342" s="6" t="str">
        <f t="shared" ca="1" si="185"/>
        <v>R5-22</v>
      </c>
    </row>
    <row r="343" spans="1:182" ht="15.95" customHeight="1">
      <c r="A343" s="6">
        <v>563</v>
      </c>
      <c r="B343" s="6" t="s">
        <v>653</v>
      </c>
      <c r="E343" s="6" t="s">
        <v>901</v>
      </c>
      <c r="F343" s="6" t="s">
        <v>1612</v>
      </c>
      <c r="G343" s="6" t="s">
        <v>1290</v>
      </c>
      <c r="H343" s="7" t="s">
        <v>1291</v>
      </c>
      <c r="I343" s="7"/>
      <c r="J343" s="6" t="s">
        <v>1199</v>
      </c>
      <c r="K343" s="6" t="s">
        <v>1201</v>
      </c>
      <c r="N343" s="6" t="s">
        <v>1203</v>
      </c>
      <c r="O343" s="6" t="s">
        <v>1205</v>
      </c>
      <c r="R343" s="101" t="s">
        <v>1220</v>
      </c>
      <c r="Y343" s="6" t="s">
        <v>1598</v>
      </c>
      <c r="Z343" s="6">
        <v>9</v>
      </c>
      <c r="AA343" s="6">
        <v>10</v>
      </c>
      <c r="AD343" s="6" t="s">
        <v>1203</v>
      </c>
      <c r="AE343" s="6" t="s">
        <v>1205</v>
      </c>
      <c r="AG343" s="6" t="s">
        <v>1599</v>
      </c>
      <c r="AY343" s="8" t="s">
        <v>176</v>
      </c>
      <c r="AZ343" s="8" t="s">
        <v>195</v>
      </c>
      <c r="BA343" s="13" t="s">
        <v>643</v>
      </c>
      <c r="BB343" s="13" t="s">
        <v>740</v>
      </c>
      <c r="BC343" s="13">
        <v>95</v>
      </c>
      <c r="BD343" s="13">
        <v>96</v>
      </c>
      <c r="DC343" s="6" t="s">
        <v>644</v>
      </c>
      <c r="DD343" s="6" t="s">
        <v>191</v>
      </c>
      <c r="DH343" s="6" t="str">
        <f t="shared" si="164"/>
        <v>A3</v>
      </c>
      <c r="DI343" s="6" t="str">
        <f t="shared" si="165"/>
        <v>B3</v>
      </c>
      <c r="DK343" s="6" t="s">
        <v>173</v>
      </c>
      <c r="DL343" s="6" t="str">
        <f t="shared" si="166"/>
        <v/>
      </c>
      <c r="DO343" s="9" t="s">
        <v>170</v>
      </c>
      <c r="DP343" s="6" t="s">
        <v>171</v>
      </c>
      <c r="DQ343" s="6" t="s">
        <v>645</v>
      </c>
      <c r="DR343" s="6" t="e">
        <f>#REF!&amp;RIGHT(#REF!,3)</f>
        <v>#REF!</v>
      </c>
      <c r="DS343" s="6" t="str">
        <f t="shared" si="159"/>
        <v>AKB331</v>
      </c>
      <c r="DT343" s="10" t="str">
        <f t="shared" si="160"/>
        <v>FCS0111-5-6/1S–MC–118-R5-CN1</v>
      </c>
      <c r="DU343" s="6" t="str">
        <f t="shared" si="161"/>
        <v/>
      </c>
      <c r="DV343" s="19">
        <v>1</v>
      </c>
      <c r="DW343" s="20" t="str">
        <f t="shared" si="162"/>
        <v>11</v>
      </c>
      <c r="DX343" s="20">
        <v>5</v>
      </c>
      <c r="DY343" s="21">
        <v>6</v>
      </c>
      <c r="DZ343" s="22" t="s">
        <v>204</v>
      </c>
      <c r="EA343" s="23">
        <v>3</v>
      </c>
      <c r="EB343" s="7">
        <v>19</v>
      </c>
      <c r="EC343" s="6">
        <v>1</v>
      </c>
      <c r="EE343" s="9" t="s">
        <v>654</v>
      </c>
      <c r="EF343" s="6" t="s">
        <v>647</v>
      </c>
      <c r="EG343" s="6" t="s">
        <v>647</v>
      </c>
      <c r="EH343" s="6" t="s">
        <v>901</v>
      </c>
      <c r="EI343" s="6" t="s">
        <v>412</v>
      </c>
      <c r="EJ343" s="12">
        <v>100</v>
      </c>
      <c r="EL343" s="6"/>
      <c r="EM343" s="12"/>
      <c r="EN343" s="6" t="s">
        <v>1128</v>
      </c>
      <c r="EP343" s="6" t="s">
        <v>1148</v>
      </c>
      <c r="ET343" s="6" t="str">
        <f t="shared" si="171"/>
        <v>짝수</v>
      </c>
      <c r="EU343" s="12">
        <v>72</v>
      </c>
      <c r="EV343" s="45" t="str">
        <f t="shared" ca="1" si="176"/>
        <v>D</v>
      </c>
      <c r="EW343" s="6">
        <f t="shared" ca="1" si="172"/>
        <v>68</v>
      </c>
      <c r="FO343" s="6"/>
      <c r="FP343" s="11"/>
      <c r="FR343" s="6">
        <v>1</v>
      </c>
      <c r="FS343" s="6" t="str">
        <f t="shared" si="173"/>
        <v/>
      </c>
      <c r="FT343" s="6">
        <f t="shared" si="174"/>
        <v>1</v>
      </c>
      <c r="FU343" s="6" t="str">
        <f t="shared" ca="1" si="177"/>
        <v/>
      </c>
      <c r="FV343" s="6" t="str">
        <f t="shared" ca="1" si="175"/>
        <v/>
      </c>
      <c r="FW343" s="6" t="str">
        <f t="shared" ca="1" si="182"/>
        <v>R5-11</v>
      </c>
      <c r="FX343" s="6" t="str">
        <f t="shared" ca="1" si="183"/>
        <v>R5-12</v>
      </c>
      <c r="FY343" s="6" t="str">
        <f t="shared" ca="1" si="184"/>
        <v>R5-21</v>
      </c>
      <c r="FZ343" s="6" t="str">
        <f t="shared" ca="1" si="185"/>
        <v>R5-22</v>
      </c>
    </row>
    <row r="344" spans="1:182" ht="15.95" customHeight="1">
      <c r="A344" s="6">
        <v>565</v>
      </c>
      <c r="B344" s="6" t="s">
        <v>653</v>
      </c>
      <c r="E344" s="6" t="s">
        <v>904</v>
      </c>
      <c r="F344" s="6" t="s">
        <v>1613</v>
      </c>
      <c r="G344" s="6" t="s">
        <v>1290</v>
      </c>
      <c r="H344" s="7" t="s">
        <v>1291</v>
      </c>
      <c r="I344" s="7"/>
      <c r="J344" s="6" t="s">
        <v>1199</v>
      </c>
      <c r="K344" s="6" t="s">
        <v>1201</v>
      </c>
      <c r="N344" s="6" t="s">
        <v>1203</v>
      </c>
      <c r="O344" s="6" t="s">
        <v>1205</v>
      </c>
      <c r="R344" s="101" t="s">
        <v>1443</v>
      </c>
      <c r="Y344" s="6" t="s">
        <v>1598</v>
      </c>
      <c r="Z344" s="6">
        <v>13</v>
      </c>
      <c r="AA344" s="6">
        <v>14</v>
      </c>
      <c r="AD344" s="6" t="s">
        <v>1203</v>
      </c>
      <c r="AE344" s="6" t="s">
        <v>1205</v>
      </c>
      <c r="AG344" s="6" t="s">
        <v>1599</v>
      </c>
      <c r="AY344" s="8" t="s">
        <v>176</v>
      </c>
      <c r="AZ344" s="8" t="s">
        <v>195</v>
      </c>
      <c r="BA344" s="13" t="s">
        <v>643</v>
      </c>
      <c r="BB344" s="13" t="s">
        <v>740</v>
      </c>
      <c r="BC344" s="13">
        <v>99</v>
      </c>
      <c r="BD344" s="13">
        <v>100</v>
      </c>
      <c r="DC344" s="6" t="s">
        <v>644</v>
      </c>
      <c r="DD344" s="6" t="s">
        <v>191</v>
      </c>
      <c r="DH344" s="6" t="str">
        <f>"A"&amp;EA344</f>
        <v>A5</v>
      </c>
      <c r="DI344" s="6" t="str">
        <f>"B"&amp;EA344</f>
        <v>B5</v>
      </c>
      <c r="DK344" s="6" t="s">
        <v>173</v>
      </c>
      <c r="DL344" s="6" t="str">
        <f>IF(DZ344&lt;&gt;"","CN2","")</f>
        <v/>
      </c>
      <c r="DO344" s="9" t="s">
        <v>170</v>
      </c>
      <c r="DP344" s="6" t="s">
        <v>171</v>
      </c>
      <c r="DQ344" s="6" t="s">
        <v>645</v>
      </c>
      <c r="DR344" s="6" t="e">
        <f>#REF!&amp;RIGHT(#REF!,3)</f>
        <v>#REF!</v>
      </c>
      <c r="DS344" s="6" t="str">
        <f>IF(MID(EF344,2,1)="A","KS1","AKB331")</f>
        <v>AKB331</v>
      </c>
      <c r="DT344" s="10" t="str">
        <f>DQ344&amp;"-"&amp;DX344&amp;"-"&amp;DY344&amp;"/"&amp;BA344&amp;"-"&amp;DD344&amp;"-"&amp;DK344</f>
        <v>FCS0111-5-6/1S–MC–118-R5-CN1</v>
      </c>
      <c r="DU344" s="6" t="str">
        <f>IF(DL344="","",DQ344&amp;"-"&amp;DX344&amp;"-"&amp;DY344&amp;"/"&amp;BA344&amp;"-"&amp;DD344&amp;"-"&amp;DL344)</f>
        <v/>
      </c>
      <c r="DV344" s="19">
        <v>1</v>
      </c>
      <c r="DW344" s="20" t="str">
        <f>RIGHT(DQ344,2)</f>
        <v>11</v>
      </c>
      <c r="DX344" s="20">
        <v>5</v>
      </c>
      <c r="DY344" s="21">
        <v>6</v>
      </c>
      <c r="DZ344" s="22" t="s">
        <v>204</v>
      </c>
      <c r="EA344" s="23">
        <v>5</v>
      </c>
      <c r="EB344" s="7">
        <v>21</v>
      </c>
      <c r="EC344" s="6">
        <v>1</v>
      </c>
      <c r="EE344" s="9" t="s">
        <v>654</v>
      </c>
      <c r="EF344" s="6" t="s">
        <v>647</v>
      </c>
      <c r="EG344" s="6" t="s">
        <v>647</v>
      </c>
      <c r="EH344" s="6" t="s">
        <v>904</v>
      </c>
      <c r="EI344" s="6" t="s">
        <v>903</v>
      </c>
      <c r="EJ344" s="12">
        <v>10</v>
      </c>
      <c r="EK344" s="12"/>
      <c r="EM344" s="12"/>
      <c r="EN344" s="12" t="s">
        <v>1126</v>
      </c>
      <c r="EP344" s="6" t="s">
        <v>1156</v>
      </c>
      <c r="ER344" s="6" t="str">
        <f>"UVOX"&amp;MID(EH345,4,6)</f>
        <v>UVOX40387</v>
      </c>
      <c r="ET344" s="6" t="str">
        <f t="shared" si="171"/>
        <v>홀수</v>
      </c>
      <c r="EU344" s="12">
        <v>73</v>
      </c>
      <c r="EV344" s="45" t="str">
        <f t="shared" ca="1" si="176"/>
        <v>A</v>
      </c>
      <c r="EW344" s="6">
        <f t="shared" ca="1" si="172"/>
        <v>65</v>
      </c>
      <c r="EZ344" s="24" t="str">
        <f>"UVNXD"&amp;MID(EH345,4,6)&amp;"I"</f>
        <v>UVNXD40387I</v>
      </c>
      <c r="FO344" s="6"/>
      <c r="FP344" s="11"/>
      <c r="FR344" s="6">
        <v>1</v>
      </c>
      <c r="FS344" s="6" t="str">
        <f t="shared" si="173"/>
        <v/>
      </c>
      <c r="FT344" s="6">
        <f t="shared" si="174"/>
        <v>1</v>
      </c>
      <c r="FU344" s="6" t="str">
        <f t="shared" ca="1" si="177"/>
        <v/>
      </c>
      <c r="FV344" s="6" t="str">
        <f t="shared" ca="1" si="175"/>
        <v/>
      </c>
      <c r="FW344" s="6" t="str">
        <f t="shared" ca="1" si="182"/>
        <v>R5-11</v>
      </c>
      <c r="FX344" s="6" t="str">
        <f t="shared" ca="1" si="183"/>
        <v>R5-12</v>
      </c>
      <c r="FY344" s="6" t="str">
        <f t="shared" ca="1" si="184"/>
        <v>R5-21</v>
      </c>
      <c r="FZ344" s="6" t="str">
        <f t="shared" ca="1" si="185"/>
        <v>R5-22</v>
      </c>
    </row>
    <row r="345" spans="1:182" ht="15.95" customHeight="1">
      <c r="A345" s="6">
        <v>564</v>
      </c>
      <c r="B345" s="6" t="s">
        <v>653</v>
      </c>
      <c r="E345" s="6" t="s">
        <v>902</v>
      </c>
      <c r="F345" s="6" t="s">
        <v>1614</v>
      </c>
      <c r="G345" s="6" t="s">
        <v>1290</v>
      </c>
      <c r="H345" s="7" t="s">
        <v>1291</v>
      </c>
      <c r="I345" s="7"/>
      <c r="J345" s="6" t="s">
        <v>1199</v>
      </c>
      <c r="K345" s="6" t="s">
        <v>1201</v>
      </c>
      <c r="N345" s="6" t="s">
        <v>1203</v>
      </c>
      <c r="O345" s="6" t="s">
        <v>1205</v>
      </c>
      <c r="R345" s="101" t="s">
        <v>1443</v>
      </c>
      <c r="Y345" s="6" t="s">
        <v>1598</v>
      </c>
      <c r="Z345" s="6">
        <v>11</v>
      </c>
      <c r="AA345" s="6">
        <v>12</v>
      </c>
      <c r="AD345" s="6" t="s">
        <v>1203</v>
      </c>
      <c r="AE345" s="6" t="s">
        <v>1205</v>
      </c>
      <c r="AG345" s="6" t="s">
        <v>1599</v>
      </c>
      <c r="AY345" s="8" t="s">
        <v>176</v>
      </c>
      <c r="AZ345" s="8" t="s">
        <v>195</v>
      </c>
      <c r="BA345" s="13" t="s">
        <v>643</v>
      </c>
      <c r="BB345" s="13" t="s">
        <v>740</v>
      </c>
      <c r="BC345" s="13">
        <v>97</v>
      </c>
      <c r="BD345" s="13">
        <v>98</v>
      </c>
      <c r="DC345" s="6" t="s">
        <v>644</v>
      </c>
      <c r="DD345" s="6" t="s">
        <v>191</v>
      </c>
      <c r="DH345" s="6" t="str">
        <f t="shared" si="164"/>
        <v>A4</v>
      </c>
      <c r="DI345" s="6" t="str">
        <f t="shared" si="165"/>
        <v>B4</v>
      </c>
      <c r="DK345" s="6" t="s">
        <v>173</v>
      </c>
      <c r="DL345" s="6" t="str">
        <f t="shared" si="166"/>
        <v/>
      </c>
      <c r="DO345" s="9" t="s">
        <v>170</v>
      </c>
      <c r="DP345" s="6" t="s">
        <v>171</v>
      </c>
      <c r="DQ345" s="6" t="s">
        <v>645</v>
      </c>
      <c r="DR345" s="6" t="e">
        <f>#REF!&amp;RIGHT(#REF!,3)</f>
        <v>#REF!</v>
      </c>
      <c r="DS345" s="6" t="str">
        <f t="shared" si="159"/>
        <v>AKB331</v>
      </c>
      <c r="DT345" s="10" t="str">
        <f t="shared" si="160"/>
        <v>FCS0111-5-6/1S–MC–118-R5-CN1</v>
      </c>
      <c r="DU345" s="6" t="str">
        <f t="shared" si="161"/>
        <v/>
      </c>
      <c r="DV345" s="19">
        <v>1</v>
      </c>
      <c r="DW345" s="20" t="str">
        <f t="shared" si="162"/>
        <v>11</v>
      </c>
      <c r="DX345" s="20">
        <v>5</v>
      </c>
      <c r="DY345" s="21">
        <v>6</v>
      </c>
      <c r="DZ345" s="22" t="s">
        <v>204</v>
      </c>
      <c r="EA345" s="23">
        <v>4</v>
      </c>
      <c r="EB345" s="7">
        <v>20</v>
      </c>
      <c r="EC345" s="6">
        <v>1</v>
      </c>
      <c r="EE345" s="9" t="s">
        <v>654</v>
      </c>
      <c r="EF345" s="6" t="s">
        <v>647</v>
      </c>
      <c r="EG345" s="6" t="s">
        <v>647</v>
      </c>
      <c r="EH345" s="6" t="s">
        <v>902</v>
      </c>
      <c r="EI345" s="6" t="s">
        <v>903</v>
      </c>
      <c r="EJ345" s="12">
        <v>10</v>
      </c>
      <c r="EK345" s="12"/>
      <c r="EM345" s="12"/>
      <c r="EN345" s="12" t="s">
        <v>1126</v>
      </c>
      <c r="ET345" s="6" t="str">
        <f t="shared" si="171"/>
        <v>홀수</v>
      </c>
      <c r="EU345" s="12">
        <v>73</v>
      </c>
      <c r="EV345" s="45" t="str">
        <f t="shared" ca="1" si="176"/>
        <v>B</v>
      </c>
      <c r="EW345" s="6">
        <f t="shared" ca="1" si="172"/>
        <v>66</v>
      </c>
      <c r="FO345" s="6"/>
      <c r="FP345" s="11"/>
      <c r="FR345" s="6">
        <v>1</v>
      </c>
      <c r="FS345" s="6" t="str">
        <f t="shared" si="173"/>
        <v/>
      </c>
      <c r="FT345" s="6">
        <f t="shared" si="174"/>
        <v>1</v>
      </c>
      <c r="FU345" s="6" t="str">
        <f t="shared" ca="1" si="177"/>
        <v/>
      </c>
      <c r="FV345" s="6" t="str">
        <f t="shared" ca="1" si="175"/>
        <v/>
      </c>
      <c r="FW345" s="6" t="str">
        <f t="shared" ca="1" si="182"/>
        <v>R5-11</v>
      </c>
      <c r="FX345" s="6" t="str">
        <f t="shared" ca="1" si="183"/>
        <v>R5-12</v>
      </c>
      <c r="FY345" s="6" t="str">
        <f t="shared" ca="1" si="184"/>
        <v>R5-21</v>
      </c>
      <c r="FZ345" s="6" t="str">
        <f t="shared" ca="1" si="185"/>
        <v>R5-22</v>
      </c>
    </row>
    <row r="346" spans="1:182" ht="15.95" customHeight="1">
      <c r="A346" s="6">
        <v>566</v>
      </c>
      <c r="B346" s="6" t="s">
        <v>653</v>
      </c>
      <c r="E346" s="6" t="s">
        <v>905</v>
      </c>
      <c r="F346" s="6" t="s">
        <v>1615</v>
      </c>
      <c r="G346" s="6" t="s">
        <v>1290</v>
      </c>
      <c r="H346" s="7" t="s">
        <v>1291</v>
      </c>
      <c r="I346" s="7"/>
      <c r="J346" s="6" t="s">
        <v>1199</v>
      </c>
      <c r="K346" s="6" t="s">
        <v>1201</v>
      </c>
      <c r="N346" s="6" t="s">
        <v>1203</v>
      </c>
      <c r="O346" s="6" t="s">
        <v>1205</v>
      </c>
      <c r="R346" s="101" t="s">
        <v>1443</v>
      </c>
      <c r="Y346" s="6" t="s">
        <v>1444</v>
      </c>
      <c r="Z346" s="6">
        <v>37</v>
      </c>
      <c r="AA346" s="6">
        <v>38</v>
      </c>
      <c r="AD346" s="6" t="s">
        <v>1203</v>
      </c>
      <c r="AE346" s="6" t="s">
        <v>1205</v>
      </c>
      <c r="AG346" s="6" t="s">
        <v>1616</v>
      </c>
      <c r="AY346" s="8" t="s">
        <v>176</v>
      </c>
      <c r="AZ346" s="8" t="s">
        <v>195</v>
      </c>
      <c r="BA346" s="13" t="s">
        <v>643</v>
      </c>
      <c r="BB346" s="13" t="s">
        <v>200</v>
      </c>
      <c r="BC346" s="13">
        <v>3</v>
      </c>
      <c r="BD346" s="13">
        <v>4</v>
      </c>
      <c r="DC346" s="6" t="s">
        <v>644</v>
      </c>
      <c r="DD346" s="6" t="s">
        <v>191</v>
      </c>
      <c r="DH346" s="6" t="str">
        <f t="shared" si="164"/>
        <v>A6</v>
      </c>
      <c r="DI346" s="6" t="str">
        <f t="shared" si="165"/>
        <v>B6</v>
      </c>
      <c r="DK346" s="6" t="s">
        <v>173</v>
      </c>
      <c r="DL346" s="6" t="str">
        <f t="shared" si="166"/>
        <v/>
      </c>
      <c r="DO346" s="9" t="s">
        <v>170</v>
      </c>
      <c r="DP346" s="6" t="s">
        <v>171</v>
      </c>
      <c r="DQ346" s="6" t="s">
        <v>645</v>
      </c>
      <c r="DR346" s="6" t="e">
        <f>#REF!&amp;RIGHT(#REF!,3)</f>
        <v>#REF!</v>
      </c>
      <c r="DS346" s="6" t="str">
        <f t="shared" si="159"/>
        <v>AKB331</v>
      </c>
      <c r="DT346" s="10" t="str">
        <f t="shared" si="160"/>
        <v>FCS0111-5-6/1S–MC–118-R5-CN1</v>
      </c>
      <c r="DU346" s="6" t="str">
        <f t="shared" si="161"/>
        <v/>
      </c>
      <c r="DV346" s="19">
        <v>1</v>
      </c>
      <c r="DW346" s="20" t="str">
        <f t="shared" si="162"/>
        <v>11</v>
      </c>
      <c r="DX346" s="20">
        <v>5</v>
      </c>
      <c r="DY346" s="21">
        <v>6</v>
      </c>
      <c r="DZ346" s="22" t="s">
        <v>204</v>
      </c>
      <c r="EA346" s="23">
        <v>6</v>
      </c>
      <c r="EB346" s="7">
        <v>22</v>
      </c>
      <c r="EC346" s="6">
        <v>1</v>
      </c>
      <c r="EE346" s="9" t="s">
        <v>654</v>
      </c>
      <c r="EF346" s="6" t="s">
        <v>647</v>
      </c>
      <c r="EG346" s="6" t="s">
        <v>647</v>
      </c>
      <c r="EH346" s="6" t="s">
        <v>905</v>
      </c>
      <c r="EI346" s="6" t="s">
        <v>906</v>
      </c>
      <c r="EJ346" s="12">
        <v>8</v>
      </c>
      <c r="EK346" s="12"/>
      <c r="EM346" s="12"/>
      <c r="EN346" s="12" t="s">
        <v>1126</v>
      </c>
      <c r="EP346" s="6" t="s">
        <v>1155</v>
      </c>
      <c r="ER346" s="6" t="str">
        <f>LEFT(EH348,2)&amp;"O"&amp;MID(EH348,4,7)</f>
        <v>HVO40388</v>
      </c>
      <c r="ET346" s="6" t="str">
        <f t="shared" si="171"/>
        <v>짝수</v>
      </c>
      <c r="EU346" s="12">
        <v>74</v>
      </c>
      <c r="EV346" s="45" t="str">
        <f t="shared" ca="1" si="176"/>
        <v>A</v>
      </c>
      <c r="EW346" s="6">
        <f t="shared" ca="1" si="172"/>
        <v>65</v>
      </c>
      <c r="FO346" s="6"/>
      <c r="FP346" s="11"/>
      <c r="FR346" s="6">
        <v>1</v>
      </c>
      <c r="FS346" s="6" t="str">
        <f t="shared" si="173"/>
        <v/>
      </c>
      <c r="FT346" s="6">
        <f t="shared" si="174"/>
        <v>1</v>
      </c>
      <c r="FU346" s="6" t="str">
        <f t="shared" ca="1" si="177"/>
        <v/>
      </c>
      <c r="FV346" s="6" t="str">
        <f t="shared" ca="1" si="175"/>
        <v/>
      </c>
      <c r="FW346" s="6" t="str">
        <f t="shared" ca="1" si="182"/>
        <v>R5-11</v>
      </c>
      <c r="FX346" s="6" t="str">
        <f t="shared" ca="1" si="183"/>
        <v>R5-12</v>
      </c>
      <c r="FY346" s="6" t="str">
        <f t="shared" ca="1" si="184"/>
        <v>R5-21</v>
      </c>
      <c r="FZ346" s="6" t="str">
        <f t="shared" ca="1" si="185"/>
        <v>R5-22</v>
      </c>
    </row>
    <row r="347" spans="1:182" ht="15.95" customHeight="1">
      <c r="A347" s="6">
        <v>567</v>
      </c>
      <c r="B347" s="6" t="s">
        <v>653</v>
      </c>
      <c r="E347" s="6" t="s">
        <v>907</v>
      </c>
      <c r="F347" s="6" t="s">
        <v>1617</v>
      </c>
      <c r="G347" s="6" t="s">
        <v>1290</v>
      </c>
      <c r="H347" s="7" t="s">
        <v>1291</v>
      </c>
      <c r="I347" s="7"/>
      <c r="J347" s="6" t="s">
        <v>1199</v>
      </c>
      <c r="K347" s="6" t="s">
        <v>1201</v>
      </c>
      <c r="N347" s="6" t="s">
        <v>1203</v>
      </c>
      <c r="O347" s="6" t="s">
        <v>1205</v>
      </c>
      <c r="R347" s="101" t="s">
        <v>1443</v>
      </c>
      <c r="Y347" s="6" t="s">
        <v>1444</v>
      </c>
      <c r="Z347" s="6">
        <v>39</v>
      </c>
      <c r="AA347" s="6">
        <v>40</v>
      </c>
      <c r="AD347" s="6" t="s">
        <v>1203</v>
      </c>
      <c r="AE347" s="6" t="s">
        <v>1205</v>
      </c>
      <c r="AG347" s="6" t="s">
        <v>1616</v>
      </c>
      <c r="AY347" s="8" t="s">
        <v>176</v>
      </c>
      <c r="AZ347" s="8" t="s">
        <v>195</v>
      </c>
      <c r="BA347" s="13" t="s">
        <v>643</v>
      </c>
      <c r="BB347" s="13" t="s">
        <v>200</v>
      </c>
      <c r="BC347" s="13">
        <v>5</v>
      </c>
      <c r="BD347" s="13">
        <v>6</v>
      </c>
      <c r="DC347" s="6" t="s">
        <v>644</v>
      </c>
      <c r="DD347" s="6" t="s">
        <v>191</v>
      </c>
      <c r="DH347" s="6" t="str">
        <f t="shared" si="164"/>
        <v>A7</v>
      </c>
      <c r="DI347" s="6" t="str">
        <f t="shared" si="165"/>
        <v>B7</v>
      </c>
      <c r="DK347" s="6" t="s">
        <v>173</v>
      </c>
      <c r="DL347" s="6" t="str">
        <f t="shared" si="166"/>
        <v/>
      </c>
      <c r="DO347" s="9" t="s">
        <v>170</v>
      </c>
      <c r="DP347" s="6" t="s">
        <v>171</v>
      </c>
      <c r="DQ347" s="6" t="s">
        <v>645</v>
      </c>
      <c r="DR347" s="6" t="e">
        <f>#REF!&amp;RIGHT(#REF!,3)</f>
        <v>#REF!</v>
      </c>
      <c r="DS347" s="6" t="str">
        <f t="shared" si="159"/>
        <v>AKB331</v>
      </c>
      <c r="DT347" s="10" t="str">
        <f t="shared" si="160"/>
        <v>FCS0111-5-6/1S–MC–118-R5-CN1</v>
      </c>
      <c r="DU347" s="6" t="str">
        <f t="shared" si="161"/>
        <v/>
      </c>
      <c r="DV347" s="19">
        <v>1</v>
      </c>
      <c r="DW347" s="20" t="str">
        <f t="shared" si="162"/>
        <v>11</v>
      </c>
      <c r="DX347" s="20">
        <v>5</v>
      </c>
      <c r="DY347" s="21">
        <v>6</v>
      </c>
      <c r="DZ347" s="22" t="s">
        <v>204</v>
      </c>
      <c r="EA347" s="23">
        <v>7</v>
      </c>
      <c r="EB347" s="7">
        <v>23</v>
      </c>
      <c r="EC347" s="6">
        <v>1</v>
      </c>
      <c r="EE347" s="9" t="s">
        <v>654</v>
      </c>
      <c r="EF347" s="6" t="s">
        <v>647</v>
      </c>
      <c r="EG347" s="6" t="s">
        <v>647</v>
      </c>
      <c r="EH347" s="6" t="s">
        <v>907</v>
      </c>
      <c r="EI347" s="6" t="s">
        <v>906</v>
      </c>
      <c r="EJ347" s="12">
        <v>8</v>
      </c>
      <c r="EK347" s="12"/>
      <c r="EM347" s="12"/>
      <c r="EN347" s="12" t="s">
        <v>1126</v>
      </c>
      <c r="ET347" s="6" t="str">
        <f t="shared" si="171"/>
        <v>짝수</v>
      </c>
      <c r="EU347" s="12">
        <v>74</v>
      </c>
      <c r="EV347" s="45" t="str">
        <f t="shared" ca="1" si="176"/>
        <v>B</v>
      </c>
      <c r="EW347" s="6">
        <f t="shared" ca="1" si="172"/>
        <v>66</v>
      </c>
      <c r="FO347" s="6"/>
      <c r="FP347" s="11"/>
      <c r="FR347" s="6">
        <v>1</v>
      </c>
      <c r="FS347" s="6" t="str">
        <f t="shared" si="173"/>
        <v/>
      </c>
      <c r="FT347" s="6">
        <f t="shared" si="174"/>
        <v>1</v>
      </c>
      <c r="FU347" s="6" t="str">
        <f t="shared" ca="1" si="177"/>
        <v/>
      </c>
      <c r="FV347" s="6" t="str">
        <f t="shared" ca="1" si="175"/>
        <v/>
      </c>
      <c r="FW347" s="6" t="str">
        <f t="shared" ca="1" si="182"/>
        <v>R5-11</v>
      </c>
      <c r="FX347" s="6" t="str">
        <f t="shared" ca="1" si="183"/>
        <v>R5-12</v>
      </c>
      <c r="FY347" s="6" t="str">
        <f t="shared" ca="1" si="184"/>
        <v>R5-21</v>
      </c>
      <c r="FZ347" s="6" t="str">
        <f t="shared" ca="1" si="185"/>
        <v>R5-22</v>
      </c>
    </row>
    <row r="348" spans="1:182" ht="15.95" customHeight="1">
      <c r="A348" s="6">
        <v>792</v>
      </c>
      <c r="B348" s="6" t="s">
        <v>694</v>
      </c>
      <c r="E348" s="6" t="s">
        <v>999</v>
      </c>
      <c r="F348" s="6" t="s">
        <v>1618</v>
      </c>
      <c r="G348" s="6" t="s">
        <v>1290</v>
      </c>
      <c r="H348" s="7" t="s">
        <v>1291</v>
      </c>
      <c r="I348" s="7"/>
      <c r="J348" s="6" t="s">
        <v>1199</v>
      </c>
      <c r="K348" s="6" t="s">
        <v>1201</v>
      </c>
      <c r="N348" s="6" t="s">
        <v>1203</v>
      </c>
      <c r="O348" s="6" t="s">
        <v>1205</v>
      </c>
      <c r="R348" s="101" t="s">
        <v>1592</v>
      </c>
      <c r="Y348" s="6" t="s">
        <v>1593</v>
      </c>
      <c r="Z348" s="6">
        <v>13</v>
      </c>
      <c r="AA348" s="6">
        <v>14</v>
      </c>
      <c r="AD348" s="6" t="s">
        <v>1203</v>
      </c>
      <c r="AE348" s="6" t="s">
        <v>1205</v>
      </c>
      <c r="AG348" s="6" t="s">
        <v>1594</v>
      </c>
      <c r="AY348" s="8" t="s">
        <v>176</v>
      </c>
      <c r="AZ348" s="8" t="s">
        <v>195</v>
      </c>
      <c r="BA348" s="13" t="s">
        <v>670</v>
      </c>
      <c r="BB348" s="13" t="s">
        <v>200</v>
      </c>
      <c r="BC348" s="13">
        <v>13</v>
      </c>
      <c r="BD348" s="13">
        <v>14</v>
      </c>
      <c r="DC348" s="6" t="s">
        <v>992</v>
      </c>
      <c r="DD348" s="6" t="s">
        <v>187</v>
      </c>
      <c r="DH348" s="6" t="str">
        <f>"A"&amp;EA348</f>
        <v>A8</v>
      </c>
      <c r="DI348" s="6" t="str">
        <f>"B"&amp;EA348</f>
        <v>B8</v>
      </c>
      <c r="DK348" s="6" t="s">
        <v>173</v>
      </c>
      <c r="DL348" s="6" t="str">
        <f>IF(DZ348&lt;&gt;"","CN2","")</f>
        <v>CN2</v>
      </c>
      <c r="DO348" s="9" t="s">
        <v>170</v>
      </c>
      <c r="DP348" s="6" t="s">
        <v>171</v>
      </c>
      <c r="DQ348" s="6" t="s">
        <v>645</v>
      </c>
      <c r="DR348" s="6" t="e">
        <f>#REF!&amp;RIGHT(#REF!,3)</f>
        <v>#REF!</v>
      </c>
      <c r="DS348" s="6" t="str">
        <f>IF(MID(EF348,2,1)="A","KS1","AKB331")</f>
        <v>AKB331</v>
      </c>
      <c r="DT348" s="10" t="str">
        <f>DQ348&amp;"-"&amp;DX348&amp;"-"&amp;DY348&amp;"/"&amp;BA348&amp;"-"&amp;DD348&amp;"-"&amp;DK348</f>
        <v>FCS0111-7-7/1S–MC–120-R1-CN1</v>
      </c>
      <c r="DU348" s="6" t="str">
        <f>IF(DL348="","",DQ348&amp;"-"&amp;DX348&amp;"-"&amp;DY348&amp;"/"&amp;BA348&amp;"-"&amp;DD348&amp;"-"&amp;DL348)</f>
        <v>FCS0111-7-7/1S–MC–120-R1-CN2</v>
      </c>
      <c r="DV348" s="19">
        <v>1</v>
      </c>
      <c r="DW348" s="20" t="str">
        <f>RIGHT(DQ348,2)</f>
        <v>11</v>
      </c>
      <c r="DX348" s="20">
        <v>7</v>
      </c>
      <c r="DY348" s="21">
        <v>7</v>
      </c>
      <c r="DZ348" s="22">
        <v>8</v>
      </c>
      <c r="EA348" s="23">
        <v>8</v>
      </c>
      <c r="EB348" s="7">
        <v>24</v>
      </c>
      <c r="EE348" s="9" t="s">
        <v>693</v>
      </c>
      <c r="EF348" s="6" t="s">
        <v>672</v>
      </c>
      <c r="EG348" s="6" t="s">
        <v>647</v>
      </c>
      <c r="EH348" s="6" t="s">
        <v>999</v>
      </c>
      <c r="EI348" s="6" t="s">
        <v>906</v>
      </c>
      <c r="EJ348" s="12">
        <v>8</v>
      </c>
      <c r="EK348" s="12"/>
      <c r="EM348" s="12"/>
      <c r="EN348" s="12" t="s">
        <v>1126</v>
      </c>
      <c r="ET348" s="6" t="str">
        <f t="shared" si="171"/>
        <v>짝수</v>
      </c>
      <c r="EU348" s="12">
        <v>74</v>
      </c>
      <c r="EV348" s="45" t="str">
        <f t="shared" ca="1" si="176"/>
        <v>C</v>
      </c>
      <c r="EW348" s="6">
        <f t="shared" ca="1" si="172"/>
        <v>67</v>
      </c>
      <c r="FO348" s="6"/>
      <c r="FP348" s="11"/>
      <c r="FR348" s="6">
        <v>1</v>
      </c>
      <c r="FS348" s="6">
        <f t="shared" si="173"/>
        <v>1</v>
      </c>
      <c r="FT348" s="6">
        <f t="shared" si="174"/>
        <v>1</v>
      </c>
      <c r="FU348" s="6" t="str">
        <f t="shared" ca="1" si="177"/>
        <v>R1-11</v>
      </c>
      <c r="FV348" s="6" t="str">
        <f t="shared" ca="1" si="175"/>
        <v>R1-12</v>
      </c>
      <c r="FW348" s="6" t="s">
        <v>1095</v>
      </c>
      <c r="FX348" s="6" t="s">
        <v>1096</v>
      </c>
      <c r="FY348" s="6" t="s">
        <v>1095</v>
      </c>
      <c r="FZ348" s="6" t="s">
        <v>1096</v>
      </c>
    </row>
    <row r="349" spans="1:182" ht="15.95" customHeight="1">
      <c r="A349" s="6">
        <v>568</v>
      </c>
      <c r="B349" s="6" t="s">
        <v>653</v>
      </c>
      <c r="E349" s="6" t="s">
        <v>908</v>
      </c>
      <c r="F349" s="6" t="s">
        <v>1619</v>
      </c>
      <c r="G349" s="6" t="s">
        <v>1290</v>
      </c>
      <c r="H349" s="7" t="s">
        <v>1291</v>
      </c>
      <c r="I349" s="7"/>
      <c r="J349" s="6" t="s">
        <v>1199</v>
      </c>
      <c r="K349" s="6" t="s">
        <v>1201</v>
      </c>
      <c r="N349" s="6" t="s">
        <v>1203</v>
      </c>
      <c r="O349" s="6" t="s">
        <v>1205</v>
      </c>
      <c r="R349" s="101" t="s">
        <v>1220</v>
      </c>
      <c r="Y349" s="6" t="s">
        <v>1620</v>
      </c>
      <c r="Z349" s="6">
        <v>41</v>
      </c>
      <c r="AA349" s="6">
        <v>42</v>
      </c>
      <c r="AD349" s="6" t="s">
        <v>1203</v>
      </c>
      <c r="AE349" s="6" t="s">
        <v>1205</v>
      </c>
      <c r="AG349" s="6" t="s">
        <v>1616</v>
      </c>
      <c r="AY349" s="8" t="s">
        <v>176</v>
      </c>
      <c r="AZ349" s="8" t="s">
        <v>195</v>
      </c>
      <c r="BA349" s="13" t="s">
        <v>643</v>
      </c>
      <c r="BB349" s="13" t="s">
        <v>200</v>
      </c>
      <c r="BC349" s="13">
        <v>7</v>
      </c>
      <c r="BD349" s="13">
        <v>8</v>
      </c>
      <c r="DC349" s="6" t="s">
        <v>644</v>
      </c>
      <c r="DD349" s="6" t="s">
        <v>191</v>
      </c>
      <c r="DH349" s="6" t="str">
        <f t="shared" si="164"/>
        <v>A8</v>
      </c>
      <c r="DI349" s="6" t="str">
        <f t="shared" si="165"/>
        <v>B8</v>
      </c>
      <c r="DK349" s="6" t="s">
        <v>173</v>
      </c>
      <c r="DL349" s="6" t="str">
        <f t="shared" si="166"/>
        <v/>
      </c>
      <c r="DO349" s="9" t="s">
        <v>170</v>
      </c>
      <c r="DP349" s="6" t="s">
        <v>171</v>
      </c>
      <c r="DQ349" s="6" t="s">
        <v>645</v>
      </c>
      <c r="DR349" s="6" t="e">
        <f>#REF!&amp;RIGHT(#REF!,3)</f>
        <v>#REF!</v>
      </c>
      <c r="DS349" s="6" t="str">
        <f t="shared" si="159"/>
        <v>AKB331</v>
      </c>
      <c r="DT349" s="10" t="str">
        <f t="shared" si="160"/>
        <v>FCS0111-5-6/1S–MC–118-R5-CN1</v>
      </c>
      <c r="DU349" s="6" t="str">
        <f t="shared" si="161"/>
        <v/>
      </c>
      <c r="DV349" s="19">
        <v>1</v>
      </c>
      <c r="DW349" s="20" t="str">
        <f t="shared" si="162"/>
        <v>11</v>
      </c>
      <c r="DX349" s="20">
        <v>5</v>
      </c>
      <c r="DY349" s="21">
        <v>6</v>
      </c>
      <c r="DZ349" s="22" t="s">
        <v>204</v>
      </c>
      <c r="EA349" s="23">
        <v>8</v>
      </c>
      <c r="EB349" s="7">
        <v>24</v>
      </c>
      <c r="EC349" s="6">
        <v>1</v>
      </c>
      <c r="EE349" s="9" t="s">
        <v>654</v>
      </c>
      <c r="EF349" s="6" t="s">
        <v>647</v>
      </c>
      <c r="EG349" s="6" t="s">
        <v>647</v>
      </c>
      <c r="EH349" s="6" t="s">
        <v>908</v>
      </c>
      <c r="EI349" s="6" t="s">
        <v>906</v>
      </c>
      <c r="EJ349" s="12">
        <v>100</v>
      </c>
      <c r="EL349" s="6"/>
      <c r="EM349" s="12"/>
      <c r="EN349" s="6" t="s">
        <v>1128</v>
      </c>
      <c r="EP349" s="6" t="s">
        <v>1161</v>
      </c>
      <c r="ET349" s="6" t="str">
        <f t="shared" si="171"/>
        <v>짝수</v>
      </c>
      <c r="EU349" s="12">
        <v>74</v>
      </c>
      <c r="EV349" s="45" t="str">
        <f t="shared" ca="1" si="176"/>
        <v>D</v>
      </c>
      <c r="EW349" s="6">
        <f t="shared" ca="1" si="172"/>
        <v>68</v>
      </c>
      <c r="FO349" s="6"/>
      <c r="FP349" s="11"/>
      <c r="FR349" s="6">
        <v>1</v>
      </c>
      <c r="FS349" s="6" t="str">
        <f t="shared" si="173"/>
        <v/>
      </c>
      <c r="FT349" s="6">
        <f t="shared" si="174"/>
        <v>1</v>
      </c>
      <c r="FU349" s="6" t="str">
        <f t="shared" ca="1" si="177"/>
        <v/>
      </c>
      <c r="FV349" s="6" t="str">
        <f t="shared" ca="1" si="175"/>
        <v/>
      </c>
      <c r="FW349" s="6" t="str">
        <f t="shared" ref="FW349:FW357" ca="1" si="186">IF(AND(FT349=1,FU349=""),DD349&amp;"-11",IF(AND(FT349=1,FU349&lt;&gt;""),DD349&amp;"-21",""))</f>
        <v>R5-11</v>
      </c>
      <c r="FX349" s="6" t="str">
        <f t="shared" ref="FX349:FX357" ca="1" si="187">IF(AND(FT349=1,FU349=""),DD349&amp;"-12",IF(AND(FT349=1,FU349&lt;&gt;""),DD349&amp;"-22",""))</f>
        <v>R5-12</v>
      </c>
      <c r="FY349" s="6" t="str">
        <f t="shared" ref="FY349:FY357" ca="1" si="188">IF(AND(FS349="",OFFSET(FS349,0,1)="",DC349="A1BA4D"),"",IF(DC349="A1BD5D",LEFT(FW349,3)&amp;"21",FW349))</f>
        <v>R5-21</v>
      </c>
      <c r="FZ349" s="6" t="str">
        <f t="shared" ref="FZ349:FZ357" ca="1" si="189" xml:space="preserve">
IF(AND(FS349="",OFFSET(FS349,0,1)="",DC349="A1BA4D"),"",IF(DC349="A1BD5D",LEFT(FW349,3)&amp;"22",FW349))</f>
        <v>R5-22</v>
      </c>
    </row>
    <row r="350" spans="1:182" ht="15.95" customHeight="1">
      <c r="A350" s="6">
        <v>569</v>
      </c>
      <c r="B350" s="6" t="s">
        <v>653</v>
      </c>
      <c r="E350" s="6" t="s">
        <v>909</v>
      </c>
      <c r="F350" s="6" t="s">
        <v>1621</v>
      </c>
      <c r="G350" s="6" t="s">
        <v>1290</v>
      </c>
      <c r="H350" s="7" t="s">
        <v>1291</v>
      </c>
      <c r="I350" s="7"/>
      <c r="J350" s="6" t="s">
        <v>1199</v>
      </c>
      <c r="K350" s="6" t="s">
        <v>1201</v>
      </c>
      <c r="N350" s="6" t="s">
        <v>1203</v>
      </c>
      <c r="O350" s="6" t="s">
        <v>1205</v>
      </c>
      <c r="R350" s="101" t="s">
        <v>1220</v>
      </c>
      <c r="Y350" s="6" t="s">
        <v>1620</v>
      </c>
      <c r="Z350" s="6">
        <v>43</v>
      </c>
      <c r="AA350" s="6">
        <v>44</v>
      </c>
      <c r="AD350" s="6" t="s">
        <v>1203</v>
      </c>
      <c r="AE350" s="6" t="s">
        <v>1205</v>
      </c>
      <c r="AG350" s="6" t="s">
        <v>1616</v>
      </c>
      <c r="AY350" s="8" t="s">
        <v>176</v>
      </c>
      <c r="AZ350" s="8" t="s">
        <v>195</v>
      </c>
      <c r="BA350" s="13" t="s">
        <v>643</v>
      </c>
      <c r="BB350" s="13" t="s">
        <v>200</v>
      </c>
      <c r="BC350" s="13">
        <v>9</v>
      </c>
      <c r="BD350" s="13">
        <v>10</v>
      </c>
      <c r="DC350" s="6" t="s">
        <v>644</v>
      </c>
      <c r="DD350" s="6" t="s">
        <v>191</v>
      </c>
      <c r="DH350" s="6" t="str">
        <f t="shared" si="164"/>
        <v>A9</v>
      </c>
      <c r="DI350" s="6" t="str">
        <f t="shared" si="165"/>
        <v>B9</v>
      </c>
      <c r="DK350" s="6" t="s">
        <v>173</v>
      </c>
      <c r="DL350" s="6" t="str">
        <f t="shared" si="166"/>
        <v/>
      </c>
      <c r="DO350" s="9" t="s">
        <v>170</v>
      </c>
      <c r="DP350" s="6" t="s">
        <v>171</v>
      </c>
      <c r="DQ350" s="6" t="s">
        <v>645</v>
      </c>
      <c r="DR350" s="6" t="e">
        <f>#REF!&amp;RIGHT(#REF!,3)</f>
        <v>#REF!</v>
      </c>
      <c r="DS350" s="6" t="str">
        <f t="shared" si="159"/>
        <v>AKB331</v>
      </c>
      <c r="DT350" s="10" t="str">
        <f t="shared" si="160"/>
        <v>FCS0111-5-6/1S–MC–118-R5-CN1</v>
      </c>
      <c r="DU350" s="6" t="str">
        <f t="shared" si="161"/>
        <v/>
      </c>
      <c r="DV350" s="19">
        <v>1</v>
      </c>
      <c r="DW350" s="20" t="str">
        <f t="shared" si="162"/>
        <v>11</v>
      </c>
      <c r="DX350" s="20">
        <v>5</v>
      </c>
      <c r="DY350" s="21">
        <v>6</v>
      </c>
      <c r="DZ350" s="22" t="s">
        <v>204</v>
      </c>
      <c r="EA350" s="23">
        <v>9</v>
      </c>
      <c r="EB350" s="7">
        <v>25</v>
      </c>
      <c r="EC350" s="6">
        <v>1</v>
      </c>
      <c r="EE350" s="9" t="s">
        <v>654</v>
      </c>
      <c r="EF350" s="6" t="s">
        <v>647</v>
      </c>
      <c r="EG350" s="6" t="s">
        <v>647</v>
      </c>
      <c r="EH350" s="6" t="s">
        <v>909</v>
      </c>
      <c r="EI350" s="6" t="s">
        <v>906</v>
      </c>
      <c r="EJ350" s="12">
        <v>100</v>
      </c>
      <c r="EL350" s="6"/>
      <c r="EM350" s="12"/>
      <c r="EN350" s="6" t="s">
        <v>1128</v>
      </c>
      <c r="EP350" s="6" t="s">
        <v>1161</v>
      </c>
      <c r="ET350" s="6" t="str">
        <f t="shared" si="171"/>
        <v>홀수</v>
      </c>
      <c r="EU350" s="12">
        <v>75</v>
      </c>
      <c r="EV350" s="45" t="str">
        <f t="shared" ca="1" si="176"/>
        <v>A</v>
      </c>
      <c r="EW350" s="6">
        <f t="shared" ca="1" si="172"/>
        <v>65</v>
      </c>
      <c r="FO350" s="6"/>
      <c r="FP350" s="11"/>
      <c r="FR350" s="6">
        <v>1</v>
      </c>
      <c r="FS350" s="6" t="str">
        <f t="shared" si="173"/>
        <v/>
      </c>
      <c r="FT350" s="6">
        <f t="shared" si="174"/>
        <v>1</v>
      </c>
      <c r="FU350" s="6" t="str">
        <f t="shared" ca="1" si="177"/>
        <v/>
      </c>
      <c r="FV350" s="6" t="str">
        <f t="shared" ca="1" si="175"/>
        <v/>
      </c>
      <c r="FW350" s="6" t="str">
        <f t="shared" ca="1" si="186"/>
        <v>R5-11</v>
      </c>
      <c r="FX350" s="6" t="str">
        <f t="shared" ca="1" si="187"/>
        <v>R5-12</v>
      </c>
      <c r="FY350" s="6" t="str">
        <f t="shared" ca="1" si="188"/>
        <v>R5-21</v>
      </c>
      <c r="FZ350" s="6" t="str">
        <f t="shared" ca="1" si="189"/>
        <v>R5-22</v>
      </c>
    </row>
    <row r="351" spans="1:182" ht="15.95" customHeight="1">
      <c r="A351" s="6">
        <v>570</v>
      </c>
      <c r="B351" s="6" t="s">
        <v>653</v>
      </c>
      <c r="E351" s="6" t="s">
        <v>910</v>
      </c>
      <c r="F351" s="6" t="s">
        <v>1622</v>
      </c>
      <c r="G351" s="6" t="s">
        <v>1290</v>
      </c>
      <c r="H351" s="7" t="s">
        <v>1291</v>
      </c>
      <c r="I351" s="7"/>
      <c r="J351" s="6" t="s">
        <v>1199</v>
      </c>
      <c r="K351" s="6" t="s">
        <v>1201</v>
      </c>
      <c r="N351" s="6" t="s">
        <v>1203</v>
      </c>
      <c r="O351" s="6" t="s">
        <v>1205</v>
      </c>
      <c r="R351" s="101" t="s">
        <v>1220</v>
      </c>
      <c r="Y351" s="6" t="s">
        <v>1598</v>
      </c>
      <c r="Z351" s="6">
        <v>15</v>
      </c>
      <c r="AA351" s="6">
        <v>16</v>
      </c>
      <c r="AD351" s="6" t="s">
        <v>1203</v>
      </c>
      <c r="AE351" s="6" t="s">
        <v>1205</v>
      </c>
      <c r="AG351" s="6" t="s">
        <v>1599</v>
      </c>
      <c r="AY351" s="8" t="s">
        <v>176</v>
      </c>
      <c r="AZ351" s="8" t="s">
        <v>195</v>
      </c>
      <c r="BA351" s="13" t="s">
        <v>643</v>
      </c>
      <c r="BB351" s="13" t="s">
        <v>740</v>
      </c>
      <c r="BC351" s="13">
        <v>101</v>
      </c>
      <c r="BD351" s="13">
        <v>102</v>
      </c>
      <c r="DC351" s="6" t="s">
        <v>644</v>
      </c>
      <c r="DD351" s="6" t="s">
        <v>191</v>
      </c>
      <c r="DH351" s="6" t="str">
        <f t="shared" si="164"/>
        <v>A10</v>
      </c>
      <c r="DI351" s="6" t="str">
        <f t="shared" si="165"/>
        <v>B10</v>
      </c>
      <c r="DK351" s="6" t="s">
        <v>173</v>
      </c>
      <c r="DL351" s="6" t="str">
        <f t="shared" si="166"/>
        <v/>
      </c>
      <c r="DO351" s="9" t="s">
        <v>170</v>
      </c>
      <c r="DP351" s="6" t="s">
        <v>171</v>
      </c>
      <c r="DQ351" s="6" t="s">
        <v>645</v>
      </c>
      <c r="DR351" s="6" t="e">
        <f>#REF!&amp;RIGHT(#REF!,3)</f>
        <v>#REF!</v>
      </c>
      <c r="DS351" s="6" t="str">
        <f t="shared" si="159"/>
        <v>AKB331</v>
      </c>
      <c r="DT351" s="10" t="str">
        <f t="shared" si="160"/>
        <v>FCS0111-5-6/1S–MC–118-R5-CN1</v>
      </c>
      <c r="DU351" s="6" t="str">
        <f t="shared" si="161"/>
        <v/>
      </c>
      <c r="DV351" s="19">
        <v>1</v>
      </c>
      <c r="DW351" s="20" t="str">
        <f t="shared" si="162"/>
        <v>11</v>
      </c>
      <c r="DX351" s="20">
        <v>5</v>
      </c>
      <c r="DY351" s="21">
        <v>6</v>
      </c>
      <c r="DZ351" s="22" t="s">
        <v>204</v>
      </c>
      <c r="EA351" s="23">
        <v>10</v>
      </c>
      <c r="EB351" s="7">
        <v>26</v>
      </c>
      <c r="EC351" s="6">
        <v>1</v>
      </c>
      <c r="EE351" s="9" t="s">
        <v>654</v>
      </c>
      <c r="EF351" s="6" t="s">
        <v>647</v>
      </c>
      <c r="EG351" s="6" t="s">
        <v>647</v>
      </c>
      <c r="EH351" s="6" t="s">
        <v>910</v>
      </c>
      <c r="EI351" s="6" t="s">
        <v>412</v>
      </c>
      <c r="EJ351" s="12">
        <v>100</v>
      </c>
      <c r="EL351" s="6"/>
      <c r="EM351" s="12"/>
      <c r="EN351" s="6" t="s">
        <v>1128</v>
      </c>
      <c r="EP351" s="6" t="s">
        <v>1148</v>
      </c>
      <c r="ET351" s="6" t="str">
        <f t="shared" si="171"/>
        <v>홀수</v>
      </c>
      <c r="EU351" s="12">
        <v>75</v>
      </c>
      <c r="EV351" s="45" t="str">
        <f t="shared" ca="1" si="176"/>
        <v>B</v>
      </c>
      <c r="EW351" s="6">
        <f t="shared" ca="1" si="172"/>
        <v>66</v>
      </c>
      <c r="FO351" s="6"/>
      <c r="FP351" s="11"/>
      <c r="FR351" s="6">
        <v>1</v>
      </c>
      <c r="FS351" s="6" t="str">
        <f t="shared" si="173"/>
        <v/>
      </c>
      <c r="FT351" s="6">
        <f t="shared" si="174"/>
        <v>1</v>
      </c>
      <c r="FU351" s="6" t="str">
        <f t="shared" ca="1" si="177"/>
        <v/>
      </c>
      <c r="FV351" s="6" t="str">
        <f t="shared" ca="1" si="175"/>
        <v/>
      </c>
      <c r="FW351" s="6" t="str">
        <f t="shared" ca="1" si="186"/>
        <v>R5-11</v>
      </c>
      <c r="FX351" s="6" t="str">
        <f t="shared" ca="1" si="187"/>
        <v>R5-12</v>
      </c>
      <c r="FY351" s="6" t="str">
        <f t="shared" ca="1" si="188"/>
        <v>R5-21</v>
      </c>
      <c r="FZ351" s="6" t="str">
        <f t="shared" ca="1" si="189"/>
        <v>R5-22</v>
      </c>
    </row>
    <row r="352" spans="1:182" ht="15.95" customHeight="1">
      <c r="A352" s="6">
        <v>571</v>
      </c>
      <c r="B352" s="6" t="s">
        <v>653</v>
      </c>
      <c r="E352" s="6" t="s">
        <v>911</v>
      </c>
      <c r="F352" s="6" t="s">
        <v>1623</v>
      </c>
      <c r="G352" s="6" t="s">
        <v>1290</v>
      </c>
      <c r="H352" s="7" t="s">
        <v>1291</v>
      </c>
      <c r="I352" s="7"/>
      <c r="J352" s="6" t="s">
        <v>1199</v>
      </c>
      <c r="K352" s="6" t="s">
        <v>1201</v>
      </c>
      <c r="N352" s="6" t="s">
        <v>1203</v>
      </c>
      <c r="O352" s="6" t="s">
        <v>1205</v>
      </c>
      <c r="R352" s="101" t="s">
        <v>1220</v>
      </c>
      <c r="Y352" s="6" t="s">
        <v>1598</v>
      </c>
      <c r="Z352" s="6">
        <v>17</v>
      </c>
      <c r="AA352" s="6">
        <v>18</v>
      </c>
      <c r="AD352" s="6" t="s">
        <v>1203</v>
      </c>
      <c r="AE352" s="6" t="s">
        <v>1205</v>
      </c>
      <c r="AG352" s="6" t="s">
        <v>1599</v>
      </c>
      <c r="AY352" s="8" t="s">
        <v>176</v>
      </c>
      <c r="AZ352" s="8" t="s">
        <v>195</v>
      </c>
      <c r="BA352" s="13" t="s">
        <v>643</v>
      </c>
      <c r="BB352" s="13" t="s">
        <v>740</v>
      </c>
      <c r="BC352" s="13">
        <v>103</v>
      </c>
      <c r="BD352" s="13">
        <v>104</v>
      </c>
      <c r="DC352" s="6" t="s">
        <v>644</v>
      </c>
      <c r="DD352" s="6" t="s">
        <v>191</v>
      </c>
      <c r="DH352" s="6" t="str">
        <f t="shared" si="164"/>
        <v>A11</v>
      </c>
      <c r="DI352" s="6" t="str">
        <f t="shared" si="165"/>
        <v>B11</v>
      </c>
      <c r="DK352" s="6" t="s">
        <v>173</v>
      </c>
      <c r="DL352" s="6" t="str">
        <f t="shared" si="166"/>
        <v/>
      </c>
      <c r="DO352" s="9" t="s">
        <v>170</v>
      </c>
      <c r="DP352" s="6" t="s">
        <v>171</v>
      </c>
      <c r="DQ352" s="6" t="s">
        <v>645</v>
      </c>
      <c r="DR352" s="6" t="e">
        <f>#REF!&amp;RIGHT(#REF!,3)</f>
        <v>#REF!</v>
      </c>
      <c r="DS352" s="6" t="str">
        <f t="shared" si="159"/>
        <v>AKB331</v>
      </c>
      <c r="DT352" s="10" t="str">
        <f t="shared" si="160"/>
        <v>FCS0111-5-6/1S–MC–118-R5-CN1</v>
      </c>
      <c r="DU352" s="6" t="str">
        <f t="shared" si="161"/>
        <v/>
      </c>
      <c r="DV352" s="19">
        <v>1</v>
      </c>
      <c r="DW352" s="20" t="str">
        <f t="shared" si="162"/>
        <v>11</v>
      </c>
      <c r="DX352" s="20">
        <v>5</v>
      </c>
      <c r="DY352" s="21">
        <v>6</v>
      </c>
      <c r="DZ352" s="22" t="s">
        <v>204</v>
      </c>
      <c r="EA352" s="23">
        <v>11</v>
      </c>
      <c r="EB352" s="7">
        <v>27</v>
      </c>
      <c r="EC352" s="6">
        <v>1</v>
      </c>
      <c r="EE352" s="9" t="s">
        <v>654</v>
      </c>
      <c r="EF352" s="6" t="s">
        <v>647</v>
      </c>
      <c r="EG352" s="6" t="s">
        <v>647</v>
      </c>
      <c r="EH352" s="6" t="s">
        <v>911</v>
      </c>
      <c r="EI352" s="6" t="s">
        <v>412</v>
      </c>
      <c r="EJ352" s="12">
        <v>100</v>
      </c>
      <c r="EL352" s="6"/>
      <c r="EM352" s="12"/>
      <c r="EN352" s="6" t="s">
        <v>1128</v>
      </c>
      <c r="EP352" s="6" t="s">
        <v>1148</v>
      </c>
      <c r="ET352" s="6" t="str">
        <f t="shared" si="171"/>
        <v>홀수</v>
      </c>
      <c r="EU352" s="12">
        <v>75</v>
      </c>
      <c r="EV352" s="45" t="str">
        <f t="shared" ca="1" si="176"/>
        <v>C</v>
      </c>
      <c r="EW352" s="6">
        <f t="shared" ca="1" si="172"/>
        <v>67</v>
      </c>
      <c r="FO352" s="6"/>
      <c r="FP352" s="11"/>
      <c r="FR352" s="6">
        <v>1</v>
      </c>
      <c r="FS352" s="6" t="str">
        <f t="shared" si="173"/>
        <v/>
      </c>
      <c r="FT352" s="6">
        <f t="shared" si="174"/>
        <v>1</v>
      </c>
      <c r="FU352" s="6" t="str">
        <f t="shared" ca="1" si="177"/>
        <v/>
      </c>
      <c r="FV352" s="6" t="str">
        <f t="shared" ca="1" si="175"/>
        <v/>
      </c>
      <c r="FW352" s="6" t="str">
        <f t="shared" ca="1" si="186"/>
        <v>R5-11</v>
      </c>
      <c r="FX352" s="6" t="str">
        <f t="shared" ca="1" si="187"/>
        <v>R5-12</v>
      </c>
      <c r="FY352" s="6" t="str">
        <f t="shared" ca="1" si="188"/>
        <v>R5-21</v>
      </c>
      <c r="FZ352" s="6" t="str">
        <f t="shared" ca="1" si="189"/>
        <v>R5-22</v>
      </c>
    </row>
    <row r="353" spans="1:182" ht="15.95" customHeight="1">
      <c r="A353" s="6">
        <v>572</v>
      </c>
      <c r="B353" s="6" t="s">
        <v>653</v>
      </c>
      <c r="E353" s="6" t="s">
        <v>912</v>
      </c>
      <c r="F353" s="6" t="s">
        <v>1624</v>
      </c>
      <c r="G353" s="6" t="s">
        <v>1290</v>
      </c>
      <c r="H353" s="7" t="s">
        <v>1291</v>
      </c>
      <c r="I353" s="7"/>
      <c r="J353" s="6" t="s">
        <v>1199</v>
      </c>
      <c r="K353" s="6" t="s">
        <v>1201</v>
      </c>
      <c r="N353" s="6" t="s">
        <v>1203</v>
      </c>
      <c r="O353" s="6" t="s">
        <v>1205</v>
      </c>
      <c r="R353" s="101" t="s">
        <v>1220</v>
      </c>
      <c r="Y353" s="6" t="s">
        <v>1598</v>
      </c>
      <c r="Z353" s="6">
        <v>19</v>
      </c>
      <c r="AA353" s="6">
        <v>20</v>
      </c>
      <c r="AD353" s="6" t="s">
        <v>1203</v>
      </c>
      <c r="AE353" s="6" t="s">
        <v>1205</v>
      </c>
      <c r="AG353" s="6" t="s">
        <v>1599</v>
      </c>
      <c r="AY353" s="8" t="s">
        <v>176</v>
      </c>
      <c r="AZ353" s="8" t="s">
        <v>195</v>
      </c>
      <c r="BA353" s="13" t="s">
        <v>643</v>
      </c>
      <c r="BB353" s="13" t="s">
        <v>740</v>
      </c>
      <c r="BC353" s="13">
        <v>105</v>
      </c>
      <c r="BD353" s="13">
        <v>106</v>
      </c>
      <c r="DC353" s="6" t="s">
        <v>644</v>
      </c>
      <c r="DD353" s="6" t="s">
        <v>191</v>
      </c>
      <c r="DH353" s="6" t="str">
        <f t="shared" si="164"/>
        <v>A12</v>
      </c>
      <c r="DI353" s="6" t="str">
        <f t="shared" si="165"/>
        <v>B12</v>
      </c>
      <c r="DK353" s="6" t="s">
        <v>173</v>
      </c>
      <c r="DL353" s="6" t="str">
        <f t="shared" si="166"/>
        <v/>
      </c>
      <c r="DO353" s="9" t="s">
        <v>170</v>
      </c>
      <c r="DP353" s="6" t="s">
        <v>171</v>
      </c>
      <c r="DQ353" s="6" t="s">
        <v>645</v>
      </c>
      <c r="DR353" s="6" t="e">
        <f>#REF!&amp;RIGHT(#REF!,3)</f>
        <v>#REF!</v>
      </c>
      <c r="DS353" s="6" t="str">
        <f t="shared" si="159"/>
        <v>AKB331</v>
      </c>
      <c r="DT353" s="10" t="str">
        <f t="shared" si="160"/>
        <v>FCS0111-5-6/1S–MC–118-R5-CN1</v>
      </c>
      <c r="DU353" s="6" t="str">
        <f t="shared" si="161"/>
        <v/>
      </c>
      <c r="DV353" s="19">
        <v>1</v>
      </c>
      <c r="DW353" s="20" t="str">
        <f t="shared" si="162"/>
        <v>11</v>
      </c>
      <c r="DX353" s="20">
        <v>5</v>
      </c>
      <c r="DY353" s="21">
        <v>6</v>
      </c>
      <c r="DZ353" s="22" t="s">
        <v>204</v>
      </c>
      <c r="EA353" s="23">
        <v>12</v>
      </c>
      <c r="EB353" s="7">
        <v>28</v>
      </c>
      <c r="EC353" s="6">
        <v>1</v>
      </c>
      <c r="EE353" s="9" t="s">
        <v>654</v>
      </c>
      <c r="EF353" s="6" t="s">
        <v>647</v>
      </c>
      <c r="EG353" s="6" t="s">
        <v>647</v>
      </c>
      <c r="EH353" s="6" t="s">
        <v>912</v>
      </c>
      <c r="EI353" s="6" t="s">
        <v>412</v>
      </c>
      <c r="EJ353" s="12">
        <v>100</v>
      </c>
      <c r="EL353" s="6"/>
      <c r="EM353" s="12"/>
      <c r="EN353" s="6" t="s">
        <v>1128</v>
      </c>
      <c r="EP353" s="6" t="s">
        <v>1148</v>
      </c>
      <c r="ET353" s="6" t="str">
        <f t="shared" si="171"/>
        <v>홀수</v>
      </c>
      <c r="EU353" s="12">
        <v>75</v>
      </c>
      <c r="EV353" s="45" t="str">
        <f t="shared" ca="1" si="176"/>
        <v>D</v>
      </c>
      <c r="EW353" s="6">
        <f t="shared" ca="1" si="172"/>
        <v>68</v>
      </c>
      <c r="FO353" s="6"/>
      <c r="FP353" s="11"/>
      <c r="FR353" s="6">
        <v>1</v>
      </c>
      <c r="FS353" s="6" t="str">
        <f t="shared" si="173"/>
        <v/>
      </c>
      <c r="FT353" s="6">
        <f t="shared" si="174"/>
        <v>1</v>
      </c>
      <c r="FU353" s="6" t="str">
        <f t="shared" ca="1" si="177"/>
        <v/>
      </c>
      <c r="FV353" s="6" t="str">
        <f t="shared" ca="1" si="175"/>
        <v/>
      </c>
      <c r="FW353" s="6" t="str">
        <f t="shared" ca="1" si="186"/>
        <v>R5-11</v>
      </c>
      <c r="FX353" s="6" t="str">
        <f t="shared" ca="1" si="187"/>
        <v>R5-12</v>
      </c>
      <c r="FY353" s="6" t="str">
        <f t="shared" ca="1" si="188"/>
        <v>R5-21</v>
      </c>
      <c r="FZ353" s="6" t="str">
        <f t="shared" ca="1" si="189"/>
        <v>R5-22</v>
      </c>
    </row>
    <row r="354" spans="1:182" ht="15.95" customHeight="1">
      <c r="A354" s="6">
        <v>574</v>
      </c>
      <c r="B354" s="6" t="s">
        <v>653</v>
      </c>
      <c r="E354" s="6" t="s">
        <v>915</v>
      </c>
      <c r="F354" s="6" t="s">
        <v>1625</v>
      </c>
      <c r="G354" s="6" t="s">
        <v>1290</v>
      </c>
      <c r="H354" s="7" t="s">
        <v>1291</v>
      </c>
      <c r="I354" s="7"/>
      <c r="J354" s="6" t="s">
        <v>1199</v>
      </c>
      <c r="K354" s="6" t="s">
        <v>1201</v>
      </c>
      <c r="N354" s="6" t="s">
        <v>1203</v>
      </c>
      <c r="O354" s="6" t="s">
        <v>1205</v>
      </c>
      <c r="R354" s="101" t="s">
        <v>1443</v>
      </c>
      <c r="Y354" s="6" t="s">
        <v>1620</v>
      </c>
      <c r="Z354" s="6">
        <v>47</v>
      </c>
      <c r="AA354" s="6">
        <v>48</v>
      </c>
      <c r="AD354" s="6" t="s">
        <v>1203</v>
      </c>
      <c r="AE354" s="6" t="s">
        <v>1205</v>
      </c>
      <c r="AG354" s="6" t="s">
        <v>1616</v>
      </c>
      <c r="AY354" s="8" t="s">
        <v>176</v>
      </c>
      <c r="AZ354" s="8" t="s">
        <v>195</v>
      </c>
      <c r="BA354" s="13" t="s">
        <v>643</v>
      </c>
      <c r="BB354" s="13" t="s">
        <v>200</v>
      </c>
      <c r="BC354" s="13">
        <v>13</v>
      </c>
      <c r="BD354" s="13">
        <v>14</v>
      </c>
      <c r="DC354" s="6" t="s">
        <v>644</v>
      </c>
      <c r="DD354" s="6" t="s">
        <v>191</v>
      </c>
      <c r="DH354" s="6" t="str">
        <f>"A"&amp;EA354</f>
        <v>A14</v>
      </c>
      <c r="DI354" s="6" t="str">
        <f>"B"&amp;EA354</f>
        <v>B14</v>
      </c>
      <c r="DK354" s="6" t="s">
        <v>173</v>
      </c>
      <c r="DL354" s="6" t="str">
        <f>IF(DZ354&lt;&gt;"","CN2","")</f>
        <v/>
      </c>
      <c r="DO354" s="9" t="s">
        <v>170</v>
      </c>
      <c r="DP354" s="6" t="s">
        <v>171</v>
      </c>
      <c r="DQ354" s="6" t="s">
        <v>645</v>
      </c>
      <c r="DR354" s="6" t="e">
        <f>#REF!&amp;RIGHT(#REF!,3)</f>
        <v>#REF!</v>
      </c>
      <c r="DS354" s="6" t="str">
        <f>IF(MID(EF354,2,1)="A","KS1","AKB331")</f>
        <v>AKB331</v>
      </c>
      <c r="DT354" s="10" t="str">
        <f>DQ354&amp;"-"&amp;DX354&amp;"-"&amp;DY354&amp;"/"&amp;BA354&amp;"-"&amp;DD354&amp;"-"&amp;DK354</f>
        <v>FCS0111-5-6/1S–MC–118-R5-CN1</v>
      </c>
      <c r="DU354" s="6" t="str">
        <f>IF(DL354="","",DQ354&amp;"-"&amp;DX354&amp;"-"&amp;DY354&amp;"/"&amp;BA354&amp;"-"&amp;DD354&amp;"-"&amp;DL354)</f>
        <v/>
      </c>
      <c r="DV354" s="19">
        <v>1</v>
      </c>
      <c r="DW354" s="20" t="str">
        <f>RIGHT(DQ354,2)</f>
        <v>11</v>
      </c>
      <c r="DX354" s="20">
        <v>5</v>
      </c>
      <c r="DY354" s="21">
        <v>6</v>
      </c>
      <c r="DZ354" s="22" t="s">
        <v>204</v>
      </c>
      <c r="EA354" s="23">
        <v>14</v>
      </c>
      <c r="EB354" s="7">
        <v>30</v>
      </c>
      <c r="EC354" s="6">
        <v>1</v>
      </c>
      <c r="EE354" s="9" t="s">
        <v>654</v>
      </c>
      <c r="EF354" s="6" t="s">
        <v>647</v>
      </c>
      <c r="EG354" s="6" t="s">
        <v>647</v>
      </c>
      <c r="EH354" s="6" t="s">
        <v>915</v>
      </c>
      <c r="EI354" s="6" t="s">
        <v>914</v>
      </c>
      <c r="EJ354" s="12">
        <v>10</v>
      </c>
      <c r="EK354" s="12"/>
      <c r="EM354" s="12"/>
      <c r="EN354" s="12" t="s">
        <v>1126</v>
      </c>
      <c r="EP354" s="6" t="s">
        <v>1156</v>
      </c>
      <c r="ER354" s="6" t="str">
        <f>"UVOX"&amp;MID(EH355,4,6)</f>
        <v>UVOX40389</v>
      </c>
      <c r="ET354" s="6" t="str">
        <f t="shared" si="171"/>
        <v>짝수</v>
      </c>
      <c r="EU354" s="12">
        <v>76</v>
      </c>
      <c r="EV354" s="45" t="str">
        <f t="shared" ca="1" si="176"/>
        <v>A</v>
      </c>
      <c r="EW354" s="6">
        <f t="shared" ca="1" si="172"/>
        <v>65</v>
      </c>
      <c r="EZ354" s="6" t="str">
        <f>"UVNXD"&amp;MID(EH355,4,6)&amp;"I"</f>
        <v>UVNXD40389I</v>
      </c>
      <c r="FO354" s="6"/>
      <c r="FP354" s="11"/>
      <c r="FR354" s="6">
        <v>1</v>
      </c>
      <c r="FS354" s="6" t="str">
        <f t="shared" si="173"/>
        <v/>
      </c>
      <c r="FT354" s="6">
        <f t="shared" si="174"/>
        <v>1</v>
      </c>
      <c r="FU354" s="6" t="str">
        <f t="shared" ca="1" si="177"/>
        <v/>
      </c>
      <c r="FV354" s="6" t="str">
        <f t="shared" ca="1" si="175"/>
        <v/>
      </c>
      <c r="FW354" s="6" t="str">
        <f t="shared" ca="1" si="186"/>
        <v>R5-11</v>
      </c>
      <c r="FX354" s="6" t="str">
        <f t="shared" ca="1" si="187"/>
        <v>R5-12</v>
      </c>
      <c r="FY354" s="6" t="str">
        <f t="shared" ca="1" si="188"/>
        <v>R5-21</v>
      </c>
      <c r="FZ354" s="6" t="str">
        <f t="shared" ca="1" si="189"/>
        <v>R5-22</v>
      </c>
    </row>
    <row r="355" spans="1:182" ht="15.95" customHeight="1">
      <c r="A355" s="6">
        <v>573</v>
      </c>
      <c r="B355" s="6" t="s">
        <v>653</v>
      </c>
      <c r="E355" s="6" t="s">
        <v>913</v>
      </c>
      <c r="F355" s="6" t="s">
        <v>1626</v>
      </c>
      <c r="G355" s="6" t="s">
        <v>1290</v>
      </c>
      <c r="H355" s="7" t="s">
        <v>1291</v>
      </c>
      <c r="I355" s="7"/>
      <c r="J355" s="6" t="s">
        <v>1199</v>
      </c>
      <c r="K355" s="6" t="s">
        <v>1201</v>
      </c>
      <c r="N355" s="6" t="s">
        <v>1203</v>
      </c>
      <c r="O355" s="6" t="s">
        <v>1205</v>
      </c>
      <c r="R355" s="101" t="s">
        <v>1443</v>
      </c>
      <c r="Y355" s="6" t="s">
        <v>1620</v>
      </c>
      <c r="Z355" s="6">
        <v>45</v>
      </c>
      <c r="AA355" s="6">
        <v>46</v>
      </c>
      <c r="AD355" s="6" t="s">
        <v>1203</v>
      </c>
      <c r="AE355" s="6" t="s">
        <v>1205</v>
      </c>
      <c r="AG355" s="6" t="s">
        <v>1616</v>
      </c>
      <c r="AY355" s="8" t="s">
        <v>176</v>
      </c>
      <c r="AZ355" s="8" t="s">
        <v>195</v>
      </c>
      <c r="BA355" s="13" t="s">
        <v>643</v>
      </c>
      <c r="BB355" s="13" t="s">
        <v>200</v>
      </c>
      <c r="BC355" s="13">
        <v>11</v>
      </c>
      <c r="BD355" s="13">
        <v>12</v>
      </c>
      <c r="DC355" s="6" t="s">
        <v>644</v>
      </c>
      <c r="DD355" s="6" t="s">
        <v>191</v>
      </c>
      <c r="DH355" s="6" t="str">
        <f t="shared" si="164"/>
        <v>A13</v>
      </c>
      <c r="DI355" s="6" t="str">
        <f t="shared" si="165"/>
        <v>B13</v>
      </c>
      <c r="DK355" s="6" t="s">
        <v>173</v>
      </c>
      <c r="DL355" s="6" t="str">
        <f t="shared" si="166"/>
        <v/>
      </c>
      <c r="DO355" s="9" t="s">
        <v>170</v>
      </c>
      <c r="DP355" s="6" t="s">
        <v>171</v>
      </c>
      <c r="DQ355" s="6" t="s">
        <v>645</v>
      </c>
      <c r="DR355" s="6" t="e">
        <f>#REF!&amp;RIGHT(#REF!,3)</f>
        <v>#REF!</v>
      </c>
      <c r="DS355" s="6" t="str">
        <f t="shared" si="159"/>
        <v>AKB331</v>
      </c>
      <c r="DT355" s="10" t="str">
        <f t="shared" si="160"/>
        <v>FCS0111-5-6/1S–MC–118-R5-CN1</v>
      </c>
      <c r="DU355" s="6" t="str">
        <f t="shared" si="161"/>
        <v/>
      </c>
      <c r="DV355" s="19">
        <v>1</v>
      </c>
      <c r="DW355" s="20" t="str">
        <f t="shared" si="162"/>
        <v>11</v>
      </c>
      <c r="DX355" s="20">
        <v>5</v>
      </c>
      <c r="DY355" s="21">
        <v>6</v>
      </c>
      <c r="DZ355" s="22" t="s">
        <v>204</v>
      </c>
      <c r="EA355" s="23">
        <v>13</v>
      </c>
      <c r="EB355" s="7">
        <v>29</v>
      </c>
      <c r="EC355" s="6">
        <v>1</v>
      </c>
      <c r="EE355" s="9" t="s">
        <v>654</v>
      </c>
      <c r="EF355" s="6" t="s">
        <v>647</v>
      </c>
      <c r="EG355" s="6" t="s">
        <v>647</v>
      </c>
      <c r="EH355" s="6" t="s">
        <v>913</v>
      </c>
      <c r="EI355" s="6" t="s">
        <v>914</v>
      </c>
      <c r="EJ355" s="12">
        <v>10</v>
      </c>
      <c r="EK355" s="12"/>
      <c r="EM355" s="12"/>
      <c r="EN355" s="12" t="s">
        <v>1126</v>
      </c>
      <c r="ET355" s="6" t="str">
        <f t="shared" si="171"/>
        <v>짝수</v>
      </c>
      <c r="EU355" s="12">
        <v>76</v>
      </c>
      <c r="EV355" s="45" t="str">
        <f t="shared" ca="1" si="176"/>
        <v>B</v>
      </c>
      <c r="EW355" s="6">
        <f t="shared" ca="1" si="172"/>
        <v>66</v>
      </c>
      <c r="FO355" s="6"/>
      <c r="FP355" s="11"/>
      <c r="FR355" s="6">
        <v>1</v>
      </c>
      <c r="FS355" s="6" t="str">
        <f t="shared" si="173"/>
        <v/>
      </c>
      <c r="FT355" s="6">
        <f t="shared" si="174"/>
        <v>1</v>
      </c>
      <c r="FU355" s="6" t="str">
        <f t="shared" ca="1" si="177"/>
        <v/>
      </c>
      <c r="FV355" s="6" t="str">
        <f t="shared" ca="1" si="175"/>
        <v/>
      </c>
      <c r="FW355" s="6" t="str">
        <f t="shared" ca="1" si="186"/>
        <v>R5-11</v>
      </c>
      <c r="FX355" s="6" t="str">
        <f t="shared" ca="1" si="187"/>
        <v>R5-12</v>
      </c>
      <c r="FY355" s="6" t="str">
        <f t="shared" ca="1" si="188"/>
        <v>R5-21</v>
      </c>
      <c r="FZ355" s="6" t="str">
        <f t="shared" ca="1" si="189"/>
        <v>R5-22</v>
      </c>
    </row>
    <row r="356" spans="1:182" ht="15.95" customHeight="1">
      <c r="A356" s="6">
        <v>575</v>
      </c>
      <c r="B356" s="6" t="s">
        <v>653</v>
      </c>
      <c r="E356" s="6" t="s">
        <v>916</v>
      </c>
      <c r="F356" s="6" t="s">
        <v>1627</v>
      </c>
      <c r="G356" s="6" t="s">
        <v>1290</v>
      </c>
      <c r="H356" s="7" t="s">
        <v>1291</v>
      </c>
      <c r="I356" s="7"/>
      <c r="J356" s="6" t="s">
        <v>1199</v>
      </c>
      <c r="K356" s="6" t="s">
        <v>1201</v>
      </c>
      <c r="N356" s="6" t="s">
        <v>1203</v>
      </c>
      <c r="O356" s="6" t="s">
        <v>1205</v>
      </c>
      <c r="R356" s="101" t="s">
        <v>1443</v>
      </c>
      <c r="Y356" s="6" t="s">
        <v>1620</v>
      </c>
      <c r="Z356" s="6">
        <v>49</v>
      </c>
      <c r="AA356" s="6">
        <v>50</v>
      </c>
      <c r="AD356" s="6" t="s">
        <v>1203</v>
      </c>
      <c r="AE356" s="6" t="s">
        <v>1205</v>
      </c>
      <c r="AG356" s="6" t="s">
        <v>1616</v>
      </c>
      <c r="AY356" s="8" t="s">
        <v>176</v>
      </c>
      <c r="AZ356" s="8" t="s">
        <v>195</v>
      </c>
      <c r="BA356" s="13" t="s">
        <v>643</v>
      </c>
      <c r="BB356" s="13" t="s">
        <v>200</v>
      </c>
      <c r="BC356" s="13">
        <v>15</v>
      </c>
      <c r="BD356" s="13">
        <v>16</v>
      </c>
      <c r="DC356" s="6" t="s">
        <v>644</v>
      </c>
      <c r="DD356" s="6" t="s">
        <v>191</v>
      </c>
      <c r="DH356" s="6" t="str">
        <f t="shared" si="164"/>
        <v>A15</v>
      </c>
      <c r="DI356" s="6" t="str">
        <f t="shared" si="165"/>
        <v>B15</v>
      </c>
      <c r="DK356" s="6" t="s">
        <v>173</v>
      </c>
      <c r="DL356" s="6" t="str">
        <f t="shared" si="166"/>
        <v/>
      </c>
      <c r="DO356" s="9" t="s">
        <v>170</v>
      </c>
      <c r="DP356" s="6" t="s">
        <v>171</v>
      </c>
      <c r="DQ356" s="6" t="s">
        <v>645</v>
      </c>
      <c r="DR356" s="6" t="e">
        <f>#REF!&amp;RIGHT(#REF!,3)</f>
        <v>#REF!</v>
      </c>
      <c r="DS356" s="6" t="str">
        <f t="shared" si="159"/>
        <v>AKB331</v>
      </c>
      <c r="DT356" s="10" t="str">
        <f t="shared" si="160"/>
        <v>FCS0111-5-6/1S–MC–118-R5-CN1</v>
      </c>
      <c r="DU356" s="6" t="str">
        <f t="shared" si="161"/>
        <v/>
      </c>
      <c r="DV356" s="19">
        <v>1</v>
      </c>
      <c r="DW356" s="20" t="str">
        <f t="shared" si="162"/>
        <v>11</v>
      </c>
      <c r="DX356" s="20">
        <v>5</v>
      </c>
      <c r="DY356" s="21">
        <v>6</v>
      </c>
      <c r="DZ356" s="22" t="s">
        <v>204</v>
      </c>
      <c r="EA356" s="23">
        <v>15</v>
      </c>
      <c r="EB356" s="7">
        <v>31</v>
      </c>
      <c r="EC356" s="6">
        <v>1</v>
      </c>
      <c r="EE356" s="9" t="s">
        <v>654</v>
      </c>
      <c r="EF356" s="6" t="s">
        <v>647</v>
      </c>
      <c r="EG356" s="6" t="s">
        <v>647</v>
      </c>
      <c r="EH356" s="6" t="s">
        <v>916</v>
      </c>
      <c r="EI356" s="6" t="s">
        <v>906</v>
      </c>
      <c r="EJ356" s="12">
        <v>8</v>
      </c>
      <c r="EK356" s="12"/>
      <c r="EM356" s="12"/>
      <c r="EN356" s="12" t="s">
        <v>1126</v>
      </c>
      <c r="EP356" s="6" t="s">
        <v>1155</v>
      </c>
      <c r="ER356" s="6" t="str">
        <f>LEFT(EH358,2)&amp;"O"&amp;MID(EH358,4,7)</f>
        <v>HVO40390</v>
      </c>
      <c r="ET356" s="6" t="str">
        <f t="shared" si="171"/>
        <v>홀수</v>
      </c>
      <c r="EU356" s="12">
        <v>77</v>
      </c>
      <c r="EV356" s="45" t="str">
        <f t="shared" ca="1" si="176"/>
        <v>A</v>
      </c>
      <c r="EW356" s="6">
        <f t="shared" ca="1" si="172"/>
        <v>65</v>
      </c>
      <c r="FO356" s="6"/>
      <c r="FP356" s="11"/>
      <c r="FR356" s="6">
        <v>1</v>
      </c>
      <c r="FS356" s="6" t="str">
        <f t="shared" si="173"/>
        <v/>
      </c>
      <c r="FT356" s="6">
        <f t="shared" si="174"/>
        <v>1</v>
      </c>
      <c r="FU356" s="6" t="str">
        <f t="shared" ca="1" si="177"/>
        <v/>
      </c>
      <c r="FV356" s="6" t="str">
        <f t="shared" ca="1" si="175"/>
        <v/>
      </c>
      <c r="FW356" s="6" t="str">
        <f t="shared" ca="1" si="186"/>
        <v>R5-11</v>
      </c>
      <c r="FX356" s="6" t="str">
        <f t="shared" ca="1" si="187"/>
        <v>R5-12</v>
      </c>
      <c r="FY356" s="6" t="str">
        <f t="shared" ca="1" si="188"/>
        <v>R5-21</v>
      </c>
      <c r="FZ356" s="6" t="str">
        <f t="shared" ca="1" si="189"/>
        <v>R5-22</v>
      </c>
    </row>
    <row r="357" spans="1:182" ht="15.95" customHeight="1">
      <c r="A357" s="6">
        <v>576</v>
      </c>
      <c r="B357" s="6" t="s">
        <v>653</v>
      </c>
      <c r="E357" s="6" t="s">
        <v>917</v>
      </c>
      <c r="F357" s="6" t="s">
        <v>1628</v>
      </c>
      <c r="G357" s="6" t="s">
        <v>1290</v>
      </c>
      <c r="H357" s="7" t="s">
        <v>1291</v>
      </c>
      <c r="I357" s="7"/>
      <c r="J357" s="6" t="s">
        <v>1199</v>
      </c>
      <c r="K357" s="6" t="s">
        <v>1201</v>
      </c>
      <c r="N357" s="6" t="s">
        <v>1203</v>
      </c>
      <c r="O357" s="6" t="s">
        <v>1205</v>
      </c>
      <c r="R357" s="101" t="s">
        <v>1443</v>
      </c>
      <c r="Y357" s="6" t="s">
        <v>1620</v>
      </c>
      <c r="Z357" s="6">
        <v>51</v>
      </c>
      <c r="AA357" s="6">
        <v>52</v>
      </c>
      <c r="AD357" s="6" t="s">
        <v>1203</v>
      </c>
      <c r="AE357" s="6" t="s">
        <v>1205</v>
      </c>
      <c r="AG357" s="6" t="s">
        <v>1616</v>
      </c>
      <c r="AY357" s="8" t="s">
        <v>176</v>
      </c>
      <c r="AZ357" s="8" t="s">
        <v>195</v>
      </c>
      <c r="BA357" s="13" t="s">
        <v>643</v>
      </c>
      <c r="BB357" s="13" t="s">
        <v>200</v>
      </c>
      <c r="BC357" s="13">
        <v>17</v>
      </c>
      <c r="BD357" s="13">
        <v>18</v>
      </c>
      <c r="DC357" s="6" t="s">
        <v>644</v>
      </c>
      <c r="DD357" s="6" t="s">
        <v>191</v>
      </c>
      <c r="DH357" s="6" t="str">
        <f t="shared" si="164"/>
        <v>A16</v>
      </c>
      <c r="DI357" s="6" t="str">
        <f t="shared" si="165"/>
        <v>B16</v>
      </c>
      <c r="DK357" s="6" t="s">
        <v>173</v>
      </c>
      <c r="DL357" s="6" t="str">
        <f t="shared" si="166"/>
        <v/>
      </c>
      <c r="DO357" s="9" t="s">
        <v>170</v>
      </c>
      <c r="DP357" s="6" t="s">
        <v>171</v>
      </c>
      <c r="DQ357" s="6" t="s">
        <v>645</v>
      </c>
      <c r="DR357" s="6" t="e">
        <f>#REF!&amp;RIGHT(#REF!,3)</f>
        <v>#REF!</v>
      </c>
      <c r="DS357" s="6" t="str">
        <f t="shared" si="159"/>
        <v>AKB331</v>
      </c>
      <c r="DT357" s="10" t="str">
        <f t="shared" si="160"/>
        <v>FCS0111-5-6/1S–MC–118-R5-CN1</v>
      </c>
      <c r="DU357" s="6" t="str">
        <f t="shared" si="161"/>
        <v/>
      </c>
      <c r="DV357" s="19">
        <v>1</v>
      </c>
      <c r="DW357" s="20" t="str">
        <f t="shared" si="162"/>
        <v>11</v>
      </c>
      <c r="DX357" s="20">
        <v>5</v>
      </c>
      <c r="DY357" s="21">
        <v>6</v>
      </c>
      <c r="DZ357" s="22" t="s">
        <v>204</v>
      </c>
      <c r="EA357" s="23">
        <v>16</v>
      </c>
      <c r="EB357" s="7">
        <v>32</v>
      </c>
      <c r="EC357" s="6">
        <v>1</v>
      </c>
      <c r="EE357" s="9" t="s">
        <v>654</v>
      </c>
      <c r="EF357" s="6" t="s">
        <v>647</v>
      </c>
      <c r="EG357" s="6" t="s">
        <v>647</v>
      </c>
      <c r="EH357" s="6" t="s">
        <v>917</v>
      </c>
      <c r="EI357" s="6" t="s">
        <v>906</v>
      </c>
      <c r="EJ357" s="12">
        <v>8</v>
      </c>
      <c r="EK357" s="12"/>
      <c r="EM357" s="12"/>
      <c r="EN357" s="12" t="s">
        <v>1126</v>
      </c>
      <c r="ET357" s="6" t="str">
        <f t="shared" si="171"/>
        <v>홀수</v>
      </c>
      <c r="EU357" s="12">
        <v>77</v>
      </c>
      <c r="EV357" s="45" t="str">
        <f t="shared" ca="1" si="176"/>
        <v>B</v>
      </c>
      <c r="EW357" s="6">
        <f t="shared" ca="1" si="172"/>
        <v>66</v>
      </c>
      <c r="FO357" s="6"/>
      <c r="FP357" s="11"/>
      <c r="FR357" s="6">
        <v>1</v>
      </c>
      <c r="FS357" s="6" t="str">
        <f t="shared" si="173"/>
        <v/>
      </c>
      <c r="FT357" s="6">
        <f t="shared" si="174"/>
        <v>1</v>
      </c>
      <c r="FU357" s="6" t="str">
        <f t="shared" ca="1" si="177"/>
        <v/>
      </c>
      <c r="FV357" s="6" t="str">
        <f t="shared" ca="1" si="175"/>
        <v/>
      </c>
      <c r="FW357" s="6" t="str">
        <f t="shared" ca="1" si="186"/>
        <v>R5-11</v>
      </c>
      <c r="FX357" s="6" t="str">
        <f t="shared" ca="1" si="187"/>
        <v>R5-12</v>
      </c>
      <c r="FY357" s="6" t="str">
        <f t="shared" ca="1" si="188"/>
        <v>R5-21</v>
      </c>
      <c r="FZ357" s="6" t="str">
        <f t="shared" ca="1" si="189"/>
        <v>R5-22</v>
      </c>
    </row>
    <row r="358" spans="1:182" ht="15.95" customHeight="1">
      <c r="A358" s="6">
        <v>793</v>
      </c>
      <c r="B358" s="6" t="s">
        <v>694</v>
      </c>
      <c r="E358" s="6" t="s">
        <v>1000</v>
      </c>
      <c r="F358" s="6" t="s">
        <v>1629</v>
      </c>
      <c r="G358" s="6" t="s">
        <v>1290</v>
      </c>
      <c r="H358" s="7" t="s">
        <v>1291</v>
      </c>
      <c r="I358" s="7"/>
      <c r="J358" s="6" t="s">
        <v>1199</v>
      </c>
      <c r="K358" s="6" t="s">
        <v>1201</v>
      </c>
      <c r="N358" s="6" t="s">
        <v>1203</v>
      </c>
      <c r="O358" s="6" t="s">
        <v>1205</v>
      </c>
      <c r="R358" s="101" t="s">
        <v>1592</v>
      </c>
      <c r="Y358" s="6" t="s">
        <v>1593</v>
      </c>
      <c r="Z358" s="6">
        <v>15</v>
      </c>
      <c r="AA358" s="6">
        <v>16</v>
      </c>
      <c r="AD358" s="6" t="s">
        <v>1203</v>
      </c>
      <c r="AE358" s="6" t="s">
        <v>1205</v>
      </c>
      <c r="AG358" s="6" t="s">
        <v>1594</v>
      </c>
      <c r="AY358" s="8" t="s">
        <v>176</v>
      </c>
      <c r="AZ358" s="8" t="s">
        <v>195</v>
      </c>
      <c r="BA358" s="13" t="s">
        <v>670</v>
      </c>
      <c r="BB358" s="13" t="s">
        <v>200</v>
      </c>
      <c r="BC358" s="13">
        <v>15</v>
      </c>
      <c r="BD358" s="13">
        <v>16</v>
      </c>
      <c r="DC358" s="6" t="s">
        <v>992</v>
      </c>
      <c r="DD358" s="6" t="s">
        <v>187</v>
      </c>
      <c r="DH358" s="6" t="str">
        <f>"A"&amp;EA358</f>
        <v>A9</v>
      </c>
      <c r="DI358" s="6" t="str">
        <f>"B"&amp;EA358</f>
        <v>B9</v>
      </c>
      <c r="DK358" s="6" t="s">
        <v>173</v>
      </c>
      <c r="DL358" s="6" t="str">
        <f>IF(DZ358&lt;&gt;"","CN2","")</f>
        <v>CN2</v>
      </c>
      <c r="DO358" s="9" t="s">
        <v>170</v>
      </c>
      <c r="DP358" s="6" t="s">
        <v>171</v>
      </c>
      <c r="DQ358" s="6" t="s">
        <v>645</v>
      </c>
      <c r="DR358" s="6" t="e">
        <f>#REF!&amp;RIGHT(#REF!,3)</f>
        <v>#REF!</v>
      </c>
      <c r="DS358" s="6" t="str">
        <f>IF(MID(EF358,2,1)="A","KS1","AKB331")</f>
        <v>AKB331</v>
      </c>
      <c r="DT358" s="10" t="str">
        <f>DQ358&amp;"-"&amp;DX358&amp;"-"&amp;DY358&amp;"/"&amp;BA358&amp;"-"&amp;DD358&amp;"-"&amp;DK358</f>
        <v>FCS0111-7-7/1S–MC–120-R1-CN1</v>
      </c>
      <c r="DU358" s="6" t="str">
        <f>IF(DL358="","",DQ358&amp;"-"&amp;DX358&amp;"-"&amp;DY358&amp;"/"&amp;BA358&amp;"-"&amp;DD358&amp;"-"&amp;DL358)</f>
        <v>FCS0111-7-7/1S–MC–120-R1-CN2</v>
      </c>
      <c r="DV358" s="19">
        <v>1</v>
      </c>
      <c r="DW358" s="20" t="str">
        <f>RIGHT(DQ358,2)</f>
        <v>11</v>
      </c>
      <c r="DX358" s="20">
        <v>7</v>
      </c>
      <c r="DY358" s="21">
        <v>7</v>
      </c>
      <c r="DZ358" s="22">
        <v>8</v>
      </c>
      <c r="EA358" s="23">
        <v>9</v>
      </c>
      <c r="EB358" s="7">
        <v>25</v>
      </c>
      <c r="EE358" s="9" t="s">
        <v>693</v>
      </c>
      <c r="EF358" s="6" t="s">
        <v>672</v>
      </c>
      <c r="EG358" s="6" t="s">
        <v>647</v>
      </c>
      <c r="EH358" s="6" t="s">
        <v>1000</v>
      </c>
      <c r="EI358" s="6" t="s">
        <v>906</v>
      </c>
      <c r="EJ358" s="12">
        <v>8</v>
      </c>
      <c r="EK358" s="12"/>
      <c r="EM358" s="12"/>
      <c r="EN358" s="12" t="s">
        <v>1126</v>
      </c>
      <c r="ET358" s="6" t="str">
        <f t="shared" si="171"/>
        <v>홀수</v>
      </c>
      <c r="EU358" s="12">
        <v>77</v>
      </c>
      <c r="EV358" s="45" t="str">
        <f t="shared" ca="1" si="176"/>
        <v>C</v>
      </c>
      <c r="EW358" s="6">
        <f t="shared" ca="1" si="172"/>
        <v>67</v>
      </c>
      <c r="FO358" s="6"/>
      <c r="FP358" s="11"/>
      <c r="FR358" s="6">
        <v>1</v>
      </c>
      <c r="FS358" s="6">
        <f t="shared" si="173"/>
        <v>1</v>
      </c>
      <c r="FT358" s="6">
        <f t="shared" si="174"/>
        <v>1</v>
      </c>
      <c r="FU358" s="6" t="str">
        <f t="shared" ca="1" si="177"/>
        <v>R1-11</v>
      </c>
      <c r="FV358" s="6" t="str">
        <f t="shared" ca="1" si="175"/>
        <v>R1-12</v>
      </c>
      <c r="FW358" s="6" t="s">
        <v>1095</v>
      </c>
      <c r="FX358" s="6" t="s">
        <v>1096</v>
      </c>
      <c r="FY358" s="6" t="s">
        <v>1095</v>
      </c>
      <c r="FZ358" s="6" t="s">
        <v>1096</v>
      </c>
    </row>
    <row r="359" spans="1:182" ht="15.95" customHeight="1">
      <c r="A359" s="6">
        <v>577</v>
      </c>
      <c r="B359" s="6" t="s">
        <v>653</v>
      </c>
      <c r="E359" s="6" t="s">
        <v>918</v>
      </c>
      <c r="F359" s="6" t="s">
        <v>1630</v>
      </c>
      <c r="G359" s="6" t="s">
        <v>1290</v>
      </c>
      <c r="H359" s="7" t="s">
        <v>1291</v>
      </c>
      <c r="I359" s="7"/>
      <c r="J359" s="6" t="s">
        <v>1199</v>
      </c>
      <c r="K359" s="6" t="s">
        <v>1201</v>
      </c>
      <c r="N359" s="6" t="s">
        <v>1203</v>
      </c>
      <c r="O359" s="6" t="s">
        <v>1205</v>
      </c>
      <c r="R359" s="101" t="s">
        <v>1220</v>
      </c>
      <c r="Y359" s="6" t="s">
        <v>1620</v>
      </c>
      <c r="Z359" s="6">
        <v>53</v>
      </c>
      <c r="AA359" s="6">
        <v>54</v>
      </c>
      <c r="AD359" s="6" t="s">
        <v>1203</v>
      </c>
      <c r="AE359" s="6" t="s">
        <v>1205</v>
      </c>
      <c r="AG359" s="6" t="s">
        <v>1616</v>
      </c>
      <c r="AY359" s="8" t="s">
        <v>176</v>
      </c>
      <c r="AZ359" s="8" t="s">
        <v>195</v>
      </c>
      <c r="BA359" s="13" t="s">
        <v>643</v>
      </c>
      <c r="BB359" s="13" t="s">
        <v>200</v>
      </c>
      <c r="BC359" s="13">
        <v>19</v>
      </c>
      <c r="BD359" s="13">
        <v>20</v>
      </c>
      <c r="DC359" s="6" t="s">
        <v>644</v>
      </c>
      <c r="DD359" s="6" t="s">
        <v>191</v>
      </c>
      <c r="DH359" s="6" t="str">
        <f t="shared" si="164"/>
        <v>A17</v>
      </c>
      <c r="DI359" s="6" t="str">
        <f t="shared" si="165"/>
        <v>B17</v>
      </c>
      <c r="DK359" s="6" t="s">
        <v>173</v>
      </c>
      <c r="DL359" s="6" t="str">
        <f t="shared" si="166"/>
        <v/>
      </c>
      <c r="DO359" s="9" t="s">
        <v>170</v>
      </c>
      <c r="DP359" s="6" t="s">
        <v>171</v>
      </c>
      <c r="DQ359" s="6" t="s">
        <v>645</v>
      </c>
      <c r="DR359" s="6" t="e">
        <f>#REF!&amp;RIGHT(#REF!,3)</f>
        <v>#REF!</v>
      </c>
      <c r="DS359" s="6" t="str">
        <f t="shared" ref="DS359:DS375" si="190">IF(MID(EF359,2,1)="A","KS1","AKB331")</f>
        <v>AKB331</v>
      </c>
      <c r="DT359" s="10" t="str">
        <f t="shared" ref="DT359:DT375" si="191">DQ359&amp;"-"&amp;DX359&amp;"-"&amp;DY359&amp;"/"&amp;BA359&amp;"-"&amp;DD359&amp;"-"&amp;DK359</f>
        <v>FCS0111-5-6/1S–MC–118-R5-CN1</v>
      </c>
      <c r="DU359" s="6" t="str">
        <f t="shared" ref="DU359:DU375" si="192">IF(DL359="","",DQ359&amp;"-"&amp;DX359&amp;"-"&amp;DY359&amp;"/"&amp;BA359&amp;"-"&amp;DD359&amp;"-"&amp;DL359)</f>
        <v/>
      </c>
      <c r="DV359" s="19">
        <v>1</v>
      </c>
      <c r="DW359" s="20" t="str">
        <f t="shared" ref="DW359:DW375" si="193">RIGHT(DQ359,2)</f>
        <v>11</v>
      </c>
      <c r="DX359" s="20">
        <v>5</v>
      </c>
      <c r="DY359" s="21">
        <v>6</v>
      </c>
      <c r="DZ359" s="22" t="s">
        <v>204</v>
      </c>
      <c r="EA359" s="23">
        <v>17</v>
      </c>
      <c r="EB359" s="7">
        <v>1</v>
      </c>
      <c r="EC359" s="6">
        <v>1</v>
      </c>
      <c r="EE359" s="9" t="s">
        <v>654</v>
      </c>
      <c r="EF359" s="6" t="s">
        <v>647</v>
      </c>
      <c r="EG359" s="6" t="s">
        <v>647</v>
      </c>
      <c r="EH359" s="6" t="s">
        <v>918</v>
      </c>
      <c r="EI359" s="6" t="s">
        <v>906</v>
      </c>
      <c r="EJ359" s="12">
        <v>100</v>
      </c>
      <c r="EL359" s="6"/>
      <c r="EM359" s="12"/>
      <c r="EN359" s="6" t="s">
        <v>1128</v>
      </c>
      <c r="EP359" s="6" t="s">
        <v>1161</v>
      </c>
      <c r="ET359" s="6" t="str">
        <f t="shared" si="171"/>
        <v>홀수</v>
      </c>
      <c r="EU359" s="12">
        <v>77</v>
      </c>
      <c r="EV359" s="45" t="str">
        <f t="shared" ca="1" si="176"/>
        <v>D</v>
      </c>
      <c r="EW359" s="6">
        <f t="shared" ca="1" si="172"/>
        <v>68</v>
      </c>
      <c r="FO359" s="6"/>
      <c r="FP359" s="11"/>
      <c r="FR359" s="6">
        <v>1</v>
      </c>
      <c r="FS359" s="6" t="str">
        <f t="shared" si="173"/>
        <v/>
      </c>
      <c r="FT359" s="6">
        <f t="shared" si="174"/>
        <v>1</v>
      </c>
      <c r="FU359" s="6" t="str">
        <f t="shared" ca="1" si="177"/>
        <v/>
      </c>
      <c r="FV359" s="6" t="str">
        <f t="shared" ca="1" si="175"/>
        <v/>
      </c>
      <c r="FW359" s="6" t="str">
        <f ca="1">IF(AND(FT359=1,FU359=""),DD359&amp;"-11",IF(AND(FT359=1,FU359&lt;&gt;""),DD359&amp;"-21",""))</f>
        <v>R5-11</v>
      </c>
      <c r="FX359" s="6" t="str">
        <f ca="1">IF(AND(FT359=1,FU359=""),DD359&amp;"-12",IF(AND(FT359=1,FU359&lt;&gt;""),DD359&amp;"-22",""))</f>
        <v>R5-12</v>
      </c>
      <c r="FY359" s="6" t="str">
        <f ca="1">IF(AND(FS359="",OFFSET(FS359,0,1)="",DC359="A1BA4D"),"",IF(DC359="A1BD5D",LEFT(FW359,3)&amp;"21",FW359))</f>
        <v>R5-21</v>
      </c>
      <c r="FZ359" s="6" t="str">
        <f ca="1" xml:space="preserve">
IF(AND(FS359="",OFFSET(FS359,0,1)="",DC359="A1BA4D"),"",IF(DC359="A1BD5D",LEFT(FW359,3)&amp;"22",FW359))</f>
        <v>R5-22</v>
      </c>
    </row>
    <row r="360" spans="1:182" ht="15.95" customHeight="1">
      <c r="A360" s="6">
        <v>578</v>
      </c>
      <c r="B360" s="6" t="s">
        <v>653</v>
      </c>
      <c r="E360" s="6" t="s">
        <v>919</v>
      </c>
      <c r="F360" s="6" t="s">
        <v>1631</v>
      </c>
      <c r="G360" s="6" t="s">
        <v>1290</v>
      </c>
      <c r="H360" s="7" t="s">
        <v>1291</v>
      </c>
      <c r="I360" s="7"/>
      <c r="J360" s="6" t="s">
        <v>1199</v>
      </c>
      <c r="K360" s="6" t="s">
        <v>1201</v>
      </c>
      <c r="N360" s="6" t="s">
        <v>1203</v>
      </c>
      <c r="O360" s="6" t="s">
        <v>1205</v>
      </c>
      <c r="R360" s="101" t="s">
        <v>1220</v>
      </c>
      <c r="Y360" s="6" t="s">
        <v>1620</v>
      </c>
      <c r="Z360" s="6">
        <v>55</v>
      </c>
      <c r="AA360" s="6">
        <v>56</v>
      </c>
      <c r="AD360" s="6" t="s">
        <v>1203</v>
      </c>
      <c r="AE360" s="6" t="s">
        <v>1205</v>
      </c>
      <c r="AG360" s="6" t="s">
        <v>1616</v>
      </c>
      <c r="AY360" s="8" t="s">
        <v>176</v>
      </c>
      <c r="AZ360" s="8" t="s">
        <v>195</v>
      </c>
      <c r="BA360" s="13" t="s">
        <v>643</v>
      </c>
      <c r="BB360" s="13" t="s">
        <v>200</v>
      </c>
      <c r="BC360" s="13">
        <v>21</v>
      </c>
      <c r="BD360" s="13">
        <v>22</v>
      </c>
      <c r="DC360" s="6" t="s">
        <v>644</v>
      </c>
      <c r="DD360" s="6" t="s">
        <v>191</v>
      </c>
      <c r="DH360" s="6" t="str">
        <f t="shared" ref="DH360:DH375" si="194">"A"&amp;EA360</f>
        <v>A18</v>
      </c>
      <c r="DI360" s="6" t="str">
        <f t="shared" ref="DI360:DI375" si="195">"B"&amp;EA360</f>
        <v>B18</v>
      </c>
      <c r="DK360" s="6" t="s">
        <v>173</v>
      </c>
      <c r="DL360" s="6" t="str">
        <f t="shared" ref="DL360:DL375" si="196">IF(DZ360&lt;&gt;"","CN2","")</f>
        <v/>
      </c>
      <c r="DO360" s="9" t="s">
        <v>170</v>
      </c>
      <c r="DP360" s="6" t="s">
        <v>171</v>
      </c>
      <c r="DQ360" s="6" t="s">
        <v>645</v>
      </c>
      <c r="DR360" s="6" t="e">
        <f>#REF!&amp;RIGHT(#REF!,3)</f>
        <v>#REF!</v>
      </c>
      <c r="DS360" s="6" t="str">
        <f t="shared" si="190"/>
        <v>AKB331</v>
      </c>
      <c r="DT360" s="10" t="str">
        <f t="shared" si="191"/>
        <v>FCS0111-5-6/1S–MC–118-R5-CN1</v>
      </c>
      <c r="DU360" s="6" t="str">
        <f t="shared" si="192"/>
        <v/>
      </c>
      <c r="DV360" s="19">
        <v>1</v>
      </c>
      <c r="DW360" s="20" t="str">
        <f t="shared" si="193"/>
        <v>11</v>
      </c>
      <c r="DX360" s="20">
        <v>5</v>
      </c>
      <c r="DY360" s="21">
        <v>6</v>
      </c>
      <c r="DZ360" s="22" t="s">
        <v>204</v>
      </c>
      <c r="EA360" s="23">
        <v>18</v>
      </c>
      <c r="EB360" s="7">
        <v>2</v>
      </c>
      <c r="EC360" s="6">
        <v>1</v>
      </c>
      <c r="EE360" s="9" t="s">
        <v>654</v>
      </c>
      <c r="EF360" s="6" t="s">
        <v>647</v>
      </c>
      <c r="EG360" s="6" t="s">
        <v>647</v>
      </c>
      <c r="EH360" s="6" t="s">
        <v>919</v>
      </c>
      <c r="EI360" s="6" t="s">
        <v>906</v>
      </c>
      <c r="EJ360" s="12">
        <v>100</v>
      </c>
      <c r="EL360" s="6"/>
      <c r="EM360" s="12"/>
      <c r="EN360" s="6" t="s">
        <v>1128</v>
      </c>
      <c r="EP360" s="6" t="s">
        <v>1161</v>
      </c>
      <c r="ET360" s="6" t="str">
        <f t="shared" si="171"/>
        <v>짝수</v>
      </c>
      <c r="EU360" s="12">
        <v>78</v>
      </c>
      <c r="EV360" s="45" t="str">
        <f t="shared" ca="1" si="176"/>
        <v>A</v>
      </c>
      <c r="EW360" s="6">
        <f t="shared" ca="1" si="172"/>
        <v>65</v>
      </c>
      <c r="FO360" s="6"/>
      <c r="FP360" s="11"/>
      <c r="FR360" s="6">
        <v>1</v>
      </c>
      <c r="FS360" s="6" t="str">
        <f t="shared" si="173"/>
        <v/>
      </c>
      <c r="FT360" s="6">
        <f t="shared" si="174"/>
        <v>1</v>
      </c>
      <c r="FU360" s="6" t="str">
        <f t="shared" ca="1" si="177"/>
        <v/>
      </c>
      <c r="FV360" s="6" t="str">
        <f t="shared" ca="1" si="175"/>
        <v/>
      </c>
      <c r="FW360" s="6" t="str">
        <f ca="1">IF(AND(FT360=1,FU360=""),DD360&amp;"-11",IF(AND(FT360=1,FU360&lt;&gt;""),DD360&amp;"-21",""))</f>
        <v>R5-11</v>
      </c>
      <c r="FX360" s="6" t="str">
        <f ca="1">IF(AND(FT360=1,FU360=""),DD360&amp;"-12",IF(AND(FT360=1,FU360&lt;&gt;""),DD360&amp;"-22",""))</f>
        <v>R5-12</v>
      </c>
      <c r="FY360" s="6" t="str">
        <f ca="1">IF(AND(FS360="",OFFSET(FS360,0,1)="",DC360="A1BA4D"),"",IF(DC360="A1BD5D",LEFT(FW360,3)&amp;"21",FW360))</f>
        <v>R5-21</v>
      </c>
      <c r="FZ360" s="6" t="str">
        <f ca="1" xml:space="preserve">
IF(AND(FS360="",OFFSET(FS360,0,1)="",DC360="A1BA4D"),"",IF(DC360="A1BD5D",LEFT(FW360,3)&amp;"22",FW360))</f>
        <v>R5-22</v>
      </c>
    </row>
    <row r="361" spans="1:182" ht="15.95" customHeight="1">
      <c r="A361" s="6">
        <v>579</v>
      </c>
      <c r="B361" s="6" t="s">
        <v>653</v>
      </c>
      <c r="E361" s="6" t="s">
        <v>920</v>
      </c>
      <c r="F361" s="6" t="s">
        <v>1632</v>
      </c>
      <c r="G361" s="6" t="s">
        <v>1290</v>
      </c>
      <c r="H361" s="7" t="s">
        <v>1291</v>
      </c>
      <c r="I361" s="7"/>
      <c r="J361" s="6" t="s">
        <v>1199</v>
      </c>
      <c r="K361" s="6" t="s">
        <v>1201</v>
      </c>
      <c r="N361" s="6" t="s">
        <v>1203</v>
      </c>
      <c r="O361" s="6" t="s">
        <v>1205</v>
      </c>
      <c r="R361" s="101" t="s">
        <v>1220</v>
      </c>
      <c r="Y361" s="6" t="s">
        <v>1292</v>
      </c>
      <c r="Z361" s="6">
        <v>33</v>
      </c>
      <c r="AA361" s="6">
        <v>34</v>
      </c>
      <c r="AD361" s="6" t="s">
        <v>1203</v>
      </c>
      <c r="AE361" s="6" t="s">
        <v>1205</v>
      </c>
      <c r="AG361" s="6" t="s">
        <v>1293</v>
      </c>
      <c r="AY361" s="8" t="s">
        <v>176</v>
      </c>
      <c r="AZ361" s="8" t="s">
        <v>195</v>
      </c>
      <c r="BA361" s="13" t="s">
        <v>643</v>
      </c>
      <c r="BB361" s="13" t="s">
        <v>200</v>
      </c>
      <c r="BC361" s="13">
        <v>49</v>
      </c>
      <c r="BD361" s="13">
        <v>50</v>
      </c>
      <c r="DC361" s="6" t="s">
        <v>644</v>
      </c>
      <c r="DD361" s="6" t="s">
        <v>191</v>
      </c>
      <c r="DH361" s="6" t="str">
        <f t="shared" si="194"/>
        <v>A19</v>
      </c>
      <c r="DI361" s="6" t="str">
        <f t="shared" si="195"/>
        <v>B19</v>
      </c>
      <c r="DK361" s="6" t="s">
        <v>173</v>
      </c>
      <c r="DL361" s="6" t="str">
        <f t="shared" si="196"/>
        <v/>
      </c>
      <c r="DO361" s="9" t="s">
        <v>170</v>
      </c>
      <c r="DP361" s="6" t="s">
        <v>171</v>
      </c>
      <c r="DQ361" s="6" t="s">
        <v>645</v>
      </c>
      <c r="DR361" s="6" t="e">
        <f>#REF!&amp;RIGHT(#REF!,3)</f>
        <v>#REF!</v>
      </c>
      <c r="DS361" s="6" t="str">
        <f t="shared" si="190"/>
        <v>AKB331</v>
      </c>
      <c r="DT361" s="10" t="str">
        <f t="shared" si="191"/>
        <v>FCS0111-5-6/1S–MC–118-R5-CN1</v>
      </c>
      <c r="DU361" s="6" t="str">
        <f t="shared" si="192"/>
        <v/>
      </c>
      <c r="DV361" s="19">
        <v>1</v>
      </c>
      <c r="DW361" s="20" t="str">
        <f t="shared" si="193"/>
        <v>11</v>
      </c>
      <c r="DX361" s="20">
        <v>5</v>
      </c>
      <c r="DY361" s="21">
        <v>6</v>
      </c>
      <c r="DZ361" s="22" t="s">
        <v>204</v>
      </c>
      <c r="EA361" s="23">
        <v>19</v>
      </c>
      <c r="EB361" s="7">
        <v>3</v>
      </c>
      <c r="EC361" s="6">
        <v>1</v>
      </c>
      <c r="EE361" s="9" t="s">
        <v>654</v>
      </c>
      <c r="EF361" s="6" t="s">
        <v>647</v>
      </c>
      <c r="EG361" s="6" t="s">
        <v>647</v>
      </c>
      <c r="EH361" s="6" t="s">
        <v>920</v>
      </c>
      <c r="EI361" s="6" t="s">
        <v>882</v>
      </c>
      <c r="EJ361" s="12">
        <v>100</v>
      </c>
      <c r="EK361" s="12"/>
      <c r="EM361" s="12"/>
      <c r="EN361" s="6" t="s">
        <v>1128</v>
      </c>
      <c r="EP361" s="6" t="s">
        <v>1148</v>
      </c>
      <c r="ET361" s="6" t="str">
        <f t="shared" si="171"/>
        <v>짝수</v>
      </c>
      <c r="EU361" s="12">
        <v>78</v>
      </c>
      <c r="EV361" s="45" t="str">
        <f t="shared" ca="1" si="176"/>
        <v>B</v>
      </c>
      <c r="EW361" s="6">
        <f t="shared" ca="1" si="172"/>
        <v>66</v>
      </c>
      <c r="FO361" s="6"/>
      <c r="FP361" s="11"/>
      <c r="FR361" s="6">
        <v>1</v>
      </c>
      <c r="FS361" s="6" t="str">
        <f t="shared" si="173"/>
        <v/>
      </c>
      <c r="FT361" s="6">
        <f t="shared" si="174"/>
        <v>1</v>
      </c>
      <c r="FU361" s="6" t="str">
        <f t="shared" ca="1" si="177"/>
        <v/>
      </c>
      <c r="FV361" s="6" t="str">
        <f t="shared" ca="1" si="175"/>
        <v/>
      </c>
      <c r="FW361" s="6" t="str">
        <f ca="1">IF(AND(FT361=1,FU361=""),DD361&amp;"-11",IF(AND(FT361=1,FU361&lt;&gt;""),DD361&amp;"-21",""))</f>
        <v>R5-11</v>
      </c>
      <c r="FX361" s="6" t="str">
        <f ca="1">IF(AND(FT361=1,FU361=""),DD361&amp;"-12",IF(AND(FT361=1,FU361&lt;&gt;""),DD361&amp;"-22",""))</f>
        <v>R5-12</v>
      </c>
      <c r="FY361" s="6" t="str">
        <f ca="1">IF(AND(FS361="",OFFSET(FS361,0,1)="",DC361="A1BA4D"),"",IF(DC361="A1BD5D",LEFT(FW361,3)&amp;"21",FW361))</f>
        <v>R5-21</v>
      </c>
      <c r="FZ361" s="6" t="str">
        <f ca="1" xml:space="preserve">
IF(AND(FS361="",OFFSET(FS361,0,1)="",DC361="A1BA4D"),"",IF(DC361="A1BD5D",LEFT(FW361,3)&amp;"22",FW361))</f>
        <v>R5-22</v>
      </c>
    </row>
    <row r="362" spans="1:182" ht="15.95" customHeight="1">
      <c r="A362" s="6">
        <v>580</v>
      </c>
      <c r="B362" s="6" t="s">
        <v>653</v>
      </c>
      <c r="E362" s="6" t="s">
        <v>921</v>
      </c>
      <c r="F362" s="6" t="s">
        <v>1633</v>
      </c>
      <c r="G362" s="6" t="s">
        <v>1290</v>
      </c>
      <c r="H362" s="7" t="s">
        <v>1291</v>
      </c>
      <c r="I362" s="7"/>
      <c r="J362" s="6" t="s">
        <v>1199</v>
      </c>
      <c r="K362" s="6" t="s">
        <v>1201</v>
      </c>
      <c r="N362" s="6" t="s">
        <v>1203</v>
      </c>
      <c r="O362" s="6" t="s">
        <v>1205</v>
      </c>
      <c r="R362" s="101" t="s">
        <v>1220</v>
      </c>
      <c r="Y362" s="6" t="s">
        <v>1292</v>
      </c>
      <c r="Z362" s="6">
        <v>37</v>
      </c>
      <c r="AA362" s="6">
        <v>38</v>
      </c>
      <c r="AD362" s="6" t="s">
        <v>1203</v>
      </c>
      <c r="AE362" s="6" t="s">
        <v>1205</v>
      </c>
      <c r="AG362" s="6" t="s">
        <v>1293</v>
      </c>
      <c r="AY362" s="8" t="s">
        <v>176</v>
      </c>
      <c r="AZ362" s="8" t="s">
        <v>195</v>
      </c>
      <c r="BA362" s="13" t="s">
        <v>643</v>
      </c>
      <c r="BB362" s="13" t="s">
        <v>200</v>
      </c>
      <c r="BC362" s="13">
        <v>55</v>
      </c>
      <c r="BD362" s="13">
        <v>56</v>
      </c>
      <c r="DC362" s="6" t="s">
        <v>644</v>
      </c>
      <c r="DD362" s="6" t="s">
        <v>191</v>
      </c>
      <c r="DH362" s="6" t="str">
        <f t="shared" si="194"/>
        <v>A20</v>
      </c>
      <c r="DI362" s="6" t="str">
        <f t="shared" si="195"/>
        <v>B20</v>
      </c>
      <c r="DK362" s="6" t="s">
        <v>173</v>
      </c>
      <c r="DL362" s="6" t="str">
        <f t="shared" si="196"/>
        <v/>
      </c>
      <c r="DO362" s="9" t="s">
        <v>170</v>
      </c>
      <c r="DP362" s="6" t="s">
        <v>171</v>
      </c>
      <c r="DQ362" s="6" t="s">
        <v>645</v>
      </c>
      <c r="DR362" s="6" t="e">
        <f>#REF!&amp;RIGHT(#REF!,3)</f>
        <v>#REF!</v>
      </c>
      <c r="DS362" s="6" t="str">
        <f t="shared" si="190"/>
        <v>AKB331</v>
      </c>
      <c r="DT362" s="10" t="str">
        <f t="shared" si="191"/>
        <v>FCS0111-5-6/1S–MC–118-R5-CN1</v>
      </c>
      <c r="DU362" s="6" t="str">
        <f t="shared" si="192"/>
        <v/>
      </c>
      <c r="DV362" s="19">
        <v>1</v>
      </c>
      <c r="DW362" s="20" t="str">
        <f t="shared" si="193"/>
        <v>11</v>
      </c>
      <c r="DX362" s="20">
        <v>5</v>
      </c>
      <c r="DY362" s="21">
        <v>6</v>
      </c>
      <c r="DZ362" s="22" t="s">
        <v>204</v>
      </c>
      <c r="EA362" s="23">
        <v>20</v>
      </c>
      <c r="EB362" s="7">
        <v>4</v>
      </c>
      <c r="EC362" s="6">
        <v>1</v>
      </c>
      <c r="EE362" s="9" t="s">
        <v>654</v>
      </c>
      <c r="EF362" s="6" t="s">
        <v>647</v>
      </c>
      <c r="EG362" s="6" t="s">
        <v>647</v>
      </c>
      <c r="EH362" s="6" t="s">
        <v>921</v>
      </c>
      <c r="EI362" s="6" t="s">
        <v>922</v>
      </c>
      <c r="EJ362" s="12">
        <v>8</v>
      </c>
      <c r="EK362" s="12"/>
      <c r="EM362" s="12"/>
      <c r="EN362" s="12" t="s">
        <v>1126</v>
      </c>
      <c r="EP362" s="6" t="s">
        <v>1155</v>
      </c>
      <c r="ER362" s="6" t="str">
        <f>LEFT(EH364,2)&amp;"O"&amp;MID(EH364,4,7)</f>
        <v>UVO40225</v>
      </c>
      <c r="ET362" s="6" t="str">
        <f t="shared" si="171"/>
        <v>홀수</v>
      </c>
      <c r="EU362" s="12">
        <v>79</v>
      </c>
      <c r="EV362" s="45" t="str">
        <f t="shared" ca="1" si="176"/>
        <v>A</v>
      </c>
      <c r="EW362" s="6">
        <f t="shared" ca="1" si="172"/>
        <v>65</v>
      </c>
      <c r="FO362" s="6"/>
      <c r="FP362" s="11"/>
      <c r="FR362" s="6">
        <v>1</v>
      </c>
      <c r="FS362" s="6" t="str">
        <f t="shared" si="173"/>
        <v/>
      </c>
      <c r="FT362" s="6">
        <f t="shared" si="174"/>
        <v>1</v>
      </c>
      <c r="FU362" s="6" t="str">
        <f t="shared" ca="1" si="177"/>
        <v/>
      </c>
      <c r="FV362" s="6" t="str">
        <f t="shared" ca="1" si="175"/>
        <v/>
      </c>
      <c r="FW362" s="6" t="str">
        <f ca="1">IF(AND(FT362=1,FU362=""),DD362&amp;"-11",IF(AND(FT362=1,FU362&lt;&gt;""),DD362&amp;"-21",""))</f>
        <v>R5-11</v>
      </c>
      <c r="FX362" s="6" t="str">
        <f ca="1">IF(AND(FT362=1,FU362=""),DD362&amp;"-12",IF(AND(FT362=1,FU362&lt;&gt;""),DD362&amp;"-22",""))</f>
        <v>R5-12</v>
      </c>
      <c r="FY362" s="6" t="str">
        <f ca="1">IF(AND(FS362="",OFFSET(FS362,0,1)="",DC362="A1BA4D"),"",IF(DC362="A1BD5D",LEFT(FW362,3)&amp;"21",FW362))</f>
        <v>R5-21</v>
      </c>
      <c r="FZ362" s="6" t="str">
        <f ca="1" xml:space="preserve">
IF(AND(FS362="",OFFSET(FS362,0,1)="",DC362="A1BA4D"),"",IF(DC362="A1BD5D",LEFT(FW362,3)&amp;"22",FW362))</f>
        <v>R5-22</v>
      </c>
    </row>
    <row r="363" spans="1:182" ht="15.95" customHeight="1">
      <c r="A363" s="6">
        <v>581</v>
      </c>
      <c r="B363" s="6" t="s">
        <v>653</v>
      </c>
      <c r="E363" s="6" t="s">
        <v>923</v>
      </c>
      <c r="F363" s="6" t="s">
        <v>1634</v>
      </c>
      <c r="G363" s="6" t="s">
        <v>1290</v>
      </c>
      <c r="H363" s="7" t="s">
        <v>1291</v>
      </c>
      <c r="I363" s="7"/>
      <c r="J363" s="6" t="s">
        <v>1199</v>
      </c>
      <c r="K363" s="6" t="s">
        <v>1201</v>
      </c>
      <c r="N363" s="6" t="s">
        <v>1203</v>
      </c>
      <c r="O363" s="6" t="s">
        <v>1205</v>
      </c>
      <c r="R363" s="101" t="s">
        <v>1220</v>
      </c>
      <c r="Y363" s="6" t="s">
        <v>1292</v>
      </c>
      <c r="Z363" s="6">
        <v>35</v>
      </c>
      <c r="AA363" s="6">
        <v>36</v>
      </c>
      <c r="AD363" s="6" t="s">
        <v>1203</v>
      </c>
      <c r="AE363" s="6" t="s">
        <v>1205</v>
      </c>
      <c r="AG363" s="6" t="s">
        <v>1293</v>
      </c>
      <c r="AY363" s="8" t="s">
        <v>176</v>
      </c>
      <c r="AZ363" s="8" t="s">
        <v>195</v>
      </c>
      <c r="BA363" s="13" t="s">
        <v>643</v>
      </c>
      <c r="BB363" s="13" t="s">
        <v>200</v>
      </c>
      <c r="BC363" s="13">
        <v>53</v>
      </c>
      <c r="BD363" s="13">
        <v>54</v>
      </c>
      <c r="DC363" s="6" t="s">
        <v>644</v>
      </c>
      <c r="DD363" s="6" t="s">
        <v>191</v>
      </c>
      <c r="DH363" s="6" t="str">
        <f t="shared" si="194"/>
        <v>A21</v>
      </c>
      <c r="DI363" s="6" t="str">
        <f t="shared" si="195"/>
        <v>B21</v>
      </c>
      <c r="DK363" s="6" t="s">
        <v>173</v>
      </c>
      <c r="DL363" s="6" t="str">
        <f t="shared" si="196"/>
        <v/>
      </c>
      <c r="DO363" s="9" t="s">
        <v>170</v>
      </c>
      <c r="DP363" s="6" t="s">
        <v>171</v>
      </c>
      <c r="DQ363" s="6" t="s">
        <v>645</v>
      </c>
      <c r="DR363" s="6" t="e">
        <f>#REF!&amp;RIGHT(#REF!,3)</f>
        <v>#REF!</v>
      </c>
      <c r="DS363" s="6" t="str">
        <f t="shared" si="190"/>
        <v>AKB331</v>
      </c>
      <c r="DT363" s="10" t="str">
        <f t="shared" si="191"/>
        <v>FCS0111-5-6/1S–MC–118-R5-CN1</v>
      </c>
      <c r="DU363" s="6" t="str">
        <f t="shared" si="192"/>
        <v/>
      </c>
      <c r="DV363" s="19">
        <v>1</v>
      </c>
      <c r="DW363" s="20" t="str">
        <f t="shared" si="193"/>
        <v>11</v>
      </c>
      <c r="DX363" s="20">
        <v>5</v>
      </c>
      <c r="DY363" s="21">
        <v>6</v>
      </c>
      <c r="DZ363" s="22" t="s">
        <v>204</v>
      </c>
      <c r="EA363" s="23">
        <v>21</v>
      </c>
      <c r="EB363" s="7">
        <v>5</v>
      </c>
      <c r="EC363" s="6">
        <v>1</v>
      </c>
      <c r="EE363" s="9" t="s">
        <v>654</v>
      </c>
      <c r="EF363" s="6" t="s">
        <v>647</v>
      </c>
      <c r="EG363" s="6" t="s">
        <v>647</v>
      </c>
      <c r="EH363" s="6" t="s">
        <v>923</v>
      </c>
      <c r="EI363" s="6" t="s">
        <v>922</v>
      </c>
      <c r="EJ363" s="12">
        <v>8</v>
      </c>
      <c r="EK363" s="12"/>
      <c r="EM363" s="12"/>
      <c r="EN363" s="12" t="s">
        <v>1126</v>
      </c>
      <c r="ET363" s="6" t="str">
        <f t="shared" si="171"/>
        <v>홀수</v>
      </c>
      <c r="EU363" s="12">
        <v>79</v>
      </c>
      <c r="EV363" s="45" t="str">
        <f t="shared" ca="1" si="176"/>
        <v>B</v>
      </c>
      <c r="EW363" s="6">
        <f t="shared" ca="1" si="172"/>
        <v>66</v>
      </c>
      <c r="FO363" s="6"/>
      <c r="FP363" s="11"/>
      <c r="FR363" s="6">
        <v>1</v>
      </c>
      <c r="FS363" s="6" t="str">
        <f t="shared" si="173"/>
        <v/>
      </c>
      <c r="FT363" s="6">
        <f t="shared" si="174"/>
        <v>1</v>
      </c>
      <c r="FU363" s="6" t="str">
        <f t="shared" ca="1" si="177"/>
        <v/>
      </c>
      <c r="FV363" s="6" t="str">
        <f t="shared" ca="1" si="175"/>
        <v/>
      </c>
      <c r="FW363" s="6" t="str">
        <f ca="1">IF(AND(FT363=1,FU363=""),DD363&amp;"-11",IF(AND(FT363=1,FU363&lt;&gt;""),DD363&amp;"-21",""))</f>
        <v>R5-11</v>
      </c>
      <c r="FX363" s="6" t="str">
        <f ca="1">IF(AND(FT363=1,FU363=""),DD363&amp;"-12",IF(AND(FT363=1,FU363&lt;&gt;""),DD363&amp;"-22",""))</f>
        <v>R5-12</v>
      </c>
      <c r="FY363" s="6" t="str">
        <f ca="1">IF(AND(FS363="",OFFSET(FS363,0,1)="",DC363="A1BA4D"),"",IF(DC363="A1BD5D",LEFT(FW363,3)&amp;"21",FW363))</f>
        <v>R5-21</v>
      </c>
      <c r="FZ363" s="6" t="str">
        <f ca="1" xml:space="preserve">
IF(AND(FS363="",OFFSET(FS363,0,1)="",DC363="A1BA4D"),"",IF(DC363="A1BD5D",LEFT(FW363,3)&amp;"22",FW363))</f>
        <v>R5-22</v>
      </c>
    </row>
    <row r="364" spans="1:182" ht="15.95" customHeight="1">
      <c r="A364" s="6">
        <v>794</v>
      </c>
      <c r="B364" s="6" t="s">
        <v>694</v>
      </c>
      <c r="E364" s="6" t="s">
        <v>1001</v>
      </c>
      <c r="F364" s="6" t="s">
        <v>1209</v>
      </c>
      <c r="G364" s="6" t="s">
        <v>1290</v>
      </c>
      <c r="H364" s="7" t="s">
        <v>1291</v>
      </c>
      <c r="I364" s="7"/>
      <c r="J364" s="6" t="s">
        <v>1199</v>
      </c>
      <c r="K364" s="6" t="s">
        <v>1201</v>
      </c>
      <c r="N364" s="6" t="s">
        <v>1203</v>
      </c>
      <c r="O364" s="6" t="s">
        <v>1205</v>
      </c>
      <c r="R364" s="101" t="s">
        <v>1592</v>
      </c>
      <c r="Y364" s="6" t="s">
        <v>1593</v>
      </c>
      <c r="Z364" s="6">
        <v>17</v>
      </c>
      <c r="AA364" s="6">
        <v>18</v>
      </c>
      <c r="AD364" s="6" t="s">
        <v>1203</v>
      </c>
      <c r="AE364" s="6" t="s">
        <v>1205</v>
      </c>
      <c r="AG364" s="6" t="s">
        <v>1594</v>
      </c>
      <c r="AY364" s="8" t="s">
        <v>176</v>
      </c>
      <c r="AZ364" s="8" t="s">
        <v>195</v>
      </c>
      <c r="BA364" s="13" t="s">
        <v>670</v>
      </c>
      <c r="BB364" s="13" t="s">
        <v>200</v>
      </c>
      <c r="BC364" s="13">
        <v>17</v>
      </c>
      <c r="BD364" s="13">
        <v>18</v>
      </c>
      <c r="DC364" s="6" t="s">
        <v>992</v>
      </c>
      <c r="DD364" s="6" t="s">
        <v>187</v>
      </c>
      <c r="DH364" s="6" t="str">
        <f>"A"&amp;EA364</f>
        <v>A10</v>
      </c>
      <c r="DI364" s="6" t="str">
        <f>"B"&amp;EA364</f>
        <v>B10</v>
      </c>
      <c r="DK364" s="6" t="s">
        <v>173</v>
      </c>
      <c r="DL364" s="6" t="str">
        <f>IF(DZ364&lt;&gt;"","CN2","")</f>
        <v>CN2</v>
      </c>
      <c r="DO364" s="9" t="s">
        <v>170</v>
      </c>
      <c r="DP364" s="6" t="s">
        <v>171</v>
      </c>
      <c r="DQ364" s="6" t="s">
        <v>645</v>
      </c>
      <c r="DR364" s="6" t="e">
        <f>#REF!&amp;RIGHT(#REF!,3)</f>
        <v>#REF!</v>
      </c>
      <c r="DS364" s="6" t="str">
        <f>IF(MID(EF364,2,1)="A","KS1","AKB331")</f>
        <v>AKB331</v>
      </c>
      <c r="DT364" s="10" t="str">
        <f>DQ364&amp;"-"&amp;DX364&amp;"-"&amp;DY364&amp;"/"&amp;BA364&amp;"-"&amp;DD364&amp;"-"&amp;DK364</f>
        <v>FCS0111-7-7/1S–MC–120-R1-CN1</v>
      </c>
      <c r="DU364" s="6" t="str">
        <f>IF(DL364="","",DQ364&amp;"-"&amp;DX364&amp;"-"&amp;DY364&amp;"/"&amp;BA364&amp;"-"&amp;DD364&amp;"-"&amp;DL364)</f>
        <v>FCS0111-7-7/1S–MC–120-R1-CN2</v>
      </c>
      <c r="DV364" s="19">
        <v>1</v>
      </c>
      <c r="DW364" s="20" t="str">
        <f>RIGHT(DQ364,2)</f>
        <v>11</v>
      </c>
      <c r="DX364" s="20">
        <v>7</v>
      </c>
      <c r="DY364" s="21">
        <v>7</v>
      </c>
      <c r="DZ364" s="22">
        <v>8</v>
      </c>
      <c r="EA364" s="23">
        <v>10</v>
      </c>
      <c r="EB364" s="7">
        <v>26</v>
      </c>
      <c r="EE364" s="9" t="s">
        <v>693</v>
      </c>
      <c r="EF364" s="6" t="s">
        <v>672</v>
      </c>
      <c r="EG364" s="6" t="s">
        <v>647</v>
      </c>
      <c r="EH364" s="6" t="s">
        <v>1001</v>
      </c>
      <c r="EI364" s="6" t="s">
        <v>922</v>
      </c>
      <c r="EJ364" s="12">
        <v>8</v>
      </c>
      <c r="EK364" s="12"/>
      <c r="EM364" s="12"/>
      <c r="EN364" s="12" t="s">
        <v>1126</v>
      </c>
      <c r="ET364" s="6" t="str">
        <f t="shared" si="171"/>
        <v>홀수</v>
      </c>
      <c r="EU364" s="12">
        <v>79</v>
      </c>
      <c r="EV364" s="45" t="str">
        <f t="shared" ca="1" si="176"/>
        <v>C</v>
      </c>
      <c r="EW364" s="6">
        <f t="shared" ca="1" si="172"/>
        <v>67</v>
      </c>
      <c r="FO364" s="6"/>
      <c r="FP364" s="11"/>
      <c r="FR364" s="6">
        <v>1</v>
      </c>
      <c r="FS364" s="6">
        <f t="shared" si="173"/>
        <v>1</v>
      </c>
      <c r="FT364" s="6">
        <f t="shared" si="174"/>
        <v>1</v>
      </c>
      <c r="FU364" s="6" t="str">
        <f t="shared" ca="1" si="177"/>
        <v>R1-11</v>
      </c>
      <c r="FV364" s="6" t="str">
        <f t="shared" ca="1" si="175"/>
        <v>R1-12</v>
      </c>
      <c r="FW364" s="6" t="s">
        <v>1095</v>
      </c>
      <c r="FX364" s="6" t="s">
        <v>1096</v>
      </c>
      <c r="FY364" s="6" t="s">
        <v>1095</v>
      </c>
      <c r="FZ364" s="6" t="s">
        <v>1096</v>
      </c>
    </row>
    <row r="365" spans="1:182" ht="15.95" customHeight="1">
      <c r="A365" s="6">
        <v>582</v>
      </c>
      <c r="B365" s="6" t="s">
        <v>653</v>
      </c>
      <c r="E365" s="6" t="s">
        <v>924</v>
      </c>
      <c r="F365" s="6" t="s">
        <v>1635</v>
      </c>
      <c r="G365" s="6" t="s">
        <v>1290</v>
      </c>
      <c r="H365" s="7" t="s">
        <v>1291</v>
      </c>
      <c r="I365" s="7"/>
      <c r="J365" s="6" t="s">
        <v>1199</v>
      </c>
      <c r="K365" s="6" t="s">
        <v>1201</v>
      </c>
      <c r="N365" s="6" t="s">
        <v>1203</v>
      </c>
      <c r="O365" s="6" t="s">
        <v>1205</v>
      </c>
      <c r="R365" s="101">
        <v>0</v>
      </c>
      <c r="Y365" s="6" t="s">
        <v>1636</v>
      </c>
      <c r="Z365" s="6">
        <v>41</v>
      </c>
      <c r="AA365" s="6">
        <v>42</v>
      </c>
      <c r="AD365" s="6" t="s">
        <v>1203</v>
      </c>
      <c r="AE365" s="6" t="s">
        <v>1205</v>
      </c>
      <c r="AG365" s="6" t="s">
        <v>1293</v>
      </c>
      <c r="AY365" s="8" t="s">
        <v>176</v>
      </c>
      <c r="AZ365" s="8" t="s">
        <v>195</v>
      </c>
      <c r="BA365" s="13" t="s">
        <v>643</v>
      </c>
      <c r="BB365" s="13" t="s">
        <v>200</v>
      </c>
      <c r="BC365" s="13">
        <v>59</v>
      </c>
      <c r="BD365" s="13">
        <v>60</v>
      </c>
      <c r="DC365" s="6" t="s">
        <v>644</v>
      </c>
      <c r="DD365" s="6" t="s">
        <v>191</v>
      </c>
      <c r="DH365" s="6" t="str">
        <f t="shared" si="194"/>
        <v>A22</v>
      </c>
      <c r="DI365" s="6" t="str">
        <f t="shared" si="195"/>
        <v>B22</v>
      </c>
      <c r="DK365" s="6" t="s">
        <v>173</v>
      </c>
      <c r="DL365" s="6" t="str">
        <f t="shared" si="196"/>
        <v/>
      </c>
      <c r="DO365" s="9" t="s">
        <v>170</v>
      </c>
      <c r="DP365" s="6" t="s">
        <v>171</v>
      </c>
      <c r="DQ365" s="6" t="s">
        <v>645</v>
      </c>
      <c r="DR365" s="6" t="e">
        <f>#REF!&amp;RIGHT(#REF!,3)</f>
        <v>#REF!</v>
      </c>
      <c r="DS365" s="6" t="str">
        <f t="shared" si="190"/>
        <v>AKB331</v>
      </c>
      <c r="DT365" s="10" t="str">
        <f t="shared" si="191"/>
        <v>FCS0111-5-6/1S–MC–118-R5-CN1</v>
      </c>
      <c r="DU365" s="6" t="str">
        <f t="shared" si="192"/>
        <v/>
      </c>
      <c r="DV365" s="19">
        <v>1</v>
      </c>
      <c r="DW365" s="20" t="str">
        <f t="shared" si="193"/>
        <v>11</v>
      </c>
      <c r="DX365" s="20">
        <v>5</v>
      </c>
      <c r="DY365" s="21">
        <v>6</v>
      </c>
      <c r="DZ365" s="22" t="s">
        <v>204</v>
      </c>
      <c r="EA365" s="23">
        <v>22</v>
      </c>
      <c r="EB365" s="7">
        <v>6</v>
      </c>
      <c r="EC365" s="6">
        <v>1</v>
      </c>
      <c r="EE365" s="9" t="s">
        <v>654</v>
      </c>
      <c r="EF365" s="6" t="s">
        <v>647</v>
      </c>
      <c r="EG365" s="6" t="s">
        <v>647</v>
      </c>
      <c r="EH365" s="6" t="s">
        <v>924</v>
      </c>
      <c r="EI365" s="6" t="s">
        <v>925</v>
      </c>
      <c r="EJ365" s="12">
        <v>8</v>
      </c>
      <c r="EK365" s="12"/>
      <c r="EM365" s="12"/>
      <c r="EN365" s="12" t="s">
        <v>1126</v>
      </c>
      <c r="EP365" s="6" t="s">
        <v>1155</v>
      </c>
      <c r="ER365" s="6" t="str">
        <f>LEFT(EH367,2)&amp;"O"&amp;MID(EH367,4,7)</f>
        <v>UVO40226</v>
      </c>
      <c r="ET365" s="6" t="str">
        <f t="shared" si="171"/>
        <v>짝수</v>
      </c>
      <c r="EU365" s="12">
        <v>80</v>
      </c>
      <c r="EV365" s="45" t="str">
        <f t="shared" ca="1" si="176"/>
        <v>A</v>
      </c>
      <c r="EW365" s="6">
        <f t="shared" ca="1" si="172"/>
        <v>65</v>
      </c>
      <c r="FO365" s="6"/>
      <c r="FP365" s="11"/>
      <c r="FR365" s="6">
        <v>1</v>
      </c>
      <c r="FS365" s="6" t="str">
        <f t="shared" si="173"/>
        <v/>
      </c>
      <c r="FT365" s="6">
        <f t="shared" si="174"/>
        <v>1</v>
      </c>
      <c r="FU365" s="6" t="str">
        <f t="shared" ca="1" si="177"/>
        <v/>
      </c>
      <c r="FV365" s="6" t="str">
        <f t="shared" ca="1" si="175"/>
        <v/>
      </c>
      <c r="FW365" s="6" t="str">
        <f ca="1">IF(AND(FT365=1,FU365=""),DD365&amp;"-11",IF(AND(FT365=1,FU365&lt;&gt;""),DD365&amp;"-21",""))</f>
        <v>R5-11</v>
      </c>
      <c r="FX365" s="6" t="str">
        <f ca="1">IF(AND(FT365=1,FU365=""),DD365&amp;"-12",IF(AND(FT365=1,FU365&lt;&gt;""),DD365&amp;"-22",""))</f>
        <v>R5-12</v>
      </c>
      <c r="FY365" s="6" t="str">
        <f ca="1">IF(AND(FS365="",OFFSET(FS365,0,1)="",DC365="A1BA4D"),"",IF(DC365="A1BD5D",LEFT(FW365,3)&amp;"21",FW365))</f>
        <v>R5-21</v>
      </c>
      <c r="FZ365" s="6" t="str">
        <f ca="1" xml:space="preserve">
IF(AND(FS365="",OFFSET(FS365,0,1)="",DC365="A1BA4D"),"",IF(DC365="A1BD5D",LEFT(FW365,3)&amp;"22",FW365))</f>
        <v>R5-22</v>
      </c>
    </row>
    <row r="366" spans="1:182" ht="15.95" customHeight="1">
      <c r="A366" s="6">
        <v>583</v>
      </c>
      <c r="B366" s="6" t="s">
        <v>653</v>
      </c>
      <c r="E366" s="6" t="s">
        <v>926</v>
      </c>
      <c r="F366" s="6" t="s">
        <v>1637</v>
      </c>
      <c r="G366" s="6" t="s">
        <v>1290</v>
      </c>
      <c r="H366" s="7" t="s">
        <v>1291</v>
      </c>
      <c r="I366" s="7"/>
      <c r="J366" s="6" t="s">
        <v>1199</v>
      </c>
      <c r="K366" s="6" t="s">
        <v>1201</v>
      </c>
      <c r="N366" s="6" t="s">
        <v>1203</v>
      </c>
      <c r="O366" s="6" t="s">
        <v>1205</v>
      </c>
      <c r="R366" s="101" t="s">
        <v>1443</v>
      </c>
      <c r="Y366" s="6" t="s">
        <v>1292</v>
      </c>
      <c r="Z366" s="6">
        <v>39</v>
      </c>
      <c r="AA366" s="6">
        <v>40</v>
      </c>
      <c r="AD366" s="6" t="s">
        <v>1203</v>
      </c>
      <c r="AE366" s="6" t="s">
        <v>1205</v>
      </c>
      <c r="AG366" s="6" t="s">
        <v>1293</v>
      </c>
      <c r="AY366" s="8" t="s">
        <v>176</v>
      </c>
      <c r="AZ366" s="8" t="s">
        <v>195</v>
      </c>
      <c r="BA366" s="13" t="s">
        <v>643</v>
      </c>
      <c r="BB366" s="13" t="s">
        <v>200</v>
      </c>
      <c r="BC366" s="13">
        <v>57</v>
      </c>
      <c r="BD366" s="13">
        <v>58</v>
      </c>
      <c r="DC366" s="6" t="s">
        <v>644</v>
      </c>
      <c r="DD366" s="6" t="s">
        <v>191</v>
      </c>
      <c r="DH366" s="6" t="str">
        <f t="shared" si="194"/>
        <v>A23</v>
      </c>
      <c r="DI366" s="6" t="str">
        <f t="shared" si="195"/>
        <v>B23</v>
      </c>
      <c r="DK366" s="6" t="s">
        <v>173</v>
      </c>
      <c r="DL366" s="6" t="str">
        <f t="shared" si="196"/>
        <v/>
      </c>
      <c r="DO366" s="9" t="s">
        <v>170</v>
      </c>
      <c r="DP366" s="6" t="s">
        <v>171</v>
      </c>
      <c r="DQ366" s="6" t="s">
        <v>645</v>
      </c>
      <c r="DR366" s="6" t="e">
        <f>#REF!&amp;RIGHT(#REF!,3)</f>
        <v>#REF!</v>
      </c>
      <c r="DS366" s="6" t="str">
        <f t="shared" si="190"/>
        <v>AKB331</v>
      </c>
      <c r="DT366" s="10" t="str">
        <f t="shared" si="191"/>
        <v>FCS0111-5-6/1S–MC–118-R5-CN1</v>
      </c>
      <c r="DU366" s="6" t="str">
        <f t="shared" si="192"/>
        <v/>
      </c>
      <c r="DV366" s="19">
        <v>1</v>
      </c>
      <c r="DW366" s="20" t="str">
        <f t="shared" si="193"/>
        <v>11</v>
      </c>
      <c r="DX366" s="20">
        <v>5</v>
      </c>
      <c r="DY366" s="21">
        <v>6</v>
      </c>
      <c r="DZ366" s="22" t="s">
        <v>204</v>
      </c>
      <c r="EA366" s="23">
        <v>23</v>
      </c>
      <c r="EB366" s="7">
        <v>7</v>
      </c>
      <c r="EC366" s="6">
        <v>1</v>
      </c>
      <c r="EE366" s="9" t="s">
        <v>654</v>
      </c>
      <c r="EF366" s="6" t="s">
        <v>647</v>
      </c>
      <c r="EG366" s="6" t="s">
        <v>647</v>
      </c>
      <c r="EH366" s="6" t="s">
        <v>926</v>
      </c>
      <c r="EI366" s="6" t="s">
        <v>925</v>
      </c>
      <c r="EJ366" s="12">
        <v>8</v>
      </c>
      <c r="EK366" s="12"/>
      <c r="EM366" s="12"/>
      <c r="EN366" s="12" t="s">
        <v>1126</v>
      </c>
      <c r="ET366" s="6" t="str">
        <f t="shared" si="171"/>
        <v>짝수</v>
      </c>
      <c r="EU366" s="12">
        <v>80</v>
      </c>
      <c r="EV366" s="45" t="str">
        <f t="shared" ca="1" si="176"/>
        <v>B</v>
      </c>
      <c r="EW366" s="6">
        <f t="shared" ca="1" si="172"/>
        <v>66</v>
      </c>
      <c r="FO366" s="6"/>
      <c r="FP366" s="11"/>
      <c r="FR366" s="6">
        <v>1</v>
      </c>
      <c r="FS366" s="6" t="str">
        <f t="shared" si="173"/>
        <v/>
      </c>
      <c r="FT366" s="6">
        <f t="shared" si="174"/>
        <v>1</v>
      </c>
      <c r="FU366" s="6" t="str">
        <f t="shared" ca="1" si="177"/>
        <v/>
      </c>
      <c r="FV366" s="6" t="str">
        <f t="shared" ca="1" si="175"/>
        <v/>
      </c>
      <c r="FW366" s="6" t="str">
        <f ca="1">IF(AND(FT366=1,FU366=""),DD366&amp;"-11",IF(AND(FT366=1,FU366&lt;&gt;""),DD366&amp;"-21",""))</f>
        <v>R5-11</v>
      </c>
      <c r="FX366" s="6" t="str">
        <f ca="1">IF(AND(FT366=1,FU366=""),DD366&amp;"-12",IF(AND(FT366=1,FU366&lt;&gt;""),DD366&amp;"-22",""))</f>
        <v>R5-12</v>
      </c>
      <c r="FY366" s="6" t="str">
        <f ca="1">IF(AND(FS366="",OFFSET(FS366,0,1)="",DC366="A1BA4D"),"",IF(DC366="A1BD5D",LEFT(FW366,3)&amp;"21",FW366))</f>
        <v>R5-21</v>
      </c>
      <c r="FZ366" s="6" t="str">
        <f ca="1" xml:space="preserve">
IF(AND(FS366="",OFFSET(FS366,0,1)="",DC366="A1BA4D"),"",IF(DC366="A1BD5D",LEFT(FW366,3)&amp;"22",FW366))</f>
        <v>R5-22</v>
      </c>
    </row>
    <row r="367" spans="1:182" ht="15.95" customHeight="1">
      <c r="A367" s="6">
        <v>795</v>
      </c>
      <c r="B367" s="6" t="s">
        <v>694</v>
      </c>
      <c r="E367" s="6" t="s">
        <v>1002</v>
      </c>
      <c r="F367" s="6" t="s">
        <v>1210</v>
      </c>
      <c r="G367" s="6" t="s">
        <v>1290</v>
      </c>
      <c r="H367" s="7" t="s">
        <v>1291</v>
      </c>
      <c r="I367" s="7"/>
      <c r="J367" s="6" t="s">
        <v>1199</v>
      </c>
      <c r="K367" s="6" t="s">
        <v>1201</v>
      </c>
      <c r="N367" s="6" t="s">
        <v>1203</v>
      </c>
      <c r="O367" s="6" t="s">
        <v>1205</v>
      </c>
      <c r="R367" s="101" t="s">
        <v>1592</v>
      </c>
      <c r="Y367" s="6" t="s">
        <v>1593</v>
      </c>
      <c r="Z367" s="6">
        <v>19</v>
      </c>
      <c r="AA367" s="6">
        <v>20</v>
      </c>
      <c r="AD367" s="6" t="s">
        <v>1203</v>
      </c>
      <c r="AE367" s="6" t="s">
        <v>1205</v>
      </c>
      <c r="AG367" s="6" t="s">
        <v>1594</v>
      </c>
      <c r="AY367" s="8" t="s">
        <v>176</v>
      </c>
      <c r="AZ367" s="8" t="s">
        <v>195</v>
      </c>
      <c r="BA367" s="13" t="s">
        <v>670</v>
      </c>
      <c r="BB367" s="13" t="s">
        <v>200</v>
      </c>
      <c r="BC367" s="13">
        <v>19</v>
      </c>
      <c r="BD367" s="13">
        <v>20</v>
      </c>
      <c r="DC367" s="6" t="s">
        <v>992</v>
      </c>
      <c r="DD367" s="6" t="s">
        <v>187</v>
      </c>
      <c r="DH367" s="6" t="str">
        <f>"A"&amp;EA367</f>
        <v>A11</v>
      </c>
      <c r="DI367" s="6" t="str">
        <f>"B"&amp;EA367</f>
        <v>B11</v>
      </c>
      <c r="DK367" s="6" t="s">
        <v>173</v>
      </c>
      <c r="DL367" s="6" t="str">
        <f>IF(DZ367&lt;&gt;"","CN2","")</f>
        <v>CN2</v>
      </c>
      <c r="DO367" s="9" t="s">
        <v>170</v>
      </c>
      <c r="DP367" s="6" t="s">
        <v>171</v>
      </c>
      <c r="DQ367" s="6" t="s">
        <v>645</v>
      </c>
      <c r="DR367" s="6" t="e">
        <f>#REF!&amp;RIGHT(#REF!,3)</f>
        <v>#REF!</v>
      </c>
      <c r="DS367" s="6" t="str">
        <f>IF(MID(EF367,2,1)="A","KS1","AKB331")</f>
        <v>AKB331</v>
      </c>
      <c r="DT367" s="10" t="str">
        <f>DQ367&amp;"-"&amp;DX367&amp;"-"&amp;DY367&amp;"/"&amp;BA367&amp;"-"&amp;DD367&amp;"-"&amp;DK367</f>
        <v>FCS0111-7-7/1S–MC–120-R1-CN1</v>
      </c>
      <c r="DU367" s="6" t="str">
        <f>IF(DL367="","",DQ367&amp;"-"&amp;DX367&amp;"-"&amp;DY367&amp;"/"&amp;BA367&amp;"-"&amp;DD367&amp;"-"&amp;DL367)</f>
        <v>FCS0111-7-7/1S–MC–120-R1-CN2</v>
      </c>
      <c r="DV367" s="19">
        <v>1</v>
      </c>
      <c r="DW367" s="20" t="str">
        <f>RIGHT(DQ367,2)</f>
        <v>11</v>
      </c>
      <c r="DX367" s="20">
        <v>7</v>
      </c>
      <c r="DY367" s="21">
        <v>7</v>
      </c>
      <c r="DZ367" s="22">
        <v>8</v>
      </c>
      <c r="EA367" s="23">
        <v>11</v>
      </c>
      <c r="EB367" s="7">
        <v>27</v>
      </c>
      <c r="EE367" s="9" t="s">
        <v>693</v>
      </c>
      <c r="EF367" s="6" t="s">
        <v>672</v>
      </c>
      <c r="EG367" s="6" t="s">
        <v>647</v>
      </c>
      <c r="EH367" s="6" t="s">
        <v>1002</v>
      </c>
      <c r="EI367" s="6" t="s">
        <v>925</v>
      </c>
      <c r="EJ367" s="12">
        <v>8</v>
      </c>
      <c r="EK367" s="12"/>
      <c r="EM367" s="12"/>
      <c r="EN367" s="12" t="s">
        <v>1126</v>
      </c>
      <c r="ET367" s="6" t="str">
        <f t="shared" si="171"/>
        <v>짝수</v>
      </c>
      <c r="EU367" s="12">
        <v>80</v>
      </c>
      <c r="EV367" s="45" t="str">
        <f t="shared" ca="1" si="176"/>
        <v>C</v>
      </c>
      <c r="EW367" s="6">
        <f t="shared" ca="1" si="172"/>
        <v>67</v>
      </c>
      <c r="FO367" s="6"/>
      <c r="FP367" s="11"/>
      <c r="FR367" s="6">
        <v>1</v>
      </c>
      <c r="FS367" s="6">
        <f t="shared" si="173"/>
        <v>1</v>
      </c>
      <c r="FT367" s="6">
        <f t="shared" si="174"/>
        <v>1</v>
      </c>
      <c r="FU367" s="6" t="str">
        <f t="shared" ca="1" si="177"/>
        <v>R1-11</v>
      </c>
      <c r="FV367" s="6" t="str">
        <f t="shared" ca="1" si="175"/>
        <v>R1-12</v>
      </c>
      <c r="FW367" s="6" t="s">
        <v>1095</v>
      </c>
      <c r="FX367" s="6" t="s">
        <v>1096</v>
      </c>
      <c r="FY367" s="6" t="s">
        <v>1095</v>
      </c>
      <c r="FZ367" s="6" t="s">
        <v>1096</v>
      </c>
    </row>
    <row r="368" spans="1:182" ht="15.95" customHeight="1">
      <c r="A368" s="6">
        <v>625</v>
      </c>
      <c r="B368" s="6" t="s">
        <v>653</v>
      </c>
      <c r="E368" s="13" t="s">
        <v>567</v>
      </c>
      <c r="F368" s="6" t="s">
        <v>1638</v>
      </c>
      <c r="G368" s="6" t="s">
        <v>1218</v>
      </c>
      <c r="H368" s="7" t="s">
        <v>1219</v>
      </c>
      <c r="I368" s="7"/>
      <c r="J368" s="6" t="s">
        <v>1199</v>
      </c>
      <c r="K368" s="6" t="s">
        <v>1201</v>
      </c>
      <c r="N368" s="6" t="s">
        <v>1203</v>
      </c>
      <c r="O368" s="6" t="s">
        <v>1205</v>
      </c>
      <c r="R368" s="101" t="s">
        <v>1220</v>
      </c>
      <c r="Y368" s="6" t="s">
        <v>1249</v>
      </c>
      <c r="Z368" s="6">
        <v>7</v>
      </c>
      <c r="AA368" s="6">
        <v>8</v>
      </c>
      <c r="AD368" s="6" t="s">
        <v>1203</v>
      </c>
      <c r="AE368" s="6" t="s">
        <v>1205</v>
      </c>
      <c r="AG368" s="6" t="s">
        <v>1250</v>
      </c>
      <c r="AY368" s="8" t="s">
        <v>176</v>
      </c>
      <c r="AZ368" s="8" t="s">
        <v>195</v>
      </c>
      <c r="BA368" s="13" t="s">
        <v>197</v>
      </c>
      <c r="BB368" s="13" t="s">
        <v>8</v>
      </c>
      <c r="BC368" s="13">
        <v>31</v>
      </c>
      <c r="BD368" s="13">
        <v>32</v>
      </c>
      <c r="DC368" s="6" t="s">
        <v>169</v>
      </c>
      <c r="DD368" s="6" t="s">
        <v>184</v>
      </c>
      <c r="DH368" s="6" t="str">
        <f t="shared" si="194"/>
        <v>A1</v>
      </c>
      <c r="DI368" s="6" t="str">
        <f t="shared" si="195"/>
        <v>B1</v>
      </c>
      <c r="DK368" s="6" t="s">
        <v>173</v>
      </c>
      <c r="DL368" s="6" t="str">
        <f t="shared" si="196"/>
        <v/>
      </c>
      <c r="DO368" s="9" t="s">
        <v>170</v>
      </c>
      <c r="DP368" s="6" t="s">
        <v>171</v>
      </c>
      <c r="DQ368" s="6" t="s">
        <v>645</v>
      </c>
      <c r="DR368" s="6" t="e">
        <f>#REF!&amp;RIGHT(#REF!,3)</f>
        <v>#REF!</v>
      </c>
      <c r="DS368" s="6" t="str">
        <f t="shared" si="190"/>
        <v>KS1</v>
      </c>
      <c r="DT368" s="10" t="str">
        <f t="shared" si="191"/>
        <v>FCS0111-6-1/1S–MC–107-F13-CN1</v>
      </c>
      <c r="DU368" s="6" t="str">
        <f t="shared" si="192"/>
        <v/>
      </c>
      <c r="DV368" s="19">
        <v>1</v>
      </c>
      <c r="DW368" s="20" t="str">
        <f t="shared" si="193"/>
        <v>11</v>
      </c>
      <c r="DX368" s="20">
        <v>6</v>
      </c>
      <c r="DY368" s="21">
        <v>1</v>
      </c>
      <c r="DZ368" s="22" t="s">
        <v>204</v>
      </c>
      <c r="EA368" s="23">
        <v>1</v>
      </c>
      <c r="EB368" s="7">
        <v>17</v>
      </c>
      <c r="EE368" s="9" t="s">
        <v>654</v>
      </c>
      <c r="EF368" s="6" t="s">
        <v>172</v>
      </c>
      <c r="EG368" s="6" t="s">
        <v>672</v>
      </c>
      <c r="EH368" s="6" t="s">
        <v>303</v>
      </c>
      <c r="EI368" s="6" t="s">
        <v>439</v>
      </c>
      <c r="EJ368" s="12">
        <v>100</v>
      </c>
      <c r="EL368" s="6"/>
      <c r="EM368" s="12"/>
      <c r="EN368" s="6" t="s">
        <v>1124</v>
      </c>
      <c r="EP368" s="6" t="s">
        <v>1148</v>
      </c>
      <c r="ET368" s="6" t="str">
        <f t="shared" si="171"/>
        <v>짝수</v>
      </c>
      <c r="EU368" s="12">
        <v>80</v>
      </c>
      <c r="EV368" s="45" t="str">
        <f t="shared" ca="1" si="176"/>
        <v>D</v>
      </c>
      <c r="EW368" s="6">
        <f t="shared" ca="1" si="172"/>
        <v>68</v>
      </c>
      <c r="FO368" s="6"/>
      <c r="FP368" s="11"/>
      <c r="FR368" s="6">
        <v>1</v>
      </c>
      <c r="FS368" s="6" t="str">
        <f t="shared" si="173"/>
        <v/>
      </c>
      <c r="FT368" s="6" t="str">
        <f t="shared" si="174"/>
        <v/>
      </c>
      <c r="FU368" s="6" t="str">
        <f t="shared" ca="1" si="177"/>
        <v/>
      </c>
      <c r="FV368" s="6" t="str">
        <f t="shared" ca="1" si="175"/>
        <v/>
      </c>
      <c r="FW368" s="6" t="str">
        <f t="shared" ref="FW368:FW387" ca="1" si="197">IF(AND(FT368=1,FU368=""),DD368&amp;"-11",IF(AND(FT368=1,FU368&lt;&gt;""),DD368&amp;"-21",""))</f>
        <v/>
      </c>
      <c r="FX368" s="6" t="str">
        <f t="shared" ref="FX368:FX387" ca="1" si="198">IF(AND(FT368=1,FU368=""),DD368&amp;"-12",IF(AND(FT368=1,FU368&lt;&gt;""),DD368&amp;"-22",""))</f>
        <v/>
      </c>
      <c r="FY368" s="6" t="str">
        <f t="shared" ref="FY368:FY387" ca="1" si="199">IF(AND(FS368="",OFFSET(FS368,0,1)="",DC368="A1BA4D"),"",IF(DC368="A1BD5D",LEFT(FW368,3)&amp;"21",FW368))</f>
        <v/>
      </c>
      <c r="FZ368" s="6" t="str">
        <f t="shared" ref="FZ368:FZ387" ca="1" si="200" xml:space="preserve">
IF(AND(FS368="",OFFSET(FS368,0,1)="",DC368="A1BA4D"),"",IF(DC368="A1BD5D",LEFT(FW368,3)&amp;"22",FW368))</f>
        <v/>
      </c>
    </row>
    <row r="369" spans="1:182" ht="15.95" customHeight="1">
      <c r="A369" s="6">
        <v>628</v>
      </c>
      <c r="B369" s="6" t="s">
        <v>653</v>
      </c>
      <c r="E369" s="6" t="s">
        <v>570</v>
      </c>
      <c r="F369" s="6" t="s">
        <v>1639</v>
      </c>
      <c r="G369" s="6" t="s">
        <v>1218</v>
      </c>
      <c r="H369" s="7" t="s">
        <v>1219</v>
      </c>
      <c r="I369" s="7"/>
      <c r="J369" s="6" t="s">
        <v>1199</v>
      </c>
      <c r="K369" s="6" t="s">
        <v>1201</v>
      </c>
      <c r="N369" s="6" t="s">
        <v>1203</v>
      </c>
      <c r="O369" s="6" t="s">
        <v>1205</v>
      </c>
      <c r="R369" s="101" t="s">
        <v>1220</v>
      </c>
      <c r="Y369" s="6" t="s">
        <v>1278</v>
      </c>
      <c r="Z369" s="6">
        <v>15</v>
      </c>
      <c r="AA369" s="6">
        <v>16</v>
      </c>
      <c r="AD369" s="6" t="s">
        <v>1203</v>
      </c>
      <c r="AE369" s="6" t="s">
        <v>1205</v>
      </c>
      <c r="AG369" s="6" t="s">
        <v>1279</v>
      </c>
      <c r="AY369" s="8" t="s">
        <v>176</v>
      </c>
      <c r="AZ369" s="8" t="s">
        <v>195</v>
      </c>
      <c r="BA369" s="13" t="s">
        <v>197</v>
      </c>
      <c r="BB369" s="13" t="s">
        <v>8</v>
      </c>
      <c r="BC369" s="13">
        <v>69</v>
      </c>
      <c r="BD369" s="13">
        <v>70</v>
      </c>
      <c r="DC369" s="6" t="s">
        <v>169</v>
      </c>
      <c r="DD369" s="6" t="s">
        <v>184</v>
      </c>
      <c r="DH369" s="6" t="str">
        <f t="shared" si="194"/>
        <v>A4</v>
      </c>
      <c r="DI369" s="6" t="str">
        <f t="shared" si="195"/>
        <v>B4</v>
      </c>
      <c r="DK369" s="6" t="s">
        <v>173</v>
      </c>
      <c r="DL369" s="6" t="str">
        <f t="shared" si="196"/>
        <v/>
      </c>
      <c r="DO369" s="9" t="s">
        <v>170</v>
      </c>
      <c r="DP369" s="6" t="s">
        <v>171</v>
      </c>
      <c r="DQ369" s="6" t="s">
        <v>645</v>
      </c>
      <c r="DR369" s="6" t="e">
        <f>#REF!&amp;RIGHT(#REF!,3)</f>
        <v>#REF!</v>
      </c>
      <c r="DS369" s="6" t="str">
        <f t="shared" si="190"/>
        <v>KS1</v>
      </c>
      <c r="DT369" s="10" t="str">
        <f t="shared" si="191"/>
        <v>FCS0111-6-1/1S–MC–107-F13-CN1</v>
      </c>
      <c r="DU369" s="6" t="str">
        <f t="shared" si="192"/>
        <v/>
      </c>
      <c r="DV369" s="19">
        <v>1</v>
      </c>
      <c r="DW369" s="20" t="str">
        <f t="shared" si="193"/>
        <v>11</v>
      </c>
      <c r="DX369" s="20">
        <v>6</v>
      </c>
      <c r="DY369" s="21">
        <v>1</v>
      </c>
      <c r="DZ369" s="22" t="s">
        <v>204</v>
      </c>
      <c r="EA369" s="23">
        <v>4</v>
      </c>
      <c r="EB369" s="7">
        <v>20</v>
      </c>
      <c r="EE369" s="9" t="s">
        <v>654</v>
      </c>
      <c r="EF369" s="6" t="s">
        <v>172</v>
      </c>
      <c r="EG369" s="6" t="s">
        <v>672</v>
      </c>
      <c r="EH369" s="6" t="s">
        <v>306</v>
      </c>
      <c r="EI369" s="6" t="s">
        <v>395</v>
      </c>
      <c r="EJ369" s="12">
        <v>100</v>
      </c>
      <c r="EL369" s="6"/>
      <c r="EM369" s="12"/>
      <c r="EN369" s="6" t="s">
        <v>1124</v>
      </c>
      <c r="EP369" s="6" t="s">
        <v>1148</v>
      </c>
      <c r="ET369" s="6" t="str">
        <f t="shared" si="171"/>
        <v>홀수</v>
      </c>
      <c r="EU369" s="12">
        <v>81</v>
      </c>
      <c r="EV369" s="45" t="str">
        <f t="shared" ca="1" si="176"/>
        <v>A</v>
      </c>
      <c r="EW369" s="6">
        <f t="shared" ca="1" si="172"/>
        <v>65</v>
      </c>
      <c r="FO369" s="6"/>
      <c r="FP369" s="11"/>
      <c r="FR369" s="6">
        <v>1</v>
      </c>
      <c r="FS369" s="6" t="str">
        <f t="shared" si="173"/>
        <v/>
      </c>
      <c r="FT369" s="6" t="str">
        <f t="shared" si="174"/>
        <v/>
      </c>
      <c r="FU369" s="6" t="str">
        <f t="shared" ca="1" si="177"/>
        <v/>
      </c>
      <c r="FV369" s="6" t="str">
        <f t="shared" ca="1" si="175"/>
        <v/>
      </c>
      <c r="FW369" s="6" t="str">
        <f t="shared" ca="1" si="197"/>
        <v/>
      </c>
      <c r="FX369" s="6" t="str">
        <f t="shared" ca="1" si="198"/>
        <v/>
      </c>
      <c r="FY369" s="6" t="str">
        <f t="shared" ca="1" si="199"/>
        <v/>
      </c>
      <c r="FZ369" s="6" t="str">
        <f t="shared" ca="1" si="200"/>
        <v/>
      </c>
    </row>
    <row r="370" spans="1:182" ht="15.95" customHeight="1">
      <c r="A370" s="6">
        <v>629</v>
      </c>
      <c r="B370" s="6" t="s">
        <v>653</v>
      </c>
      <c r="E370" s="6" t="s">
        <v>571</v>
      </c>
      <c r="F370" s="6" t="s">
        <v>1640</v>
      </c>
      <c r="G370" s="6" t="s">
        <v>1218</v>
      </c>
      <c r="H370" s="7" t="s">
        <v>1219</v>
      </c>
      <c r="I370" s="7"/>
      <c r="J370" s="6" t="s">
        <v>1199</v>
      </c>
      <c r="K370" s="6" t="s">
        <v>1201</v>
      </c>
      <c r="N370" s="6" t="s">
        <v>1203</v>
      </c>
      <c r="O370" s="6" t="s">
        <v>1205</v>
      </c>
      <c r="R370" s="101" t="s">
        <v>1220</v>
      </c>
      <c r="Y370" s="6" t="s">
        <v>1278</v>
      </c>
      <c r="Z370" s="6">
        <v>17</v>
      </c>
      <c r="AA370" s="6">
        <v>18</v>
      </c>
      <c r="AD370" s="6" t="s">
        <v>1203</v>
      </c>
      <c r="AE370" s="6" t="s">
        <v>1205</v>
      </c>
      <c r="AG370" s="6" t="s">
        <v>1279</v>
      </c>
      <c r="AY370" s="8" t="s">
        <v>176</v>
      </c>
      <c r="AZ370" s="8" t="s">
        <v>195</v>
      </c>
      <c r="BA370" s="13" t="s">
        <v>197</v>
      </c>
      <c r="BB370" s="13" t="s">
        <v>8</v>
      </c>
      <c r="BC370" s="13">
        <v>71</v>
      </c>
      <c r="BD370" s="13">
        <v>72</v>
      </c>
      <c r="DC370" s="6" t="s">
        <v>169</v>
      </c>
      <c r="DD370" s="6" t="s">
        <v>184</v>
      </c>
      <c r="DH370" s="6" t="str">
        <f t="shared" si="194"/>
        <v>A5</v>
      </c>
      <c r="DI370" s="6" t="str">
        <f t="shared" si="195"/>
        <v>B5</v>
      </c>
      <c r="DK370" s="6" t="s">
        <v>173</v>
      </c>
      <c r="DL370" s="6" t="str">
        <f t="shared" si="196"/>
        <v/>
      </c>
      <c r="DO370" s="9" t="s">
        <v>170</v>
      </c>
      <c r="DP370" s="6" t="s">
        <v>171</v>
      </c>
      <c r="DQ370" s="6" t="s">
        <v>645</v>
      </c>
      <c r="DR370" s="6" t="e">
        <f>#REF!&amp;RIGHT(#REF!,3)</f>
        <v>#REF!</v>
      </c>
      <c r="DS370" s="6" t="str">
        <f t="shared" si="190"/>
        <v>KS1</v>
      </c>
      <c r="DT370" s="10" t="str">
        <f t="shared" si="191"/>
        <v>FCS0111-6-1/1S–MC–107-F13-CN1</v>
      </c>
      <c r="DU370" s="6" t="str">
        <f t="shared" si="192"/>
        <v/>
      </c>
      <c r="DV370" s="19">
        <v>1</v>
      </c>
      <c r="DW370" s="20" t="str">
        <f t="shared" si="193"/>
        <v>11</v>
      </c>
      <c r="DX370" s="20">
        <v>6</v>
      </c>
      <c r="DY370" s="21">
        <v>1</v>
      </c>
      <c r="DZ370" s="22" t="s">
        <v>204</v>
      </c>
      <c r="EA370" s="23">
        <v>5</v>
      </c>
      <c r="EB370" s="7">
        <v>21</v>
      </c>
      <c r="EE370" s="9" t="s">
        <v>654</v>
      </c>
      <c r="EF370" s="6" t="s">
        <v>172</v>
      </c>
      <c r="EG370" s="6" t="s">
        <v>672</v>
      </c>
      <c r="EH370" s="6" t="s">
        <v>307</v>
      </c>
      <c r="EI370" s="6" t="s">
        <v>440</v>
      </c>
      <c r="EJ370" s="12">
        <v>100</v>
      </c>
      <c r="EL370" s="6"/>
      <c r="EM370" s="12"/>
      <c r="EN370" s="6" t="s">
        <v>1124</v>
      </c>
      <c r="EP370" s="6" t="s">
        <v>1148</v>
      </c>
      <c r="ET370" s="6" t="str">
        <f t="shared" si="171"/>
        <v>홀수</v>
      </c>
      <c r="EU370" s="12">
        <v>81</v>
      </c>
      <c r="EV370" s="45" t="str">
        <f t="shared" ca="1" si="176"/>
        <v>B</v>
      </c>
      <c r="EW370" s="6">
        <f t="shared" ca="1" si="172"/>
        <v>66</v>
      </c>
      <c r="FO370" s="6"/>
      <c r="FP370" s="11"/>
      <c r="FR370" s="6">
        <v>1</v>
      </c>
      <c r="FS370" s="6" t="str">
        <f t="shared" si="173"/>
        <v/>
      </c>
      <c r="FT370" s="6" t="str">
        <f t="shared" si="174"/>
        <v/>
      </c>
      <c r="FU370" s="6" t="str">
        <f t="shared" ca="1" si="177"/>
        <v/>
      </c>
      <c r="FV370" s="6" t="str">
        <f t="shared" ca="1" si="175"/>
        <v/>
      </c>
      <c r="FW370" s="6" t="str">
        <f t="shared" ca="1" si="197"/>
        <v/>
      </c>
      <c r="FX370" s="6" t="str">
        <f t="shared" ca="1" si="198"/>
        <v/>
      </c>
      <c r="FY370" s="6" t="str">
        <f t="shared" ca="1" si="199"/>
        <v/>
      </c>
      <c r="FZ370" s="6" t="str">
        <f t="shared" ca="1" si="200"/>
        <v/>
      </c>
    </row>
    <row r="371" spans="1:182" ht="15.95" customHeight="1">
      <c r="A371" s="6">
        <v>630</v>
      </c>
      <c r="B371" s="6" t="s">
        <v>653</v>
      </c>
      <c r="E371" s="6" t="s">
        <v>572</v>
      </c>
      <c r="F371" s="6" t="s">
        <v>1641</v>
      </c>
      <c r="G371" s="6" t="s">
        <v>1218</v>
      </c>
      <c r="H371" s="7" t="s">
        <v>1219</v>
      </c>
      <c r="I371" s="7"/>
      <c r="J371" s="6" t="s">
        <v>1199</v>
      </c>
      <c r="K371" s="6" t="s">
        <v>1201</v>
      </c>
      <c r="N371" s="6" t="s">
        <v>1203</v>
      </c>
      <c r="O371" s="6" t="s">
        <v>1205</v>
      </c>
      <c r="R371" s="101" t="s">
        <v>1220</v>
      </c>
      <c r="Y371" s="6" t="s">
        <v>1249</v>
      </c>
      <c r="Z371" s="6">
        <v>9</v>
      </c>
      <c r="AA371" s="6">
        <v>10</v>
      </c>
      <c r="AD371" s="6" t="s">
        <v>1203</v>
      </c>
      <c r="AE371" s="6" t="s">
        <v>1205</v>
      </c>
      <c r="AG371" s="6" t="s">
        <v>1250</v>
      </c>
      <c r="AY371" s="8" t="s">
        <v>176</v>
      </c>
      <c r="AZ371" s="8" t="s">
        <v>195</v>
      </c>
      <c r="BA371" s="13" t="s">
        <v>197</v>
      </c>
      <c r="BB371" s="13" t="s">
        <v>8</v>
      </c>
      <c r="BC371" s="13">
        <v>35</v>
      </c>
      <c r="BD371" s="13">
        <v>36</v>
      </c>
      <c r="DC371" s="6" t="s">
        <v>169</v>
      </c>
      <c r="DD371" s="6" t="s">
        <v>184</v>
      </c>
      <c r="DH371" s="6" t="str">
        <f t="shared" si="194"/>
        <v>A6</v>
      </c>
      <c r="DI371" s="6" t="str">
        <f t="shared" si="195"/>
        <v>B6</v>
      </c>
      <c r="DK371" s="6" t="s">
        <v>173</v>
      </c>
      <c r="DL371" s="6" t="str">
        <f t="shared" si="196"/>
        <v/>
      </c>
      <c r="DO371" s="9" t="s">
        <v>170</v>
      </c>
      <c r="DP371" s="6" t="s">
        <v>171</v>
      </c>
      <c r="DQ371" s="6" t="s">
        <v>645</v>
      </c>
      <c r="DR371" s="6" t="e">
        <f>#REF!&amp;RIGHT(#REF!,3)</f>
        <v>#REF!</v>
      </c>
      <c r="DS371" s="6" t="str">
        <f t="shared" si="190"/>
        <v>KS1</v>
      </c>
      <c r="DT371" s="10" t="str">
        <f t="shared" si="191"/>
        <v>FCS0111-6-1/1S–MC–107-F13-CN1</v>
      </c>
      <c r="DU371" s="6" t="str">
        <f t="shared" si="192"/>
        <v/>
      </c>
      <c r="DV371" s="19">
        <v>1</v>
      </c>
      <c r="DW371" s="20" t="str">
        <f t="shared" si="193"/>
        <v>11</v>
      </c>
      <c r="DX371" s="20">
        <v>6</v>
      </c>
      <c r="DY371" s="21">
        <v>1</v>
      </c>
      <c r="DZ371" s="22" t="s">
        <v>204</v>
      </c>
      <c r="EA371" s="23">
        <v>6</v>
      </c>
      <c r="EB371" s="7">
        <v>22</v>
      </c>
      <c r="EE371" s="9" t="s">
        <v>654</v>
      </c>
      <c r="EF371" s="6" t="s">
        <v>172</v>
      </c>
      <c r="EG371" s="6" t="s">
        <v>672</v>
      </c>
      <c r="EH371" s="6" t="s">
        <v>308</v>
      </c>
      <c r="EI371" s="6" t="s">
        <v>414</v>
      </c>
      <c r="EJ371" s="12">
        <v>100</v>
      </c>
      <c r="EL371" s="6"/>
      <c r="EM371" s="12"/>
      <c r="EN371" s="6" t="s">
        <v>1124</v>
      </c>
      <c r="EP371" s="6" t="s">
        <v>1148</v>
      </c>
      <c r="ET371" s="6" t="str">
        <f t="shared" si="171"/>
        <v>홀수</v>
      </c>
      <c r="EU371" s="12">
        <v>81</v>
      </c>
      <c r="EV371" s="45" t="str">
        <f t="shared" ca="1" si="176"/>
        <v>C</v>
      </c>
      <c r="EW371" s="6">
        <f t="shared" ca="1" si="172"/>
        <v>67</v>
      </c>
      <c r="FO371" s="6"/>
      <c r="FP371" s="11"/>
      <c r="FR371" s="6">
        <v>1</v>
      </c>
      <c r="FS371" s="6" t="str">
        <f t="shared" si="173"/>
        <v/>
      </c>
      <c r="FT371" s="6" t="str">
        <f t="shared" si="174"/>
        <v/>
      </c>
      <c r="FU371" s="6" t="str">
        <f t="shared" ca="1" si="177"/>
        <v/>
      </c>
      <c r="FV371" s="6" t="str">
        <f t="shared" ca="1" si="175"/>
        <v/>
      </c>
      <c r="FW371" s="6" t="str">
        <f t="shared" ca="1" si="197"/>
        <v/>
      </c>
      <c r="FX371" s="6" t="str">
        <f t="shared" ca="1" si="198"/>
        <v/>
      </c>
      <c r="FY371" s="6" t="str">
        <f t="shared" ca="1" si="199"/>
        <v/>
      </c>
      <c r="FZ371" s="6" t="str">
        <f t="shared" ca="1" si="200"/>
        <v/>
      </c>
    </row>
    <row r="372" spans="1:182" ht="15.95" customHeight="1">
      <c r="A372" s="6">
        <v>633</v>
      </c>
      <c r="B372" s="6" t="s">
        <v>653</v>
      </c>
      <c r="E372" s="6" t="s">
        <v>575</v>
      </c>
      <c r="F372" s="6" t="s">
        <v>1642</v>
      </c>
      <c r="G372" s="6" t="s">
        <v>1218</v>
      </c>
      <c r="H372" s="7" t="s">
        <v>1219</v>
      </c>
      <c r="I372" s="7"/>
      <c r="J372" s="6" t="s">
        <v>1199</v>
      </c>
      <c r="K372" s="6" t="s">
        <v>1201</v>
      </c>
      <c r="N372" s="6" t="s">
        <v>1203</v>
      </c>
      <c r="O372" s="6" t="s">
        <v>1205</v>
      </c>
      <c r="R372" s="101" t="s">
        <v>1220</v>
      </c>
      <c r="Y372" s="6" t="s">
        <v>1283</v>
      </c>
      <c r="Z372" s="6">
        <v>19</v>
      </c>
      <c r="AA372" s="6">
        <v>20</v>
      </c>
      <c r="AD372" s="6" t="s">
        <v>1203</v>
      </c>
      <c r="AE372" s="6" t="s">
        <v>1205</v>
      </c>
      <c r="AG372" s="6" t="s">
        <v>1284</v>
      </c>
      <c r="AY372" s="8" t="s">
        <v>176</v>
      </c>
      <c r="AZ372" s="8" t="s">
        <v>195</v>
      </c>
      <c r="BA372" s="13" t="s">
        <v>197</v>
      </c>
      <c r="BB372" s="13" t="s">
        <v>7</v>
      </c>
      <c r="BC372" s="13">
        <v>27</v>
      </c>
      <c r="BD372" s="13">
        <v>28</v>
      </c>
      <c r="DC372" s="6" t="s">
        <v>169</v>
      </c>
      <c r="DD372" s="6" t="s">
        <v>184</v>
      </c>
      <c r="DH372" s="6" t="str">
        <f t="shared" si="194"/>
        <v>A9</v>
      </c>
      <c r="DI372" s="6" t="str">
        <f t="shared" si="195"/>
        <v>B9</v>
      </c>
      <c r="DK372" s="6" t="s">
        <v>173</v>
      </c>
      <c r="DL372" s="6" t="str">
        <f t="shared" si="196"/>
        <v/>
      </c>
      <c r="DO372" s="9" t="s">
        <v>170</v>
      </c>
      <c r="DP372" s="6" t="s">
        <v>171</v>
      </c>
      <c r="DQ372" s="6" t="s">
        <v>645</v>
      </c>
      <c r="DR372" s="6" t="e">
        <f>#REF!&amp;RIGHT(#REF!,3)</f>
        <v>#REF!</v>
      </c>
      <c r="DS372" s="6" t="str">
        <f t="shared" si="190"/>
        <v>KS1</v>
      </c>
      <c r="DT372" s="10" t="str">
        <f t="shared" si="191"/>
        <v>FCS0111-6-1/1S–MC–107-F13-CN1</v>
      </c>
      <c r="DU372" s="6" t="str">
        <f t="shared" si="192"/>
        <v/>
      </c>
      <c r="DV372" s="19">
        <v>1</v>
      </c>
      <c r="DW372" s="20" t="str">
        <f t="shared" si="193"/>
        <v>11</v>
      </c>
      <c r="DX372" s="20">
        <v>6</v>
      </c>
      <c r="DY372" s="21">
        <v>1</v>
      </c>
      <c r="DZ372" s="22" t="s">
        <v>204</v>
      </c>
      <c r="EA372" s="23">
        <v>9</v>
      </c>
      <c r="EB372" s="7">
        <v>25</v>
      </c>
      <c r="EE372" s="9" t="s">
        <v>654</v>
      </c>
      <c r="EF372" s="6" t="s">
        <v>172</v>
      </c>
      <c r="EG372" s="6" t="s">
        <v>672</v>
      </c>
      <c r="EH372" s="6" t="s">
        <v>311</v>
      </c>
      <c r="EI372" s="6" t="s">
        <v>397</v>
      </c>
      <c r="EJ372" s="12">
        <v>100</v>
      </c>
      <c r="EL372" s="6"/>
      <c r="EM372" s="12"/>
      <c r="EN372" s="6" t="s">
        <v>1124</v>
      </c>
      <c r="EP372" s="6" t="s">
        <v>1148</v>
      </c>
      <c r="ET372" s="6" t="str">
        <f t="shared" si="171"/>
        <v>홀수</v>
      </c>
      <c r="EU372" s="12">
        <v>81</v>
      </c>
      <c r="EV372" s="45" t="str">
        <f t="shared" ca="1" si="176"/>
        <v>D</v>
      </c>
      <c r="EW372" s="6">
        <f t="shared" ca="1" si="172"/>
        <v>68</v>
      </c>
      <c r="FO372" s="6"/>
      <c r="FP372" s="11"/>
      <c r="FR372" s="6">
        <v>1</v>
      </c>
      <c r="FS372" s="6" t="str">
        <f t="shared" si="173"/>
        <v/>
      </c>
      <c r="FT372" s="6" t="str">
        <f t="shared" si="174"/>
        <v/>
      </c>
      <c r="FU372" s="6" t="str">
        <f t="shared" ca="1" si="177"/>
        <v/>
      </c>
      <c r="FV372" s="6" t="str">
        <f t="shared" ca="1" si="175"/>
        <v/>
      </c>
      <c r="FW372" s="6" t="str">
        <f t="shared" ca="1" si="197"/>
        <v/>
      </c>
      <c r="FX372" s="6" t="str">
        <f t="shared" ca="1" si="198"/>
        <v/>
      </c>
      <c r="FY372" s="6" t="str">
        <f t="shared" ca="1" si="199"/>
        <v/>
      </c>
      <c r="FZ372" s="6" t="str">
        <f t="shared" ca="1" si="200"/>
        <v/>
      </c>
    </row>
    <row r="373" spans="1:182" ht="15.95" customHeight="1">
      <c r="A373" s="6">
        <v>634</v>
      </c>
      <c r="B373" s="6" t="s">
        <v>653</v>
      </c>
      <c r="E373" s="6" t="s">
        <v>576</v>
      </c>
      <c r="F373" s="6" t="s">
        <v>1643</v>
      </c>
      <c r="G373" s="6" t="s">
        <v>1218</v>
      </c>
      <c r="H373" s="7" t="s">
        <v>1219</v>
      </c>
      <c r="I373" s="7"/>
      <c r="J373" s="6" t="s">
        <v>1199</v>
      </c>
      <c r="K373" s="6" t="s">
        <v>1201</v>
      </c>
      <c r="N373" s="6" t="s">
        <v>1203</v>
      </c>
      <c r="O373" s="6" t="s">
        <v>1205</v>
      </c>
      <c r="R373" s="101" t="s">
        <v>1220</v>
      </c>
      <c r="Y373" s="6" t="s">
        <v>1283</v>
      </c>
      <c r="Z373" s="6">
        <v>21</v>
      </c>
      <c r="AA373" s="6">
        <v>22</v>
      </c>
      <c r="AD373" s="6" t="s">
        <v>1203</v>
      </c>
      <c r="AE373" s="6" t="s">
        <v>1205</v>
      </c>
      <c r="AG373" s="6" t="s">
        <v>1284</v>
      </c>
      <c r="AY373" s="8" t="s">
        <v>176</v>
      </c>
      <c r="AZ373" s="8" t="s">
        <v>195</v>
      </c>
      <c r="BA373" s="13" t="s">
        <v>197</v>
      </c>
      <c r="BB373" s="13" t="s">
        <v>7</v>
      </c>
      <c r="BC373" s="13">
        <v>29</v>
      </c>
      <c r="BD373" s="13">
        <v>30</v>
      </c>
      <c r="DC373" s="6" t="s">
        <v>169</v>
      </c>
      <c r="DD373" s="6" t="s">
        <v>184</v>
      </c>
      <c r="DH373" s="6" t="str">
        <f t="shared" si="194"/>
        <v>A10</v>
      </c>
      <c r="DI373" s="6" t="str">
        <f t="shared" si="195"/>
        <v>B10</v>
      </c>
      <c r="DK373" s="6" t="s">
        <v>173</v>
      </c>
      <c r="DL373" s="6" t="str">
        <f t="shared" si="196"/>
        <v/>
      </c>
      <c r="DO373" s="9" t="s">
        <v>170</v>
      </c>
      <c r="DP373" s="6" t="s">
        <v>171</v>
      </c>
      <c r="DQ373" s="6" t="s">
        <v>645</v>
      </c>
      <c r="DR373" s="6" t="e">
        <f>#REF!&amp;RIGHT(#REF!,3)</f>
        <v>#REF!</v>
      </c>
      <c r="DS373" s="6" t="str">
        <f t="shared" si="190"/>
        <v>KS1</v>
      </c>
      <c r="DT373" s="10" t="str">
        <f t="shared" si="191"/>
        <v>FCS0111-6-1/1S–MC–107-F13-CN1</v>
      </c>
      <c r="DU373" s="6" t="str">
        <f t="shared" si="192"/>
        <v/>
      </c>
      <c r="DV373" s="19">
        <v>1</v>
      </c>
      <c r="DW373" s="20" t="str">
        <f t="shared" si="193"/>
        <v>11</v>
      </c>
      <c r="DX373" s="20">
        <v>6</v>
      </c>
      <c r="DY373" s="21">
        <v>1</v>
      </c>
      <c r="DZ373" s="22" t="s">
        <v>204</v>
      </c>
      <c r="EA373" s="23">
        <v>10</v>
      </c>
      <c r="EB373" s="7">
        <v>26</v>
      </c>
      <c r="EE373" s="9" t="s">
        <v>654</v>
      </c>
      <c r="EF373" s="6" t="s">
        <v>172</v>
      </c>
      <c r="EG373" s="6" t="s">
        <v>672</v>
      </c>
      <c r="EH373" s="6" t="s">
        <v>312</v>
      </c>
      <c r="EI373" s="6" t="s">
        <v>441</v>
      </c>
      <c r="EJ373" s="12">
        <v>100</v>
      </c>
      <c r="EL373" s="6"/>
      <c r="EM373" s="12"/>
      <c r="EN373" s="6" t="s">
        <v>1124</v>
      </c>
      <c r="EP373" s="6" t="s">
        <v>1148</v>
      </c>
      <c r="ET373" s="6" t="str">
        <f t="shared" si="171"/>
        <v>짝수</v>
      </c>
      <c r="EU373" s="12">
        <v>82</v>
      </c>
      <c r="EV373" s="45" t="str">
        <f t="shared" ca="1" si="176"/>
        <v>A</v>
      </c>
      <c r="EW373" s="6">
        <f t="shared" ca="1" si="172"/>
        <v>65</v>
      </c>
      <c r="FO373" s="6"/>
      <c r="FP373" s="11"/>
      <c r="FR373" s="6">
        <v>1</v>
      </c>
      <c r="FS373" s="6" t="str">
        <f t="shared" si="173"/>
        <v/>
      </c>
      <c r="FT373" s="6" t="str">
        <f t="shared" si="174"/>
        <v/>
      </c>
      <c r="FU373" s="6" t="str">
        <f t="shared" ca="1" si="177"/>
        <v/>
      </c>
      <c r="FV373" s="6" t="str">
        <f t="shared" ca="1" si="175"/>
        <v/>
      </c>
      <c r="FW373" s="6" t="str">
        <f t="shared" ca="1" si="197"/>
        <v/>
      </c>
      <c r="FX373" s="6" t="str">
        <f t="shared" ca="1" si="198"/>
        <v/>
      </c>
      <c r="FY373" s="6" t="str">
        <f t="shared" ca="1" si="199"/>
        <v/>
      </c>
      <c r="FZ373" s="6" t="str">
        <f t="shared" ca="1" si="200"/>
        <v/>
      </c>
    </row>
    <row r="374" spans="1:182" ht="15.95" customHeight="1">
      <c r="A374" s="6">
        <v>635</v>
      </c>
      <c r="B374" s="6" t="s">
        <v>653</v>
      </c>
      <c r="E374" s="6" t="s">
        <v>577</v>
      </c>
      <c r="F374" s="6" t="s">
        <v>1644</v>
      </c>
      <c r="G374" s="6" t="s">
        <v>1218</v>
      </c>
      <c r="H374" s="7" t="s">
        <v>1219</v>
      </c>
      <c r="I374" s="7"/>
      <c r="J374" s="6" t="s">
        <v>1199</v>
      </c>
      <c r="K374" s="6" t="s">
        <v>1201</v>
      </c>
      <c r="N374" s="6" t="s">
        <v>1203</v>
      </c>
      <c r="O374" s="6" t="s">
        <v>1205</v>
      </c>
      <c r="R374" s="101" t="s">
        <v>1220</v>
      </c>
      <c r="Y374" s="6" t="s">
        <v>1283</v>
      </c>
      <c r="Z374" s="6">
        <v>23</v>
      </c>
      <c r="AA374" s="6">
        <v>24</v>
      </c>
      <c r="AD374" s="6" t="s">
        <v>1203</v>
      </c>
      <c r="AE374" s="6" t="s">
        <v>1205</v>
      </c>
      <c r="AG374" s="6" t="s">
        <v>1284</v>
      </c>
      <c r="AY374" s="8" t="s">
        <v>176</v>
      </c>
      <c r="AZ374" s="8" t="s">
        <v>195</v>
      </c>
      <c r="BA374" s="13" t="s">
        <v>197</v>
      </c>
      <c r="BB374" s="13" t="s">
        <v>7</v>
      </c>
      <c r="BC374" s="13">
        <v>31</v>
      </c>
      <c r="BD374" s="13">
        <v>32</v>
      </c>
      <c r="DC374" s="6" t="s">
        <v>169</v>
      </c>
      <c r="DD374" s="6" t="s">
        <v>184</v>
      </c>
      <c r="DH374" s="6" t="str">
        <f t="shared" si="194"/>
        <v>A11</v>
      </c>
      <c r="DI374" s="6" t="str">
        <f t="shared" si="195"/>
        <v>B11</v>
      </c>
      <c r="DK374" s="6" t="s">
        <v>173</v>
      </c>
      <c r="DL374" s="6" t="str">
        <f t="shared" si="196"/>
        <v/>
      </c>
      <c r="DO374" s="9" t="s">
        <v>170</v>
      </c>
      <c r="DP374" s="6" t="s">
        <v>171</v>
      </c>
      <c r="DQ374" s="6" t="s">
        <v>645</v>
      </c>
      <c r="DR374" s="6" t="e">
        <f>#REF!&amp;RIGHT(#REF!,3)</f>
        <v>#REF!</v>
      </c>
      <c r="DS374" s="6" t="str">
        <f t="shared" si="190"/>
        <v>KS1</v>
      </c>
      <c r="DT374" s="10" t="str">
        <f t="shared" si="191"/>
        <v>FCS0111-6-1/1S–MC–107-F13-CN1</v>
      </c>
      <c r="DU374" s="6" t="str">
        <f t="shared" si="192"/>
        <v/>
      </c>
      <c r="DV374" s="19">
        <v>1</v>
      </c>
      <c r="DW374" s="20" t="str">
        <f t="shared" si="193"/>
        <v>11</v>
      </c>
      <c r="DX374" s="20">
        <v>6</v>
      </c>
      <c r="DY374" s="21">
        <v>1</v>
      </c>
      <c r="DZ374" s="22" t="s">
        <v>204</v>
      </c>
      <c r="EA374" s="23">
        <v>11</v>
      </c>
      <c r="EB374" s="7">
        <v>27</v>
      </c>
      <c r="EE374" s="9" t="s">
        <v>654</v>
      </c>
      <c r="EF374" s="6" t="s">
        <v>172</v>
      </c>
      <c r="EG374" s="6" t="s">
        <v>672</v>
      </c>
      <c r="EH374" s="6" t="s">
        <v>313</v>
      </c>
      <c r="EI374" s="6" t="s">
        <v>199</v>
      </c>
      <c r="EJ374" s="12">
        <v>100</v>
      </c>
      <c r="EL374" s="6"/>
      <c r="EM374" s="12"/>
      <c r="EN374" s="6" t="s">
        <v>1124</v>
      </c>
      <c r="EP374" s="6" t="s">
        <v>1148</v>
      </c>
      <c r="ET374" s="6" t="str">
        <f t="shared" si="171"/>
        <v>짝수</v>
      </c>
      <c r="EU374" s="12">
        <v>82</v>
      </c>
      <c r="EV374" s="45" t="str">
        <f t="shared" ca="1" si="176"/>
        <v>B</v>
      </c>
      <c r="EW374" s="6">
        <f t="shared" ca="1" si="172"/>
        <v>66</v>
      </c>
      <c r="FO374" s="6"/>
      <c r="FP374" s="11"/>
      <c r="FR374" s="6">
        <v>1</v>
      </c>
      <c r="FS374" s="6" t="str">
        <f t="shared" si="173"/>
        <v/>
      </c>
      <c r="FT374" s="6" t="str">
        <f t="shared" si="174"/>
        <v/>
      </c>
      <c r="FU374" s="6" t="str">
        <f t="shared" ca="1" si="177"/>
        <v/>
      </c>
      <c r="FV374" s="6" t="str">
        <f t="shared" ca="1" si="175"/>
        <v/>
      </c>
      <c r="FW374" s="6" t="str">
        <f t="shared" ca="1" si="197"/>
        <v/>
      </c>
      <c r="FX374" s="6" t="str">
        <f t="shared" ca="1" si="198"/>
        <v/>
      </c>
      <c r="FY374" s="6" t="str">
        <f t="shared" ca="1" si="199"/>
        <v/>
      </c>
      <c r="FZ374" s="6" t="str">
        <f t="shared" ca="1" si="200"/>
        <v/>
      </c>
    </row>
    <row r="375" spans="1:182" ht="15.95" customHeight="1">
      <c r="A375" s="6">
        <v>636</v>
      </c>
      <c r="B375" s="6" t="s">
        <v>653</v>
      </c>
      <c r="E375" s="6" t="s">
        <v>578</v>
      </c>
      <c r="F375" s="6" t="s">
        <v>1645</v>
      </c>
      <c r="G375" s="6" t="s">
        <v>1218</v>
      </c>
      <c r="H375" s="7" t="s">
        <v>1219</v>
      </c>
      <c r="I375" s="7"/>
      <c r="J375" s="6" t="s">
        <v>1199</v>
      </c>
      <c r="K375" s="6" t="s">
        <v>1201</v>
      </c>
      <c r="N375" s="6" t="s">
        <v>1203</v>
      </c>
      <c r="O375" s="6" t="s">
        <v>1205</v>
      </c>
      <c r="R375" s="101" t="s">
        <v>1220</v>
      </c>
      <c r="Y375" s="6" t="s">
        <v>1283</v>
      </c>
      <c r="Z375" s="6">
        <v>25</v>
      </c>
      <c r="AA375" s="6">
        <v>26</v>
      </c>
      <c r="AD375" s="6" t="s">
        <v>1203</v>
      </c>
      <c r="AE375" s="6" t="s">
        <v>1205</v>
      </c>
      <c r="AG375" s="6" t="s">
        <v>1284</v>
      </c>
      <c r="AY375" s="8" t="s">
        <v>176</v>
      </c>
      <c r="AZ375" s="8" t="s">
        <v>195</v>
      </c>
      <c r="BA375" s="13" t="s">
        <v>197</v>
      </c>
      <c r="BB375" s="13" t="s">
        <v>7</v>
      </c>
      <c r="BC375" s="13">
        <v>33</v>
      </c>
      <c r="BD375" s="13">
        <v>34</v>
      </c>
      <c r="DC375" s="6" t="s">
        <v>169</v>
      </c>
      <c r="DD375" s="6" t="s">
        <v>184</v>
      </c>
      <c r="DH375" s="6" t="str">
        <f t="shared" si="194"/>
        <v>A12</v>
      </c>
      <c r="DI375" s="6" t="str">
        <f t="shared" si="195"/>
        <v>B12</v>
      </c>
      <c r="DK375" s="6" t="s">
        <v>173</v>
      </c>
      <c r="DL375" s="6" t="str">
        <f t="shared" si="196"/>
        <v/>
      </c>
      <c r="DO375" s="9" t="s">
        <v>170</v>
      </c>
      <c r="DP375" s="6" t="s">
        <v>171</v>
      </c>
      <c r="DQ375" s="6" t="s">
        <v>645</v>
      </c>
      <c r="DR375" s="6" t="e">
        <f>#REF!&amp;RIGHT(#REF!,3)</f>
        <v>#REF!</v>
      </c>
      <c r="DS375" s="6" t="str">
        <f t="shared" si="190"/>
        <v>KS1</v>
      </c>
      <c r="DT375" s="10" t="str">
        <f t="shared" si="191"/>
        <v>FCS0111-6-1/1S–MC–107-F13-CN1</v>
      </c>
      <c r="DU375" s="6" t="str">
        <f t="shared" si="192"/>
        <v/>
      </c>
      <c r="DV375" s="19">
        <v>1</v>
      </c>
      <c r="DW375" s="20" t="str">
        <f t="shared" si="193"/>
        <v>11</v>
      </c>
      <c r="DX375" s="20">
        <v>6</v>
      </c>
      <c r="DY375" s="21">
        <v>1</v>
      </c>
      <c r="DZ375" s="22" t="s">
        <v>204</v>
      </c>
      <c r="EA375" s="23">
        <v>12</v>
      </c>
      <c r="EB375" s="7">
        <v>28</v>
      </c>
      <c r="EE375" s="9" t="s">
        <v>654</v>
      </c>
      <c r="EF375" s="6" t="s">
        <v>172</v>
      </c>
      <c r="EG375" s="6" t="s">
        <v>672</v>
      </c>
      <c r="EH375" s="6" t="s">
        <v>314</v>
      </c>
      <c r="EI375" s="6" t="s">
        <v>199</v>
      </c>
      <c r="EJ375" s="12">
        <v>100</v>
      </c>
      <c r="EL375" s="6"/>
      <c r="EM375" s="12"/>
      <c r="EN375" s="6" t="s">
        <v>1124</v>
      </c>
      <c r="EP375" s="6" t="s">
        <v>1148</v>
      </c>
      <c r="ET375" s="6" t="str">
        <f t="shared" si="171"/>
        <v>짝수</v>
      </c>
      <c r="EU375" s="12">
        <v>82</v>
      </c>
      <c r="EV375" s="45" t="str">
        <f t="shared" ca="1" si="176"/>
        <v>C</v>
      </c>
      <c r="EW375" s="6">
        <f t="shared" ca="1" si="172"/>
        <v>67</v>
      </c>
      <c r="FO375" s="6"/>
      <c r="FP375" s="11"/>
      <c r="FR375" s="6">
        <v>1</v>
      </c>
      <c r="FS375" s="6" t="str">
        <f t="shared" si="173"/>
        <v/>
      </c>
      <c r="FT375" s="6" t="str">
        <f t="shared" si="174"/>
        <v/>
      </c>
      <c r="FU375" s="6" t="str">
        <f t="shared" ca="1" si="177"/>
        <v/>
      </c>
      <c r="FV375" s="6" t="str">
        <f t="shared" ca="1" si="175"/>
        <v/>
      </c>
      <c r="FW375" s="6" t="str">
        <f t="shared" ca="1" si="197"/>
        <v/>
      </c>
      <c r="FX375" s="6" t="str">
        <f t="shared" ca="1" si="198"/>
        <v/>
      </c>
      <c r="FY375" s="6" t="str">
        <f t="shared" ca="1" si="199"/>
        <v/>
      </c>
      <c r="FZ375" s="6" t="str">
        <f t="shared" ca="1" si="200"/>
        <v/>
      </c>
    </row>
    <row r="376" spans="1:182" ht="15.95" customHeight="1">
      <c r="A376" s="6">
        <v>642</v>
      </c>
      <c r="B376" s="6" t="s">
        <v>653</v>
      </c>
      <c r="E376" s="6" t="s">
        <v>581</v>
      </c>
      <c r="F376" s="6" t="s">
        <v>1646</v>
      </c>
      <c r="G376" s="6" t="s">
        <v>1218</v>
      </c>
      <c r="H376" s="7" t="s">
        <v>1219</v>
      </c>
      <c r="I376" s="7"/>
      <c r="J376" s="6" t="s">
        <v>1199</v>
      </c>
      <c r="K376" s="6" t="s">
        <v>1201</v>
      </c>
      <c r="N376" s="6" t="s">
        <v>1203</v>
      </c>
      <c r="O376" s="6" t="s">
        <v>1205</v>
      </c>
      <c r="R376" s="101" t="s">
        <v>1220</v>
      </c>
      <c r="Y376" s="6" t="s">
        <v>1310</v>
      </c>
      <c r="Z376" s="6">
        <v>45</v>
      </c>
      <c r="AA376" s="6">
        <v>46</v>
      </c>
      <c r="AD376" s="6" t="s">
        <v>1203</v>
      </c>
      <c r="AE376" s="6" t="s">
        <v>1205</v>
      </c>
      <c r="AG376" s="6" t="s">
        <v>1297</v>
      </c>
      <c r="AY376" s="8" t="s">
        <v>176</v>
      </c>
      <c r="AZ376" s="8" t="s">
        <v>195</v>
      </c>
      <c r="BA376" s="13" t="s">
        <v>197</v>
      </c>
      <c r="BB376" s="13" t="s">
        <v>7</v>
      </c>
      <c r="BC376" s="13">
        <v>101</v>
      </c>
      <c r="BD376" s="13">
        <v>102</v>
      </c>
      <c r="DC376" s="6" t="s">
        <v>169</v>
      </c>
      <c r="DD376" s="6" t="s">
        <v>185</v>
      </c>
      <c r="DH376" s="6" t="str">
        <f t="shared" ref="DH376:DH426" si="201">"A"&amp;EA376</f>
        <v>A2</v>
      </c>
      <c r="DI376" s="6" t="str">
        <f t="shared" ref="DI376:DI426" si="202">"B"&amp;EA376</f>
        <v>B2</v>
      </c>
      <c r="DK376" s="6" t="s">
        <v>173</v>
      </c>
      <c r="DL376" s="6" t="str">
        <f t="shared" ref="DL376:DL426" si="203">IF(DZ376&lt;&gt;"","CN2","")</f>
        <v/>
      </c>
      <c r="DO376" s="9" t="s">
        <v>170</v>
      </c>
      <c r="DP376" s="6" t="s">
        <v>171</v>
      </c>
      <c r="DQ376" s="6" t="s">
        <v>645</v>
      </c>
      <c r="DR376" s="6" t="e">
        <f>#REF!&amp;RIGHT(#REF!,3)</f>
        <v>#REF!</v>
      </c>
      <c r="DS376" s="6" t="str">
        <f t="shared" ref="DS376:DS426" si="204">IF(MID(EF376,2,1)="A","KS1","AKB331")</f>
        <v>KS1</v>
      </c>
      <c r="DT376" s="10" t="str">
        <f t="shared" ref="DT376:DT426" si="205">DQ376&amp;"-"&amp;DX376&amp;"-"&amp;DY376&amp;"/"&amp;BA376&amp;"-"&amp;DD376&amp;"-"&amp;DK376</f>
        <v>FCS0111-6-2/1S–MC–107-F14-CN1</v>
      </c>
      <c r="DU376" s="6" t="str">
        <f t="shared" ref="DU376:DU426" si="206">IF(DL376="","",DQ376&amp;"-"&amp;DX376&amp;"-"&amp;DY376&amp;"/"&amp;BA376&amp;"-"&amp;DD376&amp;"-"&amp;DL376)</f>
        <v/>
      </c>
      <c r="DV376" s="19">
        <v>1</v>
      </c>
      <c r="DW376" s="20" t="str">
        <f t="shared" ref="DW376:DW426" si="207">RIGHT(DQ376,2)</f>
        <v>11</v>
      </c>
      <c r="DX376" s="20">
        <v>6</v>
      </c>
      <c r="DY376" s="21">
        <v>2</v>
      </c>
      <c r="DZ376" s="22" t="s">
        <v>204</v>
      </c>
      <c r="EA376" s="23">
        <v>2</v>
      </c>
      <c r="EB376" s="7">
        <v>2</v>
      </c>
      <c r="EE376" s="9" t="s">
        <v>654</v>
      </c>
      <c r="EF376" s="6" t="s">
        <v>172</v>
      </c>
      <c r="EG376" s="6" t="s">
        <v>647</v>
      </c>
      <c r="EH376" s="6" t="s">
        <v>317</v>
      </c>
      <c r="EI376" s="6" t="s">
        <v>407</v>
      </c>
      <c r="EJ376" s="12">
        <v>100</v>
      </c>
      <c r="EL376" s="6"/>
      <c r="EM376" s="12"/>
      <c r="EN376" s="6" t="s">
        <v>1124</v>
      </c>
      <c r="EP376" s="6" t="s">
        <v>1148</v>
      </c>
      <c r="ET376" s="6" t="str">
        <f t="shared" si="171"/>
        <v>짝수</v>
      </c>
      <c r="EU376" s="12">
        <v>82</v>
      </c>
      <c r="EV376" s="45" t="str">
        <f t="shared" ca="1" si="176"/>
        <v>D</v>
      </c>
      <c r="EW376" s="6">
        <f t="shared" ca="1" si="172"/>
        <v>68</v>
      </c>
      <c r="FO376" s="6"/>
      <c r="FP376" s="11"/>
      <c r="FR376" s="6">
        <v>1</v>
      </c>
      <c r="FS376" s="6" t="str">
        <f t="shared" si="173"/>
        <v/>
      </c>
      <c r="FT376" s="6" t="str">
        <f t="shared" si="174"/>
        <v/>
      </c>
      <c r="FU376" s="6" t="str">
        <f t="shared" ca="1" si="177"/>
        <v/>
      </c>
      <c r="FV376" s="6" t="str">
        <f t="shared" ca="1" si="175"/>
        <v/>
      </c>
      <c r="FW376" s="6" t="str">
        <f t="shared" ca="1" si="197"/>
        <v/>
      </c>
      <c r="FX376" s="6" t="str">
        <f t="shared" ca="1" si="198"/>
        <v/>
      </c>
      <c r="FY376" s="6" t="str">
        <f t="shared" ca="1" si="199"/>
        <v/>
      </c>
      <c r="FZ376" s="6" t="str">
        <f t="shared" ca="1" si="200"/>
        <v/>
      </c>
    </row>
    <row r="377" spans="1:182" ht="15.95" customHeight="1">
      <c r="A377" s="6">
        <v>643</v>
      </c>
      <c r="B377" s="6" t="s">
        <v>653</v>
      </c>
      <c r="E377" s="6" t="s">
        <v>582</v>
      </c>
      <c r="F377" s="6" t="s">
        <v>1647</v>
      </c>
      <c r="G377" s="6" t="s">
        <v>1218</v>
      </c>
      <c r="H377" s="7" t="s">
        <v>1219</v>
      </c>
      <c r="I377" s="7"/>
      <c r="J377" s="6" t="s">
        <v>1199</v>
      </c>
      <c r="K377" s="6" t="s">
        <v>1201</v>
      </c>
      <c r="N377" s="6" t="s">
        <v>1203</v>
      </c>
      <c r="O377" s="6" t="s">
        <v>1205</v>
      </c>
      <c r="R377" s="101" t="s">
        <v>1220</v>
      </c>
      <c r="Y377" s="6" t="s">
        <v>1310</v>
      </c>
      <c r="Z377" s="6">
        <v>47</v>
      </c>
      <c r="AA377" s="6">
        <v>48</v>
      </c>
      <c r="AD377" s="6" t="s">
        <v>1203</v>
      </c>
      <c r="AE377" s="6" t="s">
        <v>1205</v>
      </c>
      <c r="AG377" s="6" t="s">
        <v>1297</v>
      </c>
      <c r="AY377" s="8" t="s">
        <v>176</v>
      </c>
      <c r="AZ377" s="8" t="s">
        <v>195</v>
      </c>
      <c r="BA377" s="13" t="s">
        <v>197</v>
      </c>
      <c r="BB377" s="13" t="s">
        <v>7</v>
      </c>
      <c r="BC377" s="13">
        <v>103</v>
      </c>
      <c r="BD377" s="13">
        <v>104</v>
      </c>
      <c r="DC377" s="6" t="s">
        <v>169</v>
      </c>
      <c r="DD377" s="6" t="s">
        <v>185</v>
      </c>
      <c r="DH377" s="6" t="str">
        <f t="shared" si="201"/>
        <v>A3</v>
      </c>
      <c r="DI377" s="6" t="str">
        <f t="shared" si="202"/>
        <v>B3</v>
      </c>
      <c r="DK377" s="6" t="s">
        <v>173</v>
      </c>
      <c r="DL377" s="6" t="str">
        <f t="shared" si="203"/>
        <v/>
      </c>
      <c r="DO377" s="9" t="s">
        <v>170</v>
      </c>
      <c r="DP377" s="6" t="s">
        <v>171</v>
      </c>
      <c r="DQ377" s="6" t="s">
        <v>645</v>
      </c>
      <c r="DR377" s="6" t="e">
        <f>#REF!&amp;RIGHT(#REF!,3)</f>
        <v>#REF!</v>
      </c>
      <c r="DS377" s="6" t="str">
        <f t="shared" si="204"/>
        <v>KS1</v>
      </c>
      <c r="DT377" s="10" t="str">
        <f t="shared" si="205"/>
        <v>FCS0111-6-2/1S–MC–107-F14-CN1</v>
      </c>
      <c r="DU377" s="6" t="str">
        <f t="shared" si="206"/>
        <v/>
      </c>
      <c r="DV377" s="19">
        <v>1</v>
      </c>
      <c r="DW377" s="20" t="str">
        <f t="shared" si="207"/>
        <v>11</v>
      </c>
      <c r="DX377" s="20">
        <v>6</v>
      </c>
      <c r="DY377" s="21">
        <v>2</v>
      </c>
      <c r="DZ377" s="22" t="s">
        <v>204</v>
      </c>
      <c r="EA377" s="23">
        <v>3</v>
      </c>
      <c r="EB377" s="7">
        <v>3</v>
      </c>
      <c r="EE377" s="9" t="s">
        <v>654</v>
      </c>
      <c r="EF377" s="6" t="s">
        <v>172</v>
      </c>
      <c r="EG377" s="6" t="s">
        <v>647</v>
      </c>
      <c r="EH377" s="6" t="s">
        <v>318</v>
      </c>
      <c r="EI377" s="6" t="s">
        <v>442</v>
      </c>
      <c r="EJ377" s="12">
        <v>100</v>
      </c>
      <c r="EL377" s="6"/>
      <c r="EM377" s="12"/>
      <c r="EN377" s="6" t="s">
        <v>1124</v>
      </c>
      <c r="EP377" s="6" t="s">
        <v>1148</v>
      </c>
      <c r="ET377" s="6" t="str">
        <f t="shared" si="171"/>
        <v>홀수</v>
      </c>
      <c r="EU377" s="12">
        <v>83</v>
      </c>
      <c r="EV377" s="45" t="str">
        <f t="shared" ca="1" si="176"/>
        <v>A</v>
      </c>
      <c r="EW377" s="6">
        <f t="shared" ca="1" si="172"/>
        <v>65</v>
      </c>
      <c r="FO377" s="6"/>
      <c r="FP377" s="11"/>
      <c r="FR377" s="6">
        <v>1</v>
      </c>
      <c r="FS377" s="6" t="str">
        <f t="shared" si="173"/>
        <v/>
      </c>
      <c r="FT377" s="6" t="str">
        <f t="shared" si="174"/>
        <v/>
      </c>
      <c r="FU377" s="6" t="str">
        <f t="shared" ca="1" si="177"/>
        <v/>
      </c>
      <c r="FV377" s="6" t="str">
        <f t="shared" ca="1" si="175"/>
        <v/>
      </c>
      <c r="FW377" s="6" t="str">
        <f t="shared" ca="1" si="197"/>
        <v/>
      </c>
      <c r="FX377" s="6" t="str">
        <f t="shared" ca="1" si="198"/>
        <v/>
      </c>
      <c r="FY377" s="6" t="str">
        <f t="shared" ca="1" si="199"/>
        <v/>
      </c>
      <c r="FZ377" s="6" t="str">
        <f t="shared" ca="1" si="200"/>
        <v/>
      </c>
    </row>
    <row r="378" spans="1:182" ht="15.95" customHeight="1">
      <c r="A378" s="6">
        <v>644</v>
      </c>
      <c r="B378" s="6" t="s">
        <v>653</v>
      </c>
      <c r="E378" s="6" t="s">
        <v>583</v>
      </c>
      <c r="F378" s="6" t="s">
        <v>1648</v>
      </c>
      <c r="G378" s="6" t="s">
        <v>1218</v>
      </c>
      <c r="H378" s="7" t="s">
        <v>1219</v>
      </c>
      <c r="I378" s="7"/>
      <c r="J378" s="6" t="s">
        <v>1199</v>
      </c>
      <c r="K378" s="6" t="s">
        <v>1201</v>
      </c>
      <c r="N378" s="6" t="s">
        <v>1203</v>
      </c>
      <c r="O378" s="6" t="s">
        <v>1205</v>
      </c>
      <c r="R378" s="101" t="s">
        <v>1220</v>
      </c>
      <c r="Y378" s="6" t="s">
        <v>1283</v>
      </c>
      <c r="Z378" s="6">
        <v>27</v>
      </c>
      <c r="AA378" s="6">
        <v>28</v>
      </c>
      <c r="AD378" s="6" t="s">
        <v>1203</v>
      </c>
      <c r="AE378" s="6" t="s">
        <v>1205</v>
      </c>
      <c r="AG378" s="6" t="s">
        <v>1284</v>
      </c>
      <c r="AY378" s="8" t="s">
        <v>176</v>
      </c>
      <c r="AZ378" s="8" t="s">
        <v>195</v>
      </c>
      <c r="BA378" s="13" t="s">
        <v>197</v>
      </c>
      <c r="BB378" s="13" t="s">
        <v>7</v>
      </c>
      <c r="BC378" s="13">
        <v>35</v>
      </c>
      <c r="BD378" s="13">
        <v>36</v>
      </c>
      <c r="DC378" s="6" t="s">
        <v>169</v>
      </c>
      <c r="DD378" s="6" t="s">
        <v>185</v>
      </c>
      <c r="DH378" s="6" t="str">
        <f t="shared" si="201"/>
        <v>A4</v>
      </c>
      <c r="DI378" s="6" t="str">
        <f t="shared" si="202"/>
        <v>B4</v>
      </c>
      <c r="DK378" s="6" t="s">
        <v>173</v>
      </c>
      <c r="DL378" s="6" t="str">
        <f t="shared" si="203"/>
        <v/>
      </c>
      <c r="DO378" s="9" t="s">
        <v>170</v>
      </c>
      <c r="DP378" s="6" t="s">
        <v>171</v>
      </c>
      <c r="DQ378" s="6" t="s">
        <v>645</v>
      </c>
      <c r="DR378" s="6" t="e">
        <f>#REF!&amp;RIGHT(#REF!,3)</f>
        <v>#REF!</v>
      </c>
      <c r="DS378" s="6" t="str">
        <f t="shared" si="204"/>
        <v>KS1</v>
      </c>
      <c r="DT378" s="10" t="str">
        <f t="shared" si="205"/>
        <v>FCS0111-6-2/1S–MC–107-F14-CN1</v>
      </c>
      <c r="DU378" s="6" t="str">
        <f t="shared" si="206"/>
        <v/>
      </c>
      <c r="DV378" s="19">
        <v>1</v>
      </c>
      <c r="DW378" s="20" t="str">
        <f t="shared" si="207"/>
        <v>11</v>
      </c>
      <c r="DX378" s="20">
        <v>6</v>
      </c>
      <c r="DY378" s="21">
        <v>2</v>
      </c>
      <c r="DZ378" s="22" t="s">
        <v>204</v>
      </c>
      <c r="EA378" s="23">
        <v>4</v>
      </c>
      <c r="EB378" s="7">
        <v>4</v>
      </c>
      <c r="EE378" s="9" t="s">
        <v>654</v>
      </c>
      <c r="EF378" s="6" t="s">
        <v>172</v>
      </c>
      <c r="EG378" s="6" t="s">
        <v>647</v>
      </c>
      <c r="EH378" s="6" t="s">
        <v>319</v>
      </c>
      <c r="EI378" s="6" t="s">
        <v>199</v>
      </c>
      <c r="EJ378" s="12">
        <v>100</v>
      </c>
      <c r="EL378" s="6"/>
      <c r="EM378" s="12"/>
      <c r="EN378" s="6" t="s">
        <v>1124</v>
      </c>
      <c r="EP378" s="6" t="s">
        <v>1148</v>
      </c>
      <c r="ET378" s="6" t="str">
        <f t="shared" si="171"/>
        <v>홀수</v>
      </c>
      <c r="EU378" s="12">
        <v>83</v>
      </c>
      <c r="EV378" s="45" t="str">
        <f t="shared" ca="1" si="176"/>
        <v>B</v>
      </c>
      <c r="EW378" s="6">
        <f t="shared" ca="1" si="172"/>
        <v>66</v>
      </c>
      <c r="FO378" s="6"/>
      <c r="FP378" s="11"/>
      <c r="FR378" s="6">
        <v>1</v>
      </c>
      <c r="FS378" s="6" t="str">
        <f t="shared" si="173"/>
        <v/>
      </c>
      <c r="FT378" s="6" t="str">
        <f t="shared" si="174"/>
        <v/>
      </c>
      <c r="FU378" s="6" t="str">
        <f t="shared" ca="1" si="177"/>
        <v/>
      </c>
      <c r="FV378" s="6" t="str">
        <f t="shared" ca="1" si="175"/>
        <v/>
      </c>
      <c r="FW378" s="6" t="str">
        <f t="shared" ca="1" si="197"/>
        <v/>
      </c>
      <c r="FX378" s="6" t="str">
        <f t="shared" ca="1" si="198"/>
        <v/>
      </c>
      <c r="FY378" s="6" t="str">
        <f t="shared" ca="1" si="199"/>
        <v/>
      </c>
      <c r="FZ378" s="6" t="str">
        <f t="shared" ca="1" si="200"/>
        <v/>
      </c>
    </row>
    <row r="379" spans="1:182" ht="15.95" customHeight="1">
      <c r="A379" s="6">
        <v>645</v>
      </c>
      <c r="B379" s="6" t="s">
        <v>653</v>
      </c>
      <c r="E379" s="6" t="s">
        <v>584</v>
      </c>
      <c r="F379" s="6" t="s">
        <v>1649</v>
      </c>
      <c r="G379" s="6" t="s">
        <v>1218</v>
      </c>
      <c r="H379" s="7" t="s">
        <v>1219</v>
      </c>
      <c r="I379" s="7"/>
      <c r="J379" s="6" t="s">
        <v>1199</v>
      </c>
      <c r="K379" s="6" t="s">
        <v>1201</v>
      </c>
      <c r="N379" s="6" t="s">
        <v>1203</v>
      </c>
      <c r="O379" s="6" t="s">
        <v>1205</v>
      </c>
      <c r="R379" s="101" t="s">
        <v>1220</v>
      </c>
      <c r="Y379" s="6" t="s">
        <v>1283</v>
      </c>
      <c r="Z379" s="6">
        <v>29</v>
      </c>
      <c r="AA379" s="6">
        <v>30</v>
      </c>
      <c r="AD379" s="6" t="s">
        <v>1203</v>
      </c>
      <c r="AE379" s="6" t="s">
        <v>1205</v>
      </c>
      <c r="AG379" s="6" t="s">
        <v>1284</v>
      </c>
      <c r="AY379" s="8" t="s">
        <v>176</v>
      </c>
      <c r="AZ379" s="8" t="s">
        <v>195</v>
      </c>
      <c r="BA379" s="13" t="s">
        <v>197</v>
      </c>
      <c r="BB379" s="13" t="s">
        <v>7</v>
      </c>
      <c r="BC379" s="13">
        <v>37</v>
      </c>
      <c r="BD379" s="13">
        <v>38</v>
      </c>
      <c r="DC379" s="6" t="s">
        <v>169</v>
      </c>
      <c r="DD379" s="6" t="s">
        <v>185</v>
      </c>
      <c r="DH379" s="6" t="str">
        <f t="shared" si="201"/>
        <v>A5</v>
      </c>
      <c r="DI379" s="6" t="str">
        <f t="shared" si="202"/>
        <v>B5</v>
      </c>
      <c r="DK379" s="6" t="s">
        <v>173</v>
      </c>
      <c r="DL379" s="6" t="str">
        <f t="shared" si="203"/>
        <v/>
      </c>
      <c r="DO379" s="9" t="s">
        <v>170</v>
      </c>
      <c r="DP379" s="6" t="s">
        <v>171</v>
      </c>
      <c r="DQ379" s="6" t="s">
        <v>645</v>
      </c>
      <c r="DR379" s="6" t="e">
        <f>#REF!&amp;RIGHT(#REF!,3)</f>
        <v>#REF!</v>
      </c>
      <c r="DS379" s="6" t="str">
        <f t="shared" si="204"/>
        <v>KS1</v>
      </c>
      <c r="DT379" s="10" t="str">
        <f t="shared" si="205"/>
        <v>FCS0111-6-2/1S–MC–107-F14-CN1</v>
      </c>
      <c r="DU379" s="6" t="str">
        <f t="shared" si="206"/>
        <v/>
      </c>
      <c r="DV379" s="19">
        <v>1</v>
      </c>
      <c r="DW379" s="20" t="str">
        <f t="shared" si="207"/>
        <v>11</v>
      </c>
      <c r="DX379" s="20">
        <v>6</v>
      </c>
      <c r="DY379" s="21">
        <v>2</v>
      </c>
      <c r="DZ379" s="22" t="s">
        <v>204</v>
      </c>
      <c r="EA379" s="23">
        <v>5</v>
      </c>
      <c r="EB379" s="7">
        <v>5</v>
      </c>
      <c r="EE379" s="9" t="s">
        <v>654</v>
      </c>
      <c r="EF379" s="6" t="s">
        <v>172</v>
      </c>
      <c r="EG379" s="6" t="s">
        <v>647</v>
      </c>
      <c r="EH379" s="6" t="s">
        <v>320</v>
      </c>
      <c r="EI379" s="6" t="s">
        <v>199</v>
      </c>
      <c r="EJ379" s="12">
        <v>100</v>
      </c>
      <c r="EL379" s="6"/>
      <c r="EM379" s="12"/>
      <c r="EN379" s="6" t="s">
        <v>1124</v>
      </c>
      <c r="EP379" s="6" t="s">
        <v>1148</v>
      </c>
      <c r="ET379" s="6" t="str">
        <f t="shared" si="171"/>
        <v>홀수</v>
      </c>
      <c r="EU379" s="12">
        <v>83</v>
      </c>
      <c r="EV379" s="45" t="str">
        <f t="shared" ca="1" si="176"/>
        <v>C</v>
      </c>
      <c r="EW379" s="6">
        <f t="shared" ca="1" si="172"/>
        <v>67</v>
      </c>
      <c r="FO379" s="6"/>
      <c r="FP379" s="11"/>
      <c r="FR379" s="6">
        <v>1</v>
      </c>
      <c r="FS379" s="6" t="str">
        <f t="shared" si="173"/>
        <v/>
      </c>
      <c r="FT379" s="6" t="str">
        <f t="shared" si="174"/>
        <v/>
      </c>
      <c r="FU379" s="6" t="str">
        <f t="shared" ca="1" si="177"/>
        <v/>
      </c>
      <c r="FV379" s="6" t="str">
        <f t="shared" ca="1" si="175"/>
        <v/>
      </c>
      <c r="FW379" s="6" t="str">
        <f t="shared" ca="1" si="197"/>
        <v/>
      </c>
      <c r="FX379" s="6" t="str">
        <f t="shared" ca="1" si="198"/>
        <v/>
      </c>
      <c r="FY379" s="6" t="str">
        <f t="shared" ca="1" si="199"/>
        <v/>
      </c>
      <c r="FZ379" s="6" t="str">
        <f t="shared" ca="1" si="200"/>
        <v/>
      </c>
    </row>
    <row r="380" spans="1:182" ht="15.95" customHeight="1">
      <c r="A380" s="6">
        <v>646</v>
      </c>
      <c r="B380" s="6" t="s">
        <v>653</v>
      </c>
      <c r="E380" s="13" t="s">
        <v>585</v>
      </c>
      <c r="F380" s="6" t="s">
        <v>1650</v>
      </c>
      <c r="G380" s="6" t="s">
        <v>1218</v>
      </c>
      <c r="H380" s="7" t="s">
        <v>1219</v>
      </c>
      <c r="I380" s="7"/>
      <c r="J380" s="6" t="s">
        <v>1199</v>
      </c>
      <c r="K380" s="6" t="s">
        <v>1201</v>
      </c>
      <c r="N380" s="6" t="s">
        <v>1203</v>
      </c>
      <c r="O380" s="6" t="s">
        <v>1205</v>
      </c>
      <c r="R380" s="101" t="s">
        <v>1220</v>
      </c>
      <c r="Y380" s="6" t="s">
        <v>1249</v>
      </c>
      <c r="Z380" s="6">
        <v>11</v>
      </c>
      <c r="AA380" s="6">
        <v>12</v>
      </c>
      <c r="AD380" s="6" t="s">
        <v>1203</v>
      </c>
      <c r="AE380" s="6" t="s">
        <v>1205</v>
      </c>
      <c r="AG380" s="6" t="s">
        <v>1250</v>
      </c>
      <c r="AY380" s="8" t="s">
        <v>176</v>
      </c>
      <c r="AZ380" s="8" t="s">
        <v>195</v>
      </c>
      <c r="BA380" s="13" t="s">
        <v>197</v>
      </c>
      <c r="BB380" s="13" t="s">
        <v>8</v>
      </c>
      <c r="BC380" s="13">
        <v>37</v>
      </c>
      <c r="BD380" s="13">
        <v>38</v>
      </c>
      <c r="DC380" s="6" t="s">
        <v>169</v>
      </c>
      <c r="DD380" s="6" t="s">
        <v>185</v>
      </c>
      <c r="DH380" s="6" t="str">
        <f t="shared" si="201"/>
        <v>A6</v>
      </c>
      <c r="DI380" s="6" t="str">
        <f t="shared" si="202"/>
        <v>B6</v>
      </c>
      <c r="DK380" s="6" t="s">
        <v>173</v>
      </c>
      <c r="DL380" s="6" t="str">
        <f t="shared" si="203"/>
        <v/>
      </c>
      <c r="DO380" s="9" t="s">
        <v>170</v>
      </c>
      <c r="DP380" s="6" t="s">
        <v>171</v>
      </c>
      <c r="DQ380" s="6" t="s">
        <v>645</v>
      </c>
      <c r="DR380" s="6" t="e">
        <f>#REF!&amp;RIGHT(#REF!,3)</f>
        <v>#REF!</v>
      </c>
      <c r="DS380" s="6" t="str">
        <f t="shared" si="204"/>
        <v>KS1</v>
      </c>
      <c r="DT380" s="10" t="str">
        <f t="shared" si="205"/>
        <v>FCS0111-6-2/1S–MC–107-F14-CN1</v>
      </c>
      <c r="DU380" s="6" t="str">
        <f t="shared" si="206"/>
        <v/>
      </c>
      <c r="DV380" s="19">
        <v>1</v>
      </c>
      <c r="DW380" s="20" t="str">
        <f t="shared" si="207"/>
        <v>11</v>
      </c>
      <c r="DX380" s="20">
        <v>6</v>
      </c>
      <c r="DY380" s="21">
        <v>2</v>
      </c>
      <c r="DZ380" s="22" t="s">
        <v>204</v>
      </c>
      <c r="EA380" s="23">
        <v>6</v>
      </c>
      <c r="EB380" s="7">
        <v>6</v>
      </c>
      <c r="EE380" s="9" t="s">
        <v>654</v>
      </c>
      <c r="EF380" s="6" t="s">
        <v>172</v>
      </c>
      <c r="EG380" s="6" t="s">
        <v>647</v>
      </c>
      <c r="EH380" s="6" t="s">
        <v>321</v>
      </c>
      <c r="EI380" s="6" t="s">
        <v>443</v>
      </c>
      <c r="EJ380" s="12">
        <v>100</v>
      </c>
      <c r="EL380" s="6"/>
      <c r="EM380" s="12"/>
      <c r="EN380" s="6" t="s">
        <v>1124</v>
      </c>
      <c r="EP380" s="6" t="s">
        <v>1148</v>
      </c>
      <c r="ET380" s="6" t="str">
        <f t="shared" si="171"/>
        <v>홀수</v>
      </c>
      <c r="EU380" s="12">
        <v>83</v>
      </c>
      <c r="EV380" s="45" t="str">
        <f t="shared" ca="1" si="176"/>
        <v>D</v>
      </c>
      <c r="EW380" s="6">
        <f t="shared" ca="1" si="172"/>
        <v>68</v>
      </c>
      <c r="FO380" s="6"/>
      <c r="FP380" s="11"/>
      <c r="FR380" s="6">
        <v>1</v>
      </c>
      <c r="FS380" s="6" t="str">
        <f t="shared" si="173"/>
        <v/>
      </c>
      <c r="FT380" s="6" t="str">
        <f t="shared" si="174"/>
        <v/>
      </c>
      <c r="FU380" s="6" t="str">
        <f t="shared" ca="1" si="177"/>
        <v/>
      </c>
      <c r="FV380" s="6" t="str">
        <f t="shared" ca="1" si="175"/>
        <v/>
      </c>
      <c r="FW380" s="6" t="str">
        <f t="shared" ca="1" si="197"/>
        <v/>
      </c>
      <c r="FX380" s="6" t="str">
        <f t="shared" ca="1" si="198"/>
        <v/>
      </c>
      <c r="FY380" s="6" t="str">
        <f t="shared" ca="1" si="199"/>
        <v/>
      </c>
      <c r="FZ380" s="6" t="str">
        <f t="shared" ca="1" si="200"/>
        <v/>
      </c>
    </row>
    <row r="381" spans="1:182" ht="15.95" customHeight="1">
      <c r="A381" s="6">
        <v>648</v>
      </c>
      <c r="B381" s="6" t="s">
        <v>653</v>
      </c>
      <c r="E381" s="6" t="s">
        <v>587</v>
      </c>
      <c r="F381" s="6" t="s">
        <v>1651</v>
      </c>
      <c r="G381" s="6" t="s">
        <v>1218</v>
      </c>
      <c r="H381" s="7" t="s">
        <v>1219</v>
      </c>
      <c r="I381" s="7"/>
      <c r="J381" s="6" t="s">
        <v>1199</v>
      </c>
      <c r="K381" s="6" t="s">
        <v>1201</v>
      </c>
      <c r="N381" s="6" t="s">
        <v>1203</v>
      </c>
      <c r="O381" s="6" t="s">
        <v>1205</v>
      </c>
      <c r="R381" s="101" t="s">
        <v>1220</v>
      </c>
      <c r="Y381" s="6" t="s">
        <v>1249</v>
      </c>
      <c r="Z381" s="6">
        <v>17</v>
      </c>
      <c r="AA381" s="6">
        <v>18</v>
      </c>
      <c r="AD381" s="6" t="s">
        <v>1203</v>
      </c>
      <c r="AE381" s="6" t="s">
        <v>1205</v>
      </c>
      <c r="AG381" s="6" t="s">
        <v>1250</v>
      </c>
      <c r="AY381" s="8" t="s">
        <v>176</v>
      </c>
      <c r="AZ381" s="8" t="s">
        <v>195</v>
      </c>
      <c r="BA381" s="13" t="s">
        <v>197</v>
      </c>
      <c r="BB381" s="13" t="s">
        <v>8</v>
      </c>
      <c r="BC381" s="13">
        <v>43</v>
      </c>
      <c r="BD381" s="13">
        <v>44</v>
      </c>
      <c r="DC381" s="6" t="s">
        <v>169</v>
      </c>
      <c r="DD381" s="6" t="s">
        <v>185</v>
      </c>
      <c r="DH381" s="6" t="str">
        <f t="shared" si="201"/>
        <v>A8</v>
      </c>
      <c r="DI381" s="6" t="str">
        <f t="shared" si="202"/>
        <v>B8</v>
      </c>
      <c r="DK381" s="6" t="s">
        <v>173</v>
      </c>
      <c r="DL381" s="6" t="str">
        <f t="shared" si="203"/>
        <v/>
      </c>
      <c r="DO381" s="9" t="s">
        <v>170</v>
      </c>
      <c r="DP381" s="6" t="s">
        <v>171</v>
      </c>
      <c r="DQ381" s="6" t="s">
        <v>645</v>
      </c>
      <c r="DR381" s="6" t="e">
        <f>#REF!&amp;RIGHT(#REF!,3)</f>
        <v>#REF!</v>
      </c>
      <c r="DS381" s="6" t="str">
        <f t="shared" si="204"/>
        <v>KS1</v>
      </c>
      <c r="DT381" s="10" t="str">
        <f t="shared" si="205"/>
        <v>FCS0111-6-2/1S–MC–107-F14-CN1</v>
      </c>
      <c r="DU381" s="6" t="str">
        <f t="shared" si="206"/>
        <v/>
      </c>
      <c r="DV381" s="19">
        <v>1</v>
      </c>
      <c r="DW381" s="20" t="str">
        <f t="shared" si="207"/>
        <v>11</v>
      </c>
      <c r="DX381" s="20">
        <v>6</v>
      </c>
      <c r="DY381" s="21">
        <v>2</v>
      </c>
      <c r="DZ381" s="22" t="s">
        <v>204</v>
      </c>
      <c r="EA381" s="23">
        <v>8</v>
      </c>
      <c r="EB381" s="7">
        <v>8</v>
      </c>
      <c r="EE381" s="9" t="s">
        <v>654</v>
      </c>
      <c r="EF381" s="6" t="s">
        <v>172</v>
      </c>
      <c r="EG381" s="6" t="s">
        <v>647</v>
      </c>
      <c r="EH381" s="6" t="s">
        <v>323</v>
      </c>
      <c r="EI381" s="6" t="s">
        <v>408</v>
      </c>
      <c r="EJ381" s="12">
        <v>100</v>
      </c>
      <c r="EL381" s="6"/>
      <c r="EM381" s="12"/>
      <c r="EN381" s="6" t="s">
        <v>1124</v>
      </c>
      <c r="EP381" s="6" t="s">
        <v>1148</v>
      </c>
      <c r="ET381" s="6" t="str">
        <f t="shared" si="171"/>
        <v>짝수</v>
      </c>
      <c r="EU381" s="12">
        <v>84</v>
      </c>
      <c r="EV381" s="45" t="str">
        <f t="shared" ca="1" si="176"/>
        <v>A</v>
      </c>
      <c r="EW381" s="6">
        <f t="shared" ca="1" si="172"/>
        <v>65</v>
      </c>
      <c r="FO381" s="6"/>
      <c r="FP381" s="11"/>
      <c r="FR381" s="6">
        <v>1</v>
      </c>
      <c r="FS381" s="6" t="str">
        <f t="shared" si="173"/>
        <v/>
      </c>
      <c r="FT381" s="6" t="str">
        <f t="shared" si="174"/>
        <v/>
      </c>
      <c r="FU381" s="6" t="str">
        <f t="shared" ca="1" si="177"/>
        <v/>
      </c>
      <c r="FV381" s="6" t="str">
        <f t="shared" ca="1" si="175"/>
        <v/>
      </c>
      <c r="FW381" s="6" t="str">
        <f t="shared" ca="1" si="197"/>
        <v/>
      </c>
      <c r="FX381" s="6" t="str">
        <f t="shared" ca="1" si="198"/>
        <v/>
      </c>
      <c r="FY381" s="6" t="str">
        <f t="shared" ca="1" si="199"/>
        <v/>
      </c>
      <c r="FZ381" s="6" t="str">
        <f t="shared" ca="1" si="200"/>
        <v/>
      </c>
    </row>
    <row r="382" spans="1:182" ht="15.95" customHeight="1">
      <c r="A382" s="6">
        <v>649</v>
      </c>
      <c r="B382" s="6" t="s">
        <v>653</v>
      </c>
      <c r="E382" s="6" t="s">
        <v>588</v>
      </c>
      <c r="F382" s="6" t="s">
        <v>1652</v>
      </c>
      <c r="G382" s="6" t="s">
        <v>1218</v>
      </c>
      <c r="H382" s="7" t="s">
        <v>1219</v>
      </c>
      <c r="I382" s="7"/>
      <c r="J382" s="6" t="s">
        <v>1199</v>
      </c>
      <c r="K382" s="6" t="s">
        <v>1201</v>
      </c>
      <c r="N382" s="6" t="s">
        <v>1203</v>
      </c>
      <c r="O382" s="6" t="s">
        <v>1205</v>
      </c>
      <c r="R382" s="101" t="s">
        <v>1220</v>
      </c>
      <c r="Y382" s="6" t="s">
        <v>1249</v>
      </c>
      <c r="Z382" s="6">
        <v>19</v>
      </c>
      <c r="AA382" s="6">
        <v>20</v>
      </c>
      <c r="AD382" s="6" t="s">
        <v>1203</v>
      </c>
      <c r="AE382" s="6" t="s">
        <v>1205</v>
      </c>
      <c r="AG382" s="6" t="s">
        <v>1250</v>
      </c>
      <c r="AY382" s="8" t="s">
        <v>176</v>
      </c>
      <c r="AZ382" s="8" t="s">
        <v>195</v>
      </c>
      <c r="BA382" s="13" t="s">
        <v>197</v>
      </c>
      <c r="BB382" s="13" t="s">
        <v>8</v>
      </c>
      <c r="BC382" s="13">
        <v>45</v>
      </c>
      <c r="BD382" s="13">
        <v>46</v>
      </c>
      <c r="DC382" s="6" t="s">
        <v>169</v>
      </c>
      <c r="DD382" s="6" t="s">
        <v>185</v>
      </c>
      <c r="DH382" s="6" t="str">
        <f t="shared" si="201"/>
        <v>A9</v>
      </c>
      <c r="DI382" s="6" t="str">
        <f t="shared" si="202"/>
        <v>B9</v>
      </c>
      <c r="DK382" s="6" t="s">
        <v>173</v>
      </c>
      <c r="DL382" s="6" t="str">
        <f t="shared" si="203"/>
        <v/>
      </c>
      <c r="DO382" s="9" t="s">
        <v>170</v>
      </c>
      <c r="DP382" s="6" t="s">
        <v>171</v>
      </c>
      <c r="DQ382" s="6" t="s">
        <v>645</v>
      </c>
      <c r="DR382" s="6" t="e">
        <f>#REF!&amp;RIGHT(#REF!,3)</f>
        <v>#REF!</v>
      </c>
      <c r="DS382" s="6" t="str">
        <f t="shared" si="204"/>
        <v>KS1</v>
      </c>
      <c r="DT382" s="10" t="str">
        <f t="shared" si="205"/>
        <v>FCS0111-6-2/1S–MC–107-F14-CN1</v>
      </c>
      <c r="DU382" s="6" t="str">
        <f t="shared" si="206"/>
        <v/>
      </c>
      <c r="DV382" s="19">
        <v>1</v>
      </c>
      <c r="DW382" s="20" t="str">
        <f t="shared" si="207"/>
        <v>11</v>
      </c>
      <c r="DX382" s="20">
        <v>6</v>
      </c>
      <c r="DY382" s="21">
        <v>2</v>
      </c>
      <c r="DZ382" s="22" t="s">
        <v>204</v>
      </c>
      <c r="EA382" s="23">
        <v>9</v>
      </c>
      <c r="EB382" s="7">
        <v>9</v>
      </c>
      <c r="EE382" s="9" t="s">
        <v>654</v>
      </c>
      <c r="EF382" s="6" t="s">
        <v>172</v>
      </c>
      <c r="EG382" s="6" t="s">
        <v>647</v>
      </c>
      <c r="EH382" s="6" t="s">
        <v>324</v>
      </c>
      <c r="EI382" s="6" t="s">
        <v>409</v>
      </c>
      <c r="EJ382" s="12">
        <v>100</v>
      </c>
      <c r="EL382" s="6"/>
      <c r="EM382" s="12"/>
      <c r="EN382" s="6" t="s">
        <v>1124</v>
      </c>
      <c r="EP382" s="6" t="s">
        <v>1148</v>
      </c>
      <c r="ET382" s="6" t="str">
        <f t="shared" si="171"/>
        <v>짝수</v>
      </c>
      <c r="EU382" s="12">
        <v>84</v>
      </c>
      <c r="EV382" s="45" t="str">
        <f t="shared" ca="1" si="176"/>
        <v>B</v>
      </c>
      <c r="EW382" s="6">
        <f t="shared" ca="1" si="172"/>
        <v>66</v>
      </c>
      <c r="FO382" s="6"/>
      <c r="FP382" s="11"/>
      <c r="FR382" s="6">
        <v>1</v>
      </c>
      <c r="FS382" s="6" t="str">
        <f t="shared" si="173"/>
        <v/>
      </c>
      <c r="FT382" s="6" t="str">
        <f t="shared" si="174"/>
        <v/>
      </c>
      <c r="FU382" s="6" t="str">
        <f t="shared" ca="1" si="177"/>
        <v/>
      </c>
      <c r="FV382" s="6" t="str">
        <f t="shared" ca="1" si="175"/>
        <v/>
      </c>
      <c r="FW382" s="6" t="str">
        <f t="shared" ca="1" si="197"/>
        <v/>
      </c>
      <c r="FX382" s="6" t="str">
        <f t="shared" ca="1" si="198"/>
        <v/>
      </c>
      <c r="FY382" s="6" t="str">
        <f t="shared" ca="1" si="199"/>
        <v/>
      </c>
      <c r="FZ382" s="6" t="str">
        <f t="shared" ca="1" si="200"/>
        <v/>
      </c>
    </row>
    <row r="383" spans="1:182" ht="15.95" customHeight="1">
      <c r="A383" s="6">
        <v>650</v>
      </c>
      <c r="B383" s="6" t="s">
        <v>653</v>
      </c>
      <c r="E383" s="13" t="s">
        <v>589</v>
      </c>
      <c r="F383" s="6" t="s">
        <v>1653</v>
      </c>
      <c r="G383" s="6" t="s">
        <v>1218</v>
      </c>
      <c r="H383" s="7" t="s">
        <v>1219</v>
      </c>
      <c r="I383" s="7"/>
      <c r="J383" s="6" t="s">
        <v>1199</v>
      </c>
      <c r="K383" s="6" t="s">
        <v>1201</v>
      </c>
      <c r="N383" s="6" t="s">
        <v>1203</v>
      </c>
      <c r="O383" s="6" t="s">
        <v>1205</v>
      </c>
      <c r="R383" s="101" t="s">
        <v>1220</v>
      </c>
      <c r="Y383" s="6" t="s">
        <v>1249</v>
      </c>
      <c r="Z383" s="6">
        <v>27</v>
      </c>
      <c r="AA383" s="6">
        <v>28</v>
      </c>
      <c r="AD383" s="6" t="s">
        <v>1203</v>
      </c>
      <c r="AE383" s="6" t="s">
        <v>1205</v>
      </c>
      <c r="AG383" s="6" t="s">
        <v>1250</v>
      </c>
      <c r="AY383" s="8" t="s">
        <v>176</v>
      </c>
      <c r="AZ383" s="8" t="s">
        <v>195</v>
      </c>
      <c r="BA383" s="13" t="s">
        <v>197</v>
      </c>
      <c r="BB383" s="13" t="s">
        <v>8</v>
      </c>
      <c r="BC383" s="13">
        <v>53</v>
      </c>
      <c r="BD383" s="13">
        <v>54</v>
      </c>
      <c r="DC383" s="6" t="s">
        <v>169</v>
      </c>
      <c r="DD383" s="6" t="s">
        <v>185</v>
      </c>
      <c r="DH383" s="6" t="str">
        <f t="shared" si="201"/>
        <v>A10</v>
      </c>
      <c r="DI383" s="6" t="str">
        <f t="shared" si="202"/>
        <v>B10</v>
      </c>
      <c r="DK383" s="6" t="s">
        <v>173</v>
      </c>
      <c r="DL383" s="6" t="str">
        <f t="shared" si="203"/>
        <v/>
      </c>
      <c r="DO383" s="9" t="s">
        <v>170</v>
      </c>
      <c r="DP383" s="6" t="s">
        <v>171</v>
      </c>
      <c r="DQ383" s="6" t="s">
        <v>645</v>
      </c>
      <c r="DR383" s="6" t="e">
        <f>#REF!&amp;RIGHT(#REF!,3)</f>
        <v>#REF!</v>
      </c>
      <c r="DS383" s="6" t="str">
        <f t="shared" si="204"/>
        <v>KS1</v>
      </c>
      <c r="DT383" s="10" t="str">
        <f t="shared" si="205"/>
        <v>FCS0111-6-2/1S–MC–107-F14-CN1</v>
      </c>
      <c r="DU383" s="6" t="str">
        <f t="shared" si="206"/>
        <v/>
      </c>
      <c r="DV383" s="19">
        <v>1</v>
      </c>
      <c r="DW383" s="20" t="str">
        <f t="shared" si="207"/>
        <v>11</v>
      </c>
      <c r="DX383" s="20">
        <v>6</v>
      </c>
      <c r="DY383" s="21">
        <v>2</v>
      </c>
      <c r="DZ383" s="22" t="s">
        <v>204</v>
      </c>
      <c r="EA383" s="23">
        <v>10</v>
      </c>
      <c r="EB383" s="7">
        <v>10</v>
      </c>
      <c r="EE383" s="9" t="s">
        <v>654</v>
      </c>
      <c r="EF383" s="6" t="s">
        <v>172</v>
      </c>
      <c r="EG383" s="6" t="s">
        <v>647</v>
      </c>
      <c r="EH383" s="6" t="s">
        <v>325</v>
      </c>
      <c r="EI383" s="6" t="s">
        <v>444</v>
      </c>
      <c r="EJ383" s="12">
        <v>100</v>
      </c>
      <c r="EL383" s="6"/>
      <c r="EM383" s="12"/>
      <c r="EN383" s="6" t="s">
        <v>1124</v>
      </c>
      <c r="EP383" s="6" t="s">
        <v>1148</v>
      </c>
      <c r="ET383" s="6" t="str">
        <f t="shared" si="171"/>
        <v>짝수</v>
      </c>
      <c r="EU383" s="12">
        <v>84</v>
      </c>
      <c r="EV383" s="45" t="str">
        <f t="shared" ca="1" si="176"/>
        <v>C</v>
      </c>
      <c r="EW383" s="6">
        <f t="shared" ca="1" si="172"/>
        <v>67</v>
      </c>
      <c r="FO383" s="6"/>
      <c r="FP383" s="11"/>
      <c r="FR383" s="6">
        <v>1</v>
      </c>
      <c r="FS383" s="6" t="str">
        <f t="shared" si="173"/>
        <v/>
      </c>
      <c r="FT383" s="6" t="str">
        <f t="shared" si="174"/>
        <v/>
      </c>
      <c r="FU383" s="6" t="str">
        <f t="shared" ca="1" si="177"/>
        <v/>
      </c>
      <c r="FV383" s="6" t="str">
        <f t="shared" ca="1" si="175"/>
        <v/>
      </c>
      <c r="FW383" s="6" t="str">
        <f t="shared" ca="1" si="197"/>
        <v/>
      </c>
      <c r="FX383" s="6" t="str">
        <f t="shared" ca="1" si="198"/>
        <v/>
      </c>
      <c r="FY383" s="6" t="str">
        <f t="shared" ca="1" si="199"/>
        <v/>
      </c>
      <c r="FZ383" s="6" t="str">
        <f t="shared" ca="1" si="200"/>
        <v/>
      </c>
    </row>
    <row r="384" spans="1:182" ht="15.95" customHeight="1">
      <c r="A384" s="6">
        <v>652</v>
      </c>
      <c r="B384" s="6" t="s">
        <v>653</v>
      </c>
      <c r="E384" s="6" t="s">
        <v>591</v>
      </c>
      <c r="F384" s="6" t="s">
        <v>1654</v>
      </c>
      <c r="G384" s="6" t="s">
        <v>1218</v>
      </c>
      <c r="H384" s="7" t="s">
        <v>1219</v>
      </c>
      <c r="I384" s="7"/>
      <c r="J384" s="6" t="s">
        <v>1199</v>
      </c>
      <c r="K384" s="6" t="s">
        <v>1201</v>
      </c>
      <c r="N384" s="6" t="s">
        <v>1203</v>
      </c>
      <c r="O384" s="6" t="s">
        <v>1205</v>
      </c>
      <c r="R384" s="101" t="s">
        <v>1220</v>
      </c>
      <c r="Y384" s="6" t="s">
        <v>1317</v>
      </c>
      <c r="Z384" s="6">
        <v>3</v>
      </c>
      <c r="AA384" s="6">
        <v>4</v>
      </c>
      <c r="AD384" s="6" t="s">
        <v>1203</v>
      </c>
      <c r="AE384" s="6" t="s">
        <v>1205</v>
      </c>
      <c r="AG384" s="6" t="s">
        <v>1318</v>
      </c>
      <c r="AY384" s="8" t="s">
        <v>176</v>
      </c>
      <c r="AZ384" s="8" t="s">
        <v>195</v>
      </c>
      <c r="BA384" s="13" t="s">
        <v>197</v>
      </c>
      <c r="BB384" s="13" t="s">
        <v>7</v>
      </c>
      <c r="BC384" s="13">
        <v>155</v>
      </c>
      <c r="BD384" s="13">
        <v>156</v>
      </c>
      <c r="DC384" s="6" t="s">
        <v>169</v>
      </c>
      <c r="DD384" s="6" t="s">
        <v>185</v>
      </c>
      <c r="DH384" s="6" t="str">
        <f>"A"&amp;EA384</f>
        <v>A12</v>
      </c>
      <c r="DI384" s="6" t="str">
        <f>"B"&amp;EA384</f>
        <v>B12</v>
      </c>
      <c r="DK384" s="6" t="s">
        <v>173</v>
      </c>
      <c r="DL384" s="6" t="str">
        <f>IF(DZ384&lt;&gt;"","CN2","")</f>
        <v/>
      </c>
      <c r="DO384" s="9" t="s">
        <v>170</v>
      </c>
      <c r="DP384" s="6" t="s">
        <v>171</v>
      </c>
      <c r="DQ384" s="6" t="s">
        <v>645</v>
      </c>
      <c r="DR384" s="6" t="e">
        <f>#REF!&amp;RIGHT(#REF!,3)</f>
        <v>#REF!</v>
      </c>
      <c r="DS384" s="6" t="str">
        <f>IF(MID(EF384,2,1)="A","KS1","AKB331")</f>
        <v>KS1</v>
      </c>
      <c r="DT384" s="10" t="str">
        <f>DQ384&amp;"-"&amp;DX384&amp;"-"&amp;DY384&amp;"/"&amp;BA384&amp;"-"&amp;DD384&amp;"-"&amp;DK384</f>
        <v>FCS0111-6-2/1S–MC–107-F14-CN1</v>
      </c>
      <c r="DU384" s="6" t="str">
        <f>IF(DL384="","",DQ384&amp;"-"&amp;DX384&amp;"-"&amp;DY384&amp;"/"&amp;BA384&amp;"-"&amp;DD384&amp;"-"&amp;DL384)</f>
        <v/>
      </c>
      <c r="DV384" s="19">
        <v>1</v>
      </c>
      <c r="DW384" s="20" t="str">
        <f>RIGHT(DQ384,2)</f>
        <v>11</v>
      </c>
      <c r="DX384" s="20">
        <v>6</v>
      </c>
      <c r="DY384" s="21">
        <v>2</v>
      </c>
      <c r="DZ384" s="22" t="s">
        <v>204</v>
      </c>
      <c r="EA384" s="23">
        <v>12</v>
      </c>
      <c r="EB384" s="7">
        <v>12</v>
      </c>
      <c r="EE384" s="9" t="s">
        <v>654</v>
      </c>
      <c r="EF384" s="6" t="s">
        <v>172</v>
      </c>
      <c r="EG384" s="6" t="s">
        <v>647</v>
      </c>
      <c r="EH384" s="6" t="s">
        <v>326</v>
      </c>
      <c r="EI384" s="6" t="s">
        <v>410</v>
      </c>
      <c r="EJ384" s="12">
        <v>100</v>
      </c>
      <c r="EL384" s="6"/>
      <c r="EM384" s="12"/>
      <c r="EN384" s="6" t="s">
        <v>1124</v>
      </c>
      <c r="EP384" s="6" t="s">
        <v>1148</v>
      </c>
      <c r="ET384" s="6" t="str">
        <f t="shared" si="171"/>
        <v>짝수</v>
      </c>
      <c r="EU384" s="12">
        <v>84</v>
      </c>
      <c r="EV384" s="45" t="str">
        <f t="shared" ca="1" si="176"/>
        <v>D</v>
      </c>
      <c r="EW384" s="6">
        <f t="shared" ca="1" si="172"/>
        <v>68</v>
      </c>
      <c r="FO384" s="6"/>
      <c r="FP384" s="11"/>
      <c r="FR384" s="6">
        <v>1</v>
      </c>
      <c r="FS384" s="6" t="str">
        <f t="shared" si="173"/>
        <v/>
      </c>
      <c r="FT384" s="6" t="str">
        <f t="shared" si="174"/>
        <v/>
      </c>
      <c r="FU384" s="6" t="str">
        <f t="shared" ca="1" si="177"/>
        <v/>
      </c>
      <c r="FV384" s="6" t="str">
        <f t="shared" ca="1" si="175"/>
        <v/>
      </c>
      <c r="FW384" s="6" t="str">
        <f t="shared" ca="1" si="197"/>
        <v/>
      </c>
      <c r="FX384" s="6" t="str">
        <f t="shared" ca="1" si="198"/>
        <v/>
      </c>
      <c r="FY384" s="6" t="str">
        <f t="shared" ca="1" si="199"/>
        <v/>
      </c>
      <c r="FZ384" s="6" t="str">
        <f t="shared" ca="1" si="200"/>
        <v/>
      </c>
    </row>
    <row r="385" spans="1:182" ht="15.95" customHeight="1">
      <c r="A385" s="6">
        <v>653</v>
      </c>
      <c r="B385" s="6" t="s">
        <v>653</v>
      </c>
      <c r="E385" s="6" t="s">
        <v>592</v>
      </c>
      <c r="F385" s="6" t="s">
        <v>1655</v>
      </c>
      <c r="G385" s="6" t="s">
        <v>1218</v>
      </c>
      <c r="H385" s="7" t="s">
        <v>1219</v>
      </c>
      <c r="I385" s="7"/>
      <c r="J385" s="6" t="s">
        <v>1199</v>
      </c>
      <c r="K385" s="6" t="s">
        <v>1201</v>
      </c>
      <c r="N385" s="6" t="s">
        <v>1203</v>
      </c>
      <c r="O385" s="6" t="s">
        <v>1205</v>
      </c>
      <c r="R385" s="101" t="s">
        <v>1220</v>
      </c>
      <c r="Y385" s="6" t="s">
        <v>1317</v>
      </c>
      <c r="Z385" s="6">
        <v>11</v>
      </c>
      <c r="AA385" s="6">
        <v>12</v>
      </c>
      <c r="AD385" s="6" t="s">
        <v>1203</v>
      </c>
      <c r="AE385" s="6" t="s">
        <v>1205</v>
      </c>
      <c r="AG385" s="6" t="s">
        <v>1318</v>
      </c>
      <c r="AY385" s="8" t="s">
        <v>176</v>
      </c>
      <c r="AZ385" s="8" t="s">
        <v>195</v>
      </c>
      <c r="BA385" s="13" t="s">
        <v>197</v>
      </c>
      <c r="BB385" s="13" t="s">
        <v>7</v>
      </c>
      <c r="BC385" s="13">
        <v>163</v>
      </c>
      <c r="BD385" s="13">
        <v>164</v>
      </c>
      <c r="DC385" s="6" t="s">
        <v>169</v>
      </c>
      <c r="DD385" s="6" t="s">
        <v>185</v>
      </c>
      <c r="DH385" s="6" t="str">
        <f t="shared" si="201"/>
        <v>A13</v>
      </c>
      <c r="DI385" s="6" t="str">
        <f t="shared" si="202"/>
        <v>B13</v>
      </c>
      <c r="DK385" s="6" t="s">
        <v>173</v>
      </c>
      <c r="DL385" s="6" t="str">
        <f t="shared" si="203"/>
        <v/>
      </c>
      <c r="DO385" s="9" t="s">
        <v>170</v>
      </c>
      <c r="DP385" s="6" t="s">
        <v>171</v>
      </c>
      <c r="DQ385" s="6" t="s">
        <v>645</v>
      </c>
      <c r="DR385" s="6" t="e">
        <f>#REF!&amp;RIGHT(#REF!,3)</f>
        <v>#REF!</v>
      </c>
      <c r="DS385" s="6" t="str">
        <f t="shared" si="204"/>
        <v>KS1</v>
      </c>
      <c r="DT385" s="10" t="str">
        <f t="shared" si="205"/>
        <v>FCS0111-6-2/1S–MC–107-F14-CN1</v>
      </c>
      <c r="DU385" s="6" t="str">
        <f t="shared" si="206"/>
        <v/>
      </c>
      <c r="DV385" s="19">
        <v>1</v>
      </c>
      <c r="DW385" s="20" t="str">
        <f t="shared" si="207"/>
        <v>11</v>
      </c>
      <c r="DX385" s="20">
        <v>6</v>
      </c>
      <c r="DY385" s="21">
        <v>2</v>
      </c>
      <c r="DZ385" s="22" t="s">
        <v>204</v>
      </c>
      <c r="EA385" s="23">
        <v>13</v>
      </c>
      <c r="EB385" s="7">
        <v>13</v>
      </c>
      <c r="EE385" s="9" t="s">
        <v>654</v>
      </c>
      <c r="EF385" s="6" t="s">
        <v>172</v>
      </c>
      <c r="EG385" s="6" t="s">
        <v>647</v>
      </c>
      <c r="EH385" s="6" t="s">
        <v>327</v>
      </c>
      <c r="EI385" s="6" t="s">
        <v>423</v>
      </c>
      <c r="EJ385" s="12">
        <v>100</v>
      </c>
      <c r="EL385" s="6"/>
      <c r="EM385" s="12"/>
      <c r="EN385" s="6" t="s">
        <v>1124</v>
      </c>
      <c r="EP385" s="6" t="s">
        <v>1148</v>
      </c>
      <c r="ET385" s="6" t="str">
        <f t="shared" si="171"/>
        <v>홀수</v>
      </c>
      <c r="EU385" s="12">
        <v>85</v>
      </c>
      <c r="EV385" s="45" t="str">
        <f t="shared" ca="1" si="176"/>
        <v>A</v>
      </c>
      <c r="EW385" s="6">
        <f t="shared" ca="1" si="172"/>
        <v>65</v>
      </c>
      <c r="FO385" s="6"/>
      <c r="FP385" s="11"/>
      <c r="FR385" s="6">
        <v>1</v>
      </c>
      <c r="FS385" s="6" t="str">
        <f t="shared" si="173"/>
        <v/>
      </c>
      <c r="FT385" s="6" t="str">
        <f t="shared" si="174"/>
        <v/>
      </c>
      <c r="FU385" s="6" t="str">
        <f t="shared" ca="1" si="177"/>
        <v/>
      </c>
      <c r="FV385" s="6" t="str">
        <f t="shared" ca="1" si="175"/>
        <v/>
      </c>
      <c r="FW385" s="6" t="str">
        <f t="shared" ca="1" si="197"/>
        <v/>
      </c>
      <c r="FX385" s="6" t="str">
        <f t="shared" ca="1" si="198"/>
        <v/>
      </c>
      <c r="FY385" s="6" t="str">
        <f t="shared" ca="1" si="199"/>
        <v/>
      </c>
      <c r="FZ385" s="6" t="str">
        <f t="shared" ca="1" si="200"/>
        <v/>
      </c>
    </row>
    <row r="386" spans="1:182" ht="15.95" customHeight="1">
      <c r="A386" s="6">
        <v>657</v>
      </c>
      <c r="B386" s="6" t="s">
        <v>653</v>
      </c>
      <c r="E386" s="6" t="s">
        <v>935</v>
      </c>
      <c r="F386" s="6" t="s">
        <v>1656</v>
      </c>
      <c r="G386" s="6" t="s">
        <v>1290</v>
      </c>
      <c r="H386" s="7" t="s">
        <v>1291</v>
      </c>
      <c r="I386" s="7"/>
      <c r="J386" s="6" t="s">
        <v>1199</v>
      </c>
      <c r="K386" s="6" t="s">
        <v>1201</v>
      </c>
      <c r="N386" s="6" t="s">
        <v>1203</v>
      </c>
      <c r="O386" s="6" t="s">
        <v>1205</v>
      </c>
      <c r="R386" s="101" t="s">
        <v>1220</v>
      </c>
      <c r="Y386" s="6" t="s">
        <v>1579</v>
      </c>
      <c r="Z386" s="6">
        <v>5</v>
      </c>
      <c r="AA386" s="6">
        <v>6</v>
      </c>
      <c r="AD386" s="6" t="s">
        <v>1203</v>
      </c>
      <c r="AE386" s="6" t="s">
        <v>1205</v>
      </c>
      <c r="AG386" s="6" t="s">
        <v>1580</v>
      </c>
      <c r="AY386" s="8" t="s">
        <v>176</v>
      </c>
      <c r="AZ386" s="8" t="s">
        <v>195</v>
      </c>
      <c r="BA386" s="13" t="s">
        <v>643</v>
      </c>
      <c r="BB386" s="13" t="s">
        <v>740</v>
      </c>
      <c r="BC386" s="13">
        <v>5</v>
      </c>
      <c r="BD386" s="13">
        <v>6</v>
      </c>
      <c r="DC386" s="6" t="s">
        <v>644</v>
      </c>
      <c r="DD386" s="6" t="s">
        <v>192</v>
      </c>
      <c r="DH386" s="6" t="str">
        <f t="shared" si="201"/>
        <v>A1</v>
      </c>
      <c r="DI386" s="6" t="str">
        <f t="shared" si="202"/>
        <v>B1</v>
      </c>
      <c r="DK386" s="6" t="s">
        <v>173</v>
      </c>
      <c r="DL386" s="6" t="str">
        <f t="shared" si="203"/>
        <v/>
      </c>
      <c r="DO386" s="9" t="s">
        <v>170</v>
      </c>
      <c r="DP386" s="6" t="s">
        <v>171</v>
      </c>
      <c r="DQ386" s="6" t="s">
        <v>645</v>
      </c>
      <c r="DR386" s="6" t="e">
        <f>#REF!&amp;RIGHT(#REF!,3)</f>
        <v>#REF!</v>
      </c>
      <c r="DS386" s="6" t="str">
        <f t="shared" si="204"/>
        <v>AKB331</v>
      </c>
      <c r="DT386" s="10" t="str">
        <f t="shared" si="205"/>
        <v>FCS0111-6-5/1S–MC–118-R6-CN1</v>
      </c>
      <c r="DU386" s="6" t="str">
        <f t="shared" si="206"/>
        <v/>
      </c>
      <c r="DV386" s="19">
        <v>1</v>
      </c>
      <c r="DW386" s="20" t="str">
        <f t="shared" si="207"/>
        <v>11</v>
      </c>
      <c r="DX386" s="20">
        <v>6</v>
      </c>
      <c r="DY386" s="21">
        <v>5</v>
      </c>
      <c r="DZ386" s="22" t="s">
        <v>204</v>
      </c>
      <c r="EA386" s="23">
        <v>1</v>
      </c>
      <c r="EB386" s="7">
        <v>17</v>
      </c>
      <c r="EE386" s="9" t="s">
        <v>654</v>
      </c>
      <c r="EF386" s="6" t="s">
        <v>647</v>
      </c>
      <c r="EG386" s="6" t="s">
        <v>647</v>
      </c>
      <c r="EH386" s="6" t="s">
        <v>935</v>
      </c>
      <c r="EI386" s="6" t="s">
        <v>936</v>
      </c>
      <c r="EJ386" s="12">
        <v>8</v>
      </c>
      <c r="EK386" s="12"/>
      <c r="EM386" s="12"/>
      <c r="EN386" s="12" t="s">
        <v>1126</v>
      </c>
      <c r="EP386" s="6" t="s">
        <v>1155</v>
      </c>
      <c r="ER386" s="6" t="str">
        <f>LEFT(EH388,2)&amp;"O"&amp;MID(EH388,4,7)</f>
        <v>HVO40397</v>
      </c>
      <c r="ET386" s="6" t="str">
        <f t="shared" si="171"/>
        <v>홀수</v>
      </c>
      <c r="EU386" s="12">
        <v>85</v>
      </c>
      <c r="EV386" s="45" t="str">
        <f t="shared" ca="1" si="176"/>
        <v>B</v>
      </c>
      <c r="EW386" s="6">
        <f t="shared" ca="1" si="172"/>
        <v>66</v>
      </c>
      <c r="FO386" s="6"/>
      <c r="FP386" s="11"/>
      <c r="FR386" s="6">
        <v>1</v>
      </c>
      <c r="FS386" s="6" t="str">
        <f t="shared" si="173"/>
        <v/>
      </c>
      <c r="FT386" s="6">
        <f t="shared" si="174"/>
        <v>1</v>
      </c>
      <c r="FU386" s="6" t="str">
        <f t="shared" ca="1" si="177"/>
        <v/>
      </c>
      <c r="FV386" s="6" t="str">
        <f t="shared" ca="1" si="175"/>
        <v/>
      </c>
      <c r="FW386" s="6" t="str">
        <f t="shared" ca="1" si="197"/>
        <v>R6-11</v>
      </c>
      <c r="FX386" s="6" t="str">
        <f t="shared" ca="1" si="198"/>
        <v>R6-12</v>
      </c>
      <c r="FY386" s="6" t="str">
        <f t="shared" ca="1" si="199"/>
        <v>R6-21</v>
      </c>
      <c r="FZ386" s="6" t="str">
        <f t="shared" ca="1" si="200"/>
        <v>R6-22</v>
      </c>
    </row>
    <row r="387" spans="1:182" ht="15.95" customHeight="1">
      <c r="A387" s="6">
        <v>658</v>
      </c>
      <c r="B387" s="6" t="s">
        <v>653</v>
      </c>
      <c r="E387" s="6" t="s">
        <v>937</v>
      </c>
      <c r="F387" s="6" t="s">
        <v>1657</v>
      </c>
      <c r="G387" s="6" t="s">
        <v>1290</v>
      </c>
      <c r="H387" s="7" t="s">
        <v>1291</v>
      </c>
      <c r="I387" s="7"/>
      <c r="J387" s="6" t="s">
        <v>1199</v>
      </c>
      <c r="K387" s="6" t="s">
        <v>1201</v>
      </c>
      <c r="N387" s="6" t="s">
        <v>1203</v>
      </c>
      <c r="O387" s="6" t="s">
        <v>1205</v>
      </c>
      <c r="R387" s="101" t="s">
        <v>1220</v>
      </c>
      <c r="Y387" s="6" t="s">
        <v>1579</v>
      </c>
      <c r="Z387" s="6">
        <v>7</v>
      </c>
      <c r="AA387" s="6">
        <v>8</v>
      </c>
      <c r="AD387" s="6" t="s">
        <v>1203</v>
      </c>
      <c r="AE387" s="6" t="s">
        <v>1205</v>
      </c>
      <c r="AG387" s="6" t="s">
        <v>1580</v>
      </c>
      <c r="AY387" s="8" t="s">
        <v>176</v>
      </c>
      <c r="AZ387" s="8" t="s">
        <v>195</v>
      </c>
      <c r="BA387" s="13" t="s">
        <v>643</v>
      </c>
      <c r="BB387" s="13" t="s">
        <v>740</v>
      </c>
      <c r="BC387" s="13">
        <v>7</v>
      </c>
      <c r="BD387" s="13">
        <v>8</v>
      </c>
      <c r="DC387" s="6" t="s">
        <v>644</v>
      </c>
      <c r="DD387" s="6" t="s">
        <v>192</v>
      </c>
      <c r="DH387" s="6" t="str">
        <f t="shared" si="201"/>
        <v>A2</v>
      </c>
      <c r="DI387" s="6" t="str">
        <f t="shared" si="202"/>
        <v>B2</v>
      </c>
      <c r="DK387" s="6" t="s">
        <v>173</v>
      </c>
      <c r="DL387" s="6" t="str">
        <f t="shared" si="203"/>
        <v/>
      </c>
      <c r="DO387" s="9" t="s">
        <v>170</v>
      </c>
      <c r="DP387" s="6" t="s">
        <v>171</v>
      </c>
      <c r="DQ387" s="6" t="s">
        <v>645</v>
      </c>
      <c r="DR387" s="6" t="e">
        <f>#REF!&amp;RIGHT(#REF!,3)</f>
        <v>#REF!</v>
      </c>
      <c r="DS387" s="6" t="str">
        <f t="shared" si="204"/>
        <v>AKB331</v>
      </c>
      <c r="DT387" s="10" t="str">
        <f t="shared" si="205"/>
        <v>FCS0111-6-5/1S–MC–118-R6-CN1</v>
      </c>
      <c r="DU387" s="6" t="str">
        <f t="shared" si="206"/>
        <v/>
      </c>
      <c r="DV387" s="19">
        <v>1</v>
      </c>
      <c r="DW387" s="20" t="str">
        <f t="shared" si="207"/>
        <v>11</v>
      </c>
      <c r="DX387" s="20">
        <v>6</v>
      </c>
      <c r="DY387" s="21">
        <v>5</v>
      </c>
      <c r="DZ387" s="22" t="s">
        <v>204</v>
      </c>
      <c r="EA387" s="23">
        <v>2</v>
      </c>
      <c r="EB387" s="7">
        <v>18</v>
      </c>
      <c r="EE387" s="9" t="s">
        <v>693</v>
      </c>
      <c r="EF387" s="6" t="s">
        <v>647</v>
      </c>
      <c r="EG387" s="6" t="s">
        <v>647</v>
      </c>
      <c r="EH387" s="6" t="s">
        <v>937</v>
      </c>
      <c r="EI387" s="6" t="s">
        <v>936</v>
      </c>
      <c r="EJ387" s="12">
        <v>8</v>
      </c>
      <c r="EK387" s="12"/>
      <c r="EM387" s="12"/>
      <c r="EN387" s="12" t="s">
        <v>1126</v>
      </c>
      <c r="ET387" s="6" t="str">
        <f t="shared" ref="ET387:ET448" si="208">IF(MOD(EU387,2) = 0, "짝수", "홀수")</f>
        <v>홀수</v>
      </c>
      <c r="EU387" s="12">
        <v>85</v>
      </c>
      <c r="EV387" s="45" t="str">
        <f t="shared" ca="1" si="176"/>
        <v>C</v>
      </c>
      <c r="EW387" s="6">
        <f t="shared" ref="EW387:EW448" ca="1" si="209">IF(EV387="A",65,IF(EV387="B",66,IF(EV387="C",67,68)))</f>
        <v>67</v>
      </c>
      <c r="FO387" s="6"/>
      <c r="FP387" s="11"/>
      <c r="FR387" s="6">
        <v>1</v>
      </c>
      <c r="FS387" s="6" t="str">
        <f t="shared" ref="FS387:FS450" si="210">IF(OR(DC387="A1BA4D",DC387="A1BD5D"),"",1)</f>
        <v/>
      </c>
      <c r="FT387" s="6">
        <f t="shared" ref="FT387:FT450" si="211">IF(OR(DC387="A1BA4D",DC387="ARM55D"),"",1)</f>
        <v>1</v>
      </c>
      <c r="FU387" s="6" t="str">
        <f t="shared" ca="1" si="177"/>
        <v/>
      </c>
      <c r="FV387" s="6" t="str">
        <f t="shared" ref="FV387:FV450" ca="1" si="212">IF(AND(FS387="",OFFSET(FS387,0,1)="",DC387="A1BA4D"),"",IF(DC387="A1BD5D","",DD387&amp;"-12"))</f>
        <v/>
      </c>
      <c r="FW387" s="6" t="str">
        <f t="shared" ca="1" si="197"/>
        <v>R6-11</v>
      </c>
      <c r="FX387" s="6" t="str">
        <f t="shared" ca="1" si="198"/>
        <v>R6-12</v>
      </c>
      <c r="FY387" s="6" t="str">
        <f t="shared" ca="1" si="199"/>
        <v>R6-21</v>
      </c>
      <c r="FZ387" s="6" t="str">
        <f t="shared" ca="1" si="200"/>
        <v>R6-22</v>
      </c>
    </row>
    <row r="388" spans="1:182" ht="15.95" customHeight="1">
      <c r="A388" s="6">
        <v>796</v>
      </c>
      <c r="B388" s="6" t="s">
        <v>694</v>
      </c>
      <c r="E388" s="6" t="s">
        <v>1003</v>
      </c>
      <c r="F388" s="6" t="s">
        <v>1658</v>
      </c>
      <c r="G388" s="6" t="s">
        <v>1290</v>
      </c>
      <c r="H388" s="7" t="s">
        <v>1291</v>
      </c>
      <c r="I388" s="7"/>
      <c r="J388" s="6" t="s">
        <v>1199</v>
      </c>
      <c r="K388" s="6" t="s">
        <v>1201</v>
      </c>
      <c r="N388" s="6" t="s">
        <v>1203</v>
      </c>
      <c r="O388" s="6" t="s">
        <v>1205</v>
      </c>
      <c r="R388" s="101" t="s">
        <v>1592</v>
      </c>
      <c r="Y388" s="6" t="s">
        <v>1659</v>
      </c>
      <c r="Z388" s="6">
        <v>3</v>
      </c>
      <c r="AA388" s="6">
        <v>4</v>
      </c>
      <c r="AD388" s="6" t="s">
        <v>1203</v>
      </c>
      <c r="AE388" s="6" t="s">
        <v>1205</v>
      </c>
      <c r="AG388" s="6" t="s">
        <v>1660</v>
      </c>
      <c r="AY388" s="8" t="s">
        <v>176</v>
      </c>
      <c r="AZ388" s="8" t="s">
        <v>195</v>
      </c>
      <c r="BA388" s="13" t="s">
        <v>670</v>
      </c>
      <c r="BB388" s="13" t="s">
        <v>200</v>
      </c>
      <c r="BC388" s="13">
        <v>27</v>
      </c>
      <c r="BD388" s="13">
        <v>28</v>
      </c>
      <c r="DC388" s="6" t="s">
        <v>992</v>
      </c>
      <c r="DD388" s="6" t="s">
        <v>187</v>
      </c>
      <c r="DH388" s="6" t="str">
        <f>"A"&amp;EA388</f>
        <v>A12</v>
      </c>
      <c r="DI388" s="6" t="str">
        <f>"B"&amp;EA388</f>
        <v>B12</v>
      </c>
      <c r="DK388" s="6" t="s">
        <v>173</v>
      </c>
      <c r="DL388" s="6" t="str">
        <f>IF(DZ388&lt;&gt;"","CN2","")</f>
        <v>CN2</v>
      </c>
      <c r="DO388" s="9" t="s">
        <v>170</v>
      </c>
      <c r="DP388" s="6" t="s">
        <v>171</v>
      </c>
      <c r="DQ388" s="6" t="s">
        <v>645</v>
      </c>
      <c r="DR388" s="6" t="e">
        <f>#REF!&amp;RIGHT(#REF!,3)</f>
        <v>#REF!</v>
      </c>
      <c r="DS388" s="6" t="str">
        <f>IF(MID(EF388,2,1)="A","KS1","AKB331")</f>
        <v>AKB331</v>
      </c>
      <c r="DT388" s="10" t="str">
        <f>DQ388&amp;"-"&amp;DX388&amp;"-"&amp;DY388&amp;"/"&amp;BA388&amp;"-"&amp;DD388&amp;"-"&amp;DK388</f>
        <v>FCS0111-7-7/1S–MC–120-R1-CN1</v>
      </c>
      <c r="DU388" s="6" t="str">
        <f>IF(DL388="","",DQ388&amp;"-"&amp;DX388&amp;"-"&amp;DY388&amp;"/"&amp;BA388&amp;"-"&amp;DD388&amp;"-"&amp;DL388)</f>
        <v>FCS0111-7-7/1S–MC–120-R1-CN2</v>
      </c>
      <c r="DV388" s="19">
        <v>1</v>
      </c>
      <c r="DW388" s="20" t="str">
        <f>RIGHT(DQ388,2)</f>
        <v>11</v>
      </c>
      <c r="DX388" s="20">
        <v>7</v>
      </c>
      <c r="DY388" s="21">
        <v>7</v>
      </c>
      <c r="DZ388" s="22">
        <v>8</v>
      </c>
      <c r="EA388" s="23">
        <v>12</v>
      </c>
      <c r="EB388" s="7">
        <v>28</v>
      </c>
      <c r="EE388" s="9" t="s">
        <v>693</v>
      </c>
      <c r="EF388" s="6" t="s">
        <v>672</v>
      </c>
      <c r="EG388" s="6" t="s">
        <v>647</v>
      </c>
      <c r="EH388" s="6" t="s">
        <v>1003</v>
      </c>
      <c r="EI388" s="6" t="s">
        <v>936</v>
      </c>
      <c r="EJ388" s="12">
        <v>8</v>
      </c>
      <c r="EK388" s="12"/>
      <c r="EM388" s="12"/>
      <c r="EN388" s="12" t="s">
        <v>1126</v>
      </c>
      <c r="ET388" s="6" t="str">
        <f t="shared" si="208"/>
        <v>홀수</v>
      </c>
      <c r="EU388" s="12">
        <v>85</v>
      </c>
      <c r="EV388" s="45" t="str">
        <f t="shared" ca="1" si="176"/>
        <v>D</v>
      </c>
      <c r="EW388" s="6">
        <f t="shared" ca="1" si="209"/>
        <v>68</v>
      </c>
      <c r="FO388" s="6"/>
      <c r="FP388" s="11"/>
      <c r="FR388" s="6">
        <v>1</v>
      </c>
      <c r="FS388" s="6">
        <f t="shared" si="210"/>
        <v>1</v>
      </c>
      <c r="FT388" s="6">
        <f t="shared" si="211"/>
        <v>1</v>
      </c>
      <c r="FU388" s="6" t="str">
        <f t="shared" ca="1" si="177"/>
        <v>R1-11</v>
      </c>
      <c r="FV388" s="6" t="str">
        <f t="shared" ca="1" si="212"/>
        <v>R1-12</v>
      </c>
      <c r="FW388" s="6" t="s">
        <v>1095</v>
      </c>
      <c r="FX388" s="6" t="s">
        <v>1096</v>
      </c>
      <c r="FY388" s="6" t="s">
        <v>1095</v>
      </c>
      <c r="FZ388" s="6" t="s">
        <v>1096</v>
      </c>
    </row>
    <row r="389" spans="1:182" ht="15.95" customHeight="1">
      <c r="A389" s="6">
        <v>659</v>
      </c>
      <c r="B389" s="6" t="s">
        <v>694</v>
      </c>
      <c r="E389" s="6" t="s">
        <v>938</v>
      </c>
      <c r="F389" s="6" t="s">
        <v>1661</v>
      </c>
      <c r="G389" s="6" t="s">
        <v>1290</v>
      </c>
      <c r="H389" s="7" t="s">
        <v>1291</v>
      </c>
      <c r="I389" s="7"/>
      <c r="J389" s="6" t="s">
        <v>1199</v>
      </c>
      <c r="K389" s="6" t="s">
        <v>1201</v>
      </c>
      <c r="N389" s="6" t="s">
        <v>1203</v>
      </c>
      <c r="O389" s="6" t="s">
        <v>1205</v>
      </c>
      <c r="R389" s="101" t="s">
        <v>1220</v>
      </c>
      <c r="Y389" s="6" t="s">
        <v>1579</v>
      </c>
      <c r="Z389" s="6">
        <v>9</v>
      </c>
      <c r="AA389" s="6">
        <v>10</v>
      </c>
      <c r="AD389" s="6" t="s">
        <v>1203</v>
      </c>
      <c r="AE389" s="6" t="s">
        <v>1205</v>
      </c>
      <c r="AG389" s="6" t="s">
        <v>1580</v>
      </c>
      <c r="AY389" s="8" t="s">
        <v>176</v>
      </c>
      <c r="AZ389" s="8" t="s">
        <v>195</v>
      </c>
      <c r="BA389" s="13" t="s">
        <v>643</v>
      </c>
      <c r="BB389" s="13" t="s">
        <v>740</v>
      </c>
      <c r="BC389" s="13">
        <v>9</v>
      </c>
      <c r="BD389" s="13">
        <v>10</v>
      </c>
      <c r="DC389" s="6" t="s">
        <v>644</v>
      </c>
      <c r="DD389" s="6" t="s">
        <v>192</v>
      </c>
      <c r="DH389" s="6" t="str">
        <f t="shared" si="201"/>
        <v>A3</v>
      </c>
      <c r="DI389" s="6" t="str">
        <f t="shared" si="202"/>
        <v>B3</v>
      </c>
      <c r="DK389" s="6" t="s">
        <v>173</v>
      </c>
      <c r="DL389" s="6" t="str">
        <f t="shared" si="203"/>
        <v/>
      </c>
      <c r="DO389" s="9" t="s">
        <v>170</v>
      </c>
      <c r="DP389" s="6" t="s">
        <v>171</v>
      </c>
      <c r="DQ389" s="6" t="s">
        <v>645</v>
      </c>
      <c r="DR389" s="6" t="e">
        <f>#REF!&amp;RIGHT(#REF!,3)</f>
        <v>#REF!</v>
      </c>
      <c r="DS389" s="6" t="str">
        <f t="shared" si="204"/>
        <v>AKB331</v>
      </c>
      <c r="DT389" s="10" t="str">
        <f t="shared" si="205"/>
        <v>FCS0111-6-5/1S–MC–118-R6-CN1</v>
      </c>
      <c r="DU389" s="6" t="str">
        <f t="shared" si="206"/>
        <v/>
      </c>
      <c r="DV389" s="19">
        <v>1</v>
      </c>
      <c r="DW389" s="20" t="str">
        <f t="shared" si="207"/>
        <v>11</v>
      </c>
      <c r="DX389" s="20">
        <v>6</v>
      </c>
      <c r="DY389" s="21">
        <v>5</v>
      </c>
      <c r="DZ389" s="22" t="s">
        <v>204</v>
      </c>
      <c r="EA389" s="23">
        <v>3</v>
      </c>
      <c r="EB389" s="7">
        <v>19</v>
      </c>
      <c r="EE389" s="9" t="s">
        <v>693</v>
      </c>
      <c r="EF389" s="6" t="s">
        <v>647</v>
      </c>
      <c r="EG389" s="6" t="s">
        <v>647</v>
      </c>
      <c r="EH389" s="6" t="s">
        <v>938</v>
      </c>
      <c r="EI389" s="6" t="s">
        <v>936</v>
      </c>
      <c r="EJ389" s="12">
        <v>100</v>
      </c>
      <c r="EL389" s="6"/>
      <c r="EM389" s="12"/>
      <c r="EN389" s="6" t="s">
        <v>1128</v>
      </c>
      <c r="EP389" s="6" t="s">
        <v>1148</v>
      </c>
      <c r="ET389" s="6" t="str">
        <f t="shared" si="208"/>
        <v>짝수</v>
      </c>
      <c r="EU389" s="12">
        <v>86</v>
      </c>
      <c r="EV389" s="45" t="str">
        <f t="shared" ca="1" si="176"/>
        <v>A</v>
      </c>
      <c r="EW389" s="6">
        <f t="shared" ca="1" si="209"/>
        <v>65</v>
      </c>
      <c r="FO389" s="6"/>
      <c r="FP389" s="11"/>
      <c r="FR389" s="6">
        <v>1</v>
      </c>
      <c r="FS389" s="6" t="str">
        <f t="shared" si="210"/>
        <v/>
      </c>
      <c r="FT389" s="6">
        <f t="shared" si="211"/>
        <v>1</v>
      </c>
      <c r="FU389" s="6" t="str">
        <f t="shared" ca="1" si="177"/>
        <v/>
      </c>
      <c r="FV389" s="6" t="str">
        <f t="shared" ca="1" si="212"/>
        <v/>
      </c>
      <c r="FW389" s="6" t="str">
        <f ca="1">IF(AND(FT389=1,FU389=""),DD389&amp;"-11",IF(AND(FT389=1,FU389&lt;&gt;""),DD389&amp;"-21",""))</f>
        <v>R6-11</v>
      </c>
      <c r="FX389" s="6" t="str">
        <f ca="1">IF(AND(FT389=1,FU389=""),DD389&amp;"-12",IF(AND(FT389=1,FU389&lt;&gt;""),DD389&amp;"-22",""))</f>
        <v>R6-12</v>
      </c>
      <c r="FY389" s="6" t="str">
        <f ca="1">IF(AND(FS389="",OFFSET(FS389,0,1)="",DC389="A1BA4D"),"",IF(DC389="A1BD5D",LEFT(FW389,3)&amp;"21",FW389))</f>
        <v>R6-21</v>
      </c>
      <c r="FZ389" s="6" t="str">
        <f ca="1" xml:space="preserve">
IF(AND(FS389="",OFFSET(FS389,0,1)="",DC389="A1BA4D"),"",IF(DC389="A1BD5D",LEFT(FW389,3)&amp;"22",FW389))</f>
        <v>R6-22</v>
      </c>
    </row>
    <row r="390" spans="1:182" ht="15.95" customHeight="1">
      <c r="A390" s="6">
        <v>660</v>
      </c>
      <c r="B390" s="6" t="s">
        <v>694</v>
      </c>
      <c r="E390" s="6" t="s">
        <v>939</v>
      </c>
      <c r="F390" s="6" t="s">
        <v>1662</v>
      </c>
      <c r="G390" s="6" t="s">
        <v>1290</v>
      </c>
      <c r="H390" s="7" t="s">
        <v>1291</v>
      </c>
      <c r="I390" s="7"/>
      <c r="J390" s="6" t="s">
        <v>1199</v>
      </c>
      <c r="K390" s="6" t="s">
        <v>1201</v>
      </c>
      <c r="N390" s="6" t="s">
        <v>1203</v>
      </c>
      <c r="O390" s="6" t="s">
        <v>1205</v>
      </c>
      <c r="R390" s="101" t="s">
        <v>1220</v>
      </c>
      <c r="Y390" s="6" t="s">
        <v>1579</v>
      </c>
      <c r="Z390" s="6">
        <v>11</v>
      </c>
      <c r="AA390" s="6">
        <v>12</v>
      </c>
      <c r="AD390" s="6" t="s">
        <v>1203</v>
      </c>
      <c r="AE390" s="6" t="s">
        <v>1205</v>
      </c>
      <c r="AG390" s="6" t="s">
        <v>1580</v>
      </c>
      <c r="AY390" s="8" t="s">
        <v>176</v>
      </c>
      <c r="AZ390" s="8" t="s">
        <v>195</v>
      </c>
      <c r="BA390" s="13" t="s">
        <v>643</v>
      </c>
      <c r="BB390" s="13" t="s">
        <v>740</v>
      </c>
      <c r="BC390" s="13">
        <v>11</v>
      </c>
      <c r="BD390" s="13">
        <v>12</v>
      </c>
      <c r="DC390" s="6" t="s">
        <v>644</v>
      </c>
      <c r="DD390" s="6" t="s">
        <v>192</v>
      </c>
      <c r="DH390" s="6" t="str">
        <f t="shared" si="201"/>
        <v>A4</v>
      </c>
      <c r="DI390" s="6" t="str">
        <f t="shared" si="202"/>
        <v>B4</v>
      </c>
      <c r="DK390" s="6" t="s">
        <v>173</v>
      </c>
      <c r="DL390" s="6" t="str">
        <f t="shared" si="203"/>
        <v/>
      </c>
      <c r="DO390" s="9" t="s">
        <v>170</v>
      </c>
      <c r="DP390" s="6" t="s">
        <v>171</v>
      </c>
      <c r="DQ390" s="6" t="s">
        <v>645</v>
      </c>
      <c r="DR390" s="6" t="e">
        <f>#REF!&amp;RIGHT(#REF!,3)</f>
        <v>#REF!</v>
      </c>
      <c r="DS390" s="6" t="str">
        <f t="shared" si="204"/>
        <v>AKB331</v>
      </c>
      <c r="DT390" s="10" t="str">
        <f t="shared" si="205"/>
        <v>FCS0111-6-5/1S–MC–118-R6-CN1</v>
      </c>
      <c r="DU390" s="6" t="str">
        <f t="shared" si="206"/>
        <v/>
      </c>
      <c r="DV390" s="19">
        <v>1</v>
      </c>
      <c r="DW390" s="20" t="str">
        <f t="shared" si="207"/>
        <v>11</v>
      </c>
      <c r="DX390" s="20">
        <v>6</v>
      </c>
      <c r="DY390" s="21">
        <v>5</v>
      </c>
      <c r="DZ390" s="22" t="s">
        <v>204</v>
      </c>
      <c r="EA390" s="23">
        <v>4</v>
      </c>
      <c r="EB390" s="7">
        <v>20</v>
      </c>
      <c r="EE390" s="9" t="s">
        <v>693</v>
      </c>
      <c r="EF390" s="6" t="s">
        <v>647</v>
      </c>
      <c r="EG390" s="6" t="s">
        <v>647</v>
      </c>
      <c r="EH390" s="6" t="s">
        <v>939</v>
      </c>
      <c r="EI390" s="6" t="s">
        <v>936</v>
      </c>
      <c r="EJ390" s="12">
        <v>100</v>
      </c>
      <c r="EL390" s="6"/>
      <c r="EM390" s="12"/>
      <c r="EN390" s="6" t="s">
        <v>1128</v>
      </c>
      <c r="EP390" s="6" t="s">
        <v>1148</v>
      </c>
      <c r="ET390" s="6" t="str">
        <f t="shared" si="208"/>
        <v>짝수</v>
      </c>
      <c r="EU390" s="12">
        <v>86</v>
      </c>
      <c r="EV390" s="45" t="str">
        <f t="shared" ca="1" si="176"/>
        <v>B</v>
      </c>
      <c r="EW390" s="6">
        <f t="shared" ca="1" si="209"/>
        <v>66</v>
      </c>
      <c r="FO390" s="6"/>
      <c r="FP390" s="11"/>
      <c r="FR390" s="6">
        <v>1</v>
      </c>
      <c r="FS390" s="6" t="str">
        <f t="shared" si="210"/>
        <v/>
      </c>
      <c r="FT390" s="6">
        <f t="shared" si="211"/>
        <v>1</v>
      </c>
      <c r="FU390" s="6" t="str">
        <f t="shared" ca="1" si="177"/>
        <v/>
      </c>
      <c r="FV390" s="6" t="str">
        <f t="shared" ca="1" si="212"/>
        <v/>
      </c>
      <c r="FW390" s="6" t="str">
        <f ca="1">IF(AND(FT390=1,FU390=""),DD390&amp;"-11",IF(AND(FT390=1,FU390&lt;&gt;""),DD390&amp;"-21",""))</f>
        <v>R6-11</v>
      </c>
      <c r="FX390" s="6" t="str">
        <f ca="1">IF(AND(FT390=1,FU390=""),DD390&amp;"-12",IF(AND(FT390=1,FU390&lt;&gt;""),DD390&amp;"-22",""))</f>
        <v>R6-12</v>
      </c>
      <c r="FY390" s="6" t="str">
        <f ca="1">IF(AND(FS390="",OFFSET(FS390,0,1)="",DC390="A1BA4D"),"",IF(DC390="A1BD5D",LEFT(FW390,3)&amp;"21",FW390))</f>
        <v>R6-21</v>
      </c>
      <c r="FZ390" s="6" t="str">
        <f ca="1" xml:space="preserve">
IF(AND(FS390="",OFFSET(FS390,0,1)="",DC390="A1BA4D"),"",IF(DC390="A1BD5D",LEFT(FW390,3)&amp;"22",FW390))</f>
        <v>R6-22</v>
      </c>
    </row>
    <row r="391" spans="1:182" ht="15.95" customHeight="1">
      <c r="A391" s="6">
        <v>661</v>
      </c>
      <c r="B391" s="6" t="s">
        <v>694</v>
      </c>
      <c r="E391" s="6" t="s">
        <v>940</v>
      </c>
      <c r="F391" s="6" t="s">
        <v>1663</v>
      </c>
      <c r="G391" s="6" t="s">
        <v>1290</v>
      </c>
      <c r="H391" s="7" t="s">
        <v>1291</v>
      </c>
      <c r="I391" s="7"/>
      <c r="J391" s="6" t="s">
        <v>1199</v>
      </c>
      <c r="K391" s="6" t="s">
        <v>1201</v>
      </c>
      <c r="N391" s="6" t="s">
        <v>1203</v>
      </c>
      <c r="O391" s="6" t="s">
        <v>1205</v>
      </c>
      <c r="R391" s="101" t="s">
        <v>1220</v>
      </c>
      <c r="Y391" s="6" t="s">
        <v>1636</v>
      </c>
      <c r="Z391" s="6">
        <v>43</v>
      </c>
      <c r="AA391" s="6">
        <v>44</v>
      </c>
      <c r="AD391" s="6" t="s">
        <v>1203</v>
      </c>
      <c r="AE391" s="6" t="s">
        <v>1205</v>
      </c>
      <c r="AG391" s="6" t="s">
        <v>1293</v>
      </c>
      <c r="AY391" s="8" t="s">
        <v>176</v>
      </c>
      <c r="AZ391" s="8" t="s">
        <v>195</v>
      </c>
      <c r="BA391" s="13" t="s">
        <v>643</v>
      </c>
      <c r="BB391" s="13" t="s">
        <v>200</v>
      </c>
      <c r="BC391" s="13">
        <v>61</v>
      </c>
      <c r="BD391" s="13">
        <v>62</v>
      </c>
      <c r="DC391" s="6" t="s">
        <v>644</v>
      </c>
      <c r="DD391" s="6" t="s">
        <v>192</v>
      </c>
      <c r="DH391" s="6" t="str">
        <f t="shared" si="201"/>
        <v>A5</v>
      </c>
      <c r="DI391" s="6" t="str">
        <f t="shared" si="202"/>
        <v>B5</v>
      </c>
      <c r="DK391" s="6" t="s">
        <v>173</v>
      </c>
      <c r="DL391" s="6" t="str">
        <f t="shared" si="203"/>
        <v/>
      </c>
      <c r="DO391" s="9" t="s">
        <v>170</v>
      </c>
      <c r="DP391" s="6" t="s">
        <v>171</v>
      </c>
      <c r="DQ391" s="6" t="s">
        <v>645</v>
      </c>
      <c r="DR391" s="6" t="e">
        <f>#REF!&amp;RIGHT(#REF!,3)</f>
        <v>#REF!</v>
      </c>
      <c r="DS391" s="6" t="str">
        <f t="shared" si="204"/>
        <v>AKB331</v>
      </c>
      <c r="DT391" s="10" t="str">
        <f t="shared" si="205"/>
        <v>FCS0111-6-5/1S–MC–118-R6-CN1</v>
      </c>
      <c r="DU391" s="6" t="str">
        <f t="shared" si="206"/>
        <v/>
      </c>
      <c r="DV391" s="19">
        <v>1</v>
      </c>
      <c r="DW391" s="20" t="str">
        <f t="shared" si="207"/>
        <v>11</v>
      </c>
      <c r="DX391" s="20">
        <v>6</v>
      </c>
      <c r="DY391" s="21">
        <v>5</v>
      </c>
      <c r="DZ391" s="22" t="s">
        <v>204</v>
      </c>
      <c r="EA391" s="23">
        <v>5</v>
      </c>
      <c r="EB391" s="7">
        <v>21</v>
      </c>
      <c r="EE391" s="9" t="s">
        <v>693</v>
      </c>
      <c r="EF391" s="6" t="s">
        <v>647</v>
      </c>
      <c r="EG391" s="6" t="s">
        <v>647</v>
      </c>
      <c r="EH391" s="6" t="s">
        <v>1133</v>
      </c>
      <c r="EI391" s="6" t="s">
        <v>882</v>
      </c>
      <c r="EJ391" s="12">
        <v>100</v>
      </c>
      <c r="EL391" s="6"/>
      <c r="EM391" s="12"/>
      <c r="EN391" s="6" t="s">
        <v>1128</v>
      </c>
      <c r="EP391" s="6" t="s">
        <v>1148</v>
      </c>
      <c r="ET391" s="6" t="str">
        <f t="shared" si="208"/>
        <v>짝수</v>
      </c>
      <c r="EU391" s="12">
        <v>86</v>
      </c>
      <c r="EV391" s="45" t="str">
        <f t="shared" ca="1" si="176"/>
        <v>C</v>
      </c>
      <c r="EW391" s="6">
        <f t="shared" ca="1" si="209"/>
        <v>67</v>
      </c>
      <c r="FO391" s="6"/>
      <c r="FP391" s="11"/>
      <c r="FR391" s="6">
        <v>1</v>
      </c>
      <c r="FS391" s="6" t="str">
        <f t="shared" si="210"/>
        <v/>
      </c>
      <c r="FT391" s="6">
        <f t="shared" si="211"/>
        <v>1</v>
      </c>
      <c r="FU391" s="6" t="str">
        <f t="shared" ca="1" si="177"/>
        <v/>
      </c>
      <c r="FV391" s="6" t="str">
        <f t="shared" ca="1" si="212"/>
        <v/>
      </c>
      <c r="FW391" s="6" t="str">
        <f ca="1">IF(AND(FT391=1,FU391=""),DD391&amp;"-11",IF(AND(FT391=1,FU391&lt;&gt;""),DD391&amp;"-21",""))</f>
        <v>R6-11</v>
      </c>
      <c r="FX391" s="6" t="str">
        <f ca="1">IF(AND(FT391=1,FU391=""),DD391&amp;"-12",IF(AND(FT391=1,FU391&lt;&gt;""),DD391&amp;"-22",""))</f>
        <v>R6-12</v>
      </c>
      <c r="FY391" s="6" t="str">
        <f ca="1">IF(AND(FS391="",OFFSET(FS391,0,1)="",DC391="A1BA4D"),"",IF(DC391="A1BD5D",LEFT(FW391,3)&amp;"21",FW391))</f>
        <v>R6-21</v>
      </c>
      <c r="FZ391" s="6" t="str">
        <f ca="1" xml:space="preserve">
IF(AND(FS391="",OFFSET(FS391,0,1)="",DC391="A1BA4D"),"",IF(DC391="A1BD5D",LEFT(FW391,3)&amp;"22",FW391))</f>
        <v>R6-22</v>
      </c>
    </row>
    <row r="392" spans="1:182" ht="15.95" customHeight="1">
      <c r="A392" s="6">
        <v>662</v>
      </c>
      <c r="B392" s="6" t="s">
        <v>694</v>
      </c>
      <c r="E392" s="6" t="s">
        <v>941</v>
      </c>
      <c r="F392" s="6" t="s">
        <v>1664</v>
      </c>
      <c r="G392" s="6" t="s">
        <v>1290</v>
      </c>
      <c r="H392" s="7" t="s">
        <v>1291</v>
      </c>
      <c r="I392" s="7"/>
      <c r="J392" s="6" t="s">
        <v>1199</v>
      </c>
      <c r="K392" s="6" t="s">
        <v>1201</v>
      </c>
      <c r="N392" s="6" t="s">
        <v>1203</v>
      </c>
      <c r="O392" s="6" t="s">
        <v>1205</v>
      </c>
      <c r="R392" s="101" t="s">
        <v>1220</v>
      </c>
      <c r="Y392" s="6" t="s">
        <v>1636</v>
      </c>
      <c r="Z392" s="6">
        <v>47</v>
      </c>
      <c r="AA392" s="6">
        <v>48</v>
      </c>
      <c r="AD392" s="6" t="s">
        <v>1203</v>
      </c>
      <c r="AE392" s="6" t="s">
        <v>1205</v>
      </c>
      <c r="AG392" s="6" t="s">
        <v>1293</v>
      </c>
      <c r="AY392" s="8" t="s">
        <v>176</v>
      </c>
      <c r="AZ392" s="8" t="s">
        <v>195</v>
      </c>
      <c r="BA392" s="13" t="s">
        <v>643</v>
      </c>
      <c r="BB392" s="13" t="s">
        <v>200</v>
      </c>
      <c r="BC392" s="13">
        <v>67</v>
      </c>
      <c r="BD392" s="13">
        <v>68</v>
      </c>
      <c r="DC392" s="6" t="s">
        <v>644</v>
      </c>
      <c r="DD392" s="6" t="s">
        <v>192</v>
      </c>
      <c r="DH392" s="6" t="str">
        <f t="shared" si="201"/>
        <v>A6</v>
      </c>
      <c r="DI392" s="6" t="str">
        <f t="shared" si="202"/>
        <v>B6</v>
      </c>
      <c r="DK392" s="6" t="s">
        <v>173</v>
      </c>
      <c r="DL392" s="6" t="str">
        <f t="shared" si="203"/>
        <v/>
      </c>
      <c r="DO392" s="9" t="s">
        <v>170</v>
      </c>
      <c r="DP392" s="6" t="s">
        <v>171</v>
      </c>
      <c r="DQ392" s="6" t="s">
        <v>645</v>
      </c>
      <c r="DR392" s="6" t="e">
        <f>#REF!&amp;RIGHT(#REF!,3)</f>
        <v>#REF!</v>
      </c>
      <c r="DS392" s="6" t="str">
        <f t="shared" si="204"/>
        <v>AKB331</v>
      </c>
      <c r="DT392" s="10" t="str">
        <f t="shared" si="205"/>
        <v>FCS0111-6-5/1S–MC–118-R6-CN1</v>
      </c>
      <c r="DU392" s="6" t="str">
        <f t="shared" si="206"/>
        <v/>
      </c>
      <c r="DV392" s="19">
        <v>1</v>
      </c>
      <c r="DW392" s="20" t="str">
        <f t="shared" si="207"/>
        <v>11</v>
      </c>
      <c r="DX392" s="20">
        <v>6</v>
      </c>
      <c r="DY392" s="21">
        <v>5</v>
      </c>
      <c r="DZ392" s="22" t="s">
        <v>204</v>
      </c>
      <c r="EA392" s="23">
        <v>6</v>
      </c>
      <c r="EB392" s="7">
        <v>22</v>
      </c>
      <c r="EE392" s="9" t="s">
        <v>693</v>
      </c>
      <c r="EF392" s="6" t="s">
        <v>647</v>
      </c>
      <c r="EG392" s="6" t="s">
        <v>647</v>
      </c>
      <c r="EH392" s="6" t="s">
        <v>941</v>
      </c>
      <c r="EI392" s="6" t="s">
        <v>942</v>
      </c>
      <c r="EJ392" s="12">
        <v>8</v>
      </c>
      <c r="EK392" s="12"/>
      <c r="EM392" s="12"/>
      <c r="EN392" s="12" t="s">
        <v>1126</v>
      </c>
      <c r="EP392" s="6" t="s">
        <v>1155</v>
      </c>
      <c r="ER392" s="6" t="str">
        <f>LEFT(EH394,2)&amp;"O"&amp;MID(EH394,4,7)</f>
        <v>UVO40319</v>
      </c>
      <c r="ET392" s="6" t="str">
        <f t="shared" si="208"/>
        <v>홀수</v>
      </c>
      <c r="EU392" s="12">
        <v>87</v>
      </c>
      <c r="EV392" s="45" t="str">
        <f t="shared" ref="EV392:EV455" ca="1" si="213">IF(EU392=OFFSET(EU392,-1,0),CHAR(EW391+1),"A")</f>
        <v>A</v>
      </c>
      <c r="EW392" s="6">
        <f t="shared" ca="1" si="209"/>
        <v>65</v>
      </c>
      <c r="FO392" s="6"/>
      <c r="FP392" s="11"/>
      <c r="FR392" s="6">
        <v>1</v>
      </c>
      <c r="FS392" s="6" t="str">
        <f t="shared" si="210"/>
        <v/>
      </c>
      <c r="FT392" s="6">
        <f t="shared" si="211"/>
        <v>1</v>
      </c>
      <c r="FU392" s="6" t="str">
        <f t="shared" ca="1" si="177"/>
        <v/>
      </c>
      <c r="FV392" s="6" t="str">
        <f t="shared" ca="1" si="212"/>
        <v/>
      </c>
      <c r="FW392" s="6" t="str">
        <f ca="1">IF(AND(FT392=1,FU392=""),DD392&amp;"-11",IF(AND(FT392=1,FU392&lt;&gt;""),DD392&amp;"-21",""))</f>
        <v>R6-11</v>
      </c>
      <c r="FX392" s="6" t="str">
        <f ca="1">IF(AND(FT392=1,FU392=""),DD392&amp;"-12",IF(AND(FT392=1,FU392&lt;&gt;""),DD392&amp;"-22",""))</f>
        <v>R6-12</v>
      </c>
      <c r="FY392" s="6" t="str">
        <f ca="1">IF(AND(FS392="",OFFSET(FS392,0,1)="",DC392="A1BA4D"),"",IF(DC392="A1BD5D",LEFT(FW392,3)&amp;"21",FW392))</f>
        <v>R6-21</v>
      </c>
      <c r="FZ392" s="6" t="str">
        <f ca="1" xml:space="preserve">
IF(AND(FS392="",OFFSET(FS392,0,1)="",DC392="A1BA4D"),"",IF(DC392="A1BD5D",LEFT(FW392,3)&amp;"22",FW392))</f>
        <v>R6-22</v>
      </c>
    </row>
    <row r="393" spans="1:182" ht="15.95" customHeight="1">
      <c r="A393" s="6">
        <v>663</v>
      </c>
      <c r="B393" s="6" t="s">
        <v>694</v>
      </c>
      <c r="E393" s="6" t="s">
        <v>943</v>
      </c>
      <c r="F393" s="6" t="s">
        <v>1665</v>
      </c>
      <c r="G393" s="6" t="s">
        <v>1290</v>
      </c>
      <c r="H393" s="7" t="s">
        <v>1291</v>
      </c>
      <c r="I393" s="7"/>
      <c r="J393" s="6" t="s">
        <v>1199</v>
      </c>
      <c r="K393" s="6" t="s">
        <v>1201</v>
      </c>
      <c r="N393" s="6" t="s">
        <v>1203</v>
      </c>
      <c r="O393" s="6" t="s">
        <v>1205</v>
      </c>
      <c r="R393" s="101" t="s">
        <v>1220</v>
      </c>
      <c r="Y393" s="6" t="s">
        <v>1636</v>
      </c>
      <c r="Z393" s="6">
        <v>45</v>
      </c>
      <c r="AA393" s="6">
        <v>46</v>
      </c>
      <c r="AD393" s="6" t="s">
        <v>1203</v>
      </c>
      <c r="AE393" s="6" t="s">
        <v>1205</v>
      </c>
      <c r="AG393" s="6" t="s">
        <v>1293</v>
      </c>
      <c r="AY393" s="8" t="s">
        <v>176</v>
      </c>
      <c r="AZ393" s="8" t="s">
        <v>195</v>
      </c>
      <c r="BA393" s="13" t="s">
        <v>643</v>
      </c>
      <c r="BB393" s="13" t="s">
        <v>200</v>
      </c>
      <c r="BC393" s="13">
        <v>65</v>
      </c>
      <c r="BD393" s="13">
        <v>66</v>
      </c>
      <c r="DC393" s="6" t="s">
        <v>644</v>
      </c>
      <c r="DD393" s="6" t="s">
        <v>192</v>
      </c>
      <c r="DH393" s="6" t="str">
        <f t="shared" si="201"/>
        <v>A7</v>
      </c>
      <c r="DI393" s="6" t="str">
        <f t="shared" si="202"/>
        <v>B7</v>
      </c>
      <c r="DK393" s="6" t="s">
        <v>173</v>
      </c>
      <c r="DL393" s="6" t="str">
        <f t="shared" si="203"/>
        <v/>
      </c>
      <c r="DO393" s="9" t="s">
        <v>170</v>
      </c>
      <c r="DP393" s="6" t="s">
        <v>171</v>
      </c>
      <c r="DQ393" s="6" t="s">
        <v>645</v>
      </c>
      <c r="DR393" s="6" t="e">
        <f>#REF!&amp;RIGHT(#REF!,3)</f>
        <v>#REF!</v>
      </c>
      <c r="DS393" s="6" t="str">
        <f t="shared" si="204"/>
        <v>AKB331</v>
      </c>
      <c r="DT393" s="10" t="str">
        <f t="shared" si="205"/>
        <v>FCS0111-6-5/1S–MC–118-R6-CN1</v>
      </c>
      <c r="DU393" s="6" t="str">
        <f t="shared" si="206"/>
        <v/>
      </c>
      <c r="DV393" s="19">
        <v>1</v>
      </c>
      <c r="DW393" s="20" t="str">
        <f t="shared" si="207"/>
        <v>11</v>
      </c>
      <c r="DX393" s="20">
        <v>6</v>
      </c>
      <c r="DY393" s="21">
        <v>5</v>
      </c>
      <c r="DZ393" s="22" t="s">
        <v>204</v>
      </c>
      <c r="EA393" s="23">
        <v>7</v>
      </c>
      <c r="EB393" s="7">
        <v>23</v>
      </c>
      <c r="EE393" s="9" t="s">
        <v>693</v>
      </c>
      <c r="EF393" s="6" t="s">
        <v>647</v>
      </c>
      <c r="EG393" s="6" t="s">
        <v>647</v>
      </c>
      <c r="EH393" s="6" t="s">
        <v>943</v>
      </c>
      <c r="EI393" s="6" t="s">
        <v>942</v>
      </c>
      <c r="EJ393" s="12">
        <v>8</v>
      </c>
      <c r="EK393" s="12"/>
      <c r="EM393" s="12"/>
      <c r="EN393" s="12" t="s">
        <v>1126</v>
      </c>
      <c r="ET393" s="6" t="str">
        <f t="shared" si="208"/>
        <v>홀수</v>
      </c>
      <c r="EU393" s="12">
        <v>87</v>
      </c>
      <c r="EV393" s="45" t="str">
        <f t="shared" ca="1" si="213"/>
        <v>B</v>
      </c>
      <c r="EW393" s="6">
        <f t="shared" ca="1" si="209"/>
        <v>66</v>
      </c>
      <c r="FO393" s="6"/>
      <c r="FP393" s="11"/>
      <c r="FR393" s="6">
        <v>1</v>
      </c>
      <c r="FS393" s="6" t="str">
        <f t="shared" si="210"/>
        <v/>
      </c>
      <c r="FT393" s="6">
        <f t="shared" si="211"/>
        <v>1</v>
      </c>
      <c r="FU393" s="6" t="str">
        <f t="shared" ca="1" si="177"/>
        <v/>
      </c>
      <c r="FV393" s="6" t="str">
        <f t="shared" ca="1" si="212"/>
        <v/>
      </c>
      <c r="FW393" s="6" t="str">
        <f ca="1">IF(AND(FT393=1,FU393=""),DD393&amp;"-11",IF(AND(FT393=1,FU393&lt;&gt;""),DD393&amp;"-21",""))</f>
        <v>R6-11</v>
      </c>
      <c r="FX393" s="6" t="str">
        <f ca="1">IF(AND(FT393=1,FU393=""),DD393&amp;"-12",IF(AND(FT393=1,FU393&lt;&gt;""),DD393&amp;"-22",""))</f>
        <v>R6-12</v>
      </c>
      <c r="FY393" s="6" t="str">
        <f ca="1">IF(AND(FS393="",OFFSET(FS393,0,1)="",DC393="A1BA4D"),"",IF(DC393="A1BD5D",LEFT(FW393,3)&amp;"21",FW393))</f>
        <v>R6-21</v>
      </c>
      <c r="FZ393" s="6" t="str">
        <f ca="1" xml:space="preserve">
IF(AND(FS393="",OFFSET(FS393,0,1)="",DC393="A1BA4D"),"",IF(DC393="A1BD5D",LEFT(FW393,3)&amp;"22",FW393))</f>
        <v>R6-22</v>
      </c>
    </row>
    <row r="394" spans="1:182" ht="15.95" customHeight="1">
      <c r="A394" s="6">
        <v>797</v>
      </c>
      <c r="B394" s="6" t="s">
        <v>694</v>
      </c>
      <c r="E394" s="6" t="s">
        <v>1004</v>
      </c>
      <c r="F394" s="6" t="s">
        <v>1211</v>
      </c>
      <c r="G394" s="6" t="s">
        <v>1290</v>
      </c>
      <c r="H394" s="7" t="s">
        <v>1291</v>
      </c>
      <c r="I394" s="7"/>
      <c r="J394" s="6" t="s">
        <v>1199</v>
      </c>
      <c r="K394" s="6" t="s">
        <v>1201</v>
      </c>
      <c r="N394" s="6" t="s">
        <v>1203</v>
      </c>
      <c r="O394" s="6" t="s">
        <v>1205</v>
      </c>
      <c r="R394" s="101" t="s">
        <v>1592</v>
      </c>
      <c r="Y394" s="6" t="s">
        <v>1593</v>
      </c>
      <c r="Z394" s="6">
        <v>21</v>
      </c>
      <c r="AA394" s="6">
        <v>22</v>
      </c>
      <c r="AD394" s="6" t="s">
        <v>1203</v>
      </c>
      <c r="AE394" s="6" t="s">
        <v>1205</v>
      </c>
      <c r="AG394" s="6" t="s">
        <v>1594</v>
      </c>
      <c r="AY394" s="8" t="s">
        <v>176</v>
      </c>
      <c r="AZ394" s="8" t="s">
        <v>195</v>
      </c>
      <c r="BA394" s="13" t="s">
        <v>670</v>
      </c>
      <c r="BB394" s="13" t="s">
        <v>200</v>
      </c>
      <c r="BC394" s="13">
        <v>21</v>
      </c>
      <c r="BD394" s="13">
        <v>22</v>
      </c>
      <c r="DC394" s="6" t="s">
        <v>992</v>
      </c>
      <c r="DD394" s="6" t="s">
        <v>187</v>
      </c>
      <c r="DH394" s="6" t="str">
        <f>"A"&amp;EA394</f>
        <v>A13</v>
      </c>
      <c r="DI394" s="6" t="str">
        <f>"B"&amp;EA394</f>
        <v>B13</v>
      </c>
      <c r="DK394" s="6" t="s">
        <v>173</v>
      </c>
      <c r="DL394" s="6" t="str">
        <f>IF(DZ394&lt;&gt;"","CN2","")</f>
        <v>CN2</v>
      </c>
      <c r="DO394" s="9" t="s">
        <v>170</v>
      </c>
      <c r="DP394" s="6" t="s">
        <v>171</v>
      </c>
      <c r="DQ394" s="6" t="s">
        <v>645</v>
      </c>
      <c r="DR394" s="6" t="e">
        <f>#REF!&amp;RIGHT(#REF!,3)</f>
        <v>#REF!</v>
      </c>
      <c r="DS394" s="6" t="str">
        <f>IF(MID(EF394,2,1)="A","KS1","AKB331")</f>
        <v>AKB331</v>
      </c>
      <c r="DT394" s="10" t="str">
        <f>DQ394&amp;"-"&amp;DX394&amp;"-"&amp;DY394&amp;"/"&amp;BA394&amp;"-"&amp;DD394&amp;"-"&amp;DK394</f>
        <v>FCS0111-7-7/1S–MC–120-R1-CN1</v>
      </c>
      <c r="DU394" s="6" t="str">
        <f>IF(DL394="","",DQ394&amp;"-"&amp;DX394&amp;"-"&amp;DY394&amp;"/"&amp;BA394&amp;"-"&amp;DD394&amp;"-"&amp;DL394)</f>
        <v>FCS0111-7-7/1S–MC–120-R1-CN2</v>
      </c>
      <c r="DV394" s="19">
        <v>1</v>
      </c>
      <c r="DW394" s="20" t="str">
        <f>RIGHT(DQ394,2)</f>
        <v>11</v>
      </c>
      <c r="DX394" s="20">
        <v>7</v>
      </c>
      <c r="DY394" s="21">
        <v>7</v>
      </c>
      <c r="DZ394" s="22">
        <v>8</v>
      </c>
      <c r="EA394" s="23">
        <v>13</v>
      </c>
      <c r="EB394" s="7">
        <v>29</v>
      </c>
      <c r="EE394" s="9" t="s">
        <v>693</v>
      </c>
      <c r="EF394" s="6" t="s">
        <v>672</v>
      </c>
      <c r="EG394" s="6" t="s">
        <v>647</v>
      </c>
      <c r="EH394" s="6" t="s">
        <v>1004</v>
      </c>
      <c r="EI394" s="6" t="s">
        <v>942</v>
      </c>
      <c r="EJ394" s="12">
        <v>8</v>
      </c>
      <c r="EK394" s="12"/>
      <c r="EM394" s="12"/>
      <c r="EN394" s="12" t="s">
        <v>1126</v>
      </c>
      <c r="ET394" s="6" t="str">
        <f t="shared" si="208"/>
        <v>홀수</v>
      </c>
      <c r="EU394" s="12">
        <v>87</v>
      </c>
      <c r="EV394" s="45" t="str">
        <f t="shared" ca="1" si="213"/>
        <v>C</v>
      </c>
      <c r="EW394" s="6">
        <f t="shared" ca="1" si="209"/>
        <v>67</v>
      </c>
      <c r="FO394" s="6"/>
      <c r="FP394" s="11"/>
      <c r="FR394" s="6">
        <v>1</v>
      </c>
      <c r="FS394" s="6">
        <f t="shared" si="210"/>
        <v>1</v>
      </c>
      <c r="FT394" s="6">
        <f t="shared" si="211"/>
        <v>1</v>
      </c>
      <c r="FU394" s="6" t="str">
        <f t="shared" ca="1" si="177"/>
        <v>R1-11</v>
      </c>
      <c r="FV394" s="6" t="str">
        <f t="shared" ca="1" si="212"/>
        <v>R1-12</v>
      </c>
      <c r="FW394" s="6" t="s">
        <v>1095</v>
      </c>
      <c r="FX394" s="6" t="s">
        <v>1096</v>
      </c>
      <c r="FY394" s="6" t="s">
        <v>1095</v>
      </c>
      <c r="FZ394" s="6" t="s">
        <v>1096</v>
      </c>
    </row>
    <row r="395" spans="1:182" ht="15.95" customHeight="1">
      <c r="A395" s="6">
        <v>664</v>
      </c>
      <c r="B395" s="6" t="s">
        <v>694</v>
      </c>
      <c r="E395" s="6" t="s">
        <v>944</v>
      </c>
      <c r="F395" s="6" t="s">
        <v>1666</v>
      </c>
      <c r="G395" s="6" t="s">
        <v>1290</v>
      </c>
      <c r="H395" s="7" t="s">
        <v>1291</v>
      </c>
      <c r="I395" s="7"/>
      <c r="J395" s="6" t="s">
        <v>1199</v>
      </c>
      <c r="K395" s="6" t="s">
        <v>1201</v>
      </c>
      <c r="N395" s="6" t="s">
        <v>1203</v>
      </c>
      <c r="O395" s="6" t="s">
        <v>1205</v>
      </c>
      <c r="R395" s="101" t="s">
        <v>1443</v>
      </c>
      <c r="Y395" s="6" t="s">
        <v>1636</v>
      </c>
      <c r="Z395" s="6">
        <v>51</v>
      </c>
      <c r="AA395" s="6">
        <v>52</v>
      </c>
      <c r="AD395" s="6" t="s">
        <v>1203</v>
      </c>
      <c r="AE395" s="6" t="s">
        <v>1205</v>
      </c>
      <c r="AG395" s="6" t="s">
        <v>1293</v>
      </c>
      <c r="AY395" s="8" t="s">
        <v>176</v>
      </c>
      <c r="AZ395" s="8" t="s">
        <v>195</v>
      </c>
      <c r="BA395" s="13" t="s">
        <v>643</v>
      </c>
      <c r="BB395" s="13" t="s">
        <v>200</v>
      </c>
      <c r="BC395" s="13">
        <v>71</v>
      </c>
      <c r="BD395" s="13">
        <v>72</v>
      </c>
      <c r="DC395" s="6" t="s">
        <v>644</v>
      </c>
      <c r="DD395" s="6" t="s">
        <v>192</v>
      </c>
      <c r="DH395" s="6" t="str">
        <f t="shared" si="201"/>
        <v>A8</v>
      </c>
      <c r="DI395" s="6" t="str">
        <f t="shared" si="202"/>
        <v>B8</v>
      </c>
      <c r="DK395" s="6" t="s">
        <v>173</v>
      </c>
      <c r="DL395" s="6" t="str">
        <f t="shared" si="203"/>
        <v/>
      </c>
      <c r="DO395" s="9" t="s">
        <v>170</v>
      </c>
      <c r="DP395" s="6" t="s">
        <v>171</v>
      </c>
      <c r="DQ395" s="6" t="s">
        <v>645</v>
      </c>
      <c r="DR395" s="6" t="e">
        <f>#REF!&amp;RIGHT(#REF!,3)</f>
        <v>#REF!</v>
      </c>
      <c r="DS395" s="6" t="str">
        <f t="shared" si="204"/>
        <v>AKB331</v>
      </c>
      <c r="DT395" s="10" t="str">
        <f t="shared" si="205"/>
        <v>FCS0111-6-5/1S–MC–118-R6-CN1</v>
      </c>
      <c r="DU395" s="6" t="str">
        <f t="shared" si="206"/>
        <v/>
      </c>
      <c r="DV395" s="19">
        <v>1</v>
      </c>
      <c r="DW395" s="20" t="str">
        <f t="shared" si="207"/>
        <v>11</v>
      </c>
      <c r="DX395" s="20">
        <v>6</v>
      </c>
      <c r="DY395" s="21">
        <v>5</v>
      </c>
      <c r="DZ395" s="22" t="s">
        <v>204</v>
      </c>
      <c r="EA395" s="23">
        <v>8</v>
      </c>
      <c r="EB395" s="7">
        <v>24</v>
      </c>
      <c r="EE395" s="9" t="s">
        <v>693</v>
      </c>
      <c r="EF395" s="6" t="s">
        <v>647</v>
      </c>
      <c r="EG395" s="6" t="s">
        <v>647</v>
      </c>
      <c r="EH395" s="6" t="s">
        <v>944</v>
      </c>
      <c r="EI395" s="6" t="s">
        <v>945</v>
      </c>
      <c r="EJ395" s="12">
        <v>8</v>
      </c>
      <c r="EK395" s="12"/>
      <c r="EM395" s="12"/>
      <c r="EN395" s="12" t="s">
        <v>1126</v>
      </c>
      <c r="EP395" s="6" t="s">
        <v>1155</v>
      </c>
      <c r="ER395" s="6" t="str">
        <f>LEFT(EH397,2)&amp;"O"&amp;MID(EH397,4,7)</f>
        <v>UVO40320</v>
      </c>
      <c r="ET395" s="6" t="str">
        <f t="shared" si="208"/>
        <v>짝수</v>
      </c>
      <c r="EU395" s="12">
        <v>88</v>
      </c>
      <c r="EV395" s="45" t="str">
        <f t="shared" ca="1" si="213"/>
        <v>A</v>
      </c>
      <c r="EW395" s="6">
        <f t="shared" ca="1" si="209"/>
        <v>65</v>
      </c>
      <c r="FO395" s="6"/>
      <c r="FP395" s="11"/>
      <c r="FR395" s="6">
        <v>1</v>
      </c>
      <c r="FS395" s="6" t="str">
        <f t="shared" si="210"/>
        <v/>
      </c>
      <c r="FT395" s="6">
        <f t="shared" si="211"/>
        <v>1</v>
      </c>
      <c r="FU395" s="6" t="str">
        <f t="shared" ref="FU395:FU458" ca="1" si="214">IF(AND(FS395="",OFFSET(FS395,0,1)="",DC395="A1BA4D"),"",IF(DC395="A1BD5D","",DD395&amp;"-11"))</f>
        <v/>
      </c>
      <c r="FV395" s="6" t="str">
        <f t="shared" ca="1" si="212"/>
        <v/>
      </c>
      <c r="FW395" s="6" t="str">
        <f ca="1">IF(AND(FT395=1,FU395=""),DD395&amp;"-11",IF(AND(FT395=1,FU395&lt;&gt;""),DD395&amp;"-21",""))</f>
        <v>R6-11</v>
      </c>
      <c r="FX395" s="6" t="str">
        <f ca="1">IF(AND(FT395=1,FU395=""),DD395&amp;"-12",IF(AND(FT395=1,FU395&lt;&gt;""),DD395&amp;"-22",""))</f>
        <v>R6-12</v>
      </c>
      <c r="FY395" s="6" t="str">
        <f ca="1">IF(AND(FS395="",OFFSET(FS395,0,1)="",DC395="A1BA4D"),"",IF(DC395="A1BD5D",LEFT(FW395,3)&amp;"21",FW395))</f>
        <v>R6-21</v>
      </c>
      <c r="FZ395" s="6" t="str">
        <f ca="1" xml:space="preserve">
IF(AND(FS395="",OFFSET(FS395,0,1)="",DC395="A1BA4D"),"",IF(DC395="A1BD5D",LEFT(FW395,3)&amp;"22",FW395))</f>
        <v>R6-22</v>
      </c>
    </row>
    <row r="396" spans="1:182" ht="15.95" customHeight="1">
      <c r="A396" s="6">
        <v>665</v>
      </c>
      <c r="B396" s="6" t="s">
        <v>694</v>
      </c>
      <c r="E396" s="6" t="s">
        <v>946</v>
      </c>
      <c r="F396" s="6" t="s">
        <v>1667</v>
      </c>
      <c r="G396" s="6" t="s">
        <v>1290</v>
      </c>
      <c r="H396" s="7" t="s">
        <v>1291</v>
      </c>
      <c r="I396" s="7"/>
      <c r="J396" s="6" t="s">
        <v>1199</v>
      </c>
      <c r="K396" s="6" t="s">
        <v>1201</v>
      </c>
      <c r="N396" s="6" t="s">
        <v>1203</v>
      </c>
      <c r="O396" s="6" t="s">
        <v>1205</v>
      </c>
      <c r="R396" s="101" t="s">
        <v>1443</v>
      </c>
      <c r="Y396" s="6" t="s">
        <v>1636</v>
      </c>
      <c r="Z396" s="6">
        <v>49</v>
      </c>
      <c r="AA396" s="6">
        <v>50</v>
      </c>
      <c r="AD396" s="6" t="s">
        <v>1203</v>
      </c>
      <c r="AE396" s="6" t="s">
        <v>1205</v>
      </c>
      <c r="AG396" s="6" t="s">
        <v>1293</v>
      </c>
      <c r="AY396" s="8" t="s">
        <v>176</v>
      </c>
      <c r="AZ396" s="8" t="s">
        <v>195</v>
      </c>
      <c r="BA396" s="13" t="s">
        <v>643</v>
      </c>
      <c r="BB396" s="13" t="s">
        <v>200</v>
      </c>
      <c r="BC396" s="13">
        <v>69</v>
      </c>
      <c r="BD396" s="13">
        <v>70</v>
      </c>
      <c r="DC396" s="6" t="s">
        <v>644</v>
      </c>
      <c r="DD396" s="6" t="s">
        <v>192</v>
      </c>
      <c r="DH396" s="6" t="str">
        <f t="shared" si="201"/>
        <v>A9</v>
      </c>
      <c r="DI396" s="6" t="str">
        <f t="shared" si="202"/>
        <v>B9</v>
      </c>
      <c r="DK396" s="6" t="s">
        <v>173</v>
      </c>
      <c r="DL396" s="6" t="str">
        <f t="shared" si="203"/>
        <v/>
      </c>
      <c r="DO396" s="9" t="s">
        <v>170</v>
      </c>
      <c r="DP396" s="6" t="s">
        <v>171</v>
      </c>
      <c r="DQ396" s="6" t="s">
        <v>645</v>
      </c>
      <c r="DR396" s="6" t="e">
        <f>#REF!&amp;RIGHT(#REF!,3)</f>
        <v>#REF!</v>
      </c>
      <c r="DS396" s="6" t="str">
        <f t="shared" si="204"/>
        <v>AKB331</v>
      </c>
      <c r="DT396" s="10" t="str">
        <f t="shared" si="205"/>
        <v>FCS0111-6-5/1S–MC–118-R6-CN1</v>
      </c>
      <c r="DU396" s="6" t="str">
        <f t="shared" si="206"/>
        <v/>
      </c>
      <c r="DV396" s="19">
        <v>1</v>
      </c>
      <c r="DW396" s="20" t="str">
        <f t="shared" si="207"/>
        <v>11</v>
      </c>
      <c r="DX396" s="20">
        <v>6</v>
      </c>
      <c r="DY396" s="21">
        <v>5</v>
      </c>
      <c r="DZ396" s="22" t="s">
        <v>204</v>
      </c>
      <c r="EA396" s="23">
        <v>9</v>
      </c>
      <c r="EB396" s="7">
        <v>25</v>
      </c>
      <c r="EE396" s="9" t="s">
        <v>693</v>
      </c>
      <c r="EF396" s="6" t="s">
        <v>647</v>
      </c>
      <c r="EG396" s="6" t="s">
        <v>647</v>
      </c>
      <c r="EH396" s="6" t="s">
        <v>946</v>
      </c>
      <c r="EI396" s="6" t="s">
        <v>945</v>
      </c>
      <c r="EJ396" s="12">
        <v>8</v>
      </c>
      <c r="EK396" s="12"/>
      <c r="EM396" s="12"/>
      <c r="EN396" s="12" t="s">
        <v>1126</v>
      </c>
      <c r="ET396" s="6" t="str">
        <f t="shared" si="208"/>
        <v>짝수</v>
      </c>
      <c r="EU396" s="12">
        <v>88</v>
      </c>
      <c r="EV396" s="45" t="str">
        <f t="shared" ca="1" si="213"/>
        <v>B</v>
      </c>
      <c r="EW396" s="6">
        <f t="shared" ca="1" si="209"/>
        <v>66</v>
      </c>
      <c r="FO396" s="6"/>
      <c r="FP396" s="11"/>
      <c r="FR396" s="6">
        <v>1</v>
      </c>
      <c r="FS396" s="6" t="str">
        <f t="shared" si="210"/>
        <v/>
      </c>
      <c r="FT396" s="6">
        <f t="shared" si="211"/>
        <v>1</v>
      </c>
      <c r="FU396" s="6" t="str">
        <f t="shared" ca="1" si="214"/>
        <v/>
      </c>
      <c r="FV396" s="6" t="str">
        <f t="shared" ca="1" si="212"/>
        <v/>
      </c>
      <c r="FW396" s="6" t="str">
        <f ca="1">IF(AND(FT396=1,FU396=""),DD396&amp;"-11",IF(AND(FT396=1,FU396&lt;&gt;""),DD396&amp;"-21",""))</f>
        <v>R6-11</v>
      </c>
      <c r="FX396" s="6" t="str">
        <f ca="1">IF(AND(FT396=1,FU396=""),DD396&amp;"-12",IF(AND(FT396=1,FU396&lt;&gt;""),DD396&amp;"-22",""))</f>
        <v>R6-12</v>
      </c>
      <c r="FY396" s="6" t="str">
        <f ca="1">IF(AND(FS396="",OFFSET(FS396,0,1)="",DC396="A1BA4D"),"",IF(DC396="A1BD5D",LEFT(FW396,3)&amp;"21",FW396))</f>
        <v>R6-21</v>
      </c>
      <c r="FZ396" s="6" t="str">
        <f ca="1" xml:space="preserve">
IF(AND(FS396="",OFFSET(FS396,0,1)="",DC396="A1BA4D"),"",IF(DC396="A1BD5D",LEFT(FW396,3)&amp;"22",FW396))</f>
        <v>R6-22</v>
      </c>
    </row>
    <row r="397" spans="1:182" ht="15.95" customHeight="1">
      <c r="A397" s="6">
        <v>798</v>
      </c>
      <c r="B397" s="6" t="s">
        <v>694</v>
      </c>
      <c r="E397" s="6" t="s">
        <v>1005</v>
      </c>
      <c r="F397" s="6" t="s">
        <v>1212</v>
      </c>
      <c r="G397" s="6" t="s">
        <v>1290</v>
      </c>
      <c r="H397" s="7" t="s">
        <v>1291</v>
      </c>
      <c r="I397" s="7"/>
      <c r="J397" s="6" t="s">
        <v>1199</v>
      </c>
      <c r="K397" s="6" t="s">
        <v>1201</v>
      </c>
      <c r="N397" s="6" t="s">
        <v>1203</v>
      </c>
      <c r="O397" s="6" t="s">
        <v>1205</v>
      </c>
      <c r="R397" s="101" t="s">
        <v>1592</v>
      </c>
      <c r="Y397" s="6" t="s">
        <v>1593</v>
      </c>
      <c r="Z397" s="6">
        <v>23</v>
      </c>
      <c r="AA397" s="6">
        <v>24</v>
      </c>
      <c r="AD397" s="6" t="s">
        <v>1203</v>
      </c>
      <c r="AE397" s="6" t="s">
        <v>1205</v>
      </c>
      <c r="AG397" s="6" t="s">
        <v>1594</v>
      </c>
      <c r="AY397" s="8" t="s">
        <v>176</v>
      </c>
      <c r="AZ397" s="8" t="s">
        <v>195</v>
      </c>
      <c r="BA397" s="13" t="s">
        <v>670</v>
      </c>
      <c r="BB397" s="13" t="s">
        <v>200</v>
      </c>
      <c r="BC397" s="13">
        <v>23</v>
      </c>
      <c r="BD397" s="13">
        <v>24</v>
      </c>
      <c r="DC397" s="6" t="s">
        <v>992</v>
      </c>
      <c r="DD397" s="6" t="s">
        <v>187</v>
      </c>
      <c r="DH397" s="6" t="str">
        <f>"A"&amp;EA397</f>
        <v>A14</v>
      </c>
      <c r="DI397" s="6" t="str">
        <f>"B"&amp;EA397</f>
        <v>B14</v>
      </c>
      <c r="DK397" s="6" t="s">
        <v>173</v>
      </c>
      <c r="DL397" s="6" t="str">
        <f>IF(DZ397&lt;&gt;"","CN2","")</f>
        <v>CN2</v>
      </c>
      <c r="DO397" s="9" t="s">
        <v>170</v>
      </c>
      <c r="DP397" s="6" t="s">
        <v>171</v>
      </c>
      <c r="DQ397" s="6" t="s">
        <v>645</v>
      </c>
      <c r="DR397" s="6" t="e">
        <f>#REF!&amp;RIGHT(#REF!,3)</f>
        <v>#REF!</v>
      </c>
      <c r="DS397" s="6" t="str">
        <f>IF(MID(EF397,2,1)="A","KS1","AKB331")</f>
        <v>AKB331</v>
      </c>
      <c r="DT397" s="10" t="str">
        <f>DQ397&amp;"-"&amp;DX397&amp;"-"&amp;DY397&amp;"/"&amp;BA397&amp;"-"&amp;DD397&amp;"-"&amp;DK397</f>
        <v>FCS0111-7-7/1S–MC–120-R1-CN1</v>
      </c>
      <c r="DU397" s="6" t="str">
        <f>IF(DL397="","",DQ397&amp;"-"&amp;DX397&amp;"-"&amp;DY397&amp;"/"&amp;BA397&amp;"-"&amp;DD397&amp;"-"&amp;DL397)</f>
        <v>FCS0111-7-7/1S–MC–120-R1-CN2</v>
      </c>
      <c r="DV397" s="19">
        <v>1</v>
      </c>
      <c r="DW397" s="20" t="str">
        <f>RIGHT(DQ397,2)</f>
        <v>11</v>
      </c>
      <c r="DX397" s="20">
        <v>7</v>
      </c>
      <c r="DY397" s="21">
        <v>7</v>
      </c>
      <c r="DZ397" s="22">
        <v>8</v>
      </c>
      <c r="EA397" s="23">
        <v>14</v>
      </c>
      <c r="EB397" s="7">
        <v>30</v>
      </c>
      <c r="EE397" s="9" t="s">
        <v>693</v>
      </c>
      <c r="EF397" s="6" t="s">
        <v>672</v>
      </c>
      <c r="EG397" s="6" t="s">
        <v>647</v>
      </c>
      <c r="EH397" s="6" t="s">
        <v>1005</v>
      </c>
      <c r="EI397" s="6" t="s">
        <v>945</v>
      </c>
      <c r="EJ397" s="12">
        <v>8</v>
      </c>
      <c r="EK397" s="12"/>
      <c r="EM397" s="12"/>
      <c r="EN397" s="12" t="s">
        <v>1126</v>
      </c>
      <c r="ET397" s="6" t="str">
        <f t="shared" si="208"/>
        <v>짝수</v>
      </c>
      <c r="EU397" s="12">
        <v>88</v>
      </c>
      <c r="EV397" s="45" t="str">
        <f t="shared" ca="1" si="213"/>
        <v>C</v>
      </c>
      <c r="EW397" s="6">
        <f t="shared" ca="1" si="209"/>
        <v>67</v>
      </c>
      <c r="FO397" s="6"/>
      <c r="FP397" s="11"/>
      <c r="FR397" s="6">
        <v>1</v>
      </c>
      <c r="FS397" s="6">
        <f t="shared" si="210"/>
        <v>1</v>
      </c>
      <c r="FT397" s="6">
        <f t="shared" si="211"/>
        <v>1</v>
      </c>
      <c r="FU397" s="6" t="str">
        <f t="shared" ca="1" si="214"/>
        <v>R1-11</v>
      </c>
      <c r="FV397" s="6" t="str">
        <f t="shared" ca="1" si="212"/>
        <v>R1-12</v>
      </c>
      <c r="FW397" s="6" t="s">
        <v>1095</v>
      </c>
      <c r="FX397" s="6" t="s">
        <v>1096</v>
      </c>
      <c r="FY397" s="6" t="s">
        <v>1095</v>
      </c>
      <c r="FZ397" s="6" t="s">
        <v>1096</v>
      </c>
    </row>
    <row r="398" spans="1:182" ht="15.95" customHeight="1">
      <c r="A398" s="6">
        <v>667</v>
      </c>
      <c r="B398" s="6" t="s">
        <v>694</v>
      </c>
      <c r="E398" s="6" t="s">
        <v>1139</v>
      </c>
      <c r="F398" s="6" t="s">
        <v>1668</v>
      </c>
      <c r="G398" s="6" t="s">
        <v>1290</v>
      </c>
      <c r="H398" s="7" t="s">
        <v>1291</v>
      </c>
      <c r="I398" s="7"/>
      <c r="J398" s="6" t="s">
        <v>1199</v>
      </c>
      <c r="K398" s="6" t="s">
        <v>1201</v>
      </c>
      <c r="N398" s="6" t="s">
        <v>1203</v>
      </c>
      <c r="O398" s="6" t="s">
        <v>1205</v>
      </c>
      <c r="R398" s="101" t="s">
        <v>1443</v>
      </c>
      <c r="Y398" s="6" t="s">
        <v>1571</v>
      </c>
      <c r="Z398" s="6">
        <v>7</v>
      </c>
      <c r="AA398" s="6">
        <v>8</v>
      </c>
      <c r="AD398" s="6" t="s">
        <v>1203</v>
      </c>
      <c r="AE398" s="6" t="s">
        <v>1205</v>
      </c>
      <c r="AG398" s="6" t="s">
        <v>1572</v>
      </c>
      <c r="AY398" s="8" t="s">
        <v>176</v>
      </c>
      <c r="AZ398" s="8" t="s">
        <v>195</v>
      </c>
      <c r="BA398" s="13" t="s">
        <v>643</v>
      </c>
      <c r="BB398" s="13" t="s">
        <v>740</v>
      </c>
      <c r="BC398" s="13">
        <v>61</v>
      </c>
      <c r="BD398" s="13">
        <v>62</v>
      </c>
      <c r="DC398" s="6" t="s">
        <v>644</v>
      </c>
      <c r="DD398" s="6" t="s">
        <v>192</v>
      </c>
      <c r="DH398" s="6" t="str">
        <f>"A"&amp;EA398</f>
        <v>A11</v>
      </c>
      <c r="DI398" s="6" t="str">
        <f>"B"&amp;EA398</f>
        <v>B11</v>
      </c>
      <c r="DK398" s="6" t="s">
        <v>173</v>
      </c>
      <c r="DL398" s="6" t="str">
        <f>IF(DZ398&lt;&gt;"","CN2","")</f>
        <v/>
      </c>
      <c r="DO398" s="9" t="s">
        <v>170</v>
      </c>
      <c r="DP398" s="6" t="s">
        <v>171</v>
      </c>
      <c r="DQ398" s="6" t="s">
        <v>645</v>
      </c>
      <c r="DR398" s="6" t="e">
        <f>#REF!&amp;RIGHT(#REF!,3)</f>
        <v>#REF!</v>
      </c>
      <c r="DS398" s="6" t="str">
        <f>IF(MID(EF398,2,1)="A","KS1","AKB331")</f>
        <v>AKB331</v>
      </c>
      <c r="DT398" s="10" t="str">
        <f>DQ398&amp;"-"&amp;DX398&amp;"-"&amp;DY398&amp;"/"&amp;BA398&amp;"-"&amp;DD398&amp;"-"&amp;DK398</f>
        <v>FCS0111-6-5/1S–MC–118-R6-CN1</v>
      </c>
      <c r="DU398" s="6" t="str">
        <f>IF(DL398="","",DQ398&amp;"-"&amp;DX398&amp;"-"&amp;DY398&amp;"/"&amp;BA398&amp;"-"&amp;DD398&amp;"-"&amp;DL398)</f>
        <v/>
      </c>
      <c r="DV398" s="19">
        <v>1</v>
      </c>
      <c r="DW398" s="20" t="str">
        <f>RIGHT(DQ398,2)</f>
        <v>11</v>
      </c>
      <c r="DX398" s="20">
        <v>6</v>
      </c>
      <c r="DY398" s="21">
        <v>5</v>
      </c>
      <c r="DZ398" s="22" t="s">
        <v>204</v>
      </c>
      <c r="EA398" s="23">
        <v>11</v>
      </c>
      <c r="EB398" s="7">
        <v>27</v>
      </c>
      <c r="EE398" s="9" t="s">
        <v>693</v>
      </c>
      <c r="EF398" s="6" t="s">
        <v>647</v>
      </c>
      <c r="EG398" s="6" t="s">
        <v>647</v>
      </c>
      <c r="EH398" s="6" t="s">
        <v>949</v>
      </c>
      <c r="EI398" s="6" t="s">
        <v>948</v>
      </c>
      <c r="EJ398" s="12">
        <v>10</v>
      </c>
      <c r="EK398" s="12"/>
      <c r="EM398" s="12"/>
      <c r="EN398" s="12" t="s">
        <v>1126</v>
      </c>
      <c r="EP398" s="6" t="s">
        <v>1156</v>
      </c>
      <c r="ER398" s="6" t="str">
        <f>"UVOX"&amp;MID(EH398,4,6)</f>
        <v>UVOX40274</v>
      </c>
      <c r="ET398" s="6" t="str">
        <f t="shared" si="208"/>
        <v>홀수</v>
      </c>
      <c r="EU398" s="12">
        <v>89</v>
      </c>
      <c r="EV398" s="45" t="str">
        <f t="shared" ca="1" si="213"/>
        <v>A</v>
      </c>
      <c r="EW398" s="6">
        <f t="shared" ca="1" si="209"/>
        <v>65</v>
      </c>
      <c r="EZ398" s="6" t="str">
        <f>"UVNXD"&amp;MID(EH399,4,6)&amp;"I"</f>
        <v>UVNXD40274I</v>
      </c>
      <c r="FO398" s="6"/>
      <c r="FP398" s="11"/>
      <c r="FR398" s="6">
        <v>1</v>
      </c>
      <c r="FS398" s="6" t="str">
        <f t="shared" si="210"/>
        <v/>
      </c>
      <c r="FT398" s="6">
        <f t="shared" si="211"/>
        <v>1</v>
      </c>
      <c r="FU398" s="6" t="str">
        <f t="shared" ca="1" si="214"/>
        <v/>
      </c>
      <c r="FV398" s="6" t="str">
        <f t="shared" ca="1" si="212"/>
        <v/>
      </c>
      <c r="FW398" s="6" t="str">
        <f t="shared" ref="FW398:FW403" ca="1" si="215">IF(AND(FT398=1,FU398=""),DD398&amp;"-11",IF(AND(FT398=1,FU398&lt;&gt;""),DD398&amp;"-21",""))</f>
        <v>R6-11</v>
      </c>
      <c r="FX398" s="6" t="str">
        <f t="shared" ref="FX398:FX403" ca="1" si="216">IF(AND(FT398=1,FU398=""),DD398&amp;"-12",IF(AND(FT398=1,FU398&lt;&gt;""),DD398&amp;"-22",""))</f>
        <v>R6-12</v>
      </c>
      <c r="FY398" s="6" t="str">
        <f t="shared" ref="FY398:FY403" ca="1" si="217">IF(AND(FS398="",OFFSET(FS398,0,1)="",DC398="A1BA4D"),"",IF(DC398="A1BD5D",LEFT(FW398,3)&amp;"21",FW398))</f>
        <v>R6-21</v>
      </c>
      <c r="FZ398" s="6" t="str">
        <f t="shared" ref="FZ398:FZ403" ca="1" si="218" xml:space="preserve">
IF(AND(FS398="",OFFSET(FS398,0,1)="",DC398="A1BA4D"),"",IF(DC398="A1BD5D",LEFT(FW398,3)&amp;"22",FW398))</f>
        <v>R6-22</v>
      </c>
    </row>
    <row r="399" spans="1:182" ht="15.95" customHeight="1">
      <c r="A399" s="6">
        <v>666</v>
      </c>
      <c r="B399" s="6" t="s">
        <v>694</v>
      </c>
      <c r="E399" s="6" t="s">
        <v>947</v>
      </c>
      <c r="F399" s="6" t="s">
        <v>1669</v>
      </c>
      <c r="G399" s="6" t="s">
        <v>1290</v>
      </c>
      <c r="H399" s="7" t="s">
        <v>1291</v>
      </c>
      <c r="I399" s="7"/>
      <c r="J399" s="6" t="s">
        <v>1199</v>
      </c>
      <c r="K399" s="6" t="s">
        <v>1201</v>
      </c>
      <c r="N399" s="6" t="s">
        <v>1203</v>
      </c>
      <c r="O399" s="6" t="s">
        <v>1205</v>
      </c>
      <c r="R399" s="101" t="s">
        <v>1443</v>
      </c>
      <c r="Y399" s="6" t="s">
        <v>1571</v>
      </c>
      <c r="Z399" s="6">
        <v>5</v>
      </c>
      <c r="AA399" s="6">
        <v>6</v>
      </c>
      <c r="AD399" s="6" t="s">
        <v>1203</v>
      </c>
      <c r="AE399" s="6" t="s">
        <v>1205</v>
      </c>
      <c r="AG399" s="6" t="s">
        <v>1572</v>
      </c>
      <c r="AY399" s="8" t="s">
        <v>176</v>
      </c>
      <c r="AZ399" s="8" t="s">
        <v>195</v>
      </c>
      <c r="BA399" s="13" t="s">
        <v>643</v>
      </c>
      <c r="BB399" s="13" t="s">
        <v>740</v>
      </c>
      <c r="BC399" s="13">
        <v>59</v>
      </c>
      <c r="BD399" s="13">
        <v>60</v>
      </c>
      <c r="DC399" s="6" t="s">
        <v>644</v>
      </c>
      <c r="DD399" s="6" t="s">
        <v>192</v>
      </c>
      <c r="DH399" s="6" t="str">
        <f t="shared" si="201"/>
        <v>A10</v>
      </c>
      <c r="DI399" s="6" t="str">
        <f t="shared" si="202"/>
        <v>B10</v>
      </c>
      <c r="DK399" s="6" t="s">
        <v>173</v>
      </c>
      <c r="DL399" s="6" t="str">
        <f t="shared" si="203"/>
        <v/>
      </c>
      <c r="DO399" s="9" t="s">
        <v>170</v>
      </c>
      <c r="DP399" s="6" t="s">
        <v>171</v>
      </c>
      <c r="DQ399" s="6" t="s">
        <v>645</v>
      </c>
      <c r="DR399" s="6" t="e">
        <f>#REF!&amp;RIGHT(#REF!,3)</f>
        <v>#REF!</v>
      </c>
      <c r="DS399" s="6" t="str">
        <f t="shared" si="204"/>
        <v>AKB331</v>
      </c>
      <c r="DT399" s="10" t="str">
        <f t="shared" si="205"/>
        <v>FCS0111-6-5/1S–MC–118-R6-CN1</v>
      </c>
      <c r="DU399" s="6" t="str">
        <f t="shared" si="206"/>
        <v/>
      </c>
      <c r="DV399" s="19">
        <v>1</v>
      </c>
      <c r="DW399" s="20" t="str">
        <f t="shared" si="207"/>
        <v>11</v>
      </c>
      <c r="DX399" s="20">
        <v>6</v>
      </c>
      <c r="DY399" s="21">
        <v>5</v>
      </c>
      <c r="DZ399" s="22" t="s">
        <v>204</v>
      </c>
      <c r="EA399" s="23">
        <v>10</v>
      </c>
      <c r="EB399" s="7">
        <v>26</v>
      </c>
      <c r="EE399" s="9" t="s">
        <v>693</v>
      </c>
      <c r="EF399" s="6" t="s">
        <v>647</v>
      </c>
      <c r="EG399" s="6" t="s">
        <v>647</v>
      </c>
      <c r="EH399" s="6" t="s">
        <v>947</v>
      </c>
      <c r="EI399" s="6" t="s">
        <v>948</v>
      </c>
      <c r="EJ399" s="12">
        <v>10</v>
      </c>
      <c r="EK399" s="12"/>
      <c r="EM399" s="12"/>
      <c r="EN399" s="12" t="s">
        <v>1126</v>
      </c>
      <c r="ET399" s="6" t="str">
        <f t="shared" si="208"/>
        <v>홀수</v>
      </c>
      <c r="EU399" s="12">
        <v>89</v>
      </c>
      <c r="EV399" s="45" t="str">
        <f t="shared" ca="1" si="213"/>
        <v>B</v>
      </c>
      <c r="EW399" s="6">
        <f t="shared" ca="1" si="209"/>
        <v>66</v>
      </c>
      <c r="FO399" s="6"/>
      <c r="FP399" s="11"/>
      <c r="FR399" s="6">
        <v>1</v>
      </c>
      <c r="FS399" s="6" t="str">
        <f t="shared" si="210"/>
        <v/>
      </c>
      <c r="FT399" s="6">
        <f t="shared" si="211"/>
        <v>1</v>
      </c>
      <c r="FU399" s="6" t="str">
        <f t="shared" ca="1" si="214"/>
        <v/>
      </c>
      <c r="FV399" s="6" t="str">
        <f t="shared" ca="1" si="212"/>
        <v/>
      </c>
      <c r="FW399" s="6" t="str">
        <f t="shared" ca="1" si="215"/>
        <v>R6-11</v>
      </c>
      <c r="FX399" s="6" t="str">
        <f t="shared" ca="1" si="216"/>
        <v>R6-12</v>
      </c>
      <c r="FY399" s="6" t="str">
        <f t="shared" ca="1" si="217"/>
        <v>R6-21</v>
      </c>
      <c r="FZ399" s="6" t="str">
        <f t="shared" ca="1" si="218"/>
        <v>R6-22</v>
      </c>
    </row>
    <row r="400" spans="1:182" ht="15.95" customHeight="1">
      <c r="A400" s="6">
        <v>669</v>
      </c>
      <c r="B400" s="6" t="s">
        <v>694</v>
      </c>
      <c r="E400" s="6" t="s">
        <v>951</v>
      </c>
      <c r="F400" s="6" t="s">
        <v>1670</v>
      </c>
      <c r="G400" s="6" t="s">
        <v>1290</v>
      </c>
      <c r="H400" s="7" t="s">
        <v>1291</v>
      </c>
      <c r="I400" s="7"/>
      <c r="J400" s="6" t="s">
        <v>1199</v>
      </c>
      <c r="K400" s="6" t="s">
        <v>1201</v>
      </c>
      <c r="N400" s="6" t="s">
        <v>1203</v>
      </c>
      <c r="O400" s="6" t="s">
        <v>1205</v>
      </c>
      <c r="R400" s="101" t="s">
        <v>1443</v>
      </c>
      <c r="Y400" s="6" t="s">
        <v>1571</v>
      </c>
      <c r="Z400" s="6">
        <v>11</v>
      </c>
      <c r="AA400" s="6">
        <v>12</v>
      </c>
      <c r="AD400" s="6" t="s">
        <v>1203</v>
      </c>
      <c r="AE400" s="6" t="s">
        <v>1205</v>
      </c>
      <c r="AG400" s="6" t="s">
        <v>1572</v>
      </c>
      <c r="AY400" s="8" t="s">
        <v>176</v>
      </c>
      <c r="AZ400" s="8" t="s">
        <v>195</v>
      </c>
      <c r="BA400" s="13" t="s">
        <v>643</v>
      </c>
      <c r="BB400" s="13" t="s">
        <v>740</v>
      </c>
      <c r="BC400" s="13">
        <v>65</v>
      </c>
      <c r="BD400" s="13">
        <v>66</v>
      </c>
      <c r="DC400" s="6" t="s">
        <v>644</v>
      </c>
      <c r="DD400" s="6" t="s">
        <v>192</v>
      </c>
      <c r="DH400" s="6" t="str">
        <f>"A"&amp;EA400</f>
        <v>A13</v>
      </c>
      <c r="DI400" s="6" t="str">
        <f>"B"&amp;EA400</f>
        <v>B13</v>
      </c>
      <c r="DK400" s="6" t="s">
        <v>173</v>
      </c>
      <c r="DL400" s="6" t="str">
        <f>IF(DZ400&lt;&gt;"","CN2","")</f>
        <v/>
      </c>
      <c r="DO400" s="9" t="s">
        <v>170</v>
      </c>
      <c r="DP400" s="6" t="s">
        <v>171</v>
      </c>
      <c r="DQ400" s="6" t="s">
        <v>645</v>
      </c>
      <c r="DR400" s="6" t="e">
        <f>#REF!&amp;RIGHT(#REF!,3)</f>
        <v>#REF!</v>
      </c>
      <c r="DS400" s="6" t="str">
        <f>IF(MID(EF400,2,1)="A","KS1","AKB331")</f>
        <v>AKB331</v>
      </c>
      <c r="DT400" s="10" t="str">
        <f>DQ400&amp;"-"&amp;DX400&amp;"-"&amp;DY400&amp;"/"&amp;BA400&amp;"-"&amp;DD400&amp;"-"&amp;DK400</f>
        <v>FCS0111-6-5/1S–MC–118-R6-CN1</v>
      </c>
      <c r="DU400" s="6" t="str">
        <f>IF(DL400="","",DQ400&amp;"-"&amp;DX400&amp;"-"&amp;DY400&amp;"/"&amp;BA400&amp;"-"&amp;DD400&amp;"-"&amp;DL400)</f>
        <v/>
      </c>
      <c r="DV400" s="19">
        <v>1</v>
      </c>
      <c r="DW400" s="20" t="str">
        <f>RIGHT(DQ400,2)</f>
        <v>11</v>
      </c>
      <c r="DX400" s="20">
        <v>6</v>
      </c>
      <c r="DY400" s="21">
        <v>5</v>
      </c>
      <c r="DZ400" s="22" t="s">
        <v>204</v>
      </c>
      <c r="EA400" s="23">
        <v>13</v>
      </c>
      <c r="EB400" s="7">
        <v>29</v>
      </c>
      <c r="EE400" s="9" t="s">
        <v>693</v>
      </c>
      <c r="EF400" s="6" t="s">
        <v>647</v>
      </c>
      <c r="EG400" s="6" t="s">
        <v>647</v>
      </c>
      <c r="EH400" s="6" t="s">
        <v>951</v>
      </c>
      <c r="EI400" s="6" t="s">
        <v>446</v>
      </c>
      <c r="EJ400" s="12">
        <v>10</v>
      </c>
      <c r="EK400" s="12"/>
      <c r="EM400" s="12"/>
      <c r="EN400" s="12" t="s">
        <v>1126</v>
      </c>
      <c r="EP400" s="6" t="s">
        <v>1156</v>
      </c>
      <c r="ER400" s="6" t="str">
        <f>"UVOX"&amp;MID(EH400,4,6)</f>
        <v>UVOX40275</v>
      </c>
      <c r="ET400" s="6" t="str">
        <f t="shared" si="208"/>
        <v>홀수</v>
      </c>
      <c r="EU400" s="12">
        <v>89</v>
      </c>
      <c r="EV400" s="45" t="str">
        <f t="shared" ca="1" si="213"/>
        <v>C</v>
      </c>
      <c r="EW400" s="6">
        <f t="shared" ca="1" si="209"/>
        <v>67</v>
      </c>
      <c r="EZ400" s="6" t="str">
        <f>"UVNXD"&amp;MID(EH401,4,6)&amp;"I"</f>
        <v>UVNXD40275I</v>
      </c>
      <c r="FO400" s="6"/>
      <c r="FP400" s="11"/>
      <c r="FR400" s="6">
        <v>1</v>
      </c>
      <c r="FS400" s="6" t="str">
        <f t="shared" si="210"/>
        <v/>
      </c>
      <c r="FT400" s="6">
        <f t="shared" si="211"/>
        <v>1</v>
      </c>
      <c r="FU400" s="6" t="str">
        <f t="shared" ca="1" si="214"/>
        <v/>
      </c>
      <c r="FV400" s="6" t="str">
        <f t="shared" ca="1" si="212"/>
        <v/>
      </c>
      <c r="FW400" s="6" t="str">
        <f t="shared" ca="1" si="215"/>
        <v>R6-11</v>
      </c>
      <c r="FX400" s="6" t="str">
        <f t="shared" ca="1" si="216"/>
        <v>R6-12</v>
      </c>
      <c r="FY400" s="6" t="str">
        <f t="shared" ca="1" si="217"/>
        <v>R6-21</v>
      </c>
      <c r="FZ400" s="6" t="str">
        <f t="shared" ca="1" si="218"/>
        <v>R6-22</v>
      </c>
    </row>
    <row r="401" spans="1:182" ht="15.95" customHeight="1">
      <c r="A401" s="6">
        <v>668</v>
      </c>
      <c r="B401" s="6" t="s">
        <v>694</v>
      </c>
      <c r="E401" s="6" t="s">
        <v>950</v>
      </c>
      <c r="F401" s="6" t="s">
        <v>1671</v>
      </c>
      <c r="G401" s="6" t="s">
        <v>1290</v>
      </c>
      <c r="H401" s="7" t="s">
        <v>1291</v>
      </c>
      <c r="I401" s="7"/>
      <c r="J401" s="6" t="s">
        <v>1199</v>
      </c>
      <c r="K401" s="6" t="s">
        <v>1201</v>
      </c>
      <c r="N401" s="6" t="s">
        <v>1203</v>
      </c>
      <c r="O401" s="6" t="s">
        <v>1205</v>
      </c>
      <c r="R401" s="101" t="s">
        <v>1443</v>
      </c>
      <c r="Y401" s="6" t="s">
        <v>1571</v>
      </c>
      <c r="Z401" s="6">
        <v>9</v>
      </c>
      <c r="AA401" s="6">
        <v>10</v>
      </c>
      <c r="AD401" s="6" t="s">
        <v>1203</v>
      </c>
      <c r="AE401" s="6" t="s">
        <v>1205</v>
      </c>
      <c r="AG401" s="6" t="s">
        <v>1572</v>
      </c>
      <c r="AY401" s="8" t="s">
        <v>176</v>
      </c>
      <c r="AZ401" s="8" t="s">
        <v>195</v>
      </c>
      <c r="BA401" s="13" t="s">
        <v>643</v>
      </c>
      <c r="BB401" s="13" t="s">
        <v>740</v>
      </c>
      <c r="BC401" s="13">
        <v>63</v>
      </c>
      <c r="BD401" s="13">
        <v>64</v>
      </c>
      <c r="DC401" s="6" t="s">
        <v>644</v>
      </c>
      <c r="DD401" s="6" t="s">
        <v>192</v>
      </c>
      <c r="DH401" s="6" t="str">
        <f t="shared" si="201"/>
        <v>A12</v>
      </c>
      <c r="DI401" s="6" t="str">
        <f t="shared" si="202"/>
        <v>B12</v>
      </c>
      <c r="DK401" s="6" t="s">
        <v>173</v>
      </c>
      <c r="DL401" s="6" t="str">
        <f t="shared" si="203"/>
        <v/>
      </c>
      <c r="DO401" s="9" t="s">
        <v>170</v>
      </c>
      <c r="DP401" s="6" t="s">
        <v>171</v>
      </c>
      <c r="DQ401" s="6" t="s">
        <v>645</v>
      </c>
      <c r="DR401" s="6" t="e">
        <f>#REF!&amp;RIGHT(#REF!,3)</f>
        <v>#REF!</v>
      </c>
      <c r="DS401" s="6" t="str">
        <f t="shared" si="204"/>
        <v>AKB331</v>
      </c>
      <c r="DT401" s="10" t="str">
        <f t="shared" si="205"/>
        <v>FCS0111-6-5/1S–MC–118-R6-CN1</v>
      </c>
      <c r="DU401" s="6" t="str">
        <f t="shared" si="206"/>
        <v/>
      </c>
      <c r="DV401" s="19">
        <v>1</v>
      </c>
      <c r="DW401" s="20" t="str">
        <f t="shared" si="207"/>
        <v>11</v>
      </c>
      <c r="DX401" s="20">
        <v>6</v>
      </c>
      <c r="DY401" s="21">
        <v>5</v>
      </c>
      <c r="DZ401" s="22" t="s">
        <v>204</v>
      </c>
      <c r="EA401" s="23">
        <v>12</v>
      </c>
      <c r="EB401" s="7">
        <v>28</v>
      </c>
      <c r="EE401" s="9" t="s">
        <v>693</v>
      </c>
      <c r="EF401" s="6" t="s">
        <v>647</v>
      </c>
      <c r="EG401" s="6" t="s">
        <v>647</v>
      </c>
      <c r="EH401" s="6" t="s">
        <v>950</v>
      </c>
      <c r="EI401" s="6" t="s">
        <v>446</v>
      </c>
      <c r="EJ401" s="12">
        <v>10</v>
      </c>
      <c r="EK401" s="12"/>
      <c r="EM401" s="12"/>
      <c r="EN401" s="12" t="s">
        <v>1126</v>
      </c>
      <c r="ET401" s="6" t="str">
        <f t="shared" si="208"/>
        <v>홀수</v>
      </c>
      <c r="EU401" s="12">
        <v>89</v>
      </c>
      <c r="EV401" s="45" t="str">
        <f t="shared" ca="1" si="213"/>
        <v>D</v>
      </c>
      <c r="EW401" s="6">
        <f t="shared" ca="1" si="209"/>
        <v>68</v>
      </c>
      <c r="FO401" s="6"/>
      <c r="FP401" s="11"/>
      <c r="FR401" s="6">
        <v>1</v>
      </c>
      <c r="FS401" s="6" t="str">
        <f t="shared" si="210"/>
        <v/>
      </c>
      <c r="FT401" s="6">
        <f t="shared" si="211"/>
        <v>1</v>
      </c>
      <c r="FU401" s="6" t="str">
        <f t="shared" ca="1" si="214"/>
        <v/>
      </c>
      <c r="FV401" s="6" t="str">
        <f t="shared" ca="1" si="212"/>
        <v/>
      </c>
      <c r="FW401" s="6" t="str">
        <f t="shared" ca="1" si="215"/>
        <v>R6-11</v>
      </c>
      <c r="FX401" s="6" t="str">
        <f t="shared" ca="1" si="216"/>
        <v>R6-12</v>
      </c>
      <c r="FY401" s="6" t="str">
        <f t="shared" ca="1" si="217"/>
        <v>R6-21</v>
      </c>
      <c r="FZ401" s="6" t="str">
        <f t="shared" ca="1" si="218"/>
        <v>R6-22</v>
      </c>
    </row>
    <row r="402" spans="1:182" ht="15.95" customHeight="1">
      <c r="A402" s="6">
        <v>670</v>
      </c>
      <c r="B402" s="6" t="s">
        <v>694</v>
      </c>
      <c r="E402" s="6" t="s">
        <v>952</v>
      </c>
      <c r="F402" s="6" t="s">
        <v>1672</v>
      </c>
      <c r="G402" s="6" t="s">
        <v>1290</v>
      </c>
      <c r="H402" s="7" t="s">
        <v>1291</v>
      </c>
      <c r="I402" s="7"/>
      <c r="J402" s="6" t="s">
        <v>1199</v>
      </c>
      <c r="K402" s="6" t="s">
        <v>1201</v>
      </c>
      <c r="N402" s="6" t="s">
        <v>1203</v>
      </c>
      <c r="O402" s="6" t="s">
        <v>1205</v>
      </c>
      <c r="R402" s="101" t="s">
        <v>1443</v>
      </c>
      <c r="Y402" s="6" t="s">
        <v>1571</v>
      </c>
      <c r="Z402" s="6">
        <v>13</v>
      </c>
      <c r="AA402" s="6">
        <v>14</v>
      </c>
      <c r="AD402" s="6" t="s">
        <v>1203</v>
      </c>
      <c r="AE402" s="6" t="s">
        <v>1205</v>
      </c>
      <c r="AG402" s="6" t="s">
        <v>1572</v>
      </c>
      <c r="AY402" s="8" t="s">
        <v>176</v>
      </c>
      <c r="AZ402" s="8" t="s">
        <v>195</v>
      </c>
      <c r="BA402" s="13" t="s">
        <v>643</v>
      </c>
      <c r="BB402" s="13" t="s">
        <v>740</v>
      </c>
      <c r="BC402" s="13">
        <v>67</v>
      </c>
      <c r="BD402" s="13">
        <v>68</v>
      </c>
      <c r="DC402" s="6" t="s">
        <v>644</v>
      </c>
      <c r="DD402" s="6" t="s">
        <v>192</v>
      </c>
      <c r="DH402" s="6" t="str">
        <f t="shared" si="201"/>
        <v>A14</v>
      </c>
      <c r="DI402" s="6" t="str">
        <f t="shared" si="202"/>
        <v>B14</v>
      </c>
      <c r="DK402" s="6" t="s">
        <v>173</v>
      </c>
      <c r="DL402" s="6" t="str">
        <f t="shared" si="203"/>
        <v/>
      </c>
      <c r="DO402" s="9" t="s">
        <v>170</v>
      </c>
      <c r="DP402" s="6" t="s">
        <v>171</v>
      </c>
      <c r="DQ402" s="6" t="s">
        <v>645</v>
      </c>
      <c r="DR402" s="6" t="e">
        <f>#REF!&amp;RIGHT(#REF!,3)</f>
        <v>#REF!</v>
      </c>
      <c r="DS402" s="6" t="str">
        <f t="shared" si="204"/>
        <v>AKB331</v>
      </c>
      <c r="DT402" s="10" t="str">
        <f t="shared" si="205"/>
        <v>FCS0111-6-5/1S–MC–118-R6-CN1</v>
      </c>
      <c r="DU402" s="6" t="str">
        <f t="shared" si="206"/>
        <v/>
      </c>
      <c r="DV402" s="19">
        <v>1</v>
      </c>
      <c r="DW402" s="20" t="str">
        <f t="shared" si="207"/>
        <v>11</v>
      </c>
      <c r="DX402" s="20">
        <v>6</v>
      </c>
      <c r="DY402" s="21">
        <v>5</v>
      </c>
      <c r="DZ402" s="22" t="s">
        <v>204</v>
      </c>
      <c r="EA402" s="23">
        <v>14</v>
      </c>
      <c r="EB402" s="7">
        <v>30</v>
      </c>
      <c r="EE402" s="9" t="s">
        <v>693</v>
      </c>
      <c r="EF402" s="6" t="s">
        <v>647</v>
      </c>
      <c r="EG402" s="6" t="s">
        <v>647</v>
      </c>
      <c r="EH402" s="6" t="s">
        <v>952</v>
      </c>
      <c r="EI402" s="6" t="s">
        <v>953</v>
      </c>
      <c r="EJ402" s="12">
        <v>8</v>
      </c>
      <c r="EK402" s="12"/>
      <c r="EM402" s="12"/>
      <c r="EN402" s="12" t="s">
        <v>1126</v>
      </c>
      <c r="EP402" s="6" t="s">
        <v>1155</v>
      </c>
      <c r="ER402" s="6" t="str">
        <f>LEFT(EH404,2)&amp;"O"&amp;MID(EH404,4,7)</f>
        <v>HVO40364</v>
      </c>
      <c r="ET402" s="6" t="str">
        <f t="shared" si="208"/>
        <v>짝수</v>
      </c>
      <c r="EU402" s="12">
        <v>90</v>
      </c>
      <c r="EV402" s="45" t="str">
        <f t="shared" ca="1" si="213"/>
        <v>A</v>
      </c>
      <c r="EW402" s="6">
        <f t="shared" ca="1" si="209"/>
        <v>65</v>
      </c>
      <c r="FO402" s="6"/>
      <c r="FP402" s="11"/>
      <c r="FR402" s="6">
        <v>1</v>
      </c>
      <c r="FS402" s="6" t="str">
        <f t="shared" si="210"/>
        <v/>
      </c>
      <c r="FT402" s="6">
        <f t="shared" si="211"/>
        <v>1</v>
      </c>
      <c r="FU402" s="6" t="str">
        <f t="shared" ca="1" si="214"/>
        <v/>
      </c>
      <c r="FV402" s="6" t="str">
        <f t="shared" ca="1" si="212"/>
        <v/>
      </c>
      <c r="FW402" s="6" t="str">
        <f t="shared" ca="1" si="215"/>
        <v>R6-11</v>
      </c>
      <c r="FX402" s="6" t="str">
        <f t="shared" ca="1" si="216"/>
        <v>R6-12</v>
      </c>
      <c r="FY402" s="6" t="str">
        <f t="shared" ca="1" si="217"/>
        <v>R6-21</v>
      </c>
      <c r="FZ402" s="6" t="str">
        <f t="shared" ca="1" si="218"/>
        <v>R6-22</v>
      </c>
    </row>
    <row r="403" spans="1:182" ht="15.95" customHeight="1">
      <c r="A403" s="6">
        <v>671</v>
      </c>
      <c r="B403" s="6" t="s">
        <v>694</v>
      </c>
      <c r="E403" s="6" t="s">
        <v>954</v>
      </c>
      <c r="F403" s="6" t="s">
        <v>1673</v>
      </c>
      <c r="G403" s="6" t="s">
        <v>1290</v>
      </c>
      <c r="H403" s="7" t="s">
        <v>1291</v>
      </c>
      <c r="I403" s="7"/>
      <c r="J403" s="6" t="s">
        <v>1199</v>
      </c>
      <c r="K403" s="6" t="s">
        <v>1201</v>
      </c>
      <c r="N403" s="6" t="s">
        <v>1203</v>
      </c>
      <c r="O403" s="6" t="s">
        <v>1205</v>
      </c>
      <c r="R403" s="101" t="s">
        <v>1443</v>
      </c>
      <c r="Y403" s="6" t="s">
        <v>1571</v>
      </c>
      <c r="Z403" s="6">
        <v>15</v>
      </c>
      <c r="AA403" s="6">
        <v>16</v>
      </c>
      <c r="AD403" s="6" t="s">
        <v>1203</v>
      </c>
      <c r="AE403" s="6" t="s">
        <v>1205</v>
      </c>
      <c r="AG403" s="6" t="s">
        <v>1572</v>
      </c>
      <c r="AY403" s="8" t="s">
        <v>176</v>
      </c>
      <c r="AZ403" s="8" t="s">
        <v>195</v>
      </c>
      <c r="BA403" s="13" t="s">
        <v>643</v>
      </c>
      <c r="BB403" s="13" t="s">
        <v>740</v>
      </c>
      <c r="BC403" s="13">
        <v>69</v>
      </c>
      <c r="BD403" s="13">
        <v>70</v>
      </c>
      <c r="DC403" s="6" t="s">
        <v>644</v>
      </c>
      <c r="DD403" s="6" t="s">
        <v>192</v>
      </c>
      <c r="DH403" s="6" t="str">
        <f t="shared" si="201"/>
        <v>A15</v>
      </c>
      <c r="DI403" s="6" t="str">
        <f t="shared" si="202"/>
        <v>B15</v>
      </c>
      <c r="DK403" s="6" t="s">
        <v>173</v>
      </c>
      <c r="DL403" s="6" t="str">
        <f t="shared" si="203"/>
        <v/>
      </c>
      <c r="DO403" s="9" t="s">
        <v>170</v>
      </c>
      <c r="DP403" s="6" t="s">
        <v>171</v>
      </c>
      <c r="DQ403" s="6" t="s">
        <v>645</v>
      </c>
      <c r="DR403" s="6" t="e">
        <f>#REF!&amp;RIGHT(#REF!,3)</f>
        <v>#REF!</v>
      </c>
      <c r="DS403" s="6" t="str">
        <f t="shared" si="204"/>
        <v>AKB331</v>
      </c>
      <c r="DT403" s="10" t="str">
        <f t="shared" si="205"/>
        <v>FCS0111-6-5/1S–MC–118-R6-CN1</v>
      </c>
      <c r="DU403" s="6" t="str">
        <f t="shared" si="206"/>
        <v/>
      </c>
      <c r="DV403" s="19">
        <v>1</v>
      </c>
      <c r="DW403" s="20" t="str">
        <f t="shared" si="207"/>
        <v>11</v>
      </c>
      <c r="DX403" s="20">
        <v>6</v>
      </c>
      <c r="DY403" s="21">
        <v>5</v>
      </c>
      <c r="DZ403" s="22" t="s">
        <v>204</v>
      </c>
      <c r="EA403" s="23">
        <v>15</v>
      </c>
      <c r="EB403" s="7">
        <v>31</v>
      </c>
      <c r="EE403" s="9" t="s">
        <v>693</v>
      </c>
      <c r="EF403" s="6" t="s">
        <v>647</v>
      </c>
      <c r="EG403" s="6" t="s">
        <v>647</v>
      </c>
      <c r="EH403" s="6" t="s">
        <v>954</v>
      </c>
      <c r="EI403" s="6" t="s">
        <v>953</v>
      </c>
      <c r="EJ403" s="12">
        <v>8</v>
      </c>
      <c r="EK403" s="12"/>
      <c r="EM403" s="12"/>
      <c r="EN403" s="12" t="s">
        <v>1126</v>
      </c>
      <c r="ET403" s="6" t="str">
        <f t="shared" si="208"/>
        <v>짝수</v>
      </c>
      <c r="EU403" s="12">
        <v>90</v>
      </c>
      <c r="EV403" s="45" t="str">
        <f t="shared" ca="1" si="213"/>
        <v>B</v>
      </c>
      <c r="EW403" s="6">
        <f t="shared" ca="1" si="209"/>
        <v>66</v>
      </c>
      <c r="FO403" s="6"/>
      <c r="FP403" s="11"/>
      <c r="FR403" s="6">
        <v>1</v>
      </c>
      <c r="FS403" s="6" t="str">
        <f t="shared" si="210"/>
        <v/>
      </c>
      <c r="FT403" s="6">
        <f t="shared" si="211"/>
        <v>1</v>
      </c>
      <c r="FU403" s="6" t="str">
        <f t="shared" ca="1" si="214"/>
        <v/>
      </c>
      <c r="FV403" s="6" t="str">
        <f t="shared" ca="1" si="212"/>
        <v/>
      </c>
      <c r="FW403" s="6" t="str">
        <f t="shared" ca="1" si="215"/>
        <v>R6-11</v>
      </c>
      <c r="FX403" s="6" t="str">
        <f t="shared" ca="1" si="216"/>
        <v>R6-12</v>
      </c>
      <c r="FY403" s="6" t="str">
        <f t="shared" ca="1" si="217"/>
        <v>R6-21</v>
      </c>
      <c r="FZ403" s="6" t="str">
        <f t="shared" ca="1" si="218"/>
        <v>R6-22</v>
      </c>
    </row>
    <row r="404" spans="1:182" ht="15.95" customHeight="1">
      <c r="A404" s="6">
        <v>799</v>
      </c>
      <c r="B404" s="6" t="s">
        <v>694</v>
      </c>
      <c r="E404" s="6" t="s">
        <v>1006</v>
      </c>
      <c r="F404" s="6" t="s">
        <v>1674</v>
      </c>
      <c r="G404" s="6" t="s">
        <v>1290</v>
      </c>
      <c r="H404" s="7" t="s">
        <v>1291</v>
      </c>
      <c r="I404" s="7"/>
      <c r="J404" s="6" t="s">
        <v>1199</v>
      </c>
      <c r="K404" s="6" t="s">
        <v>1201</v>
      </c>
      <c r="N404" s="6" t="s">
        <v>1203</v>
      </c>
      <c r="O404" s="6" t="s">
        <v>1205</v>
      </c>
      <c r="R404" s="101" t="s">
        <v>1592</v>
      </c>
      <c r="Y404" s="6" t="s">
        <v>1659</v>
      </c>
      <c r="Z404" s="6">
        <v>5</v>
      </c>
      <c r="AA404" s="6">
        <v>6</v>
      </c>
      <c r="AD404" s="6" t="s">
        <v>1203</v>
      </c>
      <c r="AE404" s="6" t="s">
        <v>1205</v>
      </c>
      <c r="AG404" s="6" t="s">
        <v>1660</v>
      </c>
      <c r="AY404" s="8" t="s">
        <v>176</v>
      </c>
      <c r="AZ404" s="8" t="s">
        <v>195</v>
      </c>
      <c r="BA404" s="13" t="s">
        <v>670</v>
      </c>
      <c r="BB404" s="13" t="s">
        <v>200</v>
      </c>
      <c r="BC404" s="13">
        <v>29</v>
      </c>
      <c r="BD404" s="13">
        <v>30</v>
      </c>
      <c r="DC404" s="6" t="s">
        <v>992</v>
      </c>
      <c r="DD404" s="6" t="s">
        <v>187</v>
      </c>
      <c r="DH404" s="6" t="str">
        <f>"A"&amp;EA404</f>
        <v>A15</v>
      </c>
      <c r="DI404" s="6" t="str">
        <f>"B"&amp;EA404</f>
        <v>B15</v>
      </c>
      <c r="DK404" s="6" t="s">
        <v>173</v>
      </c>
      <c r="DL404" s="6" t="str">
        <f>IF(DZ404&lt;&gt;"","CN2","")</f>
        <v>CN2</v>
      </c>
      <c r="DO404" s="9" t="s">
        <v>170</v>
      </c>
      <c r="DP404" s="6" t="s">
        <v>171</v>
      </c>
      <c r="DQ404" s="6" t="s">
        <v>645</v>
      </c>
      <c r="DR404" s="6" t="e">
        <f>#REF!&amp;RIGHT(#REF!,3)</f>
        <v>#REF!</v>
      </c>
      <c r="DS404" s="6" t="str">
        <f>IF(MID(EF404,2,1)="A","KS1","AKB331")</f>
        <v>AKB331</v>
      </c>
      <c r="DT404" s="10" t="str">
        <f>DQ404&amp;"-"&amp;DX404&amp;"-"&amp;DY404&amp;"/"&amp;BA404&amp;"-"&amp;DD404&amp;"-"&amp;DK404</f>
        <v>FCS0111-7-7/1S–MC–120-R1-CN1</v>
      </c>
      <c r="DU404" s="6" t="str">
        <f>IF(DL404="","",DQ404&amp;"-"&amp;DX404&amp;"-"&amp;DY404&amp;"/"&amp;BA404&amp;"-"&amp;DD404&amp;"-"&amp;DL404)</f>
        <v>FCS0111-7-7/1S–MC–120-R1-CN2</v>
      </c>
      <c r="DV404" s="19">
        <v>1</v>
      </c>
      <c r="DW404" s="20" t="str">
        <f>RIGHT(DQ404,2)</f>
        <v>11</v>
      </c>
      <c r="DX404" s="20">
        <v>7</v>
      </c>
      <c r="DY404" s="21">
        <v>7</v>
      </c>
      <c r="DZ404" s="22">
        <v>8</v>
      </c>
      <c r="EA404" s="23">
        <v>15</v>
      </c>
      <c r="EB404" s="7">
        <v>31</v>
      </c>
      <c r="EE404" s="9" t="s">
        <v>693</v>
      </c>
      <c r="EF404" s="6" t="s">
        <v>672</v>
      </c>
      <c r="EG404" s="6" t="s">
        <v>647</v>
      </c>
      <c r="EH404" s="6" t="s">
        <v>1130</v>
      </c>
      <c r="EI404" s="6" t="s">
        <v>953</v>
      </c>
      <c r="EJ404" s="12">
        <v>8</v>
      </c>
      <c r="EK404" s="12"/>
      <c r="EM404" s="12"/>
      <c r="EN404" s="12" t="s">
        <v>1126</v>
      </c>
      <c r="ET404" s="6" t="str">
        <f t="shared" si="208"/>
        <v>짝수</v>
      </c>
      <c r="EU404" s="12">
        <v>90</v>
      </c>
      <c r="EV404" s="45" t="str">
        <f t="shared" ca="1" si="213"/>
        <v>C</v>
      </c>
      <c r="EW404" s="6">
        <f t="shared" ca="1" si="209"/>
        <v>67</v>
      </c>
      <c r="FO404" s="6"/>
      <c r="FP404" s="11"/>
      <c r="FR404" s="6">
        <v>1</v>
      </c>
      <c r="FS404" s="6">
        <f t="shared" si="210"/>
        <v>1</v>
      </c>
      <c r="FT404" s="6">
        <f t="shared" si="211"/>
        <v>1</v>
      </c>
      <c r="FU404" s="6" t="str">
        <f t="shared" ca="1" si="214"/>
        <v>R1-11</v>
      </c>
      <c r="FV404" s="6" t="str">
        <f t="shared" ca="1" si="212"/>
        <v>R1-12</v>
      </c>
      <c r="FW404" s="6" t="s">
        <v>1095</v>
      </c>
      <c r="FX404" s="6" t="s">
        <v>1096</v>
      </c>
      <c r="FY404" s="6" t="s">
        <v>1095</v>
      </c>
      <c r="FZ404" s="6" t="s">
        <v>1096</v>
      </c>
    </row>
    <row r="405" spans="1:182" ht="15.95" customHeight="1">
      <c r="A405" s="6">
        <v>672</v>
      </c>
      <c r="B405" s="6" t="s">
        <v>694</v>
      </c>
      <c r="E405" s="6" t="s">
        <v>955</v>
      </c>
      <c r="F405" s="6" t="s">
        <v>1675</v>
      </c>
      <c r="G405" s="6" t="s">
        <v>1290</v>
      </c>
      <c r="H405" s="7" t="s">
        <v>1291</v>
      </c>
      <c r="I405" s="7"/>
      <c r="J405" s="6" t="s">
        <v>1199</v>
      </c>
      <c r="K405" s="6" t="s">
        <v>1201</v>
      </c>
      <c r="N405" s="6" t="s">
        <v>1203</v>
      </c>
      <c r="O405" s="6" t="s">
        <v>1205</v>
      </c>
      <c r="R405" s="101" t="s">
        <v>1443</v>
      </c>
      <c r="Y405" s="6" t="s">
        <v>1571</v>
      </c>
      <c r="Z405" s="6">
        <v>17</v>
      </c>
      <c r="AA405" s="6">
        <v>18</v>
      </c>
      <c r="AD405" s="6" t="s">
        <v>1203</v>
      </c>
      <c r="AE405" s="6" t="s">
        <v>1205</v>
      </c>
      <c r="AG405" s="6" t="s">
        <v>1572</v>
      </c>
      <c r="AY405" s="8" t="s">
        <v>176</v>
      </c>
      <c r="AZ405" s="8" t="s">
        <v>195</v>
      </c>
      <c r="BA405" s="13" t="s">
        <v>643</v>
      </c>
      <c r="BB405" s="13" t="s">
        <v>740</v>
      </c>
      <c r="BC405" s="13">
        <v>71</v>
      </c>
      <c r="BD405" s="13">
        <v>72</v>
      </c>
      <c r="DC405" s="6" t="s">
        <v>644</v>
      </c>
      <c r="DD405" s="6" t="s">
        <v>192</v>
      </c>
      <c r="DH405" s="6" t="str">
        <f t="shared" si="201"/>
        <v>A16</v>
      </c>
      <c r="DI405" s="6" t="str">
        <f t="shared" si="202"/>
        <v>B16</v>
      </c>
      <c r="DK405" s="6" t="s">
        <v>173</v>
      </c>
      <c r="DL405" s="6" t="str">
        <f t="shared" si="203"/>
        <v/>
      </c>
      <c r="DO405" s="9" t="s">
        <v>170</v>
      </c>
      <c r="DP405" s="6" t="s">
        <v>171</v>
      </c>
      <c r="DQ405" s="6" t="s">
        <v>645</v>
      </c>
      <c r="DR405" s="6" t="e">
        <f>#REF!&amp;RIGHT(#REF!,3)</f>
        <v>#REF!</v>
      </c>
      <c r="DS405" s="6" t="str">
        <f t="shared" si="204"/>
        <v>AKB331</v>
      </c>
      <c r="DT405" s="10" t="str">
        <f t="shared" si="205"/>
        <v>FCS0111-6-5/1S–MC–118-R6-CN1</v>
      </c>
      <c r="DU405" s="6" t="str">
        <f t="shared" si="206"/>
        <v/>
      </c>
      <c r="DV405" s="19">
        <v>1</v>
      </c>
      <c r="DW405" s="20" t="str">
        <f t="shared" si="207"/>
        <v>11</v>
      </c>
      <c r="DX405" s="20">
        <v>6</v>
      </c>
      <c r="DY405" s="21">
        <v>5</v>
      </c>
      <c r="DZ405" s="22" t="s">
        <v>204</v>
      </c>
      <c r="EA405" s="23">
        <v>16</v>
      </c>
      <c r="EB405" s="7">
        <v>32</v>
      </c>
      <c r="EE405" s="9" t="s">
        <v>693</v>
      </c>
      <c r="EF405" s="6" t="s">
        <v>647</v>
      </c>
      <c r="EG405" s="6" t="s">
        <v>647</v>
      </c>
      <c r="EH405" s="6" t="s">
        <v>955</v>
      </c>
      <c r="EI405" s="6" t="s">
        <v>956</v>
      </c>
      <c r="EJ405" s="12">
        <v>8</v>
      </c>
      <c r="EK405" s="12"/>
      <c r="EM405" s="12"/>
      <c r="EN405" s="12" t="s">
        <v>1126</v>
      </c>
      <c r="EP405" s="6" t="s">
        <v>1155</v>
      </c>
      <c r="ER405" s="6" t="str">
        <f>LEFT(EH407,2)&amp;"O"&amp;MID(EH407,4,7)</f>
        <v>HVO40365</v>
      </c>
      <c r="ET405" s="6" t="str">
        <f t="shared" si="208"/>
        <v>홀수</v>
      </c>
      <c r="EU405" s="12">
        <v>91</v>
      </c>
      <c r="EV405" s="45" t="str">
        <f t="shared" ca="1" si="213"/>
        <v>A</v>
      </c>
      <c r="EW405" s="6">
        <f t="shared" ca="1" si="209"/>
        <v>65</v>
      </c>
      <c r="FO405" s="6"/>
      <c r="FP405" s="11"/>
      <c r="FR405" s="6">
        <v>1</v>
      </c>
      <c r="FS405" s="6" t="str">
        <f t="shared" si="210"/>
        <v/>
      </c>
      <c r="FT405" s="6">
        <f t="shared" si="211"/>
        <v>1</v>
      </c>
      <c r="FU405" s="6" t="str">
        <f t="shared" ca="1" si="214"/>
        <v/>
      </c>
      <c r="FV405" s="6" t="str">
        <f t="shared" ca="1" si="212"/>
        <v/>
      </c>
      <c r="FW405" s="6" t="str">
        <f ca="1">IF(AND(FT405=1,FU405=""),DD405&amp;"-11",IF(AND(FT405=1,FU405&lt;&gt;""),DD405&amp;"-21",""))</f>
        <v>R6-11</v>
      </c>
      <c r="FX405" s="6" t="str">
        <f ca="1">IF(AND(FT405=1,FU405=""),DD405&amp;"-12",IF(AND(FT405=1,FU405&lt;&gt;""),DD405&amp;"-22",""))</f>
        <v>R6-12</v>
      </c>
      <c r="FY405" s="6" t="str">
        <f ca="1">IF(AND(FS405="",OFFSET(FS405,0,1)="",DC405="A1BA4D"),"",IF(DC405="A1BD5D",LEFT(FW405,3)&amp;"21",FW405))</f>
        <v>R6-21</v>
      </c>
      <c r="FZ405" s="6" t="str">
        <f ca="1" xml:space="preserve">
IF(AND(FS405="",OFFSET(FS405,0,1)="",DC405="A1BA4D"),"",IF(DC405="A1BD5D",LEFT(FW405,3)&amp;"22",FW405))</f>
        <v>R6-22</v>
      </c>
    </row>
    <row r="406" spans="1:182" ht="15.95" customHeight="1">
      <c r="A406" s="6">
        <v>673</v>
      </c>
      <c r="B406" s="6" t="s">
        <v>694</v>
      </c>
      <c r="E406" s="6" t="s">
        <v>957</v>
      </c>
      <c r="F406" s="6" t="s">
        <v>1676</v>
      </c>
      <c r="G406" s="6" t="s">
        <v>1290</v>
      </c>
      <c r="H406" s="7" t="s">
        <v>1291</v>
      </c>
      <c r="I406" s="7"/>
      <c r="J406" s="6" t="s">
        <v>1199</v>
      </c>
      <c r="K406" s="6" t="s">
        <v>1201</v>
      </c>
      <c r="N406" s="6" t="s">
        <v>1203</v>
      </c>
      <c r="O406" s="6" t="s">
        <v>1205</v>
      </c>
      <c r="R406" s="101" t="s">
        <v>1443</v>
      </c>
      <c r="Y406" s="6" t="s">
        <v>1571</v>
      </c>
      <c r="Z406" s="6">
        <v>19</v>
      </c>
      <c r="AA406" s="6">
        <v>20</v>
      </c>
      <c r="AD406" s="6" t="s">
        <v>1203</v>
      </c>
      <c r="AE406" s="6" t="s">
        <v>1205</v>
      </c>
      <c r="AG406" s="6" t="s">
        <v>1572</v>
      </c>
      <c r="AY406" s="8" t="s">
        <v>176</v>
      </c>
      <c r="AZ406" s="8" t="s">
        <v>195</v>
      </c>
      <c r="BA406" s="13" t="s">
        <v>643</v>
      </c>
      <c r="BB406" s="13" t="s">
        <v>740</v>
      </c>
      <c r="BC406" s="13">
        <v>73</v>
      </c>
      <c r="BD406" s="13">
        <v>74</v>
      </c>
      <c r="DC406" s="6" t="s">
        <v>644</v>
      </c>
      <c r="DD406" s="6" t="s">
        <v>192</v>
      </c>
      <c r="DH406" s="6" t="str">
        <f t="shared" si="201"/>
        <v>A17</v>
      </c>
      <c r="DI406" s="6" t="str">
        <f t="shared" si="202"/>
        <v>B17</v>
      </c>
      <c r="DK406" s="6" t="s">
        <v>173</v>
      </c>
      <c r="DL406" s="6" t="str">
        <f t="shared" si="203"/>
        <v/>
      </c>
      <c r="DO406" s="9" t="s">
        <v>170</v>
      </c>
      <c r="DP406" s="6" t="s">
        <v>171</v>
      </c>
      <c r="DQ406" s="6" t="s">
        <v>645</v>
      </c>
      <c r="DR406" s="6" t="e">
        <f>#REF!&amp;RIGHT(#REF!,3)</f>
        <v>#REF!</v>
      </c>
      <c r="DS406" s="6" t="str">
        <f t="shared" si="204"/>
        <v>AKB331</v>
      </c>
      <c r="DT406" s="10" t="str">
        <f t="shared" si="205"/>
        <v>FCS0111-6-5/1S–MC–118-R6-CN1</v>
      </c>
      <c r="DU406" s="6" t="str">
        <f t="shared" si="206"/>
        <v/>
      </c>
      <c r="DV406" s="19">
        <v>1</v>
      </c>
      <c r="DW406" s="20" t="str">
        <f t="shared" si="207"/>
        <v>11</v>
      </c>
      <c r="DX406" s="20">
        <v>6</v>
      </c>
      <c r="DY406" s="21">
        <v>5</v>
      </c>
      <c r="DZ406" s="22" t="s">
        <v>204</v>
      </c>
      <c r="EA406" s="23">
        <v>17</v>
      </c>
      <c r="EB406" s="7">
        <v>1</v>
      </c>
      <c r="EE406" s="9" t="s">
        <v>693</v>
      </c>
      <c r="EF406" s="6" t="s">
        <v>647</v>
      </c>
      <c r="EG406" s="6" t="s">
        <v>647</v>
      </c>
      <c r="EH406" s="6" t="s">
        <v>957</v>
      </c>
      <c r="EI406" s="6" t="s">
        <v>956</v>
      </c>
      <c r="EJ406" s="12">
        <v>8</v>
      </c>
      <c r="EK406" s="12"/>
      <c r="EM406" s="12"/>
      <c r="EN406" s="12" t="s">
        <v>1126</v>
      </c>
      <c r="ET406" s="6" t="str">
        <f t="shared" si="208"/>
        <v>홀수</v>
      </c>
      <c r="EU406" s="12">
        <v>91</v>
      </c>
      <c r="EV406" s="45" t="str">
        <f t="shared" ca="1" si="213"/>
        <v>B</v>
      </c>
      <c r="EW406" s="6">
        <f t="shared" ca="1" si="209"/>
        <v>66</v>
      </c>
      <c r="FO406" s="6"/>
      <c r="FP406" s="11"/>
      <c r="FR406" s="6">
        <v>1</v>
      </c>
      <c r="FS406" s="6" t="str">
        <f t="shared" si="210"/>
        <v/>
      </c>
      <c r="FT406" s="6">
        <f t="shared" si="211"/>
        <v>1</v>
      </c>
      <c r="FU406" s="6" t="str">
        <f t="shared" ca="1" si="214"/>
        <v/>
      </c>
      <c r="FV406" s="6" t="str">
        <f t="shared" ca="1" si="212"/>
        <v/>
      </c>
      <c r="FW406" s="6" t="str">
        <f ca="1">IF(AND(FT406=1,FU406=""),DD406&amp;"-11",IF(AND(FT406=1,FU406&lt;&gt;""),DD406&amp;"-21",""))</f>
        <v>R6-11</v>
      </c>
      <c r="FX406" s="6" t="str">
        <f ca="1">IF(AND(FT406=1,FU406=""),DD406&amp;"-12",IF(AND(FT406=1,FU406&lt;&gt;""),DD406&amp;"-22",""))</f>
        <v>R6-12</v>
      </c>
      <c r="FY406" s="6" t="str">
        <f ca="1">IF(AND(FS406="",OFFSET(FS406,0,1)="",DC406="A1BA4D"),"",IF(DC406="A1BD5D",LEFT(FW406,3)&amp;"21",FW406))</f>
        <v>R6-21</v>
      </c>
      <c r="FZ406" s="6" t="str">
        <f ca="1" xml:space="preserve">
IF(AND(FS406="",OFFSET(FS406,0,1)="",DC406="A1BA4D"),"",IF(DC406="A1BD5D",LEFT(FW406,3)&amp;"22",FW406))</f>
        <v>R6-22</v>
      </c>
    </row>
    <row r="407" spans="1:182" ht="15.95" customHeight="1">
      <c r="A407" s="6">
        <v>800</v>
      </c>
      <c r="B407" s="6" t="s">
        <v>694</v>
      </c>
      <c r="E407" s="6" t="s">
        <v>1007</v>
      </c>
      <c r="F407" s="6" t="s">
        <v>1677</v>
      </c>
      <c r="G407" s="6" t="s">
        <v>1290</v>
      </c>
      <c r="H407" s="7" t="s">
        <v>1291</v>
      </c>
      <c r="I407" s="7"/>
      <c r="J407" s="6" t="s">
        <v>1199</v>
      </c>
      <c r="K407" s="6" t="s">
        <v>1201</v>
      </c>
      <c r="N407" s="6" t="s">
        <v>1203</v>
      </c>
      <c r="O407" s="6" t="s">
        <v>1205</v>
      </c>
      <c r="R407" s="101" t="s">
        <v>1592</v>
      </c>
      <c r="Y407" s="6" t="s">
        <v>1659</v>
      </c>
      <c r="Z407" s="6">
        <v>7</v>
      </c>
      <c r="AA407" s="6">
        <v>8</v>
      </c>
      <c r="AD407" s="6" t="s">
        <v>1203</v>
      </c>
      <c r="AE407" s="6" t="s">
        <v>1205</v>
      </c>
      <c r="AG407" s="6" t="s">
        <v>1660</v>
      </c>
      <c r="AY407" s="8" t="s">
        <v>176</v>
      </c>
      <c r="AZ407" s="8" t="s">
        <v>195</v>
      </c>
      <c r="BA407" s="13" t="s">
        <v>670</v>
      </c>
      <c r="BB407" s="13" t="s">
        <v>200</v>
      </c>
      <c r="BC407" s="13">
        <v>31</v>
      </c>
      <c r="BD407" s="13">
        <v>32</v>
      </c>
      <c r="DC407" s="6" t="s">
        <v>992</v>
      </c>
      <c r="DD407" s="6" t="s">
        <v>187</v>
      </c>
      <c r="DH407" s="6" t="str">
        <f>"A"&amp;EA407</f>
        <v>A16</v>
      </c>
      <c r="DI407" s="6" t="str">
        <f>"B"&amp;EA407</f>
        <v>B16</v>
      </c>
      <c r="DK407" s="6" t="s">
        <v>173</v>
      </c>
      <c r="DL407" s="6" t="str">
        <f>IF(DZ407&lt;&gt;"","CN2","")</f>
        <v>CN2</v>
      </c>
      <c r="DO407" s="9" t="s">
        <v>170</v>
      </c>
      <c r="DP407" s="6" t="s">
        <v>171</v>
      </c>
      <c r="DQ407" s="6" t="s">
        <v>645</v>
      </c>
      <c r="DR407" s="6" t="e">
        <f>#REF!&amp;RIGHT(#REF!,3)</f>
        <v>#REF!</v>
      </c>
      <c r="DS407" s="6" t="str">
        <f>IF(MID(EF407,2,1)="A","KS1","AKB331")</f>
        <v>AKB331</v>
      </c>
      <c r="DT407" s="10" t="str">
        <f>DQ407&amp;"-"&amp;DX407&amp;"-"&amp;DY407&amp;"/"&amp;BA407&amp;"-"&amp;DD407&amp;"-"&amp;DK407</f>
        <v>FCS0111-7-7/1S–MC–120-R1-CN1</v>
      </c>
      <c r="DU407" s="6" t="str">
        <f>IF(DL407="","",DQ407&amp;"-"&amp;DX407&amp;"-"&amp;DY407&amp;"/"&amp;BA407&amp;"-"&amp;DD407&amp;"-"&amp;DL407)</f>
        <v>FCS0111-7-7/1S–MC–120-R1-CN2</v>
      </c>
      <c r="DV407" s="19">
        <v>1</v>
      </c>
      <c r="DW407" s="20" t="str">
        <f>RIGHT(DQ407,2)</f>
        <v>11</v>
      </c>
      <c r="DX407" s="20">
        <v>7</v>
      </c>
      <c r="DY407" s="21">
        <v>7</v>
      </c>
      <c r="DZ407" s="22">
        <v>8</v>
      </c>
      <c r="EA407" s="23">
        <v>16</v>
      </c>
      <c r="EB407" s="7">
        <v>32</v>
      </c>
      <c r="EE407" s="9" t="s">
        <v>693</v>
      </c>
      <c r="EF407" s="6" t="s">
        <v>672</v>
      </c>
      <c r="EG407" s="6" t="s">
        <v>647</v>
      </c>
      <c r="EH407" s="6" t="s">
        <v>1007</v>
      </c>
      <c r="EI407" s="6" t="s">
        <v>956</v>
      </c>
      <c r="EJ407" s="12">
        <v>8</v>
      </c>
      <c r="EK407" s="12"/>
      <c r="EM407" s="12"/>
      <c r="EN407" s="12" t="s">
        <v>1126</v>
      </c>
      <c r="ET407" s="6" t="str">
        <f t="shared" si="208"/>
        <v>홀수</v>
      </c>
      <c r="EU407" s="12">
        <v>91</v>
      </c>
      <c r="EV407" s="45" t="str">
        <f t="shared" ca="1" si="213"/>
        <v>C</v>
      </c>
      <c r="EW407" s="6">
        <f t="shared" ca="1" si="209"/>
        <v>67</v>
      </c>
      <c r="FO407" s="6"/>
      <c r="FP407" s="11"/>
      <c r="FR407" s="6">
        <v>1</v>
      </c>
      <c r="FS407" s="6">
        <f t="shared" si="210"/>
        <v>1</v>
      </c>
      <c r="FT407" s="6">
        <f t="shared" si="211"/>
        <v>1</v>
      </c>
      <c r="FU407" s="6" t="str">
        <f t="shared" ca="1" si="214"/>
        <v>R1-11</v>
      </c>
      <c r="FV407" s="6" t="str">
        <f t="shared" ca="1" si="212"/>
        <v>R1-12</v>
      </c>
      <c r="FW407" s="6" t="s">
        <v>1095</v>
      </c>
      <c r="FX407" s="6" t="s">
        <v>1096</v>
      </c>
      <c r="FY407" s="6" t="s">
        <v>1095</v>
      </c>
      <c r="FZ407" s="6" t="s">
        <v>1096</v>
      </c>
    </row>
    <row r="408" spans="1:182" ht="15.95" customHeight="1">
      <c r="A408" s="6">
        <v>674</v>
      </c>
      <c r="B408" s="6" t="s">
        <v>694</v>
      </c>
      <c r="E408" s="6" t="s">
        <v>958</v>
      </c>
      <c r="F408" s="6" t="s">
        <v>1678</v>
      </c>
      <c r="G408" s="6" t="s">
        <v>1290</v>
      </c>
      <c r="H408" s="7" t="s">
        <v>1291</v>
      </c>
      <c r="I408" s="7"/>
      <c r="J408" s="6" t="s">
        <v>1199</v>
      </c>
      <c r="K408" s="6" t="s">
        <v>1201</v>
      </c>
      <c r="N408" s="6" t="s">
        <v>1203</v>
      </c>
      <c r="O408" s="6" t="s">
        <v>1205</v>
      </c>
      <c r="R408" s="101" t="s">
        <v>1220</v>
      </c>
      <c r="Y408" s="6" t="s">
        <v>1571</v>
      </c>
      <c r="Z408" s="6">
        <v>21</v>
      </c>
      <c r="AA408" s="6">
        <v>22</v>
      </c>
      <c r="AD408" s="6" t="s">
        <v>1203</v>
      </c>
      <c r="AE408" s="6" t="s">
        <v>1205</v>
      </c>
      <c r="AG408" s="6" t="s">
        <v>1572</v>
      </c>
      <c r="AY408" s="8" t="s">
        <v>176</v>
      </c>
      <c r="AZ408" s="8" t="s">
        <v>195</v>
      </c>
      <c r="BA408" s="13" t="s">
        <v>643</v>
      </c>
      <c r="BB408" s="13" t="s">
        <v>740</v>
      </c>
      <c r="BC408" s="13">
        <v>75</v>
      </c>
      <c r="BD408" s="13">
        <v>76</v>
      </c>
      <c r="DC408" s="6" t="s">
        <v>644</v>
      </c>
      <c r="DD408" s="6" t="s">
        <v>192</v>
      </c>
      <c r="DH408" s="6" t="str">
        <f t="shared" si="201"/>
        <v>A18</v>
      </c>
      <c r="DI408" s="6" t="str">
        <f t="shared" si="202"/>
        <v>B18</v>
      </c>
      <c r="DK408" s="6" t="s">
        <v>173</v>
      </c>
      <c r="DL408" s="6" t="str">
        <f t="shared" si="203"/>
        <v/>
      </c>
      <c r="DO408" s="9" t="s">
        <v>170</v>
      </c>
      <c r="DP408" s="6" t="s">
        <v>171</v>
      </c>
      <c r="DQ408" s="6" t="s">
        <v>645</v>
      </c>
      <c r="DR408" s="6" t="e">
        <f>#REF!&amp;RIGHT(#REF!,3)</f>
        <v>#REF!</v>
      </c>
      <c r="DS408" s="6" t="str">
        <f t="shared" si="204"/>
        <v>AKB331</v>
      </c>
      <c r="DT408" s="10" t="str">
        <f t="shared" si="205"/>
        <v>FCS0111-6-5/1S–MC–118-R6-CN1</v>
      </c>
      <c r="DU408" s="6" t="str">
        <f t="shared" si="206"/>
        <v/>
      </c>
      <c r="DV408" s="19">
        <v>1</v>
      </c>
      <c r="DW408" s="20" t="str">
        <f t="shared" si="207"/>
        <v>11</v>
      </c>
      <c r="DX408" s="20">
        <v>6</v>
      </c>
      <c r="DY408" s="21">
        <v>5</v>
      </c>
      <c r="DZ408" s="22" t="s">
        <v>204</v>
      </c>
      <c r="EA408" s="23">
        <v>18</v>
      </c>
      <c r="EB408" s="7">
        <v>2</v>
      </c>
      <c r="EE408" s="9" t="s">
        <v>693</v>
      </c>
      <c r="EF408" s="6" t="s">
        <v>647</v>
      </c>
      <c r="EG408" s="6" t="s">
        <v>647</v>
      </c>
      <c r="EH408" s="6" t="s">
        <v>958</v>
      </c>
      <c r="EI408" s="6" t="s">
        <v>882</v>
      </c>
      <c r="EJ408" s="12">
        <v>100</v>
      </c>
      <c r="EL408" s="6"/>
      <c r="EM408" s="12"/>
      <c r="EN408" s="6" t="s">
        <v>1123</v>
      </c>
      <c r="EP408" s="6" t="s">
        <v>1148</v>
      </c>
      <c r="ET408" s="6" t="str">
        <f t="shared" si="208"/>
        <v>홀수</v>
      </c>
      <c r="EU408" s="12">
        <v>91</v>
      </c>
      <c r="EV408" s="45" t="str">
        <f t="shared" ca="1" si="213"/>
        <v>D</v>
      </c>
      <c r="EW408" s="6">
        <f t="shared" ca="1" si="209"/>
        <v>68</v>
      </c>
      <c r="FO408" s="6"/>
      <c r="FP408" s="11"/>
      <c r="FR408" s="6">
        <v>1</v>
      </c>
      <c r="FS408" s="6" t="str">
        <f t="shared" si="210"/>
        <v/>
      </c>
      <c r="FT408" s="6">
        <f t="shared" si="211"/>
        <v>1</v>
      </c>
      <c r="FU408" s="6" t="str">
        <f t="shared" ca="1" si="214"/>
        <v/>
      </c>
      <c r="FV408" s="6" t="str">
        <f t="shared" ca="1" si="212"/>
        <v/>
      </c>
      <c r="FW408" s="6" t="str">
        <f ca="1">IF(AND(FT408=1,FU408=""),DD408&amp;"-11",IF(AND(FT408=1,FU408&lt;&gt;""),DD408&amp;"-21",""))</f>
        <v>R6-11</v>
      </c>
      <c r="FX408" s="6" t="str">
        <f ca="1">IF(AND(FT408=1,FU408=""),DD408&amp;"-12",IF(AND(FT408=1,FU408&lt;&gt;""),DD408&amp;"-22",""))</f>
        <v>R6-12</v>
      </c>
      <c r="FY408" s="6" t="str">
        <f ca="1">IF(AND(FS408="",OFFSET(FS408,0,1)="",DC408="A1BA4D"),"",IF(DC408="A1BD5D",LEFT(FW408,3)&amp;"21",FW408))</f>
        <v>R6-21</v>
      </c>
      <c r="FZ408" s="6" t="str">
        <f ca="1" xml:space="preserve">
IF(AND(FS408="",OFFSET(FS408,0,1)="",DC408="A1BA4D"),"",IF(DC408="A1BD5D",LEFT(FW408,3)&amp;"22",FW408))</f>
        <v>R6-22</v>
      </c>
    </row>
    <row r="409" spans="1:182" ht="15.95" customHeight="1">
      <c r="A409" s="6">
        <v>675</v>
      </c>
      <c r="B409" s="6" t="s">
        <v>694</v>
      </c>
      <c r="E409" s="6" t="s">
        <v>959</v>
      </c>
      <c r="F409" s="6" t="s">
        <v>1679</v>
      </c>
      <c r="G409" s="6" t="s">
        <v>1290</v>
      </c>
      <c r="H409" s="7" t="s">
        <v>1291</v>
      </c>
      <c r="I409" s="7"/>
      <c r="J409" s="6" t="s">
        <v>1199</v>
      </c>
      <c r="K409" s="6" t="s">
        <v>1201</v>
      </c>
      <c r="N409" s="6" t="s">
        <v>1203</v>
      </c>
      <c r="O409" s="6" t="s">
        <v>1205</v>
      </c>
      <c r="R409" s="101" t="s">
        <v>1220</v>
      </c>
      <c r="Y409" s="6" t="s">
        <v>1571</v>
      </c>
      <c r="Z409" s="6">
        <v>25</v>
      </c>
      <c r="AA409" s="6">
        <v>26</v>
      </c>
      <c r="AD409" s="6" t="s">
        <v>1203</v>
      </c>
      <c r="AE409" s="6" t="s">
        <v>1205</v>
      </c>
      <c r="AG409" s="6" t="s">
        <v>1572</v>
      </c>
      <c r="AY409" s="8" t="s">
        <v>176</v>
      </c>
      <c r="AZ409" s="8" t="s">
        <v>195</v>
      </c>
      <c r="BA409" s="13" t="s">
        <v>643</v>
      </c>
      <c r="BB409" s="13" t="s">
        <v>740</v>
      </c>
      <c r="BC409" s="13">
        <v>81</v>
      </c>
      <c r="BD409" s="13">
        <v>82</v>
      </c>
      <c r="DC409" s="6" t="s">
        <v>644</v>
      </c>
      <c r="DD409" s="6" t="s">
        <v>192</v>
      </c>
      <c r="DH409" s="6" t="str">
        <f t="shared" si="201"/>
        <v>A19</v>
      </c>
      <c r="DI409" s="6" t="str">
        <f t="shared" si="202"/>
        <v>B19</v>
      </c>
      <c r="DK409" s="6" t="s">
        <v>173</v>
      </c>
      <c r="DL409" s="6" t="str">
        <f t="shared" si="203"/>
        <v/>
      </c>
      <c r="DO409" s="9" t="s">
        <v>170</v>
      </c>
      <c r="DP409" s="6" t="s">
        <v>171</v>
      </c>
      <c r="DQ409" s="6" t="s">
        <v>645</v>
      </c>
      <c r="DR409" s="6" t="e">
        <f>#REF!&amp;RIGHT(#REF!,3)</f>
        <v>#REF!</v>
      </c>
      <c r="DS409" s="6" t="str">
        <f t="shared" si="204"/>
        <v>AKB331</v>
      </c>
      <c r="DT409" s="10" t="str">
        <f t="shared" si="205"/>
        <v>FCS0111-6-5/1S–MC–118-R6-CN1</v>
      </c>
      <c r="DU409" s="6" t="str">
        <f t="shared" si="206"/>
        <v/>
      </c>
      <c r="DV409" s="19">
        <v>1</v>
      </c>
      <c r="DW409" s="20" t="str">
        <f t="shared" si="207"/>
        <v>11</v>
      </c>
      <c r="DX409" s="20">
        <v>6</v>
      </c>
      <c r="DY409" s="21">
        <v>5</v>
      </c>
      <c r="DZ409" s="22" t="s">
        <v>204</v>
      </c>
      <c r="EA409" s="23">
        <v>19</v>
      </c>
      <c r="EB409" s="7">
        <v>3</v>
      </c>
      <c r="EE409" s="9" t="s">
        <v>693</v>
      </c>
      <c r="EF409" s="6" t="s">
        <v>647</v>
      </c>
      <c r="EG409" s="6" t="s">
        <v>647</v>
      </c>
      <c r="EH409" s="6" t="s">
        <v>959</v>
      </c>
      <c r="EI409" s="6" t="s">
        <v>960</v>
      </c>
      <c r="EJ409" s="12">
        <v>8</v>
      </c>
      <c r="EK409" s="12"/>
      <c r="EM409" s="12"/>
      <c r="EN409" s="12" t="s">
        <v>1126</v>
      </c>
      <c r="EP409" s="6" t="s">
        <v>1155</v>
      </c>
      <c r="ER409" s="6" t="str">
        <f>LEFT(EH411,2)&amp;"O"&amp;MID(EH411,4,7)</f>
        <v>UVO40296</v>
      </c>
      <c r="ET409" s="6" t="str">
        <f t="shared" si="208"/>
        <v>짝수</v>
      </c>
      <c r="EU409" s="12">
        <v>92</v>
      </c>
      <c r="EV409" s="45" t="str">
        <f t="shared" ca="1" si="213"/>
        <v>A</v>
      </c>
      <c r="EW409" s="6">
        <f t="shared" ca="1" si="209"/>
        <v>65</v>
      </c>
      <c r="FO409" s="6"/>
      <c r="FP409" s="11"/>
      <c r="FR409" s="6">
        <v>1</v>
      </c>
      <c r="FS409" s="6" t="str">
        <f t="shared" si="210"/>
        <v/>
      </c>
      <c r="FT409" s="6">
        <f t="shared" si="211"/>
        <v>1</v>
      </c>
      <c r="FU409" s="6" t="str">
        <f t="shared" ca="1" si="214"/>
        <v/>
      </c>
      <c r="FV409" s="6" t="str">
        <f t="shared" ca="1" si="212"/>
        <v/>
      </c>
      <c r="FW409" s="6" t="str">
        <f ca="1">IF(AND(FT409=1,FU409=""),DD409&amp;"-11",IF(AND(FT409=1,FU409&lt;&gt;""),DD409&amp;"-21",""))</f>
        <v>R6-11</v>
      </c>
      <c r="FX409" s="6" t="str">
        <f ca="1">IF(AND(FT409=1,FU409=""),DD409&amp;"-12",IF(AND(FT409=1,FU409&lt;&gt;""),DD409&amp;"-22",""))</f>
        <v>R6-12</v>
      </c>
      <c r="FY409" s="6" t="str">
        <f ca="1">IF(AND(FS409="",OFFSET(FS409,0,1)="",DC409="A1BA4D"),"",IF(DC409="A1BD5D",LEFT(FW409,3)&amp;"21",FW409))</f>
        <v>R6-21</v>
      </c>
      <c r="FZ409" s="6" t="str">
        <f ca="1" xml:space="preserve">
IF(AND(FS409="",OFFSET(FS409,0,1)="",DC409="A1BA4D"),"",IF(DC409="A1BD5D",LEFT(FW409,3)&amp;"22",FW409))</f>
        <v>R6-22</v>
      </c>
    </row>
    <row r="410" spans="1:182" ht="15.95" customHeight="1">
      <c r="A410" s="6">
        <v>676</v>
      </c>
      <c r="B410" s="6" t="s">
        <v>694</v>
      </c>
      <c r="E410" s="6" t="s">
        <v>961</v>
      </c>
      <c r="F410" s="6" t="s">
        <v>1680</v>
      </c>
      <c r="G410" s="6" t="s">
        <v>1290</v>
      </c>
      <c r="H410" s="7" t="s">
        <v>1291</v>
      </c>
      <c r="I410" s="7"/>
      <c r="J410" s="6" t="s">
        <v>1199</v>
      </c>
      <c r="K410" s="6" t="s">
        <v>1201</v>
      </c>
      <c r="N410" s="6" t="s">
        <v>1203</v>
      </c>
      <c r="O410" s="6" t="s">
        <v>1205</v>
      </c>
      <c r="R410" s="101" t="s">
        <v>1220</v>
      </c>
      <c r="Y410" s="6" t="s">
        <v>1571</v>
      </c>
      <c r="Z410" s="6">
        <v>23</v>
      </c>
      <c r="AA410" s="6">
        <v>24</v>
      </c>
      <c r="AD410" s="6" t="s">
        <v>1203</v>
      </c>
      <c r="AE410" s="6" t="s">
        <v>1205</v>
      </c>
      <c r="AG410" s="6" t="s">
        <v>1572</v>
      </c>
      <c r="AY410" s="8" t="s">
        <v>176</v>
      </c>
      <c r="AZ410" s="8" t="s">
        <v>195</v>
      </c>
      <c r="BA410" s="13" t="s">
        <v>643</v>
      </c>
      <c r="BB410" s="13" t="s">
        <v>740</v>
      </c>
      <c r="BC410" s="13">
        <v>79</v>
      </c>
      <c r="BD410" s="13">
        <v>80</v>
      </c>
      <c r="DC410" s="6" t="s">
        <v>644</v>
      </c>
      <c r="DD410" s="6" t="s">
        <v>192</v>
      </c>
      <c r="DH410" s="6" t="str">
        <f t="shared" si="201"/>
        <v>A20</v>
      </c>
      <c r="DI410" s="6" t="str">
        <f t="shared" si="202"/>
        <v>B20</v>
      </c>
      <c r="DK410" s="6" t="s">
        <v>173</v>
      </c>
      <c r="DL410" s="6" t="str">
        <f t="shared" si="203"/>
        <v/>
      </c>
      <c r="DO410" s="9" t="s">
        <v>170</v>
      </c>
      <c r="DP410" s="6" t="s">
        <v>171</v>
      </c>
      <c r="DQ410" s="6" t="s">
        <v>645</v>
      </c>
      <c r="DR410" s="6" t="e">
        <f>#REF!&amp;RIGHT(#REF!,3)</f>
        <v>#REF!</v>
      </c>
      <c r="DS410" s="6" t="str">
        <f t="shared" si="204"/>
        <v>AKB331</v>
      </c>
      <c r="DT410" s="10" t="str">
        <f t="shared" si="205"/>
        <v>FCS0111-6-5/1S–MC–118-R6-CN1</v>
      </c>
      <c r="DU410" s="6" t="str">
        <f t="shared" si="206"/>
        <v/>
      </c>
      <c r="DV410" s="19">
        <v>1</v>
      </c>
      <c r="DW410" s="20" t="str">
        <f t="shared" si="207"/>
        <v>11</v>
      </c>
      <c r="DX410" s="20">
        <v>6</v>
      </c>
      <c r="DY410" s="21">
        <v>5</v>
      </c>
      <c r="DZ410" s="22" t="s">
        <v>204</v>
      </c>
      <c r="EA410" s="23">
        <v>20</v>
      </c>
      <c r="EB410" s="7">
        <v>4</v>
      </c>
      <c r="EE410" s="9" t="s">
        <v>693</v>
      </c>
      <c r="EF410" s="6" t="s">
        <v>647</v>
      </c>
      <c r="EG410" s="6" t="s">
        <v>647</v>
      </c>
      <c r="EH410" s="6" t="s">
        <v>961</v>
      </c>
      <c r="EI410" s="6" t="s">
        <v>962</v>
      </c>
      <c r="EJ410" s="12">
        <v>8</v>
      </c>
      <c r="EK410" s="12"/>
      <c r="EM410" s="12"/>
      <c r="EN410" s="12" t="s">
        <v>1126</v>
      </c>
      <c r="ET410" s="6" t="str">
        <f t="shared" si="208"/>
        <v>짝수</v>
      </c>
      <c r="EU410" s="12">
        <v>92</v>
      </c>
      <c r="EV410" s="45" t="str">
        <f t="shared" ca="1" si="213"/>
        <v>B</v>
      </c>
      <c r="EW410" s="6">
        <f t="shared" ca="1" si="209"/>
        <v>66</v>
      </c>
      <c r="FO410" s="6"/>
      <c r="FP410" s="11"/>
      <c r="FR410" s="6">
        <v>1</v>
      </c>
      <c r="FS410" s="6" t="str">
        <f t="shared" si="210"/>
        <v/>
      </c>
      <c r="FT410" s="6">
        <f t="shared" si="211"/>
        <v>1</v>
      </c>
      <c r="FU410" s="6" t="str">
        <f t="shared" ca="1" si="214"/>
        <v/>
      </c>
      <c r="FV410" s="6" t="str">
        <f t="shared" ca="1" si="212"/>
        <v/>
      </c>
      <c r="FW410" s="6" t="str">
        <f ca="1">IF(AND(FT410=1,FU410=""),DD410&amp;"-11",IF(AND(FT410=1,FU410&lt;&gt;""),DD410&amp;"-21",""))</f>
        <v>R6-11</v>
      </c>
      <c r="FX410" s="6" t="str">
        <f ca="1">IF(AND(FT410=1,FU410=""),DD410&amp;"-12",IF(AND(FT410=1,FU410&lt;&gt;""),DD410&amp;"-22",""))</f>
        <v>R6-12</v>
      </c>
      <c r="FY410" s="6" t="str">
        <f ca="1">IF(AND(FS410="",OFFSET(FS410,0,1)="",DC410="A1BA4D"),"",IF(DC410="A1BD5D",LEFT(FW410,3)&amp;"21",FW410))</f>
        <v>R6-21</v>
      </c>
      <c r="FZ410" s="6" t="str">
        <f ca="1" xml:space="preserve">
IF(AND(FS410="",OFFSET(FS410,0,1)="",DC410="A1BA4D"),"",IF(DC410="A1BD5D",LEFT(FW410,3)&amp;"22",FW410))</f>
        <v>R6-22</v>
      </c>
    </row>
    <row r="411" spans="1:182" ht="15.95" customHeight="1">
      <c r="A411" s="6">
        <v>801</v>
      </c>
      <c r="B411" s="6" t="s">
        <v>694</v>
      </c>
      <c r="E411" s="6" t="s">
        <v>1008</v>
      </c>
      <c r="F411" s="6" t="s">
        <v>1213</v>
      </c>
      <c r="G411" s="6" t="s">
        <v>1290</v>
      </c>
      <c r="H411" s="7" t="s">
        <v>1291</v>
      </c>
      <c r="I411" s="7"/>
      <c r="J411" s="6" t="s">
        <v>1199</v>
      </c>
      <c r="K411" s="6" t="s">
        <v>1201</v>
      </c>
      <c r="N411" s="6" t="s">
        <v>1203</v>
      </c>
      <c r="O411" s="6" t="s">
        <v>1205</v>
      </c>
      <c r="R411" s="101" t="s">
        <v>1592</v>
      </c>
      <c r="Y411" s="6" t="s">
        <v>1659</v>
      </c>
      <c r="Z411" s="6">
        <v>9</v>
      </c>
      <c r="AA411" s="6">
        <v>10</v>
      </c>
      <c r="AD411" s="6" t="s">
        <v>1203</v>
      </c>
      <c r="AE411" s="6" t="s">
        <v>1205</v>
      </c>
      <c r="AG411" s="6" t="s">
        <v>1660</v>
      </c>
      <c r="AY411" s="8" t="s">
        <v>176</v>
      </c>
      <c r="AZ411" s="8" t="s">
        <v>195</v>
      </c>
      <c r="BA411" s="13" t="s">
        <v>670</v>
      </c>
      <c r="BB411" s="13" t="s">
        <v>200</v>
      </c>
      <c r="BC411" s="13">
        <v>33</v>
      </c>
      <c r="BD411" s="13">
        <v>34</v>
      </c>
      <c r="DC411" s="6" t="s">
        <v>992</v>
      </c>
      <c r="DD411" s="6" t="s">
        <v>187</v>
      </c>
      <c r="DH411" s="6" t="str">
        <f>"A"&amp;EA411</f>
        <v>A17</v>
      </c>
      <c r="DI411" s="6" t="str">
        <f>"B"&amp;EA411</f>
        <v>B17</v>
      </c>
      <c r="DK411" s="6" t="s">
        <v>173</v>
      </c>
      <c r="DL411" s="6" t="str">
        <f>IF(DZ411&lt;&gt;"","CN2","")</f>
        <v>CN2</v>
      </c>
      <c r="DO411" s="9" t="s">
        <v>170</v>
      </c>
      <c r="DP411" s="6" t="s">
        <v>171</v>
      </c>
      <c r="DQ411" s="6" t="s">
        <v>645</v>
      </c>
      <c r="DR411" s="6" t="e">
        <f>#REF!&amp;RIGHT(#REF!,3)</f>
        <v>#REF!</v>
      </c>
      <c r="DS411" s="6" t="str">
        <f>IF(MID(EF411,2,1)="A","KS1","AKB331")</f>
        <v>AKB331</v>
      </c>
      <c r="DT411" s="10" t="str">
        <f>DQ411&amp;"-"&amp;DX411&amp;"-"&amp;DY411&amp;"/"&amp;BA411&amp;"-"&amp;DD411&amp;"-"&amp;DK411</f>
        <v>FCS0111-7-7/1S–MC–120-R1-CN1</v>
      </c>
      <c r="DU411" s="6" t="str">
        <f>IF(DL411="","",DQ411&amp;"-"&amp;DX411&amp;"-"&amp;DY411&amp;"/"&amp;BA411&amp;"-"&amp;DD411&amp;"-"&amp;DL411)</f>
        <v>FCS0111-7-7/1S–MC–120-R1-CN2</v>
      </c>
      <c r="DV411" s="19">
        <v>1</v>
      </c>
      <c r="DW411" s="20" t="str">
        <f>RIGHT(DQ411,2)</f>
        <v>11</v>
      </c>
      <c r="DX411" s="20">
        <v>7</v>
      </c>
      <c r="DY411" s="21">
        <v>7</v>
      </c>
      <c r="DZ411" s="22">
        <v>8</v>
      </c>
      <c r="EA411" s="23">
        <v>17</v>
      </c>
      <c r="EB411" s="7">
        <v>1</v>
      </c>
      <c r="EE411" s="9" t="s">
        <v>778</v>
      </c>
      <c r="EF411" s="6" t="s">
        <v>672</v>
      </c>
      <c r="EG411" s="6" t="s">
        <v>647</v>
      </c>
      <c r="EH411" s="6" t="s">
        <v>1008</v>
      </c>
      <c r="EI411" s="6" t="s">
        <v>962</v>
      </c>
      <c r="EJ411" s="12">
        <v>8</v>
      </c>
      <c r="EK411" s="12"/>
      <c r="EM411" s="12"/>
      <c r="EN411" s="12" t="s">
        <v>1126</v>
      </c>
      <c r="ET411" s="6" t="str">
        <f t="shared" si="208"/>
        <v>짝수</v>
      </c>
      <c r="EU411" s="12">
        <v>92</v>
      </c>
      <c r="EV411" s="45" t="str">
        <f t="shared" ca="1" si="213"/>
        <v>C</v>
      </c>
      <c r="EW411" s="6">
        <f t="shared" ca="1" si="209"/>
        <v>67</v>
      </c>
      <c r="FO411" s="6"/>
      <c r="FP411" s="11"/>
      <c r="FR411" s="6">
        <v>1</v>
      </c>
      <c r="FS411" s="6">
        <f t="shared" si="210"/>
        <v>1</v>
      </c>
      <c r="FT411" s="6">
        <f t="shared" si="211"/>
        <v>1</v>
      </c>
      <c r="FU411" s="6" t="str">
        <f t="shared" ca="1" si="214"/>
        <v>R1-11</v>
      </c>
      <c r="FV411" s="6" t="str">
        <f t="shared" ca="1" si="212"/>
        <v>R1-12</v>
      </c>
      <c r="FW411" s="6" t="s">
        <v>1095</v>
      </c>
      <c r="FX411" s="6" t="s">
        <v>1096</v>
      </c>
      <c r="FY411" s="6" t="s">
        <v>1095</v>
      </c>
      <c r="FZ411" s="6" t="s">
        <v>1096</v>
      </c>
    </row>
    <row r="412" spans="1:182" ht="15.95" customHeight="1">
      <c r="A412" s="6">
        <v>677</v>
      </c>
      <c r="B412" s="6" t="s">
        <v>694</v>
      </c>
      <c r="E412" s="6" t="s">
        <v>963</v>
      </c>
      <c r="F412" s="6" t="s">
        <v>1681</v>
      </c>
      <c r="G412" s="6" t="s">
        <v>1290</v>
      </c>
      <c r="H412" s="7" t="s">
        <v>1291</v>
      </c>
      <c r="I412" s="7"/>
      <c r="J412" s="6" t="s">
        <v>1199</v>
      </c>
      <c r="K412" s="6" t="s">
        <v>1201</v>
      </c>
      <c r="N412" s="6" t="s">
        <v>1203</v>
      </c>
      <c r="O412" s="6" t="s">
        <v>1205</v>
      </c>
      <c r="R412" s="101" t="s">
        <v>1443</v>
      </c>
      <c r="Y412" s="6" t="s">
        <v>1571</v>
      </c>
      <c r="Z412" s="6">
        <v>29</v>
      </c>
      <c r="AA412" s="6">
        <v>30</v>
      </c>
      <c r="AD412" s="6" t="s">
        <v>1203</v>
      </c>
      <c r="AE412" s="6" t="s">
        <v>1205</v>
      </c>
      <c r="AG412" s="6" t="s">
        <v>1572</v>
      </c>
      <c r="AY412" s="8" t="s">
        <v>176</v>
      </c>
      <c r="AZ412" s="8" t="s">
        <v>195</v>
      </c>
      <c r="BA412" s="13" t="s">
        <v>643</v>
      </c>
      <c r="BB412" s="13" t="s">
        <v>740</v>
      </c>
      <c r="BC412" s="13">
        <v>85</v>
      </c>
      <c r="BD412" s="13">
        <v>86</v>
      </c>
      <c r="DC412" s="6" t="s">
        <v>644</v>
      </c>
      <c r="DD412" s="6" t="s">
        <v>192</v>
      </c>
      <c r="DH412" s="6" t="str">
        <f t="shared" si="201"/>
        <v>A21</v>
      </c>
      <c r="DI412" s="6" t="str">
        <f t="shared" si="202"/>
        <v>B21</v>
      </c>
      <c r="DK412" s="6" t="s">
        <v>173</v>
      </c>
      <c r="DL412" s="6" t="str">
        <f t="shared" si="203"/>
        <v/>
      </c>
      <c r="DO412" s="9" t="s">
        <v>170</v>
      </c>
      <c r="DP412" s="6" t="s">
        <v>171</v>
      </c>
      <c r="DQ412" s="6" t="s">
        <v>645</v>
      </c>
      <c r="DR412" s="6" t="e">
        <f>#REF!&amp;RIGHT(#REF!,3)</f>
        <v>#REF!</v>
      </c>
      <c r="DS412" s="6" t="str">
        <f t="shared" si="204"/>
        <v>AKB331</v>
      </c>
      <c r="DT412" s="10" t="str">
        <f t="shared" si="205"/>
        <v>FCS0111-6-5/1S–MC–118-R6-CN1</v>
      </c>
      <c r="DU412" s="6" t="str">
        <f t="shared" si="206"/>
        <v/>
      </c>
      <c r="DV412" s="19">
        <v>1</v>
      </c>
      <c r="DW412" s="20" t="str">
        <f t="shared" si="207"/>
        <v>11</v>
      </c>
      <c r="DX412" s="20">
        <v>6</v>
      </c>
      <c r="DY412" s="21">
        <v>5</v>
      </c>
      <c r="DZ412" s="22" t="s">
        <v>204</v>
      </c>
      <c r="EA412" s="23">
        <v>21</v>
      </c>
      <c r="EB412" s="7">
        <v>5</v>
      </c>
      <c r="EE412" s="9" t="s">
        <v>693</v>
      </c>
      <c r="EF412" s="6" t="s">
        <v>647</v>
      </c>
      <c r="EG412" s="6" t="s">
        <v>647</v>
      </c>
      <c r="EH412" s="6" t="s">
        <v>963</v>
      </c>
      <c r="EI412" s="6" t="s">
        <v>964</v>
      </c>
      <c r="EJ412" s="12">
        <v>8</v>
      </c>
      <c r="EK412" s="12"/>
      <c r="EM412" s="12"/>
      <c r="EN412" s="12" t="s">
        <v>1126</v>
      </c>
      <c r="EP412" s="6" t="s">
        <v>1155</v>
      </c>
      <c r="ER412" s="6" t="str">
        <f>LEFT(EH414,2)&amp;"O"&amp;MID(EH414,4,7)</f>
        <v>UVO40297</v>
      </c>
      <c r="ET412" s="6" t="str">
        <f t="shared" si="208"/>
        <v>홀수</v>
      </c>
      <c r="EU412" s="12">
        <v>93</v>
      </c>
      <c r="EV412" s="45" t="str">
        <f t="shared" ca="1" si="213"/>
        <v>A</v>
      </c>
      <c r="EW412" s="6">
        <f t="shared" ca="1" si="209"/>
        <v>65</v>
      </c>
      <c r="FO412" s="6"/>
      <c r="FP412" s="11"/>
      <c r="FR412" s="6">
        <v>1</v>
      </c>
      <c r="FS412" s="6" t="str">
        <f t="shared" si="210"/>
        <v/>
      </c>
      <c r="FT412" s="6">
        <f t="shared" si="211"/>
        <v>1</v>
      </c>
      <c r="FU412" s="6" t="str">
        <f t="shared" ca="1" si="214"/>
        <v/>
      </c>
      <c r="FV412" s="6" t="str">
        <f t="shared" ca="1" si="212"/>
        <v/>
      </c>
      <c r="FW412" s="6" t="str">
        <f ca="1">IF(AND(FT412=1,FU412=""),DD412&amp;"-11",IF(AND(FT412=1,FU412&lt;&gt;""),DD412&amp;"-21",""))</f>
        <v>R6-11</v>
      </c>
      <c r="FX412" s="6" t="str">
        <f ca="1">IF(AND(FT412=1,FU412=""),DD412&amp;"-12",IF(AND(FT412=1,FU412&lt;&gt;""),DD412&amp;"-22",""))</f>
        <v>R6-12</v>
      </c>
      <c r="FY412" s="6" t="str">
        <f ca="1">IF(AND(FS412="",OFFSET(FS412,0,1)="",DC412="A1BA4D"),"",IF(DC412="A1BD5D",LEFT(FW412,3)&amp;"21",FW412))</f>
        <v>R6-21</v>
      </c>
      <c r="FZ412" s="6" t="str">
        <f ca="1" xml:space="preserve">
IF(AND(FS412="",OFFSET(FS412,0,1)="",DC412="A1BA4D"),"",IF(DC412="A1BD5D",LEFT(FW412,3)&amp;"22",FW412))</f>
        <v>R6-22</v>
      </c>
    </row>
    <row r="413" spans="1:182" ht="15.95" customHeight="1">
      <c r="A413" s="6">
        <v>678</v>
      </c>
      <c r="B413" s="6" t="s">
        <v>694</v>
      </c>
      <c r="E413" s="6" t="s">
        <v>965</v>
      </c>
      <c r="F413" s="6" t="s">
        <v>1682</v>
      </c>
      <c r="G413" s="6" t="s">
        <v>1290</v>
      </c>
      <c r="H413" s="7" t="s">
        <v>1291</v>
      </c>
      <c r="I413" s="7"/>
      <c r="J413" s="6" t="s">
        <v>1199</v>
      </c>
      <c r="K413" s="6" t="s">
        <v>1201</v>
      </c>
      <c r="N413" s="6" t="s">
        <v>1203</v>
      </c>
      <c r="O413" s="6" t="s">
        <v>1205</v>
      </c>
      <c r="R413" s="101" t="s">
        <v>1443</v>
      </c>
      <c r="Y413" s="6" t="s">
        <v>1571</v>
      </c>
      <c r="Z413" s="6">
        <v>27</v>
      </c>
      <c r="AA413" s="6">
        <v>28</v>
      </c>
      <c r="AD413" s="6" t="s">
        <v>1203</v>
      </c>
      <c r="AE413" s="6" t="s">
        <v>1205</v>
      </c>
      <c r="AG413" s="6" t="s">
        <v>1572</v>
      </c>
      <c r="AY413" s="8" t="s">
        <v>176</v>
      </c>
      <c r="AZ413" s="8" t="s">
        <v>195</v>
      </c>
      <c r="BA413" s="13" t="s">
        <v>643</v>
      </c>
      <c r="BB413" s="13" t="s">
        <v>740</v>
      </c>
      <c r="BC413" s="13">
        <v>83</v>
      </c>
      <c r="BD413" s="13">
        <v>84</v>
      </c>
      <c r="DC413" s="6" t="s">
        <v>644</v>
      </c>
      <c r="DD413" s="6" t="s">
        <v>192</v>
      </c>
      <c r="DH413" s="6" t="str">
        <f t="shared" si="201"/>
        <v>A22</v>
      </c>
      <c r="DI413" s="6" t="str">
        <f t="shared" si="202"/>
        <v>B22</v>
      </c>
      <c r="DK413" s="6" t="s">
        <v>173</v>
      </c>
      <c r="DL413" s="6" t="str">
        <f t="shared" si="203"/>
        <v/>
      </c>
      <c r="DO413" s="9" t="s">
        <v>170</v>
      </c>
      <c r="DP413" s="6" t="s">
        <v>171</v>
      </c>
      <c r="DQ413" s="6" t="s">
        <v>645</v>
      </c>
      <c r="DR413" s="6" t="e">
        <f>#REF!&amp;RIGHT(#REF!,3)</f>
        <v>#REF!</v>
      </c>
      <c r="DS413" s="6" t="str">
        <f t="shared" si="204"/>
        <v>AKB331</v>
      </c>
      <c r="DT413" s="10" t="str">
        <f t="shared" si="205"/>
        <v>FCS0111-6-5/1S–MC–118-R6-CN1</v>
      </c>
      <c r="DU413" s="6" t="str">
        <f t="shared" si="206"/>
        <v/>
      </c>
      <c r="DV413" s="19">
        <v>1</v>
      </c>
      <c r="DW413" s="20" t="str">
        <f t="shared" si="207"/>
        <v>11</v>
      </c>
      <c r="DX413" s="20">
        <v>6</v>
      </c>
      <c r="DY413" s="21">
        <v>5</v>
      </c>
      <c r="DZ413" s="22" t="s">
        <v>204</v>
      </c>
      <c r="EA413" s="23">
        <v>22</v>
      </c>
      <c r="EB413" s="7">
        <v>6</v>
      </c>
      <c r="EE413" s="9" t="s">
        <v>693</v>
      </c>
      <c r="EF413" s="6" t="s">
        <v>647</v>
      </c>
      <c r="EG413" s="6" t="s">
        <v>647</v>
      </c>
      <c r="EH413" s="6" t="s">
        <v>965</v>
      </c>
      <c r="EI413" s="6" t="s">
        <v>964</v>
      </c>
      <c r="EJ413" s="12">
        <v>8</v>
      </c>
      <c r="EK413" s="12"/>
      <c r="EM413" s="12"/>
      <c r="EN413" s="12" t="s">
        <v>1126</v>
      </c>
      <c r="ET413" s="6" t="str">
        <f t="shared" si="208"/>
        <v>홀수</v>
      </c>
      <c r="EU413" s="12">
        <v>93</v>
      </c>
      <c r="EV413" s="45" t="str">
        <f t="shared" ca="1" si="213"/>
        <v>B</v>
      </c>
      <c r="EW413" s="6">
        <f t="shared" ca="1" si="209"/>
        <v>66</v>
      </c>
      <c r="FO413" s="6"/>
      <c r="FP413" s="11"/>
      <c r="FR413" s="6">
        <v>1</v>
      </c>
      <c r="FS413" s="6" t="str">
        <f t="shared" si="210"/>
        <v/>
      </c>
      <c r="FT413" s="6">
        <f t="shared" si="211"/>
        <v>1</v>
      </c>
      <c r="FU413" s="6" t="str">
        <f t="shared" ca="1" si="214"/>
        <v/>
      </c>
      <c r="FV413" s="6" t="str">
        <f t="shared" ca="1" si="212"/>
        <v/>
      </c>
      <c r="FW413" s="6" t="str">
        <f ca="1">IF(AND(FT413=1,FU413=""),DD413&amp;"-11",IF(AND(FT413=1,FU413&lt;&gt;""),DD413&amp;"-21",""))</f>
        <v>R6-11</v>
      </c>
      <c r="FX413" s="6" t="str">
        <f ca="1">IF(AND(FT413=1,FU413=""),DD413&amp;"-12",IF(AND(FT413=1,FU413&lt;&gt;""),DD413&amp;"-22",""))</f>
        <v>R6-12</v>
      </c>
      <c r="FY413" s="6" t="str">
        <f ca="1">IF(AND(FS413="",OFFSET(FS413,0,1)="",DC413="A1BA4D"),"",IF(DC413="A1BD5D",LEFT(FW413,3)&amp;"21",FW413))</f>
        <v>R6-21</v>
      </c>
      <c r="FZ413" s="6" t="str">
        <f ca="1" xml:space="preserve">
IF(AND(FS413="",OFFSET(FS413,0,1)="",DC413="A1BA4D"),"",IF(DC413="A1BD5D",LEFT(FW413,3)&amp;"22",FW413))</f>
        <v>R6-22</v>
      </c>
    </row>
    <row r="414" spans="1:182" ht="15.95" customHeight="1">
      <c r="A414" s="6">
        <v>802</v>
      </c>
      <c r="B414" s="6" t="s">
        <v>780</v>
      </c>
      <c r="E414" s="6" t="s">
        <v>1009</v>
      </c>
      <c r="F414" s="6" t="s">
        <v>1214</v>
      </c>
      <c r="G414" s="6" t="s">
        <v>1290</v>
      </c>
      <c r="H414" s="7" t="s">
        <v>1291</v>
      </c>
      <c r="I414" s="7"/>
      <c r="J414" s="6" t="s">
        <v>1199</v>
      </c>
      <c r="K414" s="6" t="s">
        <v>1201</v>
      </c>
      <c r="N414" s="6" t="s">
        <v>1203</v>
      </c>
      <c r="O414" s="6" t="s">
        <v>1205</v>
      </c>
      <c r="R414" s="101" t="s">
        <v>1592</v>
      </c>
      <c r="Y414" s="6" t="s">
        <v>1659</v>
      </c>
      <c r="Z414" s="6">
        <v>11</v>
      </c>
      <c r="AA414" s="6">
        <v>12</v>
      </c>
      <c r="AD414" s="6" t="s">
        <v>1203</v>
      </c>
      <c r="AE414" s="6" t="s">
        <v>1205</v>
      </c>
      <c r="AG414" s="6" t="s">
        <v>1660</v>
      </c>
      <c r="AY414" s="8" t="s">
        <v>176</v>
      </c>
      <c r="AZ414" s="8" t="s">
        <v>195</v>
      </c>
      <c r="BA414" s="13" t="s">
        <v>670</v>
      </c>
      <c r="BB414" s="13" t="s">
        <v>200</v>
      </c>
      <c r="BC414" s="13">
        <v>35</v>
      </c>
      <c r="BD414" s="13">
        <v>36</v>
      </c>
      <c r="DC414" s="6" t="s">
        <v>992</v>
      </c>
      <c r="DD414" s="6" t="s">
        <v>187</v>
      </c>
      <c r="DH414" s="6" t="str">
        <f>"A"&amp;EA414</f>
        <v>A18</v>
      </c>
      <c r="DI414" s="6" t="str">
        <f>"B"&amp;EA414</f>
        <v>B18</v>
      </c>
      <c r="DK414" s="6" t="s">
        <v>173</v>
      </c>
      <c r="DL414" s="6" t="str">
        <f>IF(DZ414&lt;&gt;"","CN2","")</f>
        <v>CN2</v>
      </c>
      <c r="DO414" s="9" t="s">
        <v>170</v>
      </c>
      <c r="DP414" s="6" t="s">
        <v>171</v>
      </c>
      <c r="DQ414" s="6" t="s">
        <v>645</v>
      </c>
      <c r="DR414" s="6" t="e">
        <f>#REF!&amp;RIGHT(#REF!,3)</f>
        <v>#REF!</v>
      </c>
      <c r="DS414" s="6" t="str">
        <f>IF(MID(EF414,2,1)="A","KS1","AKB331")</f>
        <v>AKB331</v>
      </c>
      <c r="DT414" s="10" t="str">
        <f>DQ414&amp;"-"&amp;DX414&amp;"-"&amp;DY414&amp;"/"&amp;BA414&amp;"-"&amp;DD414&amp;"-"&amp;DK414</f>
        <v>FCS0111-7-7/1S–MC–120-R1-CN1</v>
      </c>
      <c r="DU414" s="6" t="str">
        <f>IF(DL414="","",DQ414&amp;"-"&amp;DX414&amp;"-"&amp;DY414&amp;"/"&amp;BA414&amp;"-"&amp;DD414&amp;"-"&amp;DL414)</f>
        <v>FCS0111-7-7/1S–MC–120-R1-CN2</v>
      </c>
      <c r="DV414" s="19">
        <v>1</v>
      </c>
      <c r="DW414" s="20" t="str">
        <f>RIGHT(DQ414,2)</f>
        <v>11</v>
      </c>
      <c r="DX414" s="20">
        <v>7</v>
      </c>
      <c r="DY414" s="21">
        <v>7</v>
      </c>
      <c r="DZ414" s="22">
        <v>8</v>
      </c>
      <c r="EA414" s="23">
        <v>18</v>
      </c>
      <c r="EB414" s="7">
        <v>2</v>
      </c>
      <c r="EE414" s="9" t="s">
        <v>778</v>
      </c>
      <c r="EF414" s="6" t="s">
        <v>672</v>
      </c>
      <c r="EG414" s="6" t="s">
        <v>647</v>
      </c>
      <c r="EH414" s="6" t="s">
        <v>1009</v>
      </c>
      <c r="EI414" s="6" t="s">
        <v>964</v>
      </c>
      <c r="EJ414" s="12">
        <v>8</v>
      </c>
      <c r="EK414" s="12"/>
      <c r="EM414" s="12"/>
      <c r="EN414" s="12" t="s">
        <v>1126</v>
      </c>
      <c r="ET414" s="6" t="str">
        <f t="shared" si="208"/>
        <v>홀수</v>
      </c>
      <c r="EU414" s="12">
        <v>93</v>
      </c>
      <c r="EV414" s="45" t="str">
        <f t="shared" ca="1" si="213"/>
        <v>C</v>
      </c>
      <c r="EW414" s="6">
        <f t="shared" ca="1" si="209"/>
        <v>67</v>
      </c>
      <c r="FO414" s="6"/>
      <c r="FP414" s="11"/>
      <c r="FR414" s="6">
        <v>1</v>
      </c>
      <c r="FS414" s="6">
        <f t="shared" si="210"/>
        <v>1</v>
      </c>
      <c r="FT414" s="6">
        <f t="shared" si="211"/>
        <v>1</v>
      </c>
      <c r="FU414" s="6" t="str">
        <f t="shared" ca="1" si="214"/>
        <v>R1-11</v>
      </c>
      <c r="FV414" s="6" t="str">
        <f t="shared" ca="1" si="212"/>
        <v>R1-12</v>
      </c>
      <c r="FW414" s="6" t="s">
        <v>1095</v>
      </c>
      <c r="FX414" s="6" t="s">
        <v>1096</v>
      </c>
      <c r="FY414" s="6" t="s">
        <v>1095</v>
      </c>
      <c r="FZ414" s="6" t="s">
        <v>1096</v>
      </c>
    </row>
    <row r="415" spans="1:182" ht="15.95" customHeight="1">
      <c r="A415" s="6">
        <v>679</v>
      </c>
      <c r="B415" s="6" t="s">
        <v>694</v>
      </c>
      <c r="E415" s="6" t="s">
        <v>966</v>
      </c>
      <c r="F415" s="6" t="s">
        <v>1683</v>
      </c>
      <c r="G415" s="6" t="s">
        <v>1290</v>
      </c>
      <c r="H415" s="7" t="s">
        <v>1291</v>
      </c>
      <c r="I415" s="7"/>
      <c r="J415" s="6" t="s">
        <v>1199</v>
      </c>
      <c r="K415" s="6" t="s">
        <v>1201</v>
      </c>
      <c r="N415" s="6" t="s">
        <v>1203</v>
      </c>
      <c r="O415" s="6" t="s">
        <v>1205</v>
      </c>
      <c r="R415" s="101" t="s">
        <v>1220</v>
      </c>
      <c r="Y415" s="6" t="s">
        <v>1579</v>
      </c>
      <c r="Z415" s="6">
        <v>13</v>
      </c>
      <c r="AA415" s="6">
        <v>14</v>
      </c>
      <c r="AD415" s="6" t="s">
        <v>1203</v>
      </c>
      <c r="AE415" s="6" t="s">
        <v>1205</v>
      </c>
      <c r="AG415" s="6" t="s">
        <v>1580</v>
      </c>
      <c r="AY415" s="8" t="s">
        <v>176</v>
      </c>
      <c r="AZ415" s="8" t="s">
        <v>195</v>
      </c>
      <c r="BA415" s="13" t="s">
        <v>643</v>
      </c>
      <c r="BB415" s="13" t="s">
        <v>740</v>
      </c>
      <c r="BC415" s="13">
        <v>13</v>
      </c>
      <c r="BD415" s="13">
        <v>14</v>
      </c>
      <c r="DC415" s="6" t="s">
        <v>644</v>
      </c>
      <c r="DD415" s="6" t="s">
        <v>192</v>
      </c>
      <c r="DH415" s="6" t="str">
        <f t="shared" si="201"/>
        <v>A23</v>
      </c>
      <c r="DI415" s="6" t="str">
        <f t="shared" si="202"/>
        <v>B23</v>
      </c>
      <c r="DK415" s="6" t="s">
        <v>173</v>
      </c>
      <c r="DL415" s="6" t="str">
        <f t="shared" si="203"/>
        <v/>
      </c>
      <c r="DO415" s="9" t="s">
        <v>170</v>
      </c>
      <c r="DP415" s="6" t="s">
        <v>171</v>
      </c>
      <c r="DQ415" s="6" t="s">
        <v>645</v>
      </c>
      <c r="DR415" s="6" t="e">
        <f>#REF!&amp;RIGHT(#REF!,3)</f>
        <v>#REF!</v>
      </c>
      <c r="DS415" s="6" t="str">
        <f t="shared" si="204"/>
        <v>AKB331</v>
      </c>
      <c r="DT415" s="10" t="str">
        <f t="shared" si="205"/>
        <v>FCS0111-6-5/1S–MC–118-R6-CN1</v>
      </c>
      <c r="DU415" s="6" t="str">
        <f t="shared" si="206"/>
        <v/>
      </c>
      <c r="DV415" s="19">
        <v>1</v>
      </c>
      <c r="DW415" s="20" t="str">
        <f t="shared" si="207"/>
        <v>11</v>
      </c>
      <c r="DX415" s="20">
        <v>6</v>
      </c>
      <c r="DY415" s="21">
        <v>5</v>
      </c>
      <c r="DZ415" s="22" t="s">
        <v>204</v>
      </c>
      <c r="EA415" s="23">
        <v>23</v>
      </c>
      <c r="EB415" s="7">
        <v>7</v>
      </c>
      <c r="EE415" s="9" t="s">
        <v>693</v>
      </c>
      <c r="EF415" s="6" t="s">
        <v>647</v>
      </c>
      <c r="EG415" s="6" t="s">
        <v>647</v>
      </c>
      <c r="EH415" s="6" t="s">
        <v>966</v>
      </c>
      <c r="EI415" s="6" t="s">
        <v>412</v>
      </c>
      <c r="EJ415" s="12">
        <v>100</v>
      </c>
      <c r="EL415" s="6"/>
      <c r="EM415" s="12"/>
      <c r="EN415" s="6" t="s">
        <v>1123</v>
      </c>
      <c r="EP415" s="6" t="s">
        <v>1148</v>
      </c>
      <c r="ET415" s="6" t="str">
        <f t="shared" si="208"/>
        <v>홀수</v>
      </c>
      <c r="EU415" s="12">
        <v>93</v>
      </c>
      <c r="EV415" s="45" t="str">
        <f t="shared" ca="1" si="213"/>
        <v>D</v>
      </c>
      <c r="EW415" s="6">
        <f t="shared" ca="1" si="209"/>
        <v>68</v>
      </c>
      <c r="FO415" s="6"/>
      <c r="FP415" s="11"/>
      <c r="FR415" s="6">
        <v>1</v>
      </c>
      <c r="FS415" s="6" t="str">
        <f t="shared" si="210"/>
        <v/>
      </c>
      <c r="FT415" s="6">
        <f t="shared" si="211"/>
        <v>1</v>
      </c>
      <c r="FU415" s="6" t="str">
        <f t="shared" ca="1" si="214"/>
        <v/>
      </c>
      <c r="FV415" s="6" t="str">
        <f t="shared" ca="1" si="212"/>
        <v/>
      </c>
      <c r="FW415" s="6" t="str">
        <f t="shared" ref="FW415:FW421" ca="1" si="219">IF(AND(FT415=1,FU415=""),DD415&amp;"-11",IF(AND(FT415=1,FU415&lt;&gt;""),DD415&amp;"-21",""))</f>
        <v>R6-11</v>
      </c>
      <c r="FX415" s="6" t="str">
        <f t="shared" ref="FX415:FX421" ca="1" si="220">IF(AND(FT415=1,FU415=""),DD415&amp;"-12",IF(AND(FT415=1,FU415&lt;&gt;""),DD415&amp;"-22",""))</f>
        <v>R6-12</v>
      </c>
      <c r="FY415" s="6" t="str">
        <f t="shared" ref="FY415:FY421" ca="1" si="221">IF(AND(FS415="",OFFSET(FS415,0,1)="",DC415="A1BA4D"),"",IF(DC415="A1BD5D",LEFT(FW415,3)&amp;"21",FW415))</f>
        <v>R6-21</v>
      </c>
      <c r="FZ415" s="6" t="str">
        <f t="shared" ref="FZ415:FZ421" ca="1" si="222" xml:space="preserve">
IF(AND(FS415="",OFFSET(FS415,0,1)="",DC415="A1BA4D"),"",IF(DC415="A1BD5D",LEFT(FW415,3)&amp;"22",FW415))</f>
        <v>R6-22</v>
      </c>
    </row>
    <row r="416" spans="1:182" ht="15.95" customHeight="1">
      <c r="A416" s="6">
        <v>689</v>
      </c>
      <c r="B416" s="6" t="s">
        <v>694</v>
      </c>
      <c r="E416" s="6" t="s">
        <v>967</v>
      </c>
      <c r="F416" s="6" t="s">
        <v>1684</v>
      </c>
      <c r="G416" s="6" t="s">
        <v>1290</v>
      </c>
      <c r="H416" s="7" t="s">
        <v>1291</v>
      </c>
      <c r="I416" s="7"/>
      <c r="J416" s="6" t="s">
        <v>1199</v>
      </c>
      <c r="K416" s="6" t="s">
        <v>1201</v>
      </c>
      <c r="N416" s="6" t="s">
        <v>1203</v>
      </c>
      <c r="O416" s="6" t="s">
        <v>1205</v>
      </c>
      <c r="R416" s="101" t="s">
        <v>1220</v>
      </c>
      <c r="Y416" s="6" t="s">
        <v>1579</v>
      </c>
      <c r="Z416" s="6">
        <v>15</v>
      </c>
      <c r="AA416" s="6">
        <v>16</v>
      </c>
      <c r="AD416" s="6" t="s">
        <v>1203</v>
      </c>
      <c r="AE416" s="6" t="s">
        <v>1205</v>
      </c>
      <c r="AG416" s="6" t="s">
        <v>1580</v>
      </c>
      <c r="AY416" s="8" t="s">
        <v>176</v>
      </c>
      <c r="AZ416" s="8" t="s">
        <v>195</v>
      </c>
      <c r="BA416" s="13" t="s">
        <v>643</v>
      </c>
      <c r="BB416" s="13" t="s">
        <v>740</v>
      </c>
      <c r="BC416" s="13">
        <v>15</v>
      </c>
      <c r="BD416" s="13">
        <v>16</v>
      </c>
      <c r="DC416" s="6" t="s">
        <v>644</v>
      </c>
      <c r="DD416" s="6" t="s">
        <v>968</v>
      </c>
      <c r="DH416" s="6" t="str">
        <f t="shared" si="201"/>
        <v>A1</v>
      </c>
      <c r="DI416" s="6" t="str">
        <f t="shared" si="202"/>
        <v>B1</v>
      </c>
      <c r="DK416" s="6" t="s">
        <v>173</v>
      </c>
      <c r="DL416" s="6" t="str">
        <f t="shared" si="203"/>
        <v/>
      </c>
      <c r="DO416" s="9" t="s">
        <v>170</v>
      </c>
      <c r="DP416" s="6" t="s">
        <v>171</v>
      </c>
      <c r="DQ416" s="6" t="s">
        <v>645</v>
      </c>
      <c r="DR416" s="6" t="e">
        <f>#REF!&amp;RIGHT(#REF!,3)</f>
        <v>#REF!</v>
      </c>
      <c r="DS416" s="6" t="str">
        <f t="shared" si="204"/>
        <v>AKB331</v>
      </c>
      <c r="DT416" s="10" t="str">
        <f t="shared" si="205"/>
        <v>FCS0111-6-6/1S–MC–118-R7-CN1</v>
      </c>
      <c r="DU416" s="6" t="str">
        <f t="shared" si="206"/>
        <v/>
      </c>
      <c r="DV416" s="19">
        <v>1</v>
      </c>
      <c r="DW416" s="20" t="str">
        <f t="shared" si="207"/>
        <v>11</v>
      </c>
      <c r="DX416" s="20">
        <v>6</v>
      </c>
      <c r="DY416" s="21">
        <v>6</v>
      </c>
      <c r="DZ416" s="22" t="s">
        <v>204</v>
      </c>
      <c r="EA416" s="23">
        <v>1</v>
      </c>
      <c r="EB416" s="7">
        <v>17</v>
      </c>
      <c r="EE416" s="9" t="s">
        <v>693</v>
      </c>
      <c r="EF416" s="6" t="s">
        <v>647</v>
      </c>
      <c r="EG416" s="6" t="s">
        <v>647</v>
      </c>
      <c r="EH416" s="6" t="s">
        <v>967</v>
      </c>
      <c r="EI416" s="6" t="s">
        <v>412</v>
      </c>
      <c r="EJ416" s="12">
        <v>100</v>
      </c>
      <c r="EL416" s="6"/>
      <c r="EM416" s="12"/>
      <c r="EN416" s="6" t="s">
        <v>1123</v>
      </c>
      <c r="EP416" s="6" t="s">
        <v>1148</v>
      </c>
      <c r="ET416" s="6" t="str">
        <f t="shared" si="208"/>
        <v>짝수</v>
      </c>
      <c r="EU416" s="12">
        <v>94</v>
      </c>
      <c r="EV416" s="45" t="str">
        <f t="shared" ca="1" si="213"/>
        <v>A</v>
      </c>
      <c r="EW416" s="6">
        <f t="shared" ca="1" si="209"/>
        <v>65</v>
      </c>
      <c r="FO416" s="6"/>
      <c r="FP416" s="11"/>
      <c r="FR416" s="6">
        <v>1</v>
      </c>
      <c r="FS416" s="6" t="str">
        <f t="shared" si="210"/>
        <v/>
      </c>
      <c r="FT416" s="6">
        <f t="shared" si="211"/>
        <v>1</v>
      </c>
      <c r="FU416" s="6" t="str">
        <f t="shared" ca="1" si="214"/>
        <v/>
      </c>
      <c r="FV416" s="6" t="str">
        <f t="shared" ca="1" si="212"/>
        <v/>
      </c>
      <c r="FW416" s="6" t="str">
        <f t="shared" ca="1" si="219"/>
        <v>R7-11</v>
      </c>
      <c r="FX416" s="6" t="str">
        <f t="shared" ca="1" si="220"/>
        <v>R7-12</v>
      </c>
      <c r="FY416" s="6" t="str">
        <f t="shared" ca="1" si="221"/>
        <v>R7-21</v>
      </c>
      <c r="FZ416" s="6" t="str">
        <f t="shared" ca="1" si="222"/>
        <v>R7-22</v>
      </c>
    </row>
    <row r="417" spans="1:182" ht="15.95" customHeight="1">
      <c r="A417" s="6">
        <v>690</v>
      </c>
      <c r="B417" s="6" t="s">
        <v>694</v>
      </c>
      <c r="E417" s="6" t="s">
        <v>969</v>
      </c>
      <c r="F417" s="6" t="s">
        <v>1685</v>
      </c>
      <c r="G417" s="6" t="s">
        <v>1290</v>
      </c>
      <c r="H417" s="7" t="s">
        <v>1291</v>
      </c>
      <c r="I417" s="7"/>
      <c r="J417" s="6" t="s">
        <v>1199</v>
      </c>
      <c r="K417" s="6" t="s">
        <v>1201</v>
      </c>
      <c r="N417" s="6" t="s">
        <v>1203</v>
      </c>
      <c r="O417" s="6" t="s">
        <v>1205</v>
      </c>
      <c r="R417" s="101" t="s">
        <v>1220</v>
      </c>
      <c r="Y417" s="6" t="s">
        <v>1579</v>
      </c>
      <c r="Z417" s="6">
        <v>31</v>
      </c>
      <c r="AA417" s="6">
        <v>32</v>
      </c>
      <c r="AD417" s="6" t="s">
        <v>1203</v>
      </c>
      <c r="AE417" s="6" t="s">
        <v>1205</v>
      </c>
      <c r="AG417" s="6" t="s">
        <v>1525</v>
      </c>
      <c r="AY417" s="8" t="s">
        <v>176</v>
      </c>
      <c r="AZ417" s="8" t="s">
        <v>195</v>
      </c>
      <c r="BA417" s="13" t="s">
        <v>643</v>
      </c>
      <c r="BB417" s="13" t="s">
        <v>740</v>
      </c>
      <c r="BC417" s="13">
        <v>29</v>
      </c>
      <c r="BD417" s="13">
        <v>30</v>
      </c>
      <c r="DC417" s="6" t="s">
        <v>644</v>
      </c>
      <c r="DD417" s="6" t="s">
        <v>968</v>
      </c>
      <c r="DH417" s="6" t="str">
        <f t="shared" si="201"/>
        <v>A2</v>
      </c>
      <c r="DI417" s="6" t="str">
        <f t="shared" si="202"/>
        <v>B2</v>
      </c>
      <c r="DK417" s="6" t="s">
        <v>173</v>
      </c>
      <c r="DL417" s="6" t="str">
        <f t="shared" si="203"/>
        <v/>
      </c>
      <c r="DO417" s="9" t="s">
        <v>170</v>
      </c>
      <c r="DP417" s="6" t="s">
        <v>171</v>
      </c>
      <c r="DQ417" s="6" t="s">
        <v>645</v>
      </c>
      <c r="DR417" s="6" t="e">
        <f>#REF!&amp;RIGHT(#REF!,3)</f>
        <v>#REF!</v>
      </c>
      <c r="DS417" s="6" t="str">
        <f t="shared" si="204"/>
        <v>AKB331</v>
      </c>
      <c r="DT417" s="10" t="str">
        <f t="shared" si="205"/>
        <v>FCS0111-6-6/1S–MC–118-R7-CN1</v>
      </c>
      <c r="DU417" s="6" t="str">
        <f t="shared" si="206"/>
        <v/>
      </c>
      <c r="DV417" s="19">
        <v>1</v>
      </c>
      <c r="DW417" s="20" t="str">
        <f t="shared" si="207"/>
        <v>11</v>
      </c>
      <c r="DX417" s="20">
        <v>6</v>
      </c>
      <c r="DY417" s="21">
        <v>6</v>
      </c>
      <c r="DZ417" s="22" t="s">
        <v>204</v>
      </c>
      <c r="EA417" s="23">
        <v>2</v>
      </c>
      <c r="EB417" s="7">
        <v>18</v>
      </c>
      <c r="EE417" s="9" t="s">
        <v>693</v>
      </c>
      <c r="EF417" s="6" t="s">
        <v>647</v>
      </c>
      <c r="EG417" s="6" t="s">
        <v>647</v>
      </c>
      <c r="EH417" s="6" t="s">
        <v>969</v>
      </c>
      <c r="EI417" s="6" t="s">
        <v>412</v>
      </c>
      <c r="EJ417" s="12">
        <v>100</v>
      </c>
      <c r="EL417" s="6"/>
      <c r="EM417" s="12"/>
      <c r="EN417" s="6" t="s">
        <v>1123</v>
      </c>
      <c r="EP417" s="6" t="s">
        <v>1148</v>
      </c>
      <c r="ET417" s="6" t="str">
        <f t="shared" si="208"/>
        <v>짝수</v>
      </c>
      <c r="EU417" s="12">
        <v>94</v>
      </c>
      <c r="EV417" s="45" t="str">
        <f t="shared" ca="1" si="213"/>
        <v>B</v>
      </c>
      <c r="EW417" s="6">
        <f t="shared" ca="1" si="209"/>
        <v>66</v>
      </c>
      <c r="FO417" s="6"/>
      <c r="FP417" s="11"/>
      <c r="FR417" s="6">
        <v>1</v>
      </c>
      <c r="FS417" s="6" t="str">
        <f t="shared" si="210"/>
        <v/>
      </c>
      <c r="FT417" s="6">
        <f t="shared" si="211"/>
        <v>1</v>
      </c>
      <c r="FU417" s="6" t="str">
        <f t="shared" ca="1" si="214"/>
        <v/>
      </c>
      <c r="FV417" s="6" t="str">
        <f t="shared" ca="1" si="212"/>
        <v/>
      </c>
      <c r="FW417" s="6" t="str">
        <f t="shared" ca="1" si="219"/>
        <v>R7-11</v>
      </c>
      <c r="FX417" s="6" t="str">
        <f t="shared" ca="1" si="220"/>
        <v>R7-12</v>
      </c>
      <c r="FY417" s="6" t="str">
        <f t="shared" ca="1" si="221"/>
        <v>R7-21</v>
      </c>
      <c r="FZ417" s="6" t="str">
        <f t="shared" ca="1" si="222"/>
        <v>R7-22</v>
      </c>
    </row>
    <row r="418" spans="1:182" ht="15.95" customHeight="1">
      <c r="A418" s="6">
        <v>692</v>
      </c>
      <c r="B418" s="6" t="s">
        <v>694</v>
      </c>
      <c r="E418" s="6" t="s">
        <v>972</v>
      </c>
      <c r="F418" s="6" t="s">
        <v>1686</v>
      </c>
      <c r="G418" s="6" t="s">
        <v>1290</v>
      </c>
      <c r="H418" s="7" t="s">
        <v>1291</v>
      </c>
      <c r="I418" s="7"/>
      <c r="J418" s="6" t="s">
        <v>1199</v>
      </c>
      <c r="K418" s="6" t="s">
        <v>1201</v>
      </c>
      <c r="N418" s="6" t="s">
        <v>1203</v>
      </c>
      <c r="O418" s="6" t="s">
        <v>1205</v>
      </c>
      <c r="R418" s="101" t="s">
        <v>1443</v>
      </c>
      <c r="Y418" s="6" t="s">
        <v>1579</v>
      </c>
      <c r="Z418" s="6">
        <v>35</v>
      </c>
      <c r="AA418" s="6">
        <v>36</v>
      </c>
      <c r="AD418" s="6" t="s">
        <v>1203</v>
      </c>
      <c r="AE418" s="6" t="s">
        <v>1205</v>
      </c>
      <c r="AG418" s="6" t="s">
        <v>1525</v>
      </c>
      <c r="AY418" s="8" t="s">
        <v>176</v>
      </c>
      <c r="AZ418" s="8" t="s">
        <v>195</v>
      </c>
      <c r="BA418" s="13" t="s">
        <v>643</v>
      </c>
      <c r="BB418" s="13" t="s">
        <v>740</v>
      </c>
      <c r="BC418" s="13">
        <v>33</v>
      </c>
      <c r="BD418" s="13">
        <v>34</v>
      </c>
      <c r="DC418" s="6" t="s">
        <v>644</v>
      </c>
      <c r="DD418" s="6" t="s">
        <v>968</v>
      </c>
      <c r="DH418" s="6" t="str">
        <f>"A"&amp;EA418</f>
        <v>A4</v>
      </c>
      <c r="DI418" s="6" t="str">
        <f>"B"&amp;EA418</f>
        <v>B4</v>
      </c>
      <c r="DK418" s="6" t="s">
        <v>173</v>
      </c>
      <c r="DL418" s="6" t="str">
        <f>IF(DZ418&lt;&gt;"","CN2","")</f>
        <v/>
      </c>
      <c r="DO418" s="9" t="s">
        <v>170</v>
      </c>
      <c r="DP418" s="6" t="s">
        <v>171</v>
      </c>
      <c r="DQ418" s="6" t="s">
        <v>645</v>
      </c>
      <c r="DR418" s="6" t="e">
        <f>#REF!&amp;RIGHT(#REF!,3)</f>
        <v>#REF!</v>
      </c>
      <c r="DS418" s="6" t="str">
        <f>IF(MID(EF418,2,1)="A","KS1","AKB331")</f>
        <v>AKB331</v>
      </c>
      <c r="DT418" s="10" t="str">
        <f>DQ418&amp;"-"&amp;DX418&amp;"-"&amp;DY418&amp;"/"&amp;BA418&amp;"-"&amp;DD418&amp;"-"&amp;DK418</f>
        <v>FCS0111-6-6/1S–MC–118-R7-CN1</v>
      </c>
      <c r="DU418" s="6" t="str">
        <f>IF(DL418="","",DQ418&amp;"-"&amp;DX418&amp;"-"&amp;DY418&amp;"/"&amp;BA418&amp;"-"&amp;DD418&amp;"-"&amp;DL418)</f>
        <v/>
      </c>
      <c r="DV418" s="19">
        <v>1</v>
      </c>
      <c r="DW418" s="20" t="str">
        <f>RIGHT(DQ418,2)</f>
        <v>11</v>
      </c>
      <c r="DX418" s="20">
        <v>6</v>
      </c>
      <c r="DY418" s="21">
        <v>6</v>
      </c>
      <c r="DZ418" s="22" t="s">
        <v>204</v>
      </c>
      <c r="EA418" s="23">
        <v>4</v>
      </c>
      <c r="EB418" s="7">
        <v>20</v>
      </c>
      <c r="EE418" s="9" t="s">
        <v>693</v>
      </c>
      <c r="EF418" s="6" t="s">
        <v>647</v>
      </c>
      <c r="EG418" s="6" t="s">
        <v>647</v>
      </c>
      <c r="EH418" s="6" t="s">
        <v>972</v>
      </c>
      <c r="EI418" s="6" t="s">
        <v>971</v>
      </c>
      <c r="EJ418" s="12">
        <v>10</v>
      </c>
      <c r="EK418" s="12"/>
      <c r="EM418" s="12"/>
      <c r="EN418" s="12" t="s">
        <v>1126</v>
      </c>
      <c r="EP418" s="6" t="s">
        <v>1156</v>
      </c>
      <c r="ER418" s="6" t="str">
        <f>"UVOX"&amp;MID(EH418,4,6)</f>
        <v>UVOX40301</v>
      </c>
      <c r="ET418" s="6" t="str">
        <f t="shared" si="208"/>
        <v>짝수</v>
      </c>
      <c r="EU418" s="12">
        <v>94</v>
      </c>
      <c r="EV418" s="45" t="str">
        <f t="shared" ca="1" si="213"/>
        <v>C</v>
      </c>
      <c r="EW418" s="6">
        <f t="shared" ca="1" si="209"/>
        <v>67</v>
      </c>
      <c r="EZ418" s="6" t="str">
        <f>"UVNXD"&amp;MID(EH418,4,6)&amp;"I"</f>
        <v>UVNXD40301I</v>
      </c>
      <c r="FO418" s="6"/>
      <c r="FP418" s="11"/>
      <c r="FR418" s="6">
        <v>1</v>
      </c>
      <c r="FS418" s="6" t="str">
        <f t="shared" si="210"/>
        <v/>
      </c>
      <c r="FT418" s="6">
        <f t="shared" si="211"/>
        <v>1</v>
      </c>
      <c r="FU418" s="6" t="str">
        <f t="shared" ca="1" si="214"/>
        <v/>
      </c>
      <c r="FV418" s="6" t="str">
        <f t="shared" ca="1" si="212"/>
        <v/>
      </c>
      <c r="FW418" s="6" t="str">
        <f t="shared" ca="1" si="219"/>
        <v>R7-11</v>
      </c>
      <c r="FX418" s="6" t="str">
        <f t="shared" ca="1" si="220"/>
        <v>R7-12</v>
      </c>
      <c r="FY418" s="6" t="str">
        <f t="shared" ca="1" si="221"/>
        <v>R7-21</v>
      </c>
      <c r="FZ418" s="6" t="str">
        <f t="shared" ca="1" si="222"/>
        <v>R7-22</v>
      </c>
    </row>
    <row r="419" spans="1:182" ht="15.95" customHeight="1">
      <c r="A419" s="6">
        <v>691</v>
      </c>
      <c r="B419" s="6" t="s">
        <v>694</v>
      </c>
      <c r="E419" s="6" t="s">
        <v>970</v>
      </c>
      <c r="F419" s="6" t="s">
        <v>1687</v>
      </c>
      <c r="G419" s="6" t="s">
        <v>1290</v>
      </c>
      <c r="H419" s="7" t="s">
        <v>1291</v>
      </c>
      <c r="I419" s="7"/>
      <c r="J419" s="6" t="s">
        <v>1199</v>
      </c>
      <c r="K419" s="6" t="s">
        <v>1201</v>
      </c>
      <c r="N419" s="6" t="s">
        <v>1203</v>
      </c>
      <c r="O419" s="6" t="s">
        <v>1205</v>
      </c>
      <c r="R419" s="101" t="s">
        <v>1443</v>
      </c>
      <c r="Y419" s="6" t="s">
        <v>1579</v>
      </c>
      <c r="Z419" s="6">
        <v>33</v>
      </c>
      <c r="AA419" s="6">
        <v>34</v>
      </c>
      <c r="AD419" s="6" t="s">
        <v>1203</v>
      </c>
      <c r="AE419" s="6" t="s">
        <v>1205</v>
      </c>
      <c r="AG419" s="6" t="s">
        <v>1525</v>
      </c>
      <c r="AY419" s="8" t="s">
        <v>176</v>
      </c>
      <c r="AZ419" s="8" t="s">
        <v>195</v>
      </c>
      <c r="BA419" s="13" t="s">
        <v>643</v>
      </c>
      <c r="BB419" s="13" t="s">
        <v>740</v>
      </c>
      <c r="BC419" s="13">
        <v>31</v>
      </c>
      <c r="BD419" s="13">
        <v>32</v>
      </c>
      <c r="DC419" s="6" t="s">
        <v>644</v>
      </c>
      <c r="DD419" s="6" t="s">
        <v>968</v>
      </c>
      <c r="DH419" s="6" t="str">
        <f t="shared" si="201"/>
        <v>A3</v>
      </c>
      <c r="DI419" s="6" t="str">
        <f t="shared" si="202"/>
        <v>B3</v>
      </c>
      <c r="DK419" s="6" t="s">
        <v>173</v>
      </c>
      <c r="DL419" s="6" t="str">
        <f t="shared" si="203"/>
        <v/>
      </c>
      <c r="DO419" s="9" t="s">
        <v>170</v>
      </c>
      <c r="DP419" s="6" t="s">
        <v>171</v>
      </c>
      <c r="DQ419" s="6" t="s">
        <v>645</v>
      </c>
      <c r="DR419" s="6" t="e">
        <f>#REF!&amp;RIGHT(#REF!,3)</f>
        <v>#REF!</v>
      </c>
      <c r="DS419" s="6" t="str">
        <f t="shared" si="204"/>
        <v>AKB331</v>
      </c>
      <c r="DT419" s="10" t="str">
        <f t="shared" si="205"/>
        <v>FCS0111-6-6/1S–MC–118-R7-CN1</v>
      </c>
      <c r="DU419" s="6" t="str">
        <f t="shared" si="206"/>
        <v/>
      </c>
      <c r="DV419" s="19">
        <v>1</v>
      </c>
      <c r="DW419" s="20" t="str">
        <f t="shared" si="207"/>
        <v>11</v>
      </c>
      <c r="DX419" s="20">
        <v>6</v>
      </c>
      <c r="DY419" s="21">
        <v>6</v>
      </c>
      <c r="DZ419" s="22" t="s">
        <v>204</v>
      </c>
      <c r="EA419" s="23">
        <v>3</v>
      </c>
      <c r="EB419" s="7">
        <v>19</v>
      </c>
      <c r="EE419" s="9" t="s">
        <v>693</v>
      </c>
      <c r="EF419" s="6" t="s">
        <v>647</v>
      </c>
      <c r="EG419" s="6" t="s">
        <v>647</v>
      </c>
      <c r="EH419" s="6" t="s">
        <v>970</v>
      </c>
      <c r="EI419" s="6" t="s">
        <v>971</v>
      </c>
      <c r="EJ419" s="12">
        <v>10</v>
      </c>
      <c r="EK419" s="12"/>
      <c r="EM419" s="12"/>
      <c r="EN419" s="12" t="s">
        <v>1126</v>
      </c>
      <c r="ET419" s="6" t="str">
        <f t="shared" si="208"/>
        <v>짝수</v>
      </c>
      <c r="EU419" s="12">
        <v>94</v>
      </c>
      <c r="EV419" s="45" t="str">
        <f t="shared" ca="1" si="213"/>
        <v>D</v>
      </c>
      <c r="EW419" s="6">
        <f t="shared" ca="1" si="209"/>
        <v>68</v>
      </c>
      <c r="FO419" s="6"/>
      <c r="FP419" s="11"/>
      <c r="FR419" s="6">
        <v>1</v>
      </c>
      <c r="FS419" s="6" t="str">
        <f t="shared" si="210"/>
        <v/>
      </c>
      <c r="FT419" s="6">
        <f t="shared" si="211"/>
        <v>1</v>
      </c>
      <c r="FU419" s="6" t="str">
        <f t="shared" ca="1" si="214"/>
        <v/>
      </c>
      <c r="FV419" s="6" t="str">
        <f t="shared" ca="1" si="212"/>
        <v/>
      </c>
      <c r="FW419" s="6" t="str">
        <f t="shared" ca="1" si="219"/>
        <v>R7-11</v>
      </c>
      <c r="FX419" s="6" t="str">
        <f t="shared" ca="1" si="220"/>
        <v>R7-12</v>
      </c>
      <c r="FY419" s="6" t="str">
        <f t="shared" ca="1" si="221"/>
        <v>R7-21</v>
      </c>
      <c r="FZ419" s="6" t="str">
        <f t="shared" ca="1" si="222"/>
        <v>R7-22</v>
      </c>
    </row>
    <row r="420" spans="1:182" ht="15.95" customHeight="1">
      <c r="A420" s="6">
        <v>693</v>
      </c>
      <c r="B420" s="6" t="s">
        <v>694</v>
      </c>
      <c r="E420" s="6" t="s">
        <v>973</v>
      </c>
      <c r="F420" s="6" t="s">
        <v>1688</v>
      </c>
      <c r="G420" s="6" t="s">
        <v>1290</v>
      </c>
      <c r="H420" s="7" t="s">
        <v>1291</v>
      </c>
      <c r="I420" s="7"/>
      <c r="J420" s="6" t="s">
        <v>1199</v>
      </c>
      <c r="K420" s="6" t="s">
        <v>1201</v>
      </c>
      <c r="N420" s="6" t="s">
        <v>1203</v>
      </c>
      <c r="O420" s="6" t="s">
        <v>1205</v>
      </c>
      <c r="R420" s="101" t="s">
        <v>1443</v>
      </c>
      <c r="Y420" s="6" t="s">
        <v>1579</v>
      </c>
      <c r="Z420" s="6">
        <v>37</v>
      </c>
      <c r="AA420" s="6">
        <v>38</v>
      </c>
      <c r="AD420" s="6" t="s">
        <v>1203</v>
      </c>
      <c r="AE420" s="6" t="s">
        <v>1205</v>
      </c>
      <c r="AG420" s="6" t="s">
        <v>1525</v>
      </c>
      <c r="AY420" s="8" t="s">
        <v>176</v>
      </c>
      <c r="AZ420" s="8" t="s">
        <v>195</v>
      </c>
      <c r="BA420" s="13" t="s">
        <v>643</v>
      </c>
      <c r="BB420" s="13" t="s">
        <v>740</v>
      </c>
      <c r="BC420" s="13">
        <v>35</v>
      </c>
      <c r="BD420" s="13">
        <v>36</v>
      </c>
      <c r="DC420" s="6" t="s">
        <v>644</v>
      </c>
      <c r="DD420" s="6" t="s">
        <v>968</v>
      </c>
      <c r="DH420" s="6" t="str">
        <f t="shared" si="201"/>
        <v>A5</v>
      </c>
      <c r="DI420" s="6" t="str">
        <f t="shared" si="202"/>
        <v>B5</v>
      </c>
      <c r="DK420" s="6" t="s">
        <v>173</v>
      </c>
      <c r="DL420" s="6" t="str">
        <f t="shared" si="203"/>
        <v/>
      </c>
      <c r="DO420" s="9" t="s">
        <v>170</v>
      </c>
      <c r="DP420" s="6" t="s">
        <v>171</v>
      </c>
      <c r="DQ420" s="6" t="s">
        <v>645</v>
      </c>
      <c r="DR420" s="6" t="e">
        <f>#REF!&amp;RIGHT(#REF!,3)</f>
        <v>#REF!</v>
      </c>
      <c r="DS420" s="6" t="str">
        <f t="shared" si="204"/>
        <v>AKB331</v>
      </c>
      <c r="DT420" s="10" t="str">
        <f t="shared" si="205"/>
        <v>FCS0111-6-6/1S–MC–118-R7-CN1</v>
      </c>
      <c r="DU420" s="6" t="str">
        <f t="shared" si="206"/>
        <v/>
      </c>
      <c r="DV420" s="19">
        <v>1</v>
      </c>
      <c r="DW420" s="20" t="str">
        <f t="shared" si="207"/>
        <v>11</v>
      </c>
      <c r="DX420" s="20">
        <v>6</v>
      </c>
      <c r="DY420" s="21">
        <v>6</v>
      </c>
      <c r="DZ420" s="22" t="s">
        <v>204</v>
      </c>
      <c r="EA420" s="23">
        <v>5</v>
      </c>
      <c r="EB420" s="7">
        <v>21</v>
      </c>
      <c r="EE420" s="9" t="s">
        <v>693</v>
      </c>
      <c r="EF420" s="6" t="s">
        <v>647</v>
      </c>
      <c r="EG420" s="6" t="s">
        <v>647</v>
      </c>
      <c r="EH420" s="6" t="s">
        <v>973</v>
      </c>
      <c r="EI420" s="6" t="s">
        <v>199</v>
      </c>
      <c r="EJ420" s="12">
        <v>8</v>
      </c>
      <c r="EK420" s="12"/>
      <c r="EM420" s="12"/>
      <c r="EN420" s="12" t="s">
        <v>1126</v>
      </c>
      <c r="EP420" s="6" t="s">
        <v>1155</v>
      </c>
      <c r="ER420" s="6" t="str">
        <f>LEFT(EH422,2)&amp;"O"&amp;MID(EH422,4,7)</f>
        <v>UVO40414</v>
      </c>
      <c r="ET420" s="6" t="str">
        <f t="shared" si="208"/>
        <v>홀수</v>
      </c>
      <c r="EU420" s="12">
        <v>95</v>
      </c>
      <c r="EV420" s="45" t="str">
        <f t="shared" ca="1" si="213"/>
        <v>A</v>
      </c>
      <c r="EW420" s="6">
        <f t="shared" ca="1" si="209"/>
        <v>65</v>
      </c>
      <c r="FO420" s="6"/>
      <c r="FP420" s="11"/>
      <c r="FR420" s="6">
        <v>1</v>
      </c>
      <c r="FS420" s="6" t="str">
        <f t="shared" si="210"/>
        <v/>
      </c>
      <c r="FT420" s="6">
        <f t="shared" si="211"/>
        <v>1</v>
      </c>
      <c r="FU420" s="6" t="str">
        <f t="shared" ca="1" si="214"/>
        <v/>
      </c>
      <c r="FV420" s="6" t="str">
        <f t="shared" ca="1" si="212"/>
        <v/>
      </c>
      <c r="FW420" s="6" t="str">
        <f t="shared" ca="1" si="219"/>
        <v>R7-11</v>
      </c>
      <c r="FX420" s="6" t="str">
        <f t="shared" ca="1" si="220"/>
        <v>R7-12</v>
      </c>
      <c r="FY420" s="6" t="str">
        <f t="shared" ca="1" si="221"/>
        <v>R7-21</v>
      </c>
      <c r="FZ420" s="6" t="str">
        <f t="shared" ca="1" si="222"/>
        <v>R7-22</v>
      </c>
    </row>
    <row r="421" spans="1:182" ht="15.95" customHeight="1">
      <c r="A421" s="6">
        <v>694</v>
      </c>
      <c r="B421" s="6" t="s">
        <v>694</v>
      </c>
      <c r="E421" s="6" t="s">
        <v>974</v>
      </c>
      <c r="F421" s="6" t="s">
        <v>1689</v>
      </c>
      <c r="G421" s="6" t="s">
        <v>1290</v>
      </c>
      <c r="H421" s="7" t="s">
        <v>1291</v>
      </c>
      <c r="I421" s="7"/>
      <c r="J421" s="6" t="s">
        <v>1199</v>
      </c>
      <c r="K421" s="6" t="s">
        <v>1201</v>
      </c>
      <c r="N421" s="6" t="s">
        <v>1203</v>
      </c>
      <c r="O421" s="6" t="s">
        <v>1205</v>
      </c>
      <c r="R421" s="101" t="s">
        <v>1443</v>
      </c>
      <c r="Y421" s="6" t="s">
        <v>1579</v>
      </c>
      <c r="Z421" s="6">
        <v>39</v>
      </c>
      <c r="AA421" s="6">
        <v>40</v>
      </c>
      <c r="AD421" s="6" t="s">
        <v>1203</v>
      </c>
      <c r="AE421" s="6" t="s">
        <v>1205</v>
      </c>
      <c r="AG421" s="6" t="s">
        <v>1525</v>
      </c>
      <c r="AY421" s="8" t="s">
        <v>176</v>
      </c>
      <c r="AZ421" s="8" t="s">
        <v>195</v>
      </c>
      <c r="BA421" s="13" t="s">
        <v>643</v>
      </c>
      <c r="BB421" s="13" t="s">
        <v>740</v>
      </c>
      <c r="BC421" s="13">
        <v>37</v>
      </c>
      <c r="BD421" s="13">
        <v>38</v>
      </c>
      <c r="DC421" s="6" t="s">
        <v>644</v>
      </c>
      <c r="DD421" s="6" t="s">
        <v>968</v>
      </c>
      <c r="DH421" s="6" t="str">
        <f t="shared" si="201"/>
        <v>A6</v>
      </c>
      <c r="DI421" s="6" t="str">
        <f t="shared" si="202"/>
        <v>B6</v>
      </c>
      <c r="DK421" s="6" t="s">
        <v>173</v>
      </c>
      <c r="DL421" s="6" t="str">
        <f t="shared" si="203"/>
        <v/>
      </c>
      <c r="DO421" s="9" t="s">
        <v>170</v>
      </c>
      <c r="DP421" s="6" t="s">
        <v>171</v>
      </c>
      <c r="DQ421" s="6" t="s">
        <v>645</v>
      </c>
      <c r="DR421" s="6" t="e">
        <f>#REF!&amp;RIGHT(#REF!,3)</f>
        <v>#REF!</v>
      </c>
      <c r="DS421" s="6" t="str">
        <f t="shared" si="204"/>
        <v>AKB331</v>
      </c>
      <c r="DT421" s="10" t="str">
        <f t="shared" si="205"/>
        <v>FCS0111-6-6/1S–MC–118-R7-CN1</v>
      </c>
      <c r="DU421" s="6" t="str">
        <f t="shared" si="206"/>
        <v/>
      </c>
      <c r="DV421" s="19">
        <v>1</v>
      </c>
      <c r="DW421" s="20" t="str">
        <f t="shared" si="207"/>
        <v>11</v>
      </c>
      <c r="DX421" s="20">
        <v>6</v>
      </c>
      <c r="DY421" s="21">
        <v>6</v>
      </c>
      <c r="DZ421" s="22" t="s">
        <v>204</v>
      </c>
      <c r="EA421" s="23">
        <v>6</v>
      </c>
      <c r="EB421" s="7">
        <v>22</v>
      </c>
      <c r="EE421" s="9" t="s">
        <v>693</v>
      </c>
      <c r="EF421" s="6" t="s">
        <v>647</v>
      </c>
      <c r="EG421" s="6" t="s">
        <v>647</v>
      </c>
      <c r="EH421" s="6" t="s">
        <v>974</v>
      </c>
      <c r="EI421" s="6" t="s">
        <v>199</v>
      </c>
      <c r="EJ421" s="12">
        <v>8</v>
      </c>
      <c r="EK421" s="12"/>
      <c r="EM421" s="12"/>
      <c r="EN421" s="12" t="s">
        <v>1126</v>
      </c>
      <c r="ET421" s="6" t="str">
        <f t="shared" si="208"/>
        <v>홀수</v>
      </c>
      <c r="EU421" s="12">
        <v>95</v>
      </c>
      <c r="EV421" s="45" t="str">
        <f t="shared" ca="1" si="213"/>
        <v>B</v>
      </c>
      <c r="EW421" s="6">
        <f t="shared" ca="1" si="209"/>
        <v>66</v>
      </c>
      <c r="FO421" s="6"/>
      <c r="FP421" s="11"/>
      <c r="FR421" s="6">
        <v>1</v>
      </c>
      <c r="FS421" s="6" t="str">
        <f t="shared" si="210"/>
        <v/>
      </c>
      <c r="FT421" s="6">
        <f t="shared" si="211"/>
        <v>1</v>
      </c>
      <c r="FU421" s="6" t="str">
        <f t="shared" ca="1" si="214"/>
        <v/>
      </c>
      <c r="FV421" s="6" t="str">
        <f t="shared" ca="1" si="212"/>
        <v/>
      </c>
      <c r="FW421" s="6" t="str">
        <f t="shared" ca="1" si="219"/>
        <v>R7-11</v>
      </c>
      <c r="FX421" s="6" t="str">
        <f t="shared" ca="1" si="220"/>
        <v>R7-12</v>
      </c>
      <c r="FY421" s="6" t="str">
        <f t="shared" ca="1" si="221"/>
        <v>R7-21</v>
      </c>
      <c r="FZ421" s="6" t="str">
        <f t="shared" ca="1" si="222"/>
        <v>R7-22</v>
      </c>
    </row>
    <row r="422" spans="1:182" ht="15.95" customHeight="1">
      <c r="A422" s="6">
        <v>803</v>
      </c>
      <c r="B422" s="6" t="s">
        <v>780</v>
      </c>
      <c r="E422" s="6" t="s">
        <v>1010</v>
      </c>
      <c r="F422" s="6" t="s">
        <v>1215</v>
      </c>
      <c r="G422" s="6" t="s">
        <v>1290</v>
      </c>
      <c r="H422" s="7" t="s">
        <v>1291</v>
      </c>
      <c r="I422" s="7"/>
      <c r="J422" s="6" t="s">
        <v>1199</v>
      </c>
      <c r="K422" s="6" t="s">
        <v>1201</v>
      </c>
      <c r="N422" s="6" t="s">
        <v>1203</v>
      </c>
      <c r="O422" s="6" t="s">
        <v>1205</v>
      </c>
      <c r="R422" s="101" t="s">
        <v>1592</v>
      </c>
      <c r="Y422" s="6" t="s">
        <v>1659</v>
      </c>
      <c r="Z422" s="6">
        <v>13</v>
      </c>
      <c r="AA422" s="6">
        <v>14</v>
      </c>
      <c r="AD422" s="6" t="s">
        <v>1203</v>
      </c>
      <c r="AE422" s="6" t="s">
        <v>1205</v>
      </c>
      <c r="AG422" s="6" t="s">
        <v>1660</v>
      </c>
      <c r="AY422" s="8" t="s">
        <v>176</v>
      </c>
      <c r="AZ422" s="8" t="s">
        <v>195</v>
      </c>
      <c r="BA422" s="13" t="s">
        <v>670</v>
      </c>
      <c r="BB422" s="13" t="s">
        <v>200</v>
      </c>
      <c r="BC422" s="13">
        <v>37</v>
      </c>
      <c r="BD422" s="13">
        <v>38</v>
      </c>
      <c r="DC422" s="6" t="s">
        <v>992</v>
      </c>
      <c r="DD422" s="6" t="s">
        <v>187</v>
      </c>
      <c r="DH422" s="6" t="str">
        <f>"A"&amp;EA422</f>
        <v>A19</v>
      </c>
      <c r="DI422" s="6" t="str">
        <f>"B"&amp;EA422</f>
        <v>B19</v>
      </c>
      <c r="DK422" s="6" t="s">
        <v>173</v>
      </c>
      <c r="DL422" s="6" t="str">
        <f>IF(DZ422&lt;&gt;"","CN2","")</f>
        <v>CN2</v>
      </c>
      <c r="DO422" s="9" t="s">
        <v>170</v>
      </c>
      <c r="DP422" s="6" t="s">
        <v>171</v>
      </c>
      <c r="DQ422" s="6" t="s">
        <v>645</v>
      </c>
      <c r="DR422" s="6" t="e">
        <f>#REF!&amp;RIGHT(#REF!,3)</f>
        <v>#REF!</v>
      </c>
      <c r="DS422" s="6" t="str">
        <f>IF(MID(EF422,2,1)="A","KS1","AKB331")</f>
        <v>AKB331</v>
      </c>
      <c r="DT422" s="10" t="str">
        <f>DQ422&amp;"-"&amp;DX422&amp;"-"&amp;DY422&amp;"/"&amp;BA422&amp;"-"&amp;DD422&amp;"-"&amp;DK422</f>
        <v>FCS0111-7-7/1S–MC–120-R1-CN1</v>
      </c>
      <c r="DU422" s="6" t="str">
        <f>IF(DL422="","",DQ422&amp;"-"&amp;DX422&amp;"-"&amp;DY422&amp;"/"&amp;BA422&amp;"-"&amp;DD422&amp;"-"&amp;DL422)</f>
        <v>FCS0111-7-7/1S–MC–120-R1-CN2</v>
      </c>
      <c r="DV422" s="19">
        <v>1</v>
      </c>
      <c r="DW422" s="20" t="str">
        <f>RIGHT(DQ422,2)</f>
        <v>11</v>
      </c>
      <c r="DX422" s="20">
        <v>7</v>
      </c>
      <c r="DY422" s="21">
        <v>7</v>
      </c>
      <c r="DZ422" s="22">
        <v>8</v>
      </c>
      <c r="EA422" s="23">
        <v>19</v>
      </c>
      <c r="EB422" s="7">
        <v>3</v>
      </c>
      <c r="EE422" s="9" t="s">
        <v>778</v>
      </c>
      <c r="EF422" s="6" t="s">
        <v>672</v>
      </c>
      <c r="EG422" s="6" t="s">
        <v>647</v>
      </c>
      <c r="EH422" s="6" t="s">
        <v>1010</v>
      </c>
      <c r="EI422" s="6" t="s">
        <v>199</v>
      </c>
      <c r="EJ422" s="12">
        <v>8</v>
      </c>
      <c r="EK422" s="12"/>
      <c r="EM422" s="12"/>
      <c r="EN422" s="12" t="s">
        <v>1126</v>
      </c>
      <c r="ET422" s="6" t="str">
        <f t="shared" si="208"/>
        <v>홀수</v>
      </c>
      <c r="EU422" s="12">
        <v>95</v>
      </c>
      <c r="EV422" s="45" t="str">
        <f t="shared" ca="1" si="213"/>
        <v>C</v>
      </c>
      <c r="EW422" s="6">
        <f t="shared" ca="1" si="209"/>
        <v>67</v>
      </c>
      <c r="FO422" s="6"/>
      <c r="FP422" s="11"/>
      <c r="FR422" s="6">
        <v>1</v>
      </c>
      <c r="FS422" s="6">
        <f t="shared" si="210"/>
        <v>1</v>
      </c>
      <c r="FT422" s="6">
        <f t="shared" si="211"/>
        <v>1</v>
      </c>
      <c r="FU422" s="6" t="str">
        <f t="shared" ca="1" si="214"/>
        <v>R1-11</v>
      </c>
      <c r="FV422" s="6" t="str">
        <f t="shared" ca="1" si="212"/>
        <v>R1-12</v>
      </c>
      <c r="FW422" s="6" t="s">
        <v>1095</v>
      </c>
      <c r="FX422" s="6" t="s">
        <v>1096</v>
      </c>
      <c r="FY422" s="6" t="s">
        <v>1095</v>
      </c>
      <c r="FZ422" s="6" t="s">
        <v>1096</v>
      </c>
    </row>
    <row r="423" spans="1:182" ht="15.95" customHeight="1">
      <c r="A423" s="6">
        <v>696</v>
      </c>
      <c r="B423" s="6" t="s">
        <v>694</v>
      </c>
      <c r="E423" s="6" t="s">
        <v>977</v>
      </c>
      <c r="F423" s="6" t="s">
        <v>1690</v>
      </c>
      <c r="G423" s="6" t="s">
        <v>1290</v>
      </c>
      <c r="H423" s="7" t="s">
        <v>1291</v>
      </c>
      <c r="I423" s="7"/>
      <c r="J423" s="6" t="s">
        <v>1199</v>
      </c>
      <c r="K423" s="6" t="s">
        <v>1201</v>
      </c>
      <c r="N423" s="6" t="s">
        <v>1203</v>
      </c>
      <c r="O423" s="6" t="s">
        <v>1205</v>
      </c>
      <c r="R423" s="101" t="s">
        <v>1443</v>
      </c>
      <c r="Y423" s="6" t="s">
        <v>1444</v>
      </c>
      <c r="Z423" s="6">
        <v>27</v>
      </c>
      <c r="AA423" s="6">
        <v>28</v>
      </c>
      <c r="AD423" s="6" t="s">
        <v>1203</v>
      </c>
      <c r="AE423" s="6" t="s">
        <v>1205</v>
      </c>
      <c r="AG423" s="6" t="s">
        <v>1445</v>
      </c>
      <c r="AY423" s="8" t="s">
        <v>176</v>
      </c>
      <c r="AZ423" s="8" t="s">
        <v>195</v>
      </c>
      <c r="BA423" s="13" t="s">
        <v>643</v>
      </c>
      <c r="BB423" s="13" t="s">
        <v>740</v>
      </c>
      <c r="BC423" s="13">
        <v>123</v>
      </c>
      <c r="BD423" s="13">
        <v>124</v>
      </c>
      <c r="DC423" s="6" t="s">
        <v>644</v>
      </c>
      <c r="DD423" s="6" t="s">
        <v>968</v>
      </c>
      <c r="DH423" s="6" t="str">
        <f>"A"&amp;EA423</f>
        <v>A8</v>
      </c>
      <c r="DI423" s="6" t="str">
        <f>"B"&amp;EA423</f>
        <v>B8</v>
      </c>
      <c r="DK423" s="6" t="s">
        <v>173</v>
      </c>
      <c r="DL423" s="6" t="str">
        <f>IF(DZ423&lt;&gt;"","CN2","")</f>
        <v/>
      </c>
      <c r="DO423" s="9" t="s">
        <v>170</v>
      </c>
      <c r="DP423" s="6" t="s">
        <v>171</v>
      </c>
      <c r="DQ423" s="6" t="s">
        <v>645</v>
      </c>
      <c r="DR423" s="6" t="e">
        <f>#REF!&amp;RIGHT(#REF!,3)</f>
        <v>#REF!</v>
      </c>
      <c r="DS423" s="6" t="str">
        <f>IF(MID(EF423,2,1)="A","KS1","AKB331")</f>
        <v>AKB331</v>
      </c>
      <c r="DT423" s="10" t="str">
        <f>DQ423&amp;"-"&amp;DX423&amp;"-"&amp;DY423&amp;"/"&amp;BA423&amp;"-"&amp;DD423&amp;"-"&amp;DK423</f>
        <v>FCS0111-6-6/1S–MC–118-R7-CN1</v>
      </c>
      <c r="DU423" s="6" t="str">
        <f>IF(DL423="","",DQ423&amp;"-"&amp;DX423&amp;"-"&amp;DY423&amp;"/"&amp;BA423&amp;"-"&amp;DD423&amp;"-"&amp;DL423)</f>
        <v/>
      </c>
      <c r="DV423" s="19">
        <v>1</v>
      </c>
      <c r="DW423" s="20" t="str">
        <f>RIGHT(DQ423,2)</f>
        <v>11</v>
      </c>
      <c r="DX423" s="20">
        <v>6</v>
      </c>
      <c r="DY423" s="21">
        <v>6</v>
      </c>
      <c r="DZ423" s="22" t="s">
        <v>204</v>
      </c>
      <c r="EA423" s="23">
        <v>8</v>
      </c>
      <c r="EB423" s="7">
        <v>24</v>
      </c>
      <c r="EE423" s="9" t="s">
        <v>693</v>
      </c>
      <c r="EF423" s="6" t="s">
        <v>647</v>
      </c>
      <c r="EG423" s="6" t="s">
        <v>647</v>
      </c>
      <c r="EH423" s="6" t="s">
        <v>977</v>
      </c>
      <c r="EI423" s="6" t="s">
        <v>976</v>
      </c>
      <c r="EJ423" s="12">
        <v>10</v>
      </c>
      <c r="EK423" s="12"/>
      <c r="EM423" s="12"/>
      <c r="EN423" s="12" t="s">
        <v>1126</v>
      </c>
      <c r="EP423" s="6" t="s">
        <v>1156</v>
      </c>
      <c r="ER423" s="6" t="str">
        <f>"UVOX"&amp;MID(EH423,4,6)</f>
        <v>UVOX40430</v>
      </c>
      <c r="ET423" s="6" t="str">
        <f t="shared" si="208"/>
        <v>짝수</v>
      </c>
      <c r="EU423" s="12">
        <v>96</v>
      </c>
      <c r="EV423" s="45" t="str">
        <f t="shared" ca="1" si="213"/>
        <v>A</v>
      </c>
      <c r="EW423" s="6">
        <f t="shared" ca="1" si="209"/>
        <v>65</v>
      </c>
      <c r="EZ423" s="6" t="str">
        <f>"UVNXD"&amp;MID(EH423,4,6)&amp;"I"</f>
        <v>UVNXD40430I</v>
      </c>
      <c r="FO423" s="6"/>
      <c r="FP423" s="11"/>
      <c r="FR423" s="6">
        <v>1</v>
      </c>
      <c r="FS423" s="6" t="str">
        <f t="shared" si="210"/>
        <v/>
      </c>
      <c r="FT423" s="6">
        <f t="shared" si="211"/>
        <v>1</v>
      </c>
      <c r="FU423" s="6" t="str">
        <f t="shared" ca="1" si="214"/>
        <v/>
      </c>
      <c r="FV423" s="6" t="str">
        <f t="shared" ca="1" si="212"/>
        <v/>
      </c>
      <c r="FW423" s="6" t="str">
        <f t="shared" ref="FW423:FW448" ca="1" si="223">IF(AND(FT423=1,FU423=""),DD423&amp;"-11",IF(AND(FT423=1,FU423&lt;&gt;""),DD423&amp;"-21",""))</f>
        <v>R7-11</v>
      </c>
      <c r="FX423" s="6" t="str">
        <f t="shared" ref="FX423:FX448" ca="1" si="224">IF(AND(FT423=1,FU423=""),DD423&amp;"-12",IF(AND(FT423=1,FU423&lt;&gt;""),DD423&amp;"-22",""))</f>
        <v>R7-12</v>
      </c>
      <c r="FY423" s="6" t="str">
        <f t="shared" ref="FY423:FY448" ca="1" si="225">IF(AND(FS423="",OFFSET(FS423,0,1)="",DC423="A1BA4D"),"",IF(DC423="A1BD5D",LEFT(FW423,3)&amp;"21",FW423))</f>
        <v>R7-21</v>
      </c>
      <c r="FZ423" s="6" t="str">
        <f t="shared" ref="FZ423:FZ448" ca="1" si="226" xml:space="preserve">
IF(AND(FS423="",OFFSET(FS423,0,1)="",DC423="A1BA4D"),"",IF(DC423="A1BD5D",LEFT(FW423,3)&amp;"22",FW423))</f>
        <v>R7-22</v>
      </c>
    </row>
    <row r="424" spans="1:182" ht="15.95" customHeight="1">
      <c r="A424" s="6">
        <v>695</v>
      </c>
      <c r="B424" s="6" t="s">
        <v>694</v>
      </c>
      <c r="E424" s="6" t="s">
        <v>975</v>
      </c>
      <c r="F424" s="6" t="s">
        <v>1691</v>
      </c>
      <c r="G424" s="6" t="s">
        <v>1290</v>
      </c>
      <c r="H424" s="7" t="s">
        <v>1291</v>
      </c>
      <c r="I424" s="7"/>
      <c r="J424" s="6" t="s">
        <v>1199</v>
      </c>
      <c r="K424" s="6" t="s">
        <v>1201</v>
      </c>
      <c r="N424" s="6" t="s">
        <v>1203</v>
      </c>
      <c r="O424" s="6" t="s">
        <v>1205</v>
      </c>
      <c r="R424" s="101" t="s">
        <v>1443</v>
      </c>
      <c r="Y424" s="6" t="s">
        <v>1444</v>
      </c>
      <c r="Z424" s="6">
        <v>25</v>
      </c>
      <c r="AA424" s="6">
        <v>26</v>
      </c>
      <c r="AD424" s="6" t="s">
        <v>1203</v>
      </c>
      <c r="AE424" s="6" t="s">
        <v>1205</v>
      </c>
      <c r="AG424" s="6" t="s">
        <v>1445</v>
      </c>
      <c r="AY424" s="8" t="s">
        <v>176</v>
      </c>
      <c r="AZ424" s="8" t="s">
        <v>195</v>
      </c>
      <c r="BA424" s="13" t="s">
        <v>643</v>
      </c>
      <c r="BB424" s="13" t="s">
        <v>740</v>
      </c>
      <c r="BC424" s="13">
        <v>121</v>
      </c>
      <c r="BD424" s="13">
        <v>122</v>
      </c>
      <c r="DC424" s="6" t="s">
        <v>644</v>
      </c>
      <c r="DD424" s="6" t="s">
        <v>968</v>
      </c>
      <c r="DH424" s="6" t="str">
        <f t="shared" si="201"/>
        <v>A7</v>
      </c>
      <c r="DI424" s="6" t="str">
        <f t="shared" si="202"/>
        <v>B7</v>
      </c>
      <c r="DK424" s="6" t="s">
        <v>173</v>
      </c>
      <c r="DL424" s="6" t="str">
        <f t="shared" si="203"/>
        <v/>
      </c>
      <c r="DO424" s="9" t="s">
        <v>170</v>
      </c>
      <c r="DP424" s="6" t="s">
        <v>171</v>
      </c>
      <c r="DQ424" s="6" t="s">
        <v>645</v>
      </c>
      <c r="DR424" s="6" t="e">
        <f>#REF!&amp;RIGHT(#REF!,3)</f>
        <v>#REF!</v>
      </c>
      <c r="DS424" s="6" t="str">
        <f t="shared" si="204"/>
        <v>AKB331</v>
      </c>
      <c r="DT424" s="10" t="str">
        <f t="shared" si="205"/>
        <v>FCS0111-6-6/1S–MC–118-R7-CN1</v>
      </c>
      <c r="DU424" s="6" t="str">
        <f t="shared" si="206"/>
        <v/>
      </c>
      <c r="DV424" s="19">
        <v>1</v>
      </c>
      <c r="DW424" s="20" t="str">
        <f t="shared" si="207"/>
        <v>11</v>
      </c>
      <c r="DX424" s="20">
        <v>6</v>
      </c>
      <c r="DY424" s="21">
        <v>6</v>
      </c>
      <c r="DZ424" s="22" t="s">
        <v>204</v>
      </c>
      <c r="EA424" s="23">
        <v>7</v>
      </c>
      <c r="EB424" s="7">
        <v>23</v>
      </c>
      <c r="EE424" s="9" t="s">
        <v>693</v>
      </c>
      <c r="EF424" s="6" t="s">
        <v>647</v>
      </c>
      <c r="EG424" s="6" t="s">
        <v>647</v>
      </c>
      <c r="EH424" s="6" t="s">
        <v>975</v>
      </c>
      <c r="EI424" s="6" t="s">
        <v>976</v>
      </c>
      <c r="EJ424" s="12">
        <v>10</v>
      </c>
      <c r="EK424" s="12"/>
      <c r="EM424" s="12"/>
      <c r="EN424" s="12" t="s">
        <v>1126</v>
      </c>
      <c r="ET424" s="6" t="str">
        <f t="shared" si="208"/>
        <v>짝수</v>
      </c>
      <c r="EU424" s="12">
        <v>96</v>
      </c>
      <c r="EV424" s="45" t="str">
        <f t="shared" ca="1" si="213"/>
        <v>B</v>
      </c>
      <c r="EW424" s="6">
        <f t="shared" ca="1" si="209"/>
        <v>66</v>
      </c>
      <c r="FO424" s="6"/>
      <c r="FP424" s="11"/>
      <c r="FR424" s="6">
        <v>1</v>
      </c>
      <c r="FS424" s="6" t="str">
        <f t="shared" si="210"/>
        <v/>
      </c>
      <c r="FT424" s="6">
        <f t="shared" si="211"/>
        <v>1</v>
      </c>
      <c r="FU424" s="6" t="str">
        <f t="shared" ca="1" si="214"/>
        <v/>
      </c>
      <c r="FV424" s="6" t="str">
        <f t="shared" ca="1" si="212"/>
        <v/>
      </c>
      <c r="FW424" s="6" t="str">
        <f t="shared" ca="1" si="223"/>
        <v>R7-11</v>
      </c>
      <c r="FX424" s="6" t="str">
        <f t="shared" ca="1" si="224"/>
        <v>R7-12</v>
      </c>
      <c r="FY424" s="6" t="str">
        <f t="shared" ca="1" si="225"/>
        <v>R7-21</v>
      </c>
      <c r="FZ424" s="6" t="str">
        <f t="shared" ca="1" si="226"/>
        <v>R7-22</v>
      </c>
    </row>
    <row r="425" spans="1:182" ht="15.95" customHeight="1">
      <c r="A425" s="6">
        <v>697</v>
      </c>
      <c r="B425" s="6" t="s">
        <v>694</v>
      </c>
      <c r="E425" s="6" t="s">
        <v>978</v>
      </c>
      <c r="F425" s="6" t="s">
        <v>1692</v>
      </c>
      <c r="G425" s="6" t="s">
        <v>1290</v>
      </c>
      <c r="H425" s="7" t="s">
        <v>1291</v>
      </c>
      <c r="I425" s="7"/>
      <c r="J425" s="6" t="s">
        <v>1199</v>
      </c>
      <c r="K425" s="6" t="s">
        <v>1201</v>
      </c>
      <c r="N425" s="6" t="s">
        <v>1203</v>
      </c>
      <c r="O425" s="6" t="s">
        <v>1205</v>
      </c>
      <c r="R425" s="101" t="s">
        <v>1220</v>
      </c>
      <c r="Y425" s="6" t="s">
        <v>1524</v>
      </c>
      <c r="Z425" s="6">
        <v>41</v>
      </c>
      <c r="AA425" s="6">
        <v>42</v>
      </c>
      <c r="AD425" s="6" t="s">
        <v>1203</v>
      </c>
      <c r="AE425" s="6" t="s">
        <v>1205</v>
      </c>
      <c r="AG425" s="6" t="s">
        <v>1525</v>
      </c>
      <c r="AY425" s="8" t="s">
        <v>176</v>
      </c>
      <c r="AZ425" s="8" t="s">
        <v>195</v>
      </c>
      <c r="BA425" s="13" t="s">
        <v>643</v>
      </c>
      <c r="BB425" s="13" t="s">
        <v>740</v>
      </c>
      <c r="BC425" s="13">
        <v>39</v>
      </c>
      <c r="BD425" s="13">
        <v>40</v>
      </c>
      <c r="DC425" s="6" t="s">
        <v>644</v>
      </c>
      <c r="DD425" s="6" t="s">
        <v>968</v>
      </c>
      <c r="DH425" s="6" t="str">
        <f t="shared" si="201"/>
        <v>A9</v>
      </c>
      <c r="DI425" s="6" t="str">
        <f t="shared" si="202"/>
        <v>B9</v>
      </c>
      <c r="DK425" s="6" t="s">
        <v>173</v>
      </c>
      <c r="DL425" s="6" t="str">
        <f t="shared" si="203"/>
        <v/>
      </c>
      <c r="DO425" s="9" t="s">
        <v>170</v>
      </c>
      <c r="DP425" s="6" t="s">
        <v>171</v>
      </c>
      <c r="DQ425" s="6" t="s">
        <v>645</v>
      </c>
      <c r="DR425" s="6" t="e">
        <f>#REF!&amp;RIGHT(#REF!,3)</f>
        <v>#REF!</v>
      </c>
      <c r="DS425" s="6" t="str">
        <f t="shared" si="204"/>
        <v>AKB331</v>
      </c>
      <c r="DT425" s="10" t="str">
        <f t="shared" si="205"/>
        <v>FCS0111-6-6/1S–MC–118-R7-CN1</v>
      </c>
      <c r="DU425" s="6" t="str">
        <f t="shared" si="206"/>
        <v/>
      </c>
      <c r="DV425" s="19">
        <v>1</v>
      </c>
      <c r="DW425" s="20" t="str">
        <f t="shared" si="207"/>
        <v>11</v>
      </c>
      <c r="DX425" s="20">
        <v>6</v>
      </c>
      <c r="DY425" s="21">
        <v>6</v>
      </c>
      <c r="DZ425" s="22" t="s">
        <v>204</v>
      </c>
      <c r="EA425" s="23">
        <v>9</v>
      </c>
      <c r="EB425" s="7">
        <v>25</v>
      </c>
      <c r="EE425" s="9" t="s">
        <v>693</v>
      </c>
      <c r="EF425" s="6" t="s">
        <v>647</v>
      </c>
      <c r="EG425" s="6" t="s">
        <v>647</v>
      </c>
      <c r="EH425" s="6" t="s">
        <v>978</v>
      </c>
      <c r="EI425" s="6" t="s">
        <v>413</v>
      </c>
      <c r="EJ425" s="12">
        <v>100</v>
      </c>
      <c r="EL425" s="6"/>
      <c r="EM425" s="12"/>
      <c r="EN425" s="6" t="s">
        <v>1123</v>
      </c>
      <c r="EP425" s="6" t="s">
        <v>1161</v>
      </c>
      <c r="ET425" s="6" t="str">
        <f t="shared" si="208"/>
        <v>짝수</v>
      </c>
      <c r="EU425" s="12">
        <v>96</v>
      </c>
      <c r="EV425" s="45" t="str">
        <f t="shared" ca="1" si="213"/>
        <v>C</v>
      </c>
      <c r="EW425" s="6">
        <f t="shared" ca="1" si="209"/>
        <v>67</v>
      </c>
      <c r="FO425" s="6"/>
      <c r="FP425" s="11"/>
      <c r="FR425" s="6">
        <v>1</v>
      </c>
      <c r="FS425" s="6" t="str">
        <f t="shared" si="210"/>
        <v/>
      </c>
      <c r="FT425" s="6">
        <f t="shared" si="211"/>
        <v>1</v>
      </c>
      <c r="FU425" s="6" t="str">
        <f t="shared" ca="1" si="214"/>
        <v/>
      </c>
      <c r="FV425" s="6" t="str">
        <f t="shared" ca="1" si="212"/>
        <v/>
      </c>
      <c r="FW425" s="6" t="str">
        <f t="shared" ca="1" si="223"/>
        <v>R7-11</v>
      </c>
      <c r="FX425" s="6" t="str">
        <f t="shared" ca="1" si="224"/>
        <v>R7-12</v>
      </c>
      <c r="FY425" s="6" t="str">
        <f t="shared" ca="1" si="225"/>
        <v>R7-21</v>
      </c>
      <c r="FZ425" s="6" t="str">
        <f t="shared" ca="1" si="226"/>
        <v>R7-22</v>
      </c>
    </row>
    <row r="426" spans="1:182" ht="15.95" customHeight="1">
      <c r="A426" s="6">
        <v>698</v>
      </c>
      <c r="B426" s="6" t="s">
        <v>694</v>
      </c>
      <c r="E426" s="6" t="s">
        <v>979</v>
      </c>
      <c r="F426" s="6" t="s">
        <v>1693</v>
      </c>
      <c r="G426" s="6" t="s">
        <v>1290</v>
      </c>
      <c r="H426" s="7" t="s">
        <v>1291</v>
      </c>
      <c r="I426" s="7"/>
      <c r="J426" s="6" t="s">
        <v>1199</v>
      </c>
      <c r="K426" s="6" t="s">
        <v>1201</v>
      </c>
      <c r="N426" s="6" t="s">
        <v>1203</v>
      </c>
      <c r="O426" s="6" t="s">
        <v>1205</v>
      </c>
      <c r="R426" s="101" t="s">
        <v>1220</v>
      </c>
      <c r="Y426" s="6" t="s">
        <v>1524</v>
      </c>
      <c r="Z426" s="6">
        <v>43</v>
      </c>
      <c r="AA426" s="6">
        <v>44</v>
      </c>
      <c r="AD426" s="6" t="s">
        <v>1203</v>
      </c>
      <c r="AE426" s="6" t="s">
        <v>1205</v>
      </c>
      <c r="AG426" s="6" t="s">
        <v>1525</v>
      </c>
      <c r="AY426" s="8" t="s">
        <v>176</v>
      </c>
      <c r="AZ426" s="8" t="s">
        <v>195</v>
      </c>
      <c r="BA426" s="13" t="s">
        <v>643</v>
      </c>
      <c r="BB426" s="13" t="s">
        <v>740</v>
      </c>
      <c r="BC426" s="13">
        <v>41</v>
      </c>
      <c r="BD426" s="13">
        <v>42</v>
      </c>
      <c r="DC426" s="6" t="s">
        <v>644</v>
      </c>
      <c r="DD426" s="6" t="s">
        <v>968</v>
      </c>
      <c r="DH426" s="6" t="str">
        <f t="shared" si="201"/>
        <v>A10</v>
      </c>
      <c r="DI426" s="6" t="str">
        <f t="shared" si="202"/>
        <v>B10</v>
      </c>
      <c r="DK426" s="6" t="s">
        <v>173</v>
      </c>
      <c r="DL426" s="6" t="str">
        <f t="shared" si="203"/>
        <v/>
      </c>
      <c r="DO426" s="9" t="s">
        <v>170</v>
      </c>
      <c r="DP426" s="6" t="s">
        <v>171</v>
      </c>
      <c r="DQ426" s="6" t="s">
        <v>645</v>
      </c>
      <c r="DR426" s="6" t="e">
        <f>#REF!&amp;RIGHT(#REF!,3)</f>
        <v>#REF!</v>
      </c>
      <c r="DS426" s="6" t="str">
        <f t="shared" si="204"/>
        <v>AKB331</v>
      </c>
      <c r="DT426" s="10" t="str">
        <f t="shared" si="205"/>
        <v>FCS0111-6-6/1S–MC–118-R7-CN1</v>
      </c>
      <c r="DU426" s="6" t="str">
        <f t="shared" si="206"/>
        <v/>
      </c>
      <c r="DV426" s="19">
        <v>1</v>
      </c>
      <c r="DW426" s="20" t="str">
        <f t="shared" si="207"/>
        <v>11</v>
      </c>
      <c r="DX426" s="20">
        <v>6</v>
      </c>
      <c r="DY426" s="21">
        <v>6</v>
      </c>
      <c r="DZ426" s="22" t="s">
        <v>204</v>
      </c>
      <c r="EA426" s="23">
        <v>10</v>
      </c>
      <c r="EB426" s="7">
        <v>26</v>
      </c>
      <c r="EE426" s="9" t="s">
        <v>693</v>
      </c>
      <c r="EF426" s="6" t="s">
        <v>647</v>
      </c>
      <c r="EG426" s="6" t="s">
        <v>647</v>
      </c>
      <c r="EH426" s="6" t="s">
        <v>979</v>
      </c>
      <c r="EI426" s="6" t="s">
        <v>413</v>
      </c>
      <c r="EJ426" s="12">
        <v>100</v>
      </c>
      <c r="EL426" s="6"/>
      <c r="EM426" s="12"/>
      <c r="EN426" s="6" t="s">
        <v>1123</v>
      </c>
      <c r="EP426" s="6" t="s">
        <v>1161</v>
      </c>
      <c r="ET426" s="6" t="str">
        <f t="shared" si="208"/>
        <v>짝수</v>
      </c>
      <c r="EU426" s="12">
        <v>96</v>
      </c>
      <c r="EV426" s="45" t="str">
        <f t="shared" ca="1" si="213"/>
        <v>D</v>
      </c>
      <c r="EW426" s="6">
        <f t="shared" ca="1" si="209"/>
        <v>68</v>
      </c>
      <c r="FO426" s="6"/>
      <c r="FP426" s="11"/>
      <c r="FR426" s="6">
        <v>1</v>
      </c>
      <c r="FS426" s="6" t="str">
        <f t="shared" si="210"/>
        <v/>
      </c>
      <c r="FT426" s="6">
        <f t="shared" si="211"/>
        <v>1</v>
      </c>
      <c r="FU426" s="6" t="str">
        <f t="shared" ca="1" si="214"/>
        <v/>
      </c>
      <c r="FV426" s="6" t="str">
        <f t="shared" ca="1" si="212"/>
        <v/>
      </c>
      <c r="FW426" s="6" t="str">
        <f t="shared" ca="1" si="223"/>
        <v>R7-11</v>
      </c>
      <c r="FX426" s="6" t="str">
        <f t="shared" ca="1" si="224"/>
        <v>R7-12</v>
      </c>
      <c r="FY426" s="6" t="str">
        <f t="shared" ca="1" si="225"/>
        <v>R7-21</v>
      </c>
      <c r="FZ426" s="6" t="str">
        <f t="shared" ca="1" si="226"/>
        <v>R7-22</v>
      </c>
    </row>
    <row r="427" spans="1:182" ht="15.95" customHeight="1">
      <c r="A427" s="6">
        <v>753</v>
      </c>
      <c r="B427" s="6" t="s">
        <v>694</v>
      </c>
      <c r="E427" s="6" t="s">
        <v>593</v>
      </c>
      <c r="F427" s="6" t="s">
        <v>1694</v>
      </c>
      <c r="G427" s="6" t="s">
        <v>1218</v>
      </c>
      <c r="H427" s="7" t="s">
        <v>1219</v>
      </c>
      <c r="I427" s="7"/>
      <c r="J427" s="6" t="s">
        <v>1199</v>
      </c>
      <c r="K427" s="6" t="s">
        <v>1201</v>
      </c>
      <c r="N427" s="6" t="s">
        <v>1203</v>
      </c>
      <c r="O427" s="6" t="s">
        <v>1205</v>
      </c>
      <c r="R427" s="101" t="s">
        <v>1220</v>
      </c>
      <c r="Y427" s="6" t="s">
        <v>1317</v>
      </c>
      <c r="Z427" s="6">
        <v>19</v>
      </c>
      <c r="AA427" s="6">
        <v>20</v>
      </c>
      <c r="AD427" s="6" t="s">
        <v>1203</v>
      </c>
      <c r="AE427" s="6" t="s">
        <v>1205</v>
      </c>
      <c r="AG427" s="6" t="s">
        <v>1318</v>
      </c>
      <c r="AY427" s="8" t="s">
        <v>176</v>
      </c>
      <c r="AZ427" s="8" t="s">
        <v>195</v>
      </c>
      <c r="BA427" s="13" t="s">
        <v>197</v>
      </c>
      <c r="BB427" s="13" t="s">
        <v>7</v>
      </c>
      <c r="BC427" s="13">
        <v>171</v>
      </c>
      <c r="BD427" s="13">
        <v>172</v>
      </c>
      <c r="DC427" s="6" t="s">
        <v>169</v>
      </c>
      <c r="DD427" s="6" t="s">
        <v>203</v>
      </c>
      <c r="DH427" s="6" t="str">
        <f t="shared" ref="DH427:DH438" si="227">"A"&amp;EA427</f>
        <v>A1</v>
      </c>
      <c r="DI427" s="6" t="str">
        <f t="shared" ref="DI427:DI438" si="228">"B"&amp;EA427</f>
        <v>B1</v>
      </c>
      <c r="DK427" s="6" t="s">
        <v>173</v>
      </c>
      <c r="DL427" s="6" t="str">
        <f t="shared" ref="DL427:DL438" si="229">IF(DZ427&lt;&gt;"","CN2","")</f>
        <v/>
      </c>
      <c r="DO427" s="9" t="s">
        <v>170</v>
      </c>
      <c r="DP427" s="6" t="s">
        <v>171</v>
      </c>
      <c r="DQ427" s="6" t="s">
        <v>645</v>
      </c>
      <c r="DR427" s="6" t="e">
        <f>#REF!&amp;RIGHT(#REF!,3)</f>
        <v>#REF!</v>
      </c>
      <c r="DS427" s="6" t="str">
        <f t="shared" ref="DS427:DS437" si="230">IF(MID(EF427,2,1)="A","KS1","AKB331")</f>
        <v>KS1</v>
      </c>
      <c r="DT427" s="10" t="str">
        <f t="shared" ref="DT427:DT437" si="231">DQ427&amp;"-"&amp;DX427&amp;"-"&amp;DY427&amp;"/"&amp;BA427&amp;"-"&amp;DD427&amp;"-"&amp;DK427</f>
        <v>FCS0111-7-1/1S–MC–107-F15-CN1</v>
      </c>
      <c r="DU427" s="6" t="str">
        <f t="shared" ref="DU427:DU437" si="232">IF(DL427="","",DQ427&amp;"-"&amp;DX427&amp;"-"&amp;DY427&amp;"/"&amp;BA427&amp;"-"&amp;DD427&amp;"-"&amp;DL427)</f>
        <v/>
      </c>
      <c r="DV427" s="19">
        <v>1</v>
      </c>
      <c r="DW427" s="20" t="str">
        <f t="shared" ref="DW427:DW437" si="233">RIGHT(DQ427,2)</f>
        <v>11</v>
      </c>
      <c r="DX427" s="20">
        <v>7</v>
      </c>
      <c r="DY427" s="21">
        <v>1</v>
      </c>
      <c r="DZ427" s="22" t="s">
        <v>204</v>
      </c>
      <c r="EA427" s="23">
        <v>1</v>
      </c>
      <c r="EB427" s="7">
        <v>17</v>
      </c>
      <c r="EC427" s="6">
        <v>1</v>
      </c>
      <c r="EE427" s="9" t="s">
        <v>693</v>
      </c>
      <c r="EF427" s="6" t="s">
        <v>172</v>
      </c>
      <c r="EG427" s="6" t="s">
        <v>647</v>
      </c>
      <c r="EH427" s="6" t="s">
        <v>328</v>
      </c>
      <c r="EI427" s="6" t="s">
        <v>445</v>
      </c>
      <c r="EJ427" s="12">
        <v>100</v>
      </c>
      <c r="EL427" s="6"/>
      <c r="EM427" s="12"/>
      <c r="EN427" s="6" t="s">
        <v>1124</v>
      </c>
      <c r="EP427" s="6" t="s">
        <v>1161</v>
      </c>
      <c r="ET427" s="6" t="str">
        <f t="shared" si="208"/>
        <v>홀수</v>
      </c>
      <c r="EU427" s="12">
        <v>97</v>
      </c>
      <c r="EV427" s="45" t="str">
        <f t="shared" ca="1" si="213"/>
        <v>A</v>
      </c>
      <c r="EW427" s="6">
        <f t="shared" ca="1" si="209"/>
        <v>65</v>
      </c>
      <c r="FO427" s="6"/>
      <c r="FP427" s="11"/>
      <c r="FR427" s="6">
        <v>1</v>
      </c>
      <c r="FS427" s="6" t="str">
        <f t="shared" si="210"/>
        <v/>
      </c>
      <c r="FT427" s="6" t="str">
        <f t="shared" si="211"/>
        <v/>
      </c>
      <c r="FU427" s="6" t="str">
        <f t="shared" ca="1" si="214"/>
        <v/>
      </c>
      <c r="FV427" s="6" t="str">
        <f t="shared" ca="1" si="212"/>
        <v/>
      </c>
      <c r="FW427" s="6" t="str">
        <f t="shared" ca="1" si="223"/>
        <v/>
      </c>
      <c r="FX427" s="6" t="str">
        <f t="shared" ca="1" si="224"/>
        <v/>
      </c>
      <c r="FY427" s="6" t="str">
        <f t="shared" ca="1" si="225"/>
        <v/>
      </c>
      <c r="FZ427" s="6" t="str">
        <f t="shared" ca="1" si="226"/>
        <v/>
      </c>
    </row>
    <row r="428" spans="1:182" ht="15.95" customHeight="1">
      <c r="A428" s="6">
        <v>754</v>
      </c>
      <c r="B428" s="6" t="s">
        <v>694</v>
      </c>
      <c r="E428" s="13" t="s">
        <v>594</v>
      </c>
      <c r="F428" s="6" t="s">
        <v>1695</v>
      </c>
      <c r="G428" s="6" t="s">
        <v>1218</v>
      </c>
      <c r="H428" s="7" t="s">
        <v>1219</v>
      </c>
      <c r="I428" s="7"/>
      <c r="J428" s="6" t="s">
        <v>1199</v>
      </c>
      <c r="K428" s="6" t="s">
        <v>1201</v>
      </c>
      <c r="N428" s="6" t="s">
        <v>1203</v>
      </c>
      <c r="O428" s="6" t="s">
        <v>1205</v>
      </c>
      <c r="R428" s="101" t="s">
        <v>1220</v>
      </c>
      <c r="Y428" s="6" t="s">
        <v>1221</v>
      </c>
      <c r="Z428" s="6">
        <v>17</v>
      </c>
      <c r="AA428" s="6">
        <v>18</v>
      </c>
      <c r="AD428" s="6" t="s">
        <v>1203</v>
      </c>
      <c r="AE428" s="6" t="s">
        <v>1205</v>
      </c>
      <c r="AG428" s="6" t="s">
        <v>1222</v>
      </c>
      <c r="AY428" s="8" t="s">
        <v>176</v>
      </c>
      <c r="AZ428" s="8" t="s">
        <v>195</v>
      </c>
      <c r="BA428" s="13" t="s">
        <v>197</v>
      </c>
      <c r="BB428" s="13" t="s">
        <v>7</v>
      </c>
      <c r="BC428" s="13">
        <v>125</v>
      </c>
      <c r="BD428" s="13">
        <v>126</v>
      </c>
      <c r="DC428" s="6" t="s">
        <v>169</v>
      </c>
      <c r="DD428" s="6" t="s">
        <v>203</v>
      </c>
      <c r="DH428" s="6" t="str">
        <f t="shared" si="227"/>
        <v>A2</v>
      </c>
      <c r="DI428" s="6" t="str">
        <f t="shared" si="228"/>
        <v>B2</v>
      </c>
      <c r="DK428" s="6" t="s">
        <v>173</v>
      </c>
      <c r="DL428" s="6" t="str">
        <f t="shared" si="229"/>
        <v/>
      </c>
      <c r="DO428" s="9" t="s">
        <v>170</v>
      </c>
      <c r="DP428" s="6" t="s">
        <v>171</v>
      </c>
      <c r="DQ428" s="6" t="s">
        <v>645</v>
      </c>
      <c r="DR428" s="6" t="e">
        <f>#REF!&amp;RIGHT(#REF!,3)</f>
        <v>#REF!</v>
      </c>
      <c r="DS428" s="6" t="str">
        <f t="shared" si="230"/>
        <v>KS1</v>
      </c>
      <c r="DT428" s="10" t="str">
        <f t="shared" si="231"/>
        <v>FCS0111-7-1/1S–MC–107-F15-CN1</v>
      </c>
      <c r="DU428" s="6" t="str">
        <f t="shared" si="232"/>
        <v/>
      </c>
      <c r="DV428" s="19">
        <v>1</v>
      </c>
      <c r="DW428" s="20" t="str">
        <f t="shared" si="233"/>
        <v>11</v>
      </c>
      <c r="DX428" s="20">
        <v>7</v>
      </c>
      <c r="DY428" s="21">
        <v>1</v>
      </c>
      <c r="DZ428" s="22" t="s">
        <v>204</v>
      </c>
      <c r="EA428" s="23">
        <v>2</v>
      </c>
      <c r="EB428" s="7">
        <v>18</v>
      </c>
      <c r="EC428" s="6">
        <v>1</v>
      </c>
      <c r="EE428" s="9" t="s">
        <v>693</v>
      </c>
      <c r="EF428" s="6" t="s">
        <v>172</v>
      </c>
      <c r="EG428" s="6" t="s">
        <v>647</v>
      </c>
      <c r="EH428" s="6" t="s">
        <v>329</v>
      </c>
      <c r="EI428" s="6" t="s">
        <v>199</v>
      </c>
      <c r="EJ428" s="12">
        <v>100</v>
      </c>
      <c r="EL428" s="6"/>
      <c r="EM428" s="12"/>
      <c r="EN428" s="6" t="s">
        <v>1124</v>
      </c>
      <c r="EP428" s="6" t="s">
        <v>1148</v>
      </c>
      <c r="ET428" s="6" t="str">
        <f t="shared" si="208"/>
        <v>홀수</v>
      </c>
      <c r="EU428" s="12">
        <v>97</v>
      </c>
      <c r="EV428" s="45" t="str">
        <f t="shared" ca="1" si="213"/>
        <v>B</v>
      </c>
      <c r="EW428" s="6">
        <f t="shared" ca="1" si="209"/>
        <v>66</v>
      </c>
      <c r="FO428" s="6"/>
      <c r="FP428" s="11"/>
      <c r="FR428" s="6">
        <v>1</v>
      </c>
      <c r="FS428" s="6" t="str">
        <f t="shared" si="210"/>
        <v/>
      </c>
      <c r="FT428" s="6" t="str">
        <f t="shared" si="211"/>
        <v/>
      </c>
      <c r="FU428" s="6" t="str">
        <f t="shared" ca="1" si="214"/>
        <v/>
      </c>
      <c r="FV428" s="6" t="str">
        <f t="shared" ca="1" si="212"/>
        <v/>
      </c>
      <c r="FW428" s="6" t="str">
        <f t="shared" ca="1" si="223"/>
        <v/>
      </c>
      <c r="FX428" s="6" t="str">
        <f t="shared" ca="1" si="224"/>
        <v/>
      </c>
      <c r="FY428" s="6" t="str">
        <f t="shared" ca="1" si="225"/>
        <v/>
      </c>
      <c r="FZ428" s="6" t="str">
        <f t="shared" ca="1" si="226"/>
        <v/>
      </c>
    </row>
    <row r="429" spans="1:182" ht="15.95" customHeight="1">
      <c r="A429" s="6">
        <v>757</v>
      </c>
      <c r="B429" s="6" t="s">
        <v>694</v>
      </c>
      <c r="E429" s="6" t="s">
        <v>597</v>
      </c>
      <c r="F429" s="6" t="s">
        <v>1696</v>
      </c>
      <c r="G429" s="6" t="s">
        <v>1218</v>
      </c>
      <c r="H429" s="7" t="s">
        <v>1219</v>
      </c>
      <c r="I429" s="7"/>
      <c r="J429" s="6" t="s">
        <v>1199</v>
      </c>
      <c r="K429" s="6" t="s">
        <v>1201</v>
      </c>
      <c r="N429" s="6" t="s">
        <v>1203</v>
      </c>
      <c r="O429" s="6" t="s">
        <v>1205</v>
      </c>
      <c r="R429" s="101" t="s">
        <v>1220</v>
      </c>
      <c r="Y429" s="6" t="s">
        <v>1317</v>
      </c>
      <c r="Z429" s="6">
        <v>39</v>
      </c>
      <c r="AA429" s="6">
        <v>40</v>
      </c>
      <c r="AD429" s="6" t="s">
        <v>1203</v>
      </c>
      <c r="AE429" s="6" t="s">
        <v>1205</v>
      </c>
      <c r="AG429" s="6" t="s">
        <v>1353</v>
      </c>
      <c r="AY429" s="8" t="s">
        <v>176</v>
      </c>
      <c r="AZ429" s="8" t="s">
        <v>195</v>
      </c>
      <c r="BA429" s="13" t="s">
        <v>197</v>
      </c>
      <c r="BB429" s="13" t="s">
        <v>8</v>
      </c>
      <c r="BC429" s="13">
        <v>11</v>
      </c>
      <c r="BD429" s="13">
        <v>12</v>
      </c>
      <c r="DC429" s="6" t="s">
        <v>169</v>
      </c>
      <c r="DD429" s="6" t="s">
        <v>203</v>
      </c>
      <c r="DH429" s="6" t="str">
        <f t="shared" si="227"/>
        <v>A5</v>
      </c>
      <c r="DI429" s="6" t="str">
        <f t="shared" si="228"/>
        <v>B5</v>
      </c>
      <c r="DK429" s="6" t="s">
        <v>173</v>
      </c>
      <c r="DL429" s="6" t="str">
        <f t="shared" si="229"/>
        <v/>
      </c>
      <c r="DO429" s="9" t="s">
        <v>170</v>
      </c>
      <c r="DP429" s="6" t="s">
        <v>171</v>
      </c>
      <c r="DQ429" s="6" t="s">
        <v>645</v>
      </c>
      <c r="DR429" s="6" t="e">
        <f>#REF!&amp;RIGHT(#REF!,3)</f>
        <v>#REF!</v>
      </c>
      <c r="DS429" s="6" t="str">
        <f t="shared" si="230"/>
        <v>KS1</v>
      </c>
      <c r="DT429" s="10" t="str">
        <f t="shared" si="231"/>
        <v>FCS0111-7-1/1S–MC–107-F15-CN1</v>
      </c>
      <c r="DU429" s="6" t="str">
        <f t="shared" si="232"/>
        <v/>
      </c>
      <c r="DV429" s="19">
        <v>1</v>
      </c>
      <c r="DW429" s="20" t="str">
        <f t="shared" si="233"/>
        <v>11</v>
      </c>
      <c r="DX429" s="20">
        <v>7</v>
      </c>
      <c r="DY429" s="21">
        <v>1</v>
      </c>
      <c r="DZ429" s="22" t="s">
        <v>204</v>
      </c>
      <c r="EA429" s="23">
        <v>5</v>
      </c>
      <c r="EB429" s="7">
        <v>21</v>
      </c>
      <c r="EC429" s="6">
        <v>1</v>
      </c>
      <c r="EE429" s="9" t="s">
        <v>693</v>
      </c>
      <c r="EF429" s="6" t="s">
        <v>172</v>
      </c>
      <c r="EG429" s="6" t="s">
        <v>647</v>
      </c>
      <c r="EH429" s="6" t="s">
        <v>332</v>
      </c>
      <c r="EI429" s="6" t="s">
        <v>446</v>
      </c>
      <c r="EJ429" s="12">
        <v>100</v>
      </c>
      <c r="EL429" s="6"/>
      <c r="EM429" s="12"/>
      <c r="EN429" s="6" t="s">
        <v>1124</v>
      </c>
      <c r="EP429" s="6" t="s">
        <v>1148</v>
      </c>
      <c r="ET429" s="6" t="str">
        <f t="shared" si="208"/>
        <v>홀수</v>
      </c>
      <c r="EU429" s="12">
        <v>97</v>
      </c>
      <c r="EV429" s="45" t="str">
        <f t="shared" ca="1" si="213"/>
        <v>C</v>
      </c>
      <c r="EW429" s="6">
        <f t="shared" ca="1" si="209"/>
        <v>67</v>
      </c>
      <c r="FO429" s="6"/>
      <c r="FP429" s="11"/>
      <c r="FR429" s="6">
        <v>1</v>
      </c>
      <c r="FS429" s="6" t="str">
        <f t="shared" si="210"/>
        <v/>
      </c>
      <c r="FT429" s="6" t="str">
        <f t="shared" si="211"/>
        <v/>
      </c>
      <c r="FU429" s="6" t="str">
        <f t="shared" ca="1" si="214"/>
        <v/>
      </c>
      <c r="FV429" s="6" t="str">
        <f t="shared" ca="1" si="212"/>
        <v/>
      </c>
      <c r="FW429" s="6" t="str">
        <f t="shared" ca="1" si="223"/>
        <v/>
      </c>
      <c r="FX429" s="6" t="str">
        <f t="shared" ca="1" si="224"/>
        <v/>
      </c>
      <c r="FY429" s="6" t="str">
        <f t="shared" ca="1" si="225"/>
        <v/>
      </c>
      <c r="FZ429" s="6" t="str">
        <f t="shared" ca="1" si="226"/>
        <v/>
      </c>
    </row>
    <row r="430" spans="1:182" ht="15.95" customHeight="1">
      <c r="A430" s="6">
        <v>758</v>
      </c>
      <c r="B430" s="6" t="s">
        <v>694</v>
      </c>
      <c r="E430" s="6" t="s">
        <v>598</v>
      </c>
      <c r="F430" s="6" t="s">
        <v>1697</v>
      </c>
      <c r="G430" s="6" t="s">
        <v>1218</v>
      </c>
      <c r="H430" s="7" t="s">
        <v>1219</v>
      </c>
      <c r="I430" s="7"/>
      <c r="J430" s="6" t="s">
        <v>1199</v>
      </c>
      <c r="K430" s="6" t="s">
        <v>1201</v>
      </c>
      <c r="N430" s="6" t="s">
        <v>1203</v>
      </c>
      <c r="O430" s="6" t="s">
        <v>1205</v>
      </c>
      <c r="R430" s="101" t="s">
        <v>1220</v>
      </c>
      <c r="Y430" s="6" t="s">
        <v>1698</v>
      </c>
      <c r="Z430" s="6">
        <v>41</v>
      </c>
      <c r="AA430" s="6">
        <v>42</v>
      </c>
      <c r="AD430" s="6" t="s">
        <v>1203</v>
      </c>
      <c r="AE430" s="6" t="s">
        <v>1205</v>
      </c>
      <c r="AG430" s="6" t="s">
        <v>1353</v>
      </c>
      <c r="AY430" s="8" t="s">
        <v>176</v>
      </c>
      <c r="AZ430" s="8" t="s">
        <v>195</v>
      </c>
      <c r="BA430" s="13" t="s">
        <v>197</v>
      </c>
      <c r="BB430" s="13" t="s">
        <v>8</v>
      </c>
      <c r="BC430" s="13">
        <v>13</v>
      </c>
      <c r="BD430" s="13">
        <v>14</v>
      </c>
      <c r="DC430" s="6" t="s">
        <v>169</v>
      </c>
      <c r="DD430" s="6" t="s">
        <v>203</v>
      </c>
      <c r="DH430" s="6" t="str">
        <f t="shared" si="227"/>
        <v>A6</v>
      </c>
      <c r="DI430" s="6" t="str">
        <f t="shared" si="228"/>
        <v>B6</v>
      </c>
      <c r="DK430" s="6" t="s">
        <v>173</v>
      </c>
      <c r="DL430" s="6" t="str">
        <f t="shared" si="229"/>
        <v/>
      </c>
      <c r="DO430" s="9" t="s">
        <v>170</v>
      </c>
      <c r="DP430" s="6" t="s">
        <v>171</v>
      </c>
      <c r="DQ430" s="6" t="s">
        <v>645</v>
      </c>
      <c r="DR430" s="6" t="e">
        <f>#REF!&amp;RIGHT(#REF!,3)</f>
        <v>#REF!</v>
      </c>
      <c r="DS430" s="6" t="str">
        <f t="shared" si="230"/>
        <v>KS1</v>
      </c>
      <c r="DT430" s="10" t="str">
        <f t="shared" si="231"/>
        <v>FCS0111-7-1/1S–MC–107-F15-CN1</v>
      </c>
      <c r="DU430" s="6" t="str">
        <f t="shared" si="232"/>
        <v/>
      </c>
      <c r="DV430" s="19">
        <v>1</v>
      </c>
      <c r="DW430" s="20" t="str">
        <f t="shared" si="233"/>
        <v>11</v>
      </c>
      <c r="DX430" s="20">
        <v>7</v>
      </c>
      <c r="DY430" s="21">
        <v>1</v>
      </c>
      <c r="DZ430" s="22" t="s">
        <v>204</v>
      </c>
      <c r="EA430" s="23">
        <v>6</v>
      </c>
      <c r="EB430" s="7">
        <v>22</v>
      </c>
      <c r="EC430" s="6">
        <v>1</v>
      </c>
      <c r="EE430" s="9" t="s">
        <v>693</v>
      </c>
      <c r="EF430" s="6" t="s">
        <v>172</v>
      </c>
      <c r="EG430" s="6" t="s">
        <v>647</v>
      </c>
      <c r="EH430" s="6" t="s">
        <v>333</v>
      </c>
      <c r="EI430" s="6" t="s">
        <v>446</v>
      </c>
      <c r="EJ430" s="12">
        <v>100</v>
      </c>
      <c r="EL430" s="6"/>
      <c r="EM430" s="12"/>
      <c r="EN430" s="6" t="s">
        <v>1124</v>
      </c>
      <c r="EP430" s="6" t="s">
        <v>1148</v>
      </c>
      <c r="ET430" s="6" t="str">
        <f t="shared" si="208"/>
        <v>홀수</v>
      </c>
      <c r="EU430" s="12">
        <v>97</v>
      </c>
      <c r="EV430" s="45" t="str">
        <f t="shared" ca="1" si="213"/>
        <v>D</v>
      </c>
      <c r="EW430" s="6">
        <f t="shared" ca="1" si="209"/>
        <v>68</v>
      </c>
      <c r="FO430" s="6"/>
      <c r="FP430" s="11"/>
      <c r="FR430" s="6">
        <v>1</v>
      </c>
      <c r="FS430" s="6" t="str">
        <f t="shared" si="210"/>
        <v/>
      </c>
      <c r="FT430" s="6" t="str">
        <f t="shared" si="211"/>
        <v/>
      </c>
      <c r="FU430" s="6" t="str">
        <f t="shared" ca="1" si="214"/>
        <v/>
      </c>
      <c r="FV430" s="6" t="str">
        <f t="shared" ca="1" si="212"/>
        <v/>
      </c>
      <c r="FW430" s="6" t="str">
        <f t="shared" ca="1" si="223"/>
        <v/>
      </c>
      <c r="FX430" s="6" t="str">
        <f t="shared" ca="1" si="224"/>
        <v/>
      </c>
      <c r="FY430" s="6" t="str">
        <f t="shared" ca="1" si="225"/>
        <v/>
      </c>
      <c r="FZ430" s="6" t="str">
        <f t="shared" ca="1" si="226"/>
        <v/>
      </c>
    </row>
    <row r="431" spans="1:182" ht="15.95" customHeight="1">
      <c r="A431" s="6">
        <v>759</v>
      </c>
      <c r="B431" s="6" t="s">
        <v>694</v>
      </c>
      <c r="E431" s="6" t="s">
        <v>599</v>
      </c>
      <c r="F431" s="6" t="s">
        <v>1699</v>
      </c>
      <c r="G431" s="6" t="s">
        <v>1218</v>
      </c>
      <c r="H431" s="7" t="s">
        <v>1219</v>
      </c>
      <c r="I431" s="7"/>
      <c r="J431" s="6" t="s">
        <v>1199</v>
      </c>
      <c r="K431" s="6" t="s">
        <v>1201</v>
      </c>
      <c r="N431" s="6" t="s">
        <v>1203</v>
      </c>
      <c r="O431" s="6" t="s">
        <v>1205</v>
      </c>
      <c r="R431" s="101" t="s">
        <v>1220</v>
      </c>
      <c r="Y431" s="6" t="s">
        <v>1221</v>
      </c>
      <c r="Z431" s="6">
        <v>37</v>
      </c>
      <c r="AA431" s="6">
        <v>38</v>
      </c>
      <c r="AD431" s="6" t="s">
        <v>1203</v>
      </c>
      <c r="AE431" s="6" t="s">
        <v>1205</v>
      </c>
      <c r="AG431" s="6" t="s">
        <v>1355</v>
      </c>
      <c r="AY431" s="8" t="s">
        <v>176</v>
      </c>
      <c r="AZ431" s="8" t="s">
        <v>195</v>
      </c>
      <c r="BA431" s="13" t="s">
        <v>197</v>
      </c>
      <c r="BB431" s="13" t="s">
        <v>7</v>
      </c>
      <c r="BC431" s="13">
        <v>137</v>
      </c>
      <c r="BD431" s="13">
        <v>138</v>
      </c>
      <c r="DC431" s="6" t="s">
        <v>169</v>
      </c>
      <c r="DD431" s="6" t="s">
        <v>203</v>
      </c>
      <c r="DH431" s="6" t="str">
        <f t="shared" si="227"/>
        <v>A7</v>
      </c>
      <c r="DI431" s="6" t="str">
        <f t="shared" si="228"/>
        <v>B7</v>
      </c>
      <c r="DK431" s="6" t="s">
        <v>173</v>
      </c>
      <c r="DL431" s="6" t="str">
        <f t="shared" si="229"/>
        <v/>
      </c>
      <c r="DO431" s="9" t="s">
        <v>170</v>
      </c>
      <c r="DP431" s="6" t="s">
        <v>171</v>
      </c>
      <c r="DQ431" s="6" t="s">
        <v>645</v>
      </c>
      <c r="DR431" s="6" t="e">
        <f>#REF!&amp;RIGHT(#REF!,3)</f>
        <v>#REF!</v>
      </c>
      <c r="DS431" s="6" t="str">
        <f t="shared" si="230"/>
        <v>KS1</v>
      </c>
      <c r="DT431" s="10" t="str">
        <f t="shared" si="231"/>
        <v>FCS0111-7-1/1S–MC–107-F15-CN1</v>
      </c>
      <c r="DU431" s="6" t="str">
        <f t="shared" si="232"/>
        <v/>
      </c>
      <c r="DV431" s="19">
        <v>1</v>
      </c>
      <c r="DW431" s="20" t="str">
        <f t="shared" si="233"/>
        <v>11</v>
      </c>
      <c r="DX431" s="20">
        <v>7</v>
      </c>
      <c r="DY431" s="21">
        <v>1</v>
      </c>
      <c r="DZ431" s="22" t="s">
        <v>204</v>
      </c>
      <c r="EA431" s="23">
        <v>7</v>
      </c>
      <c r="EB431" s="7">
        <v>23</v>
      </c>
      <c r="EC431" s="6">
        <v>1</v>
      </c>
      <c r="EE431" s="9" t="s">
        <v>693</v>
      </c>
      <c r="EF431" s="6" t="s">
        <v>172</v>
      </c>
      <c r="EG431" s="6" t="s">
        <v>647</v>
      </c>
      <c r="EH431" s="6" t="s">
        <v>334</v>
      </c>
      <c r="EI431" s="6" t="s">
        <v>447</v>
      </c>
      <c r="EJ431" s="12">
        <v>100</v>
      </c>
      <c r="EL431" s="6"/>
      <c r="EM431" s="12"/>
      <c r="EN431" s="6" t="s">
        <v>1124</v>
      </c>
      <c r="EP431" s="6" t="s">
        <v>1148</v>
      </c>
      <c r="ET431" s="6" t="str">
        <f t="shared" si="208"/>
        <v>짝수</v>
      </c>
      <c r="EU431" s="12">
        <v>98</v>
      </c>
      <c r="EV431" s="45" t="str">
        <f t="shared" ca="1" si="213"/>
        <v>A</v>
      </c>
      <c r="EW431" s="6">
        <f t="shared" ca="1" si="209"/>
        <v>65</v>
      </c>
      <c r="FO431" s="6"/>
      <c r="FP431" s="11"/>
      <c r="FR431" s="6">
        <v>1</v>
      </c>
      <c r="FS431" s="6" t="str">
        <f t="shared" si="210"/>
        <v/>
      </c>
      <c r="FT431" s="6" t="str">
        <f t="shared" si="211"/>
        <v/>
      </c>
      <c r="FU431" s="6" t="str">
        <f t="shared" ca="1" si="214"/>
        <v/>
      </c>
      <c r="FV431" s="6" t="str">
        <f t="shared" ca="1" si="212"/>
        <v/>
      </c>
      <c r="FW431" s="6" t="str">
        <f t="shared" ca="1" si="223"/>
        <v/>
      </c>
      <c r="FX431" s="6" t="str">
        <f t="shared" ca="1" si="224"/>
        <v/>
      </c>
      <c r="FY431" s="6" t="str">
        <f t="shared" ca="1" si="225"/>
        <v/>
      </c>
      <c r="FZ431" s="6" t="str">
        <f t="shared" ca="1" si="226"/>
        <v/>
      </c>
    </row>
    <row r="432" spans="1:182" ht="15.95" customHeight="1">
      <c r="A432" s="6">
        <v>760</v>
      </c>
      <c r="B432" s="6" t="s">
        <v>694</v>
      </c>
      <c r="E432" s="6" t="s">
        <v>600</v>
      </c>
      <c r="F432" s="6" t="s">
        <v>1700</v>
      </c>
      <c r="G432" s="6" t="s">
        <v>1218</v>
      </c>
      <c r="H432" s="7" t="s">
        <v>1219</v>
      </c>
      <c r="I432" s="7"/>
      <c r="J432" s="6" t="s">
        <v>1199</v>
      </c>
      <c r="K432" s="6" t="s">
        <v>1201</v>
      </c>
      <c r="N432" s="6" t="s">
        <v>1203</v>
      </c>
      <c r="O432" s="6" t="s">
        <v>1205</v>
      </c>
      <c r="R432" s="101" t="s">
        <v>1220</v>
      </c>
      <c r="Y432" s="6" t="s">
        <v>1221</v>
      </c>
      <c r="Z432" s="6">
        <v>39</v>
      </c>
      <c r="AA432" s="6">
        <v>40</v>
      </c>
      <c r="AD432" s="6" t="s">
        <v>1203</v>
      </c>
      <c r="AE432" s="6" t="s">
        <v>1205</v>
      </c>
      <c r="AG432" s="6" t="s">
        <v>1355</v>
      </c>
      <c r="AY432" s="8" t="s">
        <v>176</v>
      </c>
      <c r="AZ432" s="8" t="s">
        <v>195</v>
      </c>
      <c r="BA432" s="13" t="s">
        <v>197</v>
      </c>
      <c r="BB432" s="13" t="s">
        <v>7</v>
      </c>
      <c r="BC432" s="13">
        <v>139</v>
      </c>
      <c r="BD432" s="13">
        <v>140</v>
      </c>
      <c r="DC432" s="6" t="s">
        <v>169</v>
      </c>
      <c r="DD432" s="6" t="s">
        <v>203</v>
      </c>
      <c r="DH432" s="6" t="str">
        <f t="shared" si="227"/>
        <v>A8</v>
      </c>
      <c r="DI432" s="6" t="str">
        <f t="shared" si="228"/>
        <v>B8</v>
      </c>
      <c r="DK432" s="6" t="s">
        <v>173</v>
      </c>
      <c r="DL432" s="6" t="str">
        <f t="shared" si="229"/>
        <v/>
      </c>
      <c r="DO432" s="9" t="s">
        <v>170</v>
      </c>
      <c r="DP432" s="6" t="s">
        <v>171</v>
      </c>
      <c r="DQ432" s="6" t="s">
        <v>645</v>
      </c>
      <c r="DR432" s="6" t="e">
        <f>#REF!&amp;RIGHT(#REF!,3)</f>
        <v>#REF!</v>
      </c>
      <c r="DS432" s="6" t="str">
        <f t="shared" si="230"/>
        <v>KS1</v>
      </c>
      <c r="DT432" s="10" t="str">
        <f t="shared" si="231"/>
        <v>FCS0111-7-1/1S–MC–107-F15-CN1</v>
      </c>
      <c r="DU432" s="6" t="str">
        <f t="shared" si="232"/>
        <v/>
      </c>
      <c r="DV432" s="19">
        <v>1</v>
      </c>
      <c r="DW432" s="20" t="str">
        <f t="shared" si="233"/>
        <v>11</v>
      </c>
      <c r="DX432" s="20">
        <v>7</v>
      </c>
      <c r="DY432" s="21">
        <v>1</v>
      </c>
      <c r="DZ432" s="22" t="s">
        <v>204</v>
      </c>
      <c r="EA432" s="23">
        <v>8</v>
      </c>
      <c r="EB432" s="7">
        <v>24</v>
      </c>
      <c r="EC432" s="6">
        <v>1</v>
      </c>
      <c r="EE432" s="9" t="s">
        <v>693</v>
      </c>
      <c r="EF432" s="6" t="s">
        <v>172</v>
      </c>
      <c r="EG432" s="6" t="s">
        <v>647</v>
      </c>
      <c r="EH432" s="6" t="s">
        <v>335</v>
      </c>
      <c r="EI432" s="6" t="s">
        <v>448</v>
      </c>
      <c r="EJ432" s="12">
        <v>100</v>
      </c>
      <c r="EL432" s="6"/>
      <c r="EM432" s="12"/>
      <c r="EN432" s="6" t="s">
        <v>1124</v>
      </c>
      <c r="EP432" s="6" t="s">
        <v>1148</v>
      </c>
      <c r="ET432" s="6" t="str">
        <f t="shared" si="208"/>
        <v>짝수</v>
      </c>
      <c r="EU432" s="12">
        <v>98</v>
      </c>
      <c r="EV432" s="45" t="str">
        <f t="shared" ca="1" si="213"/>
        <v>B</v>
      </c>
      <c r="EW432" s="6">
        <f t="shared" ca="1" si="209"/>
        <v>66</v>
      </c>
      <c r="FO432" s="6"/>
      <c r="FP432" s="11"/>
      <c r="FR432" s="6">
        <v>1</v>
      </c>
      <c r="FS432" s="6" t="str">
        <f t="shared" si="210"/>
        <v/>
      </c>
      <c r="FT432" s="6" t="str">
        <f t="shared" si="211"/>
        <v/>
      </c>
      <c r="FU432" s="6" t="str">
        <f t="shared" ca="1" si="214"/>
        <v/>
      </c>
      <c r="FV432" s="6" t="str">
        <f t="shared" ca="1" si="212"/>
        <v/>
      </c>
      <c r="FW432" s="6" t="str">
        <f t="shared" ca="1" si="223"/>
        <v/>
      </c>
      <c r="FX432" s="6" t="str">
        <f t="shared" ca="1" si="224"/>
        <v/>
      </c>
      <c r="FY432" s="6" t="str">
        <f t="shared" ca="1" si="225"/>
        <v/>
      </c>
      <c r="FZ432" s="6" t="str">
        <f t="shared" ca="1" si="226"/>
        <v/>
      </c>
    </row>
    <row r="433" spans="1:182" ht="15.95" customHeight="1">
      <c r="A433" s="6">
        <v>761</v>
      </c>
      <c r="B433" s="6" t="s">
        <v>694</v>
      </c>
      <c r="E433" s="6" t="s">
        <v>601</v>
      </c>
      <c r="F433" s="6" t="s">
        <v>1701</v>
      </c>
      <c r="G433" s="6" t="s">
        <v>1218</v>
      </c>
      <c r="H433" s="7" t="s">
        <v>1219</v>
      </c>
      <c r="I433" s="7"/>
      <c r="J433" s="6" t="s">
        <v>1199</v>
      </c>
      <c r="K433" s="6" t="s">
        <v>1201</v>
      </c>
      <c r="N433" s="6" t="s">
        <v>1203</v>
      </c>
      <c r="O433" s="6" t="s">
        <v>1205</v>
      </c>
      <c r="R433" s="101" t="s">
        <v>1220</v>
      </c>
      <c r="Y433" s="6" t="s">
        <v>1702</v>
      </c>
      <c r="Z433" s="6">
        <v>41</v>
      </c>
      <c r="AA433" s="6">
        <v>42</v>
      </c>
      <c r="AD433" s="6" t="s">
        <v>1203</v>
      </c>
      <c r="AE433" s="6" t="s">
        <v>1205</v>
      </c>
      <c r="AG433" s="6" t="s">
        <v>1355</v>
      </c>
      <c r="AY433" s="8" t="s">
        <v>176</v>
      </c>
      <c r="AZ433" s="8" t="s">
        <v>195</v>
      </c>
      <c r="BA433" s="13" t="s">
        <v>197</v>
      </c>
      <c r="BB433" s="13" t="s">
        <v>7</v>
      </c>
      <c r="BC433" s="13">
        <v>141</v>
      </c>
      <c r="BD433" s="13">
        <v>142</v>
      </c>
      <c r="DC433" s="6" t="s">
        <v>169</v>
      </c>
      <c r="DD433" s="6" t="s">
        <v>203</v>
      </c>
      <c r="DH433" s="6" t="str">
        <f t="shared" si="227"/>
        <v>A9</v>
      </c>
      <c r="DI433" s="6" t="str">
        <f t="shared" si="228"/>
        <v>B9</v>
      </c>
      <c r="DK433" s="6" t="s">
        <v>173</v>
      </c>
      <c r="DL433" s="6" t="str">
        <f t="shared" si="229"/>
        <v/>
      </c>
      <c r="DO433" s="9" t="s">
        <v>170</v>
      </c>
      <c r="DP433" s="6" t="s">
        <v>171</v>
      </c>
      <c r="DQ433" s="6" t="s">
        <v>645</v>
      </c>
      <c r="DR433" s="6" t="e">
        <f>#REF!&amp;RIGHT(#REF!,3)</f>
        <v>#REF!</v>
      </c>
      <c r="DS433" s="6" t="str">
        <f t="shared" si="230"/>
        <v>KS1</v>
      </c>
      <c r="DT433" s="10" t="str">
        <f t="shared" si="231"/>
        <v>FCS0111-7-1/1S–MC–107-F15-CN1</v>
      </c>
      <c r="DU433" s="6" t="str">
        <f t="shared" si="232"/>
        <v/>
      </c>
      <c r="DV433" s="19">
        <v>1</v>
      </c>
      <c r="DW433" s="20" t="str">
        <f t="shared" si="233"/>
        <v>11</v>
      </c>
      <c r="DX433" s="20">
        <v>7</v>
      </c>
      <c r="DY433" s="21">
        <v>1</v>
      </c>
      <c r="DZ433" s="22" t="s">
        <v>204</v>
      </c>
      <c r="EA433" s="23">
        <v>9</v>
      </c>
      <c r="EB433" s="7">
        <v>25</v>
      </c>
      <c r="EC433" s="6">
        <v>1</v>
      </c>
      <c r="EE433" s="9" t="s">
        <v>693</v>
      </c>
      <c r="EF433" s="6" t="s">
        <v>172</v>
      </c>
      <c r="EG433" s="6" t="s">
        <v>647</v>
      </c>
      <c r="EH433" s="6" t="s">
        <v>336</v>
      </c>
      <c r="EI433" s="6" t="s">
        <v>447</v>
      </c>
      <c r="EJ433" s="12">
        <v>100</v>
      </c>
      <c r="EL433" s="6"/>
      <c r="EM433" s="12"/>
      <c r="EN433" s="6" t="s">
        <v>1124</v>
      </c>
      <c r="EP433" s="6" t="s">
        <v>1148</v>
      </c>
      <c r="ET433" s="6" t="str">
        <f t="shared" si="208"/>
        <v>짝수</v>
      </c>
      <c r="EU433" s="12">
        <v>98</v>
      </c>
      <c r="EV433" s="45" t="str">
        <f t="shared" ca="1" si="213"/>
        <v>C</v>
      </c>
      <c r="EW433" s="6">
        <f t="shared" ca="1" si="209"/>
        <v>67</v>
      </c>
      <c r="FO433" s="6"/>
      <c r="FP433" s="11"/>
      <c r="FR433" s="6">
        <v>1</v>
      </c>
      <c r="FS433" s="6" t="str">
        <f t="shared" si="210"/>
        <v/>
      </c>
      <c r="FT433" s="6" t="str">
        <f t="shared" si="211"/>
        <v/>
      </c>
      <c r="FU433" s="6" t="str">
        <f t="shared" ca="1" si="214"/>
        <v/>
      </c>
      <c r="FV433" s="6" t="str">
        <f t="shared" ca="1" si="212"/>
        <v/>
      </c>
      <c r="FW433" s="6" t="str">
        <f t="shared" ca="1" si="223"/>
        <v/>
      </c>
      <c r="FX433" s="6" t="str">
        <f t="shared" ca="1" si="224"/>
        <v/>
      </c>
      <c r="FY433" s="6" t="str">
        <f t="shared" ca="1" si="225"/>
        <v/>
      </c>
      <c r="FZ433" s="6" t="str">
        <f t="shared" ca="1" si="226"/>
        <v/>
      </c>
    </row>
    <row r="434" spans="1:182" ht="15.95" customHeight="1">
      <c r="A434" s="6">
        <v>762</v>
      </c>
      <c r="B434" s="6" t="s">
        <v>694</v>
      </c>
      <c r="E434" s="6" t="s">
        <v>602</v>
      </c>
      <c r="F434" s="6" t="s">
        <v>1703</v>
      </c>
      <c r="G434" s="6" t="s">
        <v>1218</v>
      </c>
      <c r="H434" s="7" t="s">
        <v>1219</v>
      </c>
      <c r="I434" s="7"/>
      <c r="J434" s="6" t="s">
        <v>1199</v>
      </c>
      <c r="K434" s="6" t="s">
        <v>1201</v>
      </c>
      <c r="N434" s="6" t="s">
        <v>1203</v>
      </c>
      <c r="O434" s="6" t="s">
        <v>1205</v>
      </c>
      <c r="R434" s="101" t="s">
        <v>1220</v>
      </c>
      <c r="Y434" s="6" t="s">
        <v>1702</v>
      </c>
      <c r="Z434" s="6">
        <v>43</v>
      </c>
      <c r="AA434" s="6">
        <v>44</v>
      </c>
      <c r="AD434" s="6" t="s">
        <v>1203</v>
      </c>
      <c r="AE434" s="6" t="s">
        <v>1205</v>
      </c>
      <c r="AG434" s="6" t="s">
        <v>1355</v>
      </c>
      <c r="AY434" s="8" t="s">
        <v>176</v>
      </c>
      <c r="AZ434" s="8" t="s">
        <v>195</v>
      </c>
      <c r="BA434" s="13" t="s">
        <v>197</v>
      </c>
      <c r="BB434" s="13" t="s">
        <v>7</v>
      </c>
      <c r="BC434" s="13">
        <v>143</v>
      </c>
      <c r="BD434" s="13">
        <v>144</v>
      </c>
      <c r="DC434" s="6" t="s">
        <v>169</v>
      </c>
      <c r="DD434" s="6" t="s">
        <v>203</v>
      </c>
      <c r="DH434" s="6" t="str">
        <f t="shared" si="227"/>
        <v>A10</v>
      </c>
      <c r="DI434" s="6" t="str">
        <f t="shared" si="228"/>
        <v>B10</v>
      </c>
      <c r="DK434" s="6" t="s">
        <v>173</v>
      </c>
      <c r="DL434" s="6" t="str">
        <f t="shared" si="229"/>
        <v/>
      </c>
      <c r="DO434" s="9" t="s">
        <v>170</v>
      </c>
      <c r="DP434" s="6" t="s">
        <v>171</v>
      </c>
      <c r="DQ434" s="6" t="s">
        <v>645</v>
      </c>
      <c r="DR434" s="6" t="e">
        <f>#REF!&amp;RIGHT(#REF!,3)</f>
        <v>#REF!</v>
      </c>
      <c r="DS434" s="6" t="str">
        <f t="shared" si="230"/>
        <v>KS1</v>
      </c>
      <c r="DT434" s="10" t="str">
        <f t="shared" si="231"/>
        <v>FCS0111-7-1/1S–MC–107-F15-CN1</v>
      </c>
      <c r="DU434" s="6" t="str">
        <f t="shared" si="232"/>
        <v/>
      </c>
      <c r="DV434" s="19">
        <v>1</v>
      </c>
      <c r="DW434" s="20" t="str">
        <f t="shared" si="233"/>
        <v>11</v>
      </c>
      <c r="DX434" s="20">
        <v>7</v>
      </c>
      <c r="DY434" s="21">
        <v>1</v>
      </c>
      <c r="DZ434" s="22" t="s">
        <v>204</v>
      </c>
      <c r="EA434" s="23">
        <v>10</v>
      </c>
      <c r="EB434" s="7">
        <v>26</v>
      </c>
      <c r="EC434" s="6">
        <v>1</v>
      </c>
      <c r="EE434" s="9" t="s">
        <v>693</v>
      </c>
      <c r="EF434" s="6" t="s">
        <v>172</v>
      </c>
      <c r="EG434" s="6" t="s">
        <v>647</v>
      </c>
      <c r="EH434" s="6" t="s">
        <v>337</v>
      </c>
      <c r="EI434" s="6" t="s">
        <v>448</v>
      </c>
      <c r="EJ434" s="12">
        <v>100</v>
      </c>
      <c r="EL434" s="6"/>
      <c r="EM434" s="12"/>
      <c r="EN434" s="6" t="s">
        <v>1124</v>
      </c>
      <c r="EP434" s="6" t="s">
        <v>1148</v>
      </c>
      <c r="ET434" s="6" t="str">
        <f t="shared" si="208"/>
        <v>짝수</v>
      </c>
      <c r="EU434" s="12">
        <v>98</v>
      </c>
      <c r="EV434" s="45" t="str">
        <f t="shared" ca="1" si="213"/>
        <v>D</v>
      </c>
      <c r="EW434" s="6">
        <f t="shared" ca="1" si="209"/>
        <v>68</v>
      </c>
      <c r="FO434" s="6"/>
      <c r="FP434" s="11"/>
      <c r="FR434" s="6">
        <v>1</v>
      </c>
      <c r="FS434" s="6" t="str">
        <f t="shared" si="210"/>
        <v/>
      </c>
      <c r="FT434" s="6" t="str">
        <f t="shared" si="211"/>
        <v/>
      </c>
      <c r="FU434" s="6" t="str">
        <f t="shared" ca="1" si="214"/>
        <v/>
      </c>
      <c r="FV434" s="6" t="str">
        <f t="shared" ca="1" si="212"/>
        <v/>
      </c>
      <c r="FW434" s="6" t="str">
        <f t="shared" ca="1" si="223"/>
        <v/>
      </c>
      <c r="FX434" s="6" t="str">
        <f t="shared" ca="1" si="224"/>
        <v/>
      </c>
      <c r="FY434" s="6" t="str">
        <f t="shared" ca="1" si="225"/>
        <v/>
      </c>
      <c r="FZ434" s="6" t="str">
        <f t="shared" ca="1" si="226"/>
        <v/>
      </c>
    </row>
    <row r="435" spans="1:182" ht="15.95" customHeight="1">
      <c r="A435" s="6">
        <v>763</v>
      </c>
      <c r="B435" s="6" t="s">
        <v>694</v>
      </c>
      <c r="E435" s="6" t="s">
        <v>603</v>
      </c>
      <c r="F435" s="6" t="s">
        <v>1704</v>
      </c>
      <c r="G435" s="6" t="s">
        <v>1218</v>
      </c>
      <c r="H435" s="7" t="s">
        <v>1219</v>
      </c>
      <c r="I435" s="7"/>
      <c r="J435" s="6" t="s">
        <v>1199</v>
      </c>
      <c r="K435" s="6" t="s">
        <v>1201</v>
      </c>
      <c r="N435" s="6" t="s">
        <v>1203</v>
      </c>
      <c r="O435" s="6" t="s">
        <v>1205</v>
      </c>
      <c r="R435" s="101" t="s">
        <v>1220</v>
      </c>
      <c r="Y435" s="6" t="s">
        <v>1702</v>
      </c>
      <c r="Z435" s="6">
        <v>45</v>
      </c>
      <c r="AA435" s="6">
        <v>46</v>
      </c>
      <c r="AD435" s="6" t="s">
        <v>1203</v>
      </c>
      <c r="AE435" s="6" t="s">
        <v>1205</v>
      </c>
      <c r="AG435" s="6" t="s">
        <v>1355</v>
      </c>
      <c r="AY435" s="8" t="s">
        <v>176</v>
      </c>
      <c r="AZ435" s="8" t="s">
        <v>195</v>
      </c>
      <c r="BA435" s="13" t="s">
        <v>197</v>
      </c>
      <c r="BB435" s="13" t="s">
        <v>7</v>
      </c>
      <c r="BC435" s="13">
        <v>145</v>
      </c>
      <c r="BD435" s="13">
        <v>146</v>
      </c>
      <c r="DC435" s="6" t="s">
        <v>169</v>
      </c>
      <c r="DD435" s="6" t="s">
        <v>203</v>
      </c>
      <c r="DH435" s="6" t="str">
        <f t="shared" si="227"/>
        <v>A11</v>
      </c>
      <c r="DI435" s="6" t="str">
        <f t="shared" si="228"/>
        <v>B11</v>
      </c>
      <c r="DK435" s="6" t="s">
        <v>173</v>
      </c>
      <c r="DL435" s="6" t="str">
        <f t="shared" si="229"/>
        <v/>
      </c>
      <c r="DO435" s="9" t="s">
        <v>170</v>
      </c>
      <c r="DP435" s="6" t="s">
        <v>171</v>
      </c>
      <c r="DQ435" s="6" t="s">
        <v>645</v>
      </c>
      <c r="DR435" s="6" t="e">
        <f>#REF!&amp;RIGHT(#REF!,3)</f>
        <v>#REF!</v>
      </c>
      <c r="DS435" s="6" t="str">
        <f t="shared" si="230"/>
        <v>KS1</v>
      </c>
      <c r="DT435" s="10" t="str">
        <f t="shared" si="231"/>
        <v>FCS0111-7-1/1S–MC–107-F15-CN1</v>
      </c>
      <c r="DU435" s="6" t="str">
        <f t="shared" si="232"/>
        <v/>
      </c>
      <c r="DV435" s="19">
        <v>1</v>
      </c>
      <c r="DW435" s="20" t="str">
        <f t="shared" si="233"/>
        <v>11</v>
      </c>
      <c r="DX435" s="20">
        <v>7</v>
      </c>
      <c r="DY435" s="21">
        <v>1</v>
      </c>
      <c r="DZ435" s="22" t="s">
        <v>204</v>
      </c>
      <c r="EA435" s="23">
        <v>11</v>
      </c>
      <c r="EB435" s="7">
        <v>27</v>
      </c>
      <c r="EC435" s="6">
        <v>1</v>
      </c>
      <c r="EE435" s="9" t="s">
        <v>693</v>
      </c>
      <c r="EF435" s="6" t="s">
        <v>172</v>
      </c>
      <c r="EG435" s="6" t="s">
        <v>647</v>
      </c>
      <c r="EH435" s="6" t="s">
        <v>338</v>
      </c>
      <c r="EI435" s="6" t="s">
        <v>447</v>
      </c>
      <c r="EJ435" s="12">
        <v>100</v>
      </c>
      <c r="EL435" s="6"/>
      <c r="EM435" s="12"/>
      <c r="EN435" s="6" t="s">
        <v>1124</v>
      </c>
      <c r="EP435" s="6" t="s">
        <v>1148</v>
      </c>
      <c r="ET435" s="6" t="str">
        <f t="shared" si="208"/>
        <v>홀수</v>
      </c>
      <c r="EU435" s="12">
        <v>99</v>
      </c>
      <c r="EV435" s="45" t="str">
        <f t="shared" ca="1" si="213"/>
        <v>A</v>
      </c>
      <c r="EW435" s="6">
        <f t="shared" ca="1" si="209"/>
        <v>65</v>
      </c>
      <c r="FO435" s="6"/>
      <c r="FP435" s="11"/>
      <c r="FR435" s="6">
        <v>1</v>
      </c>
      <c r="FS435" s="6" t="str">
        <f t="shared" si="210"/>
        <v/>
      </c>
      <c r="FT435" s="6" t="str">
        <f t="shared" si="211"/>
        <v/>
      </c>
      <c r="FU435" s="6" t="str">
        <f t="shared" ca="1" si="214"/>
        <v/>
      </c>
      <c r="FV435" s="6" t="str">
        <f t="shared" ca="1" si="212"/>
        <v/>
      </c>
      <c r="FW435" s="6" t="str">
        <f t="shared" ca="1" si="223"/>
        <v/>
      </c>
      <c r="FX435" s="6" t="str">
        <f t="shared" ca="1" si="224"/>
        <v/>
      </c>
      <c r="FY435" s="6" t="str">
        <f t="shared" ca="1" si="225"/>
        <v/>
      </c>
      <c r="FZ435" s="6" t="str">
        <f t="shared" ca="1" si="226"/>
        <v/>
      </c>
    </row>
    <row r="436" spans="1:182" ht="15.95" customHeight="1">
      <c r="A436" s="6">
        <v>764</v>
      </c>
      <c r="B436" s="6" t="s">
        <v>694</v>
      </c>
      <c r="E436" s="6" t="s">
        <v>604</v>
      </c>
      <c r="F436" s="6" t="s">
        <v>1705</v>
      </c>
      <c r="G436" s="6" t="s">
        <v>1218</v>
      </c>
      <c r="H436" s="7" t="s">
        <v>1219</v>
      </c>
      <c r="I436" s="7"/>
      <c r="J436" s="6" t="s">
        <v>1199</v>
      </c>
      <c r="K436" s="6" t="s">
        <v>1201</v>
      </c>
      <c r="N436" s="6" t="s">
        <v>1203</v>
      </c>
      <c r="O436" s="6" t="s">
        <v>1205</v>
      </c>
      <c r="R436" s="101" t="s">
        <v>1220</v>
      </c>
      <c r="Y436" s="6" t="s">
        <v>1702</v>
      </c>
      <c r="Z436" s="6">
        <v>47</v>
      </c>
      <c r="AA436" s="6">
        <v>48</v>
      </c>
      <c r="AD436" s="6" t="s">
        <v>1203</v>
      </c>
      <c r="AE436" s="6" t="s">
        <v>1205</v>
      </c>
      <c r="AG436" s="6" t="s">
        <v>1355</v>
      </c>
      <c r="AY436" s="8" t="s">
        <v>176</v>
      </c>
      <c r="AZ436" s="8" t="s">
        <v>195</v>
      </c>
      <c r="BA436" s="13" t="s">
        <v>197</v>
      </c>
      <c r="BB436" s="13" t="s">
        <v>7</v>
      </c>
      <c r="BC436" s="13">
        <v>147</v>
      </c>
      <c r="BD436" s="13">
        <v>148</v>
      </c>
      <c r="DC436" s="6" t="s">
        <v>169</v>
      </c>
      <c r="DD436" s="6" t="s">
        <v>203</v>
      </c>
      <c r="DH436" s="6" t="str">
        <f t="shared" si="227"/>
        <v>A12</v>
      </c>
      <c r="DI436" s="6" t="str">
        <f t="shared" si="228"/>
        <v>B12</v>
      </c>
      <c r="DK436" s="6" t="s">
        <v>173</v>
      </c>
      <c r="DL436" s="6" t="str">
        <f t="shared" si="229"/>
        <v/>
      </c>
      <c r="DO436" s="9" t="s">
        <v>170</v>
      </c>
      <c r="DP436" s="6" t="s">
        <v>171</v>
      </c>
      <c r="DQ436" s="6" t="s">
        <v>645</v>
      </c>
      <c r="DR436" s="6" t="e">
        <f>#REF!&amp;RIGHT(#REF!,3)</f>
        <v>#REF!</v>
      </c>
      <c r="DS436" s="6" t="str">
        <f t="shared" si="230"/>
        <v>KS1</v>
      </c>
      <c r="DT436" s="10" t="str">
        <f t="shared" si="231"/>
        <v>FCS0111-7-1/1S–MC–107-F15-CN1</v>
      </c>
      <c r="DU436" s="6" t="str">
        <f t="shared" si="232"/>
        <v/>
      </c>
      <c r="DV436" s="19">
        <v>1</v>
      </c>
      <c r="DW436" s="20" t="str">
        <f t="shared" si="233"/>
        <v>11</v>
      </c>
      <c r="DX436" s="20">
        <v>7</v>
      </c>
      <c r="DY436" s="21">
        <v>1</v>
      </c>
      <c r="DZ436" s="22" t="s">
        <v>204</v>
      </c>
      <c r="EA436" s="23">
        <v>12</v>
      </c>
      <c r="EB436" s="7">
        <v>28</v>
      </c>
      <c r="EC436" s="6">
        <v>1</v>
      </c>
      <c r="EE436" s="9" t="s">
        <v>693</v>
      </c>
      <c r="EF436" s="6" t="s">
        <v>172</v>
      </c>
      <c r="EG436" s="6" t="s">
        <v>647</v>
      </c>
      <c r="EH436" s="6" t="s">
        <v>339</v>
      </c>
      <c r="EI436" s="6" t="s">
        <v>448</v>
      </c>
      <c r="EJ436" s="12">
        <v>100</v>
      </c>
      <c r="EL436" s="6"/>
      <c r="EM436" s="12"/>
      <c r="EN436" s="6" t="s">
        <v>1124</v>
      </c>
      <c r="EP436" s="6" t="s">
        <v>1148</v>
      </c>
      <c r="ET436" s="6" t="str">
        <f t="shared" si="208"/>
        <v>홀수</v>
      </c>
      <c r="EU436" s="12">
        <v>99</v>
      </c>
      <c r="EV436" s="45" t="str">
        <f t="shared" ca="1" si="213"/>
        <v>B</v>
      </c>
      <c r="EW436" s="6">
        <f t="shared" ca="1" si="209"/>
        <v>66</v>
      </c>
      <c r="FO436" s="6"/>
      <c r="FP436" s="11"/>
      <c r="FR436" s="6">
        <v>1</v>
      </c>
      <c r="FS436" s="6" t="str">
        <f t="shared" si="210"/>
        <v/>
      </c>
      <c r="FT436" s="6" t="str">
        <f t="shared" si="211"/>
        <v/>
      </c>
      <c r="FU436" s="6" t="str">
        <f t="shared" ca="1" si="214"/>
        <v/>
      </c>
      <c r="FV436" s="6" t="str">
        <f t="shared" ca="1" si="212"/>
        <v/>
      </c>
      <c r="FW436" s="6" t="str">
        <f t="shared" ca="1" si="223"/>
        <v/>
      </c>
      <c r="FX436" s="6" t="str">
        <f t="shared" ca="1" si="224"/>
        <v/>
      </c>
      <c r="FY436" s="6" t="str">
        <f t="shared" ca="1" si="225"/>
        <v/>
      </c>
      <c r="FZ436" s="6" t="str">
        <f t="shared" ca="1" si="226"/>
        <v/>
      </c>
    </row>
    <row r="437" spans="1:182" ht="15.95" customHeight="1">
      <c r="A437" s="6">
        <v>765</v>
      </c>
      <c r="B437" s="6" t="s">
        <v>694</v>
      </c>
      <c r="E437" s="13" t="s">
        <v>605</v>
      </c>
      <c r="F437" s="6" t="s">
        <v>1706</v>
      </c>
      <c r="G437" s="6" t="s">
        <v>1218</v>
      </c>
      <c r="H437" s="7" t="s">
        <v>1219</v>
      </c>
      <c r="I437" s="7"/>
      <c r="J437" s="6" t="s">
        <v>1199</v>
      </c>
      <c r="K437" s="6" t="s">
        <v>1201</v>
      </c>
      <c r="N437" s="6" t="s">
        <v>1203</v>
      </c>
      <c r="O437" s="6" t="s">
        <v>1205</v>
      </c>
      <c r="R437" s="101" t="s">
        <v>1220</v>
      </c>
      <c r="Y437" s="6" t="s">
        <v>1698</v>
      </c>
      <c r="Z437" s="6">
        <v>43</v>
      </c>
      <c r="AA437" s="6">
        <v>44</v>
      </c>
      <c r="AD437" s="6" t="s">
        <v>1203</v>
      </c>
      <c r="AE437" s="6" t="s">
        <v>1205</v>
      </c>
      <c r="AG437" s="6" t="s">
        <v>1353</v>
      </c>
      <c r="AY437" s="8" t="s">
        <v>176</v>
      </c>
      <c r="AZ437" s="8" t="s">
        <v>195</v>
      </c>
      <c r="BA437" s="13" t="s">
        <v>197</v>
      </c>
      <c r="BB437" s="13" t="s">
        <v>8</v>
      </c>
      <c r="BC437" s="13">
        <v>15</v>
      </c>
      <c r="BD437" s="13">
        <v>16</v>
      </c>
      <c r="DC437" s="6" t="s">
        <v>169</v>
      </c>
      <c r="DD437" s="6" t="s">
        <v>203</v>
      </c>
      <c r="DH437" s="6" t="str">
        <f t="shared" si="227"/>
        <v>A13</v>
      </c>
      <c r="DI437" s="6" t="str">
        <f t="shared" si="228"/>
        <v>B13</v>
      </c>
      <c r="DK437" s="6" t="s">
        <v>173</v>
      </c>
      <c r="DL437" s="6" t="str">
        <f t="shared" si="229"/>
        <v/>
      </c>
      <c r="DO437" s="9" t="s">
        <v>170</v>
      </c>
      <c r="DP437" s="6" t="s">
        <v>171</v>
      </c>
      <c r="DQ437" s="6" t="s">
        <v>645</v>
      </c>
      <c r="DR437" s="6" t="e">
        <f>#REF!&amp;RIGHT(#REF!,3)</f>
        <v>#REF!</v>
      </c>
      <c r="DS437" s="6" t="str">
        <f t="shared" si="230"/>
        <v>KS1</v>
      </c>
      <c r="DT437" s="10" t="str">
        <f t="shared" si="231"/>
        <v>FCS0111-7-1/1S–MC–107-F15-CN1</v>
      </c>
      <c r="DU437" s="6" t="str">
        <f t="shared" si="232"/>
        <v/>
      </c>
      <c r="DV437" s="19">
        <v>1</v>
      </c>
      <c r="DW437" s="20" t="str">
        <f t="shared" si="233"/>
        <v>11</v>
      </c>
      <c r="DX437" s="20">
        <v>7</v>
      </c>
      <c r="DY437" s="21">
        <v>1</v>
      </c>
      <c r="DZ437" s="22" t="s">
        <v>204</v>
      </c>
      <c r="EA437" s="23">
        <v>13</v>
      </c>
      <c r="EB437" s="7">
        <v>29</v>
      </c>
      <c r="EC437" s="6">
        <v>1</v>
      </c>
      <c r="EE437" s="9" t="s">
        <v>693</v>
      </c>
      <c r="EF437" s="6" t="s">
        <v>172</v>
      </c>
      <c r="EG437" s="6" t="s">
        <v>647</v>
      </c>
      <c r="EH437" s="6" t="s">
        <v>340</v>
      </c>
      <c r="EI437" s="6" t="s">
        <v>199</v>
      </c>
      <c r="EJ437" s="12">
        <v>100</v>
      </c>
      <c r="EL437" s="6"/>
      <c r="EM437" s="12"/>
      <c r="EN437" s="6" t="s">
        <v>1124</v>
      </c>
      <c r="EP437" s="6" t="s">
        <v>1148</v>
      </c>
      <c r="ET437" s="6" t="str">
        <f t="shared" si="208"/>
        <v>홀수</v>
      </c>
      <c r="EU437" s="12">
        <v>99</v>
      </c>
      <c r="EV437" s="45" t="str">
        <f t="shared" ca="1" si="213"/>
        <v>C</v>
      </c>
      <c r="EW437" s="6">
        <f t="shared" ca="1" si="209"/>
        <v>67</v>
      </c>
      <c r="FO437" s="6"/>
      <c r="FP437" s="11"/>
      <c r="FR437" s="6">
        <v>1</v>
      </c>
      <c r="FS437" s="6" t="str">
        <f t="shared" si="210"/>
        <v/>
      </c>
      <c r="FT437" s="6" t="str">
        <f t="shared" si="211"/>
        <v/>
      </c>
      <c r="FU437" s="6" t="str">
        <f t="shared" ca="1" si="214"/>
        <v/>
      </c>
      <c r="FV437" s="6" t="str">
        <f t="shared" ca="1" si="212"/>
        <v/>
      </c>
      <c r="FW437" s="6" t="str">
        <f t="shared" ca="1" si="223"/>
        <v/>
      </c>
      <c r="FX437" s="6" t="str">
        <f t="shared" ca="1" si="224"/>
        <v/>
      </c>
      <c r="FY437" s="6" t="str">
        <f t="shared" ca="1" si="225"/>
        <v/>
      </c>
      <c r="FZ437" s="6" t="str">
        <f t="shared" ca="1" si="226"/>
        <v/>
      </c>
    </row>
    <row r="438" spans="1:182" ht="15.95" customHeight="1">
      <c r="A438" s="6">
        <v>769</v>
      </c>
      <c r="B438" s="6" t="s">
        <v>694</v>
      </c>
      <c r="E438" s="13" t="s">
        <v>606</v>
      </c>
      <c r="F438" s="6" t="s">
        <v>1707</v>
      </c>
      <c r="G438" s="6" t="s">
        <v>1218</v>
      </c>
      <c r="H438" s="7" t="s">
        <v>1219</v>
      </c>
      <c r="I438" s="7"/>
      <c r="J438" s="6" t="s">
        <v>1199</v>
      </c>
      <c r="K438" s="6" t="s">
        <v>1201</v>
      </c>
      <c r="N438" s="6" t="s">
        <v>1203</v>
      </c>
      <c r="O438" s="6" t="s">
        <v>1205</v>
      </c>
      <c r="R438" s="101" t="s">
        <v>1220</v>
      </c>
      <c r="Y438" s="6" t="s">
        <v>1228</v>
      </c>
      <c r="Z438" s="6">
        <v>13</v>
      </c>
      <c r="AA438" s="6">
        <v>14</v>
      </c>
      <c r="AD438" s="6" t="s">
        <v>1203</v>
      </c>
      <c r="AE438" s="6" t="s">
        <v>1205</v>
      </c>
      <c r="AG438" s="6" t="s">
        <v>1229</v>
      </c>
      <c r="AY438" s="8" t="s">
        <v>176</v>
      </c>
      <c r="AZ438" s="8" t="s">
        <v>195</v>
      </c>
      <c r="BA438" s="13" t="s">
        <v>197</v>
      </c>
      <c r="BB438" s="13" t="s">
        <v>8</v>
      </c>
      <c r="BC438" s="13">
        <v>109</v>
      </c>
      <c r="BD438" s="13">
        <v>110</v>
      </c>
      <c r="DC438" s="6" t="s">
        <v>169</v>
      </c>
      <c r="DD438" s="6" t="s">
        <v>186</v>
      </c>
      <c r="DH438" s="6" t="str">
        <f t="shared" si="227"/>
        <v>A1</v>
      </c>
      <c r="DI438" s="6" t="str">
        <f t="shared" si="228"/>
        <v>B1</v>
      </c>
      <c r="DK438" s="6" t="s">
        <v>173</v>
      </c>
      <c r="DL438" s="6" t="str">
        <f t="shared" si="229"/>
        <v/>
      </c>
      <c r="DO438" s="9" t="s">
        <v>170</v>
      </c>
      <c r="DP438" s="6" t="s">
        <v>171</v>
      </c>
      <c r="DQ438" s="6" t="s">
        <v>645</v>
      </c>
      <c r="DR438" s="6" t="e">
        <f>#REF!&amp;RIGHT(#REF!,3)</f>
        <v>#REF!</v>
      </c>
      <c r="DS438" s="6" t="str">
        <f t="shared" ref="DS438:DS479" si="234">IF(MID(EF438,2,1)="A","KS1","AKB331")</f>
        <v>KS1</v>
      </c>
      <c r="DT438" s="10" t="str">
        <f t="shared" ref="DT438:DT479" si="235">DQ438&amp;"-"&amp;DX438&amp;"-"&amp;DY438&amp;"/"&amp;BA438&amp;"-"&amp;DD438&amp;"-"&amp;DK438</f>
        <v>FCS0111-7-2/1S–MC–107-F16-CN1</v>
      </c>
      <c r="DU438" s="6" t="str">
        <f t="shared" ref="DU438:DU479" si="236">IF(DL438="","",DQ438&amp;"-"&amp;DX438&amp;"-"&amp;DY438&amp;"/"&amp;BA438&amp;"-"&amp;DD438&amp;"-"&amp;DL438)</f>
        <v/>
      </c>
      <c r="DV438" s="19">
        <v>1</v>
      </c>
      <c r="DW438" s="20" t="str">
        <f t="shared" ref="DW438:DW479" si="237">RIGHT(DQ438,2)</f>
        <v>11</v>
      </c>
      <c r="DX438" s="20">
        <v>7</v>
      </c>
      <c r="DY438" s="21">
        <v>2</v>
      </c>
      <c r="DZ438" s="22" t="s">
        <v>204</v>
      </c>
      <c r="EA438" s="23">
        <v>1</v>
      </c>
      <c r="EB438" s="7">
        <v>1</v>
      </c>
      <c r="EE438" s="9" t="s">
        <v>693</v>
      </c>
      <c r="EF438" s="6" t="s">
        <v>172</v>
      </c>
      <c r="EG438" s="6" t="s">
        <v>647</v>
      </c>
      <c r="EH438" s="6" t="s">
        <v>341</v>
      </c>
      <c r="EI438" s="6" t="s">
        <v>199</v>
      </c>
      <c r="EJ438" s="12">
        <v>100</v>
      </c>
      <c r="EL438" s="6"/>
      <c r="EM438" s="12"/>
      <c r="EN438" s="6" t="s">
        <v>1124</v>
      </c>
      <c r="EP438" s="6" t="s">
        <v>1148</v>
      </c>
      <c r="ET438" s="6" t="str">
        <f t="shared" si="208"/>
        <v>홀수</v>
      </c>
      <c r="EU438" s="12">
        <v>99</v>
      </c>
      <c r="EV438" s="45" t="str">
        <f t="shared" ca="1" si="213"/>
        <v>D</v>
      </c>
      <c r="EW438" s="6">
        <f t="shared" ca="1" si="209"/>
        <v>68</v>
      </c>
      <c r="FO438" s="6"/>
      <c r="FP438" s="11"/>
      <c r="FR438" s="6">
        <v>1</v>
      </c>
      <c r="FS438" s="6" t="str">
        <f t="shared" si="210"/>
        <v/>
      </c>
      <c r="FT438" s="6" t="str">
        <f t="shared" si="211"/>
        <v/>
      </c>
      <c r="FU438" s="6" t="str">
        <f t="shared" ca="1" si="214"/>
        <v/>
      </c>
      <c r="FV438" s="6" t="str">
        <f t="shared" ca="1" si="212"/>
        <v/>
      </c>
      <c r="FW438" s="6" t="str">
        <f t="shared" ca="1" si="223"/>
        <v/>
      </c>
      <c r="FX438" s="6" t="str">
        <f t="shared" ca="1" si="224"/>
        <v/>
      </c>
      <c r="FY438" s="6" t="str">
        <f t="shared" ca="1" si="225"/>
        <v/>
      </c>
      <c r="FZ438" s="6" t="str">
        <f t="shared" ca="1" si="226"/>
        <v/>
      </c>
    </row>
    <row r="439" spans="1:182" ht="15.95" customHeight="1">
      <c r="A439" s="6">
        <v>770</v>
      </c>
      <c r="B439" s="6" t="s">
        <v>694</v>
      </c>
      <c r="E439" s="6" t="s">
        <v>607</v>
      </c>
      <c r="F439" s="6" t="s">
        <v>1708</v>
      </c>
      <c r="G439" s="6" t="s">
        <v>1218</v>
      </c>
      <c r="H439" s="7" t="s">
        <v>1219</v>
      </c>
      <c r="I439" s="7"/>
      <c r="J439" s="6" t="s">
        <v>1199</v>
      </c>
      <c r="K439" s="6" t="s">
        <v>1201</v>
      </c>
      <c r="N439" s="6" t="s">
        <v>1203</v>
      </c>
      <c r="O439" s="6" t="s">
        <v>1205</v>
      </c>
      <c r="R439" s="101" t="s">
        <v>1220</v>
      </c>
      <c r="Y439" s="6" t="s">
        <v>1698</v>
      </c>
      <c r="Z439" s="6">
        <v>45</v>
      </c>
      <c r="AA439" s="6">
        <v>46</v>
      </c>
      <c r="AD439" s="6" t="s">
        <v>1203</v>
      </c>
      <c r="AE439" s="6" t="s">
        <v>1205</v>
      </c>
      <c r="AG439" s="6" t="s">
        <v>1353</v>
      </c>
      <c r="AY439" s="8" t="s">
        <v>176</v>
      </c>
      <c r="AZ439" s="8" t="s">
        <v>195</v>
      </c>
      <c r="BA439" s="13" t="s">
        <v>197</v>
      </c>
      <c r="BB439" s="13" t="s">
        <v>8</v>
      </c>
      <c r="BC439" s="13">
        <v>17</v>
      </c>
      <c r="BD439" s="13">
        <v>18</v>
      </c>
      <c r="DC439" s="6" t="s">
        <v>169</v>
      </c>
      <c r="DD439" s="6" t="s">
        <v>186</v>
      </c>
      <c r="DH439" s="6" t="str">
        <f t="shared" ref="DH439:DH479" si="238">"A"&amp;EA439</f>
        <v>A2</v>
      </c>
      <c r="DI439" s="6" t="str">
        <f t="shared" ref="DI439:DI479" si="239">"B"&amp;EA439</f>
        <v>B2</v>
      </c>
      <c r="DK439" s="6" t="s">
        <v>173</v>
      </c>
      <c r="DL439" s="6" t="str">
        <f t="shared" ref="DL439:DL479" si="240">IF(DZ439&lt;&gt;"","CN2","")</f>
        <v/>
      </c>
      <c r="DO439" s="9" t="s">
        <v>170</v>
      </c>
      <c r="DP439" s="6" t="s">
        <v>171</v>
      </c>
      <c r="DQ439" s="6" t="s">
        <v>645</v>
      </c>
      <c r="DR439" s="6" t="e">
        <f>#REF!&amp;RIGHT(#REF!,3)</f>
        <v>#REF!</v>
      </c>
      <c r="DS439" s="6" t="str">
        <f t="shared" si="234"/>
        <v>KS1</v>
      </c>
      <c r="DT439" s="10" t="str">
        <f t="shared" si="235"/>
        <v>FCS0111-7-2/1S–MC–107-F16-CN1</v>
      </c>
      <c r="DU439" s="6" t="str">
        <f t="shared" si="236"/>
        <v/>
      </c>
      <c r="DV439" s="19">
        <v>1</v>
      </c>
      <c r="DW439" s="20" t="str">
        <f t="shared" si="237"/>
        <v>11</v>
      </c>
      <c r="DX439" s="20">
        <v>7</v>
      </c>
      <c r="DY439" s="21">
        <v>2</v>
      </c>
      <c r="DZ439" s="22" t="s">
        <v>204</v>
      </c>
      <c r="EA439" s="23">
        <v>2</v>
      </c>
      <c r="EB439" s="7">
        <v>2</v>
      </c>
      <c r="EE439" s="9" t="s">
        <v>693</v>
      </c>
      <c r="EF439" s="6" t="s">
        <v>172</v>
      </c>
      <c r="EG439" s="6" t="s">
        <v>647</v>
      </c>
      <c r="EH439" s="6" t="s">
        <v>342</v>
      </c>
      <c r="EI439" s="6" t="s">
        <v>449</v>
      </c>
      <c r="EJ439" s="12">
        <v>100</v>
      </c>
      <c r="EL439" s="6"/>
      <c r="EM439" s="12"/>
      <c r="EN439" s="6" t="s">
        <v>1124</v>
      </c>
      <c r="EP439" s="6" t="s">
        <v>1148</v>
      </c>
      <c r="ET439" s="6" t="str">
        <f t="shared" si="208"/>
        <v>짝수</v>
      </c>
      <c r="EU439" s="12">
        <v>100</v>
      </c>
      <c r="EV439" s="45" t="str">
        <f t="shared" ca="1" si="213"/>
        <v>A</v>
      </c>
      <c r="EW439" s="6">
        <f t="shared" ca="1" si="209"/>
        <v>65</v>
      </c>
      <c r="FO439" s="6"/>
      <c r="FP439" s="11"/>
      <c r="FR439" s="6">
        <v>1</v>
      </c>
      <c r="FS439" s="6" t="str">
        <f t="shared" si="210"/>
        <v/>
      </c>
      <c r="FT439" s="6" t="str">
        <f t="shared" si="211"/>
        <v/>
      </c>
      <c r="FU439" s="6" t="str">
        <f t="shared" ca="1" si="214"/>
        <v/>
      </c>
      <c r="FV439" s="6" t="str">
        <f t="shared" ca="1" si="212"/>
        <v/>
      </c>
      <c r="FW439" s="6" t="str">
        <f t="shared" ca="1" si="223"/>
        <v/>
      </c>
      <c r="FX439" s="6" t="str">
        <f t="shared" ca="1" si="224"/>
        <v/>
      </c>
      <c r="FY439" s="6" t="str">
        <f t="shared" ca="1" si="225"/>
        <v/>
      </c>
      <c r="FZ439" s="6" t="str">
        <f t="shared" ca="1" si="226"/>
        <v/>
      </c>
    </row>
    <row r="440" spans="1:182" ht="15.95" customHeight="1">
      <c r="A440" s="6">
        <v>771</v>
      </c>
      <c r="B440" s="6" t="s">
        <v>694</v>
      </c>
      <c r="E440" s="6" t="s">
        <v>608</v>
      </c>
      <c r="F440" s="6" t="s">
        <v>1709</v>
      </c>
      <c r="G440" s="6" t="s">
        <v>1218</v>
      </c>
      <c r="H440" s="7" t="s">
        <v>1219</v>
      </c>
      <c r="I440" s="7"/>
      <c r="J440" s="6" t="s">
        <v>1199</v>
      </c>
      <c r="K440" s="6" t="s">
        <v>1201</v>
      </c>
      <c r="N440" s="6" t="s">
        <v>1203</v>
      </c>
      <c r="O440" s="6" t="s">
        <v>1205</v>
      </c>
      <c r="R440" s="101" t="s">
        <v>1220</v>
      </c>
      <c r="Y440" s="6" t="s">
        <v>1702</v>
      </c>
      <c r="Z440" s="6">
        <v>49</v>
      </c>
      <c r="AA440" s="6">
        <v>50</v>
      </c>
      <c r="AD440" s="6" t="s">
        <v>1203</v>
      </c>
      <c r="AE440" s="6" t="s">
        <v>1205</v>
      </c>
      <c r="AG440" s="6" t="s">
        <v>1355</v>
      </c>
      <c r="AY440" s="8" t="s">
        <v>176</v>
      </c>
      <c r="AZ440" s="8" t="s">
        <v>195</v>
      </c>
      <c r="BA440" s="13" t="s">
        <v>197</v>
      </c>
      <c r="BB440" s="13" t="s">
        <v>7</v>
      </c>
      <c r="BC440" s="13">
        <v>149</v>
      </c>
      <c r="BD440" s="13">
        <v>150</v>
      </c>
      <c r="DC440" s="6" t="s">
        <v>169</v>
      </c>
      <c r="DD440" s="6" t="s">
        <v>186</v>
      </c>
      <c r="DH440" s="6" t="str">
        <f t="shared" si="238"/>
        <v>A3</v>
      </c>
      <c r="DI440" s="6" t="str">
        <f t="shared" si="239"/>
        <v>B3</v>
      </c>
      <c r="DK440" s="6" t="s">
        <v>173</v>
      </c>
      <c r="DL440" s="6" t="str">
        <f t="shared" si="240"/>
        <v/>
      </c>
      <c r="DO440" s="9" t="s">
        <v>170</v>
      </c>
      <c r="DP440" s="6" t="s">
        <v>171</v>
      </c>
      <c r="DQ440" s="6" t="s">
        <v>645</v>
      </c>
      <c r="DR440" s="6" t="e">
        <f>#REF!&amp;RIGHT(#REF!,3)</f>
        <v>#REF!</v>
      </c>
      <c r="DS440" s="6" t="str">
        <f t="shared" si="234"/>
        <v>KS1</v>
      </c>
      <c r="DT440" s="10" t="str">
        <f t="shared" si="235"/>
        <v>FCS0111-7-2/1S–MC–107-F16-CN1</v>
      </c>
      <c r="DU440" s="6" t="str">
        <f t="shared" si="236"/>
        <v/>
      </c>
      <c r="DV440" s="19">
        <v>1</v>
      </c>
      <c r="DW440" s="20" t="str">
        <f t="shared" si="237"/>
        <v>11</v>
      </c>
      <c r="DX440" s="20">
        <v>7</v>
      </c>
      <c r="DY440" s="21">
        <v>2</v>
      </c>
      <c r="DZ440" s="22" t="s">
        <v>204</v>
      </c>
      <c r="EA440" s="23">
        <v>3</v>
      </c>
      <c r="EB440" s="7">
        <v>3</v>
      </c>
      <c r="EE440" s="9" t="s">
        <v>693</v>
      </c>
      <c r="EF440" s="6" t="s">
        <v>172</v>
      </c>
      <c r="EG440" s="6" t="s">
        <v>647</v>
      </c>
      <c r="EH440" s="6" t="s">
        <v>343</v>
      </c>
      <c r="EI440" s="6" t="s">
        <v>450</v>
      </c>
      <c r="EJ440" s="12">
        <v>100</v>
      </c>
      <c r="EL440" s="6"/>
      <c r="EM440" s="12"/>
      <c r="EN440" s="6" t="s">
        <v>1124</v>
      </c>
      <c r="EP440" s="6" t="s">
        <v>1148</v>
      </c>
      <c r="ET440" s="6" t="str">
        <f t="shared" si="208"/>
        <v>짝수</v>
      </c>
      <c r="EU440" s="12">
        <v>100</v>
      </c>
      <c r="EV440" s="45" t="str">
        <f t="shared" ca="1" si="213"/>
        <v>B</v>
      </c>
      <c r="EW440" s="6">
        <f t="shared" ca="1" si="209"/>
        <v>66</v>
      </c>
      <c r="FO440" s="6"/>
      <c r="FP440" s="11"/>
      <c r="FR440" s="6">
        <v>1</v>
      </c>
      <c r="FS440" s="6" t="str">
        <f t="shared" si="210"/>
        <v/>
      </c>
      <c r="FT440" s="6" t="str">
        <f t="shared" si="211"/>
        <v/>
      </c>
      <c r="FU440" s="6" t="str">
        <f t="shared" ca="1" si="214"/>
        <v/>
      </c>
      <c r="FV440" s="6" t="str">
        <f t="shared" ca="1" si="212"/>
        <v/>
      </c>
      <c r="FW440" s="6" t="str">
        <f t="shared" ca="1" si="223"/>
        <v/>
      </c>
      <c r="FX440" s="6" t="str">
        <f t="shared" ca="1" si="224"/>
        <v/>
      </c>
      <c r="FY440" s="6" t="str">
        <f t="shared" ca="1" si="225"/>
        <v/>
      </c>
      <c r="FZ440" s="6" t="str">
        <f t="shared" ca="1" si="226"/>
        <v/>
      </c>
    </row>
    <row r="441" spans="1:182" ht="15.95" customHeight="1">
      <c r="A441" s="6">
        <v>772</v>
      </c>
      <c r="B441" s="6" t="s">
        <v>694</v>
      </c>
      <c r="E441" s="6" t="s">
        <v>609</v>
      </c>
      <c r="F441" s="6" t="s">
        <v>1710</v>
      </c>
      <c r="G441" s="6" t="s">
        <v>1218</v>
      </c>
      <c r="H441" s="7" t="s">
        <v>1219</v>
      </c>
      <c r="I441" s="7"/>
      <c r="J441" s="6" t="s">
        <v>1199</v>
      </c>
      <c r="K441" s="6" t="s">
        <v>1201</v>
      </c>
      <c r="N441" s="6" t="s">
        <v>1203</v>
      </c>
      <c r="O441" s="6" t="s">
        <v>1205</v>
      </c>
      <c r="R441" s="101" t="s">
        <v>1220</v>
      </c>
      <c r="Y441" s="6" t="s">
        <v>1698</v>
      </c>
      <c r="Z441" s="6">
        <v>47</v>
      </c>
      <c r="AA441" s="6">
        <v>48</v>
      </c>
      <c r="AD441" s="6" t="s">
        <v>1203</v>
      </c>
      <c r="AE441" s="6" t="s">
        <v>1205</v>
      </c>
      <c r="AG441" s="6" t="s">
        <v>1353</v>
      </c>
      <c r="AY441" s="8" t="s">
        <v>176</v>
      </c>
      <c r="AZ441" s="8" t="s">
        <v>195</v>
      </c>
      <c r="BA441" s="13" t="s">
        <v>197</v>
      </c>
      <c r="BB441" s="13" t="s">
        <v>8</v>
      </c>
      <c r="BC441" s="13">
        <v>19</v>
      </c>
      <c r="BD441" s="13">
        <v>20</v>
      </c>
      <c r="DC441" s="6" t="s">
        <v>169</v>
      </c>
      <c r="DD441" s="6" t="s">
        <v>186</v>
      </c>
      <c r="DH441" s="6" t="str">
        <f t="shared" si="238"/>
        <v>A4</v>
      </c>
      <c r="DI441" s="6" t="str">
        <f t="shared" si="239"/>
        <v>B4</v>
      </c>
      <c r="DK441" s="6" t="s">
        <v>173</v>
      </c>
      <c r="DL441" s="6" t="str">
        <f t="shared" si="240"/>
        <v/>
      </c>
      <c r="DO441" s="9" t="s">
        <v>170</v>
      </c>
      <c r="DP441" s="6" t="s">
        <v>171</v>
      </c>
      <c r="DQ441" s="6" t="s">
        <v>645</v>
      </c>
      <c r="DR441" s="6" t="e">
        <f>#REF!&amp;RIGHT(#REF!,3)</f>
        <v>#REF!</v>
      </c>
      <c r="DS441" s="6" t="str">
        <f t="shared" si="234"/>
        <v>KS1</v>
      </c>
      <c r="DT441" s="10" t="str">
        <f t="shared" si="235"/>
        <v>FCS0111-7-2/1S–MC–107-F16-CN1</v>
      </c>
      <c r="DU441" s="6" t="str">
        <f t="shared" si="236"/>
        <v/>
      </c>
      <c r="DV441" s="19">
        <v>1</v>
      </c>
      <c r="DW441" s="20" t="str">
        <f t="shared" si="237"/>
        <v>11</v>
      </c>
      <c r="DX441" s="20">
        <v>7</v>
      </c>
      <c r="DY441" s="21">
        <v>2</v>
      </c>
      <c r="DZ441" s="22" t="s">
        <v>204</v>
      </c>
      <c r="EA441" s="23">
        <v>4</v>
      </c>
      <c r="EB441" s="7">
        <v>4</v>
      </c>
      <c r="EE441" s="9" t="s">
        <v>693</v>
      </c>
      <c r="EF441" s="6" t="s">
        <v>172</v>
      </c>
      <c r="EG441" s="6" t="s">
        <v>647</v>
      </c>
      <c r="EH441" s="6" t="s">
        <v>344</v>
      </c>
      <c r="EI441" s="6" t="s">
        <v>199</v>
      </c>
      <c r="EJ441" s="12">
        <v>100</v>
      </c>
      <c r="EL441" s="6"/>
      <c r="EM441" s="12"/>
      <c r="EN441" s="6" t="s">
        <v>1124</v>
      </c>
      <c r="EP441" s="6" t="s">
        <v>1148</v>
      </c>
      <c r="ET441" s="6" t="str">
        <f t="shared" si="208"/>
        <v>짝수</v>
      </c>
      <c r="EU441" s="12">
        <v>100</v>
      </c>
      <c r="EV441" s="45" t="str">
        <f t="shared" ca="1" si="213"/>
        <v>C</v>
      </c>
      <c r="EW441" s="6">
        <f t="shared" ca="1" si="209"/>
        <v>67</v>
      </c>
      <c r="FO441" s="6"/>
      <c r="FP441" s="11"/>
      <c r="FR441" s="6">
        <v>1</v>
      </c>
      <c r="FS441" s="6" t="str">
        <f t="shared" si="210"/>
        <v/>
      </c>
      <c r="FT441" s="6" t="str">
        <f t="shared" si="211"/>
        <v/>
      </c>
      <c r="FU441" s="6" t="str">
        <f t="shared" ca="1" si="214"/>
        <v/>
      </c>
      <c r="FV441" s="6" t="str">
        <f t="shared" ca="1" si="212"/>
        <v/>
      </c>
      <c r="FW441" s="6" t="str">
        <f t="shared" ca="1" si="223"/>
        <v/>
      </c>
      <c r="FX441" s="6" t="str">
        <f t="shared" ca="1" si="224"/>
        <v/>
      </c>
      <c r="FY441" s="6" t="str">
        <f t="shared" ca="1" si="225"/>
        <v/>
      </c>
      <c r="FZ441" s="6" t="str">
        <f t="shared" ca="1" si="226"/>
        <v/>
      </c>
    </row>
    <row r="442" spans="1:182" ht="15.95" customHeight="1">
      <c r="A442" s="6">
        <v>773</v>
      </c>
      <c r="B442" s="6" t="s">
        <v>694</v>
      </c>
      <c r="E442" s="6" t="s">
        <v>610</v>
      </c>
      <c r="F442" s="6" t="s">
        <v>1711</v>
      </c>
      <c r="G442" s="6" t="s">
        <v>1218</v>
      </c>
      <c r="H442" s="7" t="s">
        <v>1219</v>
      </c>
      <c r="I442" s="7"/>
      <c r="J442" s="6" t="s">
        <v>1199</v>
      </c>
      <c r="K442" s="6" t="s">
        <v>1201</v>
      </c>
      <c r="N442" s="6" t="s">
        <v>1203</v>
      </c>
      <c r="O442" s="6" t="s">
        <v>1205</v>
      </c>
      <c r="R442" s="101" t="s">
        <v>1220</v>
      </c>
      <c r="Y442" s="6" t="s">
        <v>1698</v>
      </c>
      <c r="Z442" s="6">
        <v>49</v>
      </c>
      <c r="AA442" s="6">
        <v>50</v>
      </c>
      <c r="AD442" s="6" t="s">
        <v>1203</v>
      </c>
      <c r="AE442" s="6" t="s">
        <v>1205</v>
      </c>
      <c r="AG442" s="6" t="s">
        <v>1353</v>
      </c>
      <c r="AY442" s="8" t="s">
        <v>176</v>
      </c>
      <c r="AZ442" s="8" t="s">
        <v>195</v>
      </c>
      <c r="BA442" s="13" t="s">
        <v>197</v>
      </c>
      <c r="BB442" s="13" t="s">
        <v>8</v>
      </c>
      <c r="BC442" s="13">
        <v>21</v>
      </c>
      <c r="BD442" s="13">
        <v>22</v>
      </c>
      <c r="DC442" s="6" t="s">
        <v>169</v>
      </c>
      <c r="DD442" s="6" t="s">
        <v>186</v>
      </c>
      <c r="DH442" s="6" t="str">
        <f t="shared" si="238"/>
        <v>A5</v>
      </c>
      <c r="DI442" s="6" t="str">
        <f t="shared" si="239"/>
        <v>B5</v>
      </c>
      <c r="DK442" s="6" t="s">
        <v>173</v>
      </c>
      <c r="DL442" s="6" t="str">
        <f t="shared" si="240"/>
        <v/>
      </c>
      <c r="DO442" s="9" t="s">
        <v>170</v>
      </c>
      <c r="DP442" s="6" t="s">
        <v>171</v>
      </c>
      <c r="DQ442" s="6" t="s">
        <v>645</v>
      </c>
      <c r="DR442" s="6" t="e">
        <f>#REF!&amp;RIGHT(#REF!,3)</f>
        <v>#REF!</v>
      </c>
      <c r="DS442" s="6" t="str">
        <f t="shared" si="234"/>
        <v>KS1</v>
      </c>
      <c r="DT442" s="10" t="str">
        <f t="shared" si="235"/>
        <v>FCS0111-7-2/1S–MC–107-F16-CN1</v>
      </c>
      <c r="DU442" s="6" t="str">
        <f t="shared" si="236"/>
        <v/>
      </c>
      <c r="DV442" s="19">
        <v>1</v>
      </c>
      <c r="DW442" s="20" t="str">
        <f t="shared" si="237"/>
        <v>11</v>
      </c>
      <c r="DX442" s="20">
        <v>7</v>
      </c>
      <c r="DY442" s="21">
        <v>2</v>
      </c>
      <c r="DZ442" s="22" t="s">
        <v>204</v>
      </c>
      <c r="EA442" s="23">
        <v>5</v>
      </c>
      <c r="EB442" s="7">
        <v>5</v>
      </c>
      <c r="EE442" s="9" t="s">
        <v>693</v>
      </c>
      <c r="EF442" s="6" t="s">
        <v>172</v>
      </c>
      <c r="EG442" s="6" t="s">
        <v>647</v>
      </c>
      <c r="EH442" s="6" t="s">
        <v>345</v>
      </c>
      <c r="EI442" s="6" t="s">
        <v>199</v>
      </c>
      <c r="EJ442" s="12">
        <v>100</v>
      </c>
      <c r="EL442" s="6"/>
      <c r="EM442" s="12"/>
      <c r="EN442" s="6" t="s">
        <v>1124</v>
      </c>
      <c r="EP442" s="6" t="s">
        <v>1148</v>
      </c>
      <c r="ET442" s="6" t="str">
        <f t="shared" si="208"/>
        <v>짝수</v>
      </c>
      <c r="EU442" s="12">
        <v>100</v>
      </c>
      <c r="EV442" s="45" t="str">
        <f t="shared" ca="1" si="213"/>
        <v>D</v>
      </c>
      <c r="EW442" s="6">
        <f t="shared" ca="1" si="209"/>
        <v>68</v>
      </c>
      <c r="FO442" s="6"/>
      <c r="FP442" s="11"/>
      <c r="FR442" s="6">
        <v>1</v>
      </c>
      <c r="FS442" s="6" t="str">
        <f t="shared" si="210"/>
        <v/>
      </c>
      <c r="FT442" s="6" t="str">
        <f t="shared" si="211"/>
        <v/>
      </c>
      <c r="FU442" s="6" t="str">
        <f t="shared" ca="1" si="214"/>
        <v/>
      </c>
      <c r="FV442" s="6" t="str">
        <f t="shared" ca="1" si="212"/>
        <v/>
      </c>
      <c r="FW442" s="6" t="str">
        <f t="shared" ca="1" si="223"/>
        <v/>
      </c>
      <c r="FX442" s="6" t="str">
        <f t="shared" ca="1" si="224"/>
        <v/>
      </c>
      <c r="FY442" s="6" t="str">
        <f t="shared" ca="1" si="225"/>
        <v/>
      </c>
      <c r="FZ442" s="6" t="str">
        <f t="shared" ca="1" si="226"/>
        <v/>
      </c>
    </row>
    <row r="443" spans="1:182" ht="15.95" customHeight="1">
      <c r="A443" s="6">
        <v>774</v>
      </c>
      <c r="B443" s="6" t="s">
        <v>694</v>
      </c>
      <c r="E443" s="6" t="s">
        <v>611</v>
      </c>
      <c r="F443" s="6" t="s">
        <v>1712</v>
      </c>
      <c r="G443" s="6" t="s">
        <v>1218</v>
      </c>
      <c r="H443" s="7" t="s">
        <v>1219</v>
      </c>
      <c r="I443" s="7"/>
      <c r="J443" s="6" t="s">
        <v>1199</v>
      </c>
      <c r="K443" s="6" t="s">
        <v>1201</v>
      </c>
      <c r="N443" s="6" t="s">
        <v>1203</v>
      </c>
      <c r="O443" s="6" t="s">
        <v>1205</v>
      </c>
      <c r="R443" s="101" t="s">
        <v>1220</v>
      </c>
      <c r="Y443" s="6" t="s">
        <v>1698</v>
      </c>
      <c r="Z443" s="6">
        <v>51</v>
      </c>
      <c r="AA443" s="6">
        <v>52</v>
      </c>
      <c r="AD443" s="6" t="s">
        <v>1203</v>
      </c>
      <c r="AE443" s="6" t="s">
        <v>1205</v>
      </c>
      <c r="AG443" s="6" t="s">
        <v>1353</v>
      </c>
      <c r="AY443" s="8" t="s">
        <v>176</v>
      </c>
      <c r="AZ443" s="8" t="s">
        <v>195</v>
      </c>
      <c r="BA443" s="13" t="s">
        <v>197</v>
      </c>
      <c r="BB443" s="13" t="s">
        <v>8</v>
      </c>
      <c r="BC443" s="13">
        <v>23</v>
      </c>
      <c r="BD443" s="13">
        <v>24</v>
      </c>
      <c r="DC443" s="6" t="s">
        <v>169</v>
      </c>
      <c r="DD443" s="6" t="s">
        <v>186</v>
      </c>
      <c r="DH443" s="6" t="str">
        <f t="shared" si="238"/>
        <v>A6</v>
      </c>
      <c r="DI443" s="6" t="str">
        <f t="shared" si="239"/>
        <v>B6</v>
      </c>
      <c r="DK443" s="6" t="s">
        <v>173</v>
      </c>
      <c r="DL443" s="6" t="str">
        <f t="shared" si="240"/>
        <v/>
      </c>
      <c r="DO443" s="9" t="s">
        <v>170</v>
      </c>
      <c r="DP443" s="6" t="s">
        <v>171</v>
      </c>
      <c r="DQ443" s="6" t="s">
        <v>645</v>
      </c>
      <c r="DR443" s="6" t="e">
        <f>#REF!&amp;RIGHT(#REF!,3)</f>
        <v>#REF!</v>
      </c>
      <c r="DS443" s="6" t="str">
        <f t="shared" si="234"/>
        <v>KS1</v>
      </c>
      <c r="DT443" s="10" t="str">
        <f t="shared" si="235"/>
        <v>FCS0111-7-2/1S–MC–107-F16-CN1</v>
      </c>
      <c r="DU443" s="6" t="str">
        <f t="shared" si="236"/>
        <v/>
      </c>
      <c r="DV443" s="19">
        <v>1</v>
      </c>
      <c r="DW443" s="20" t="str">
        <f t="shared" si="237"/>
        <v>11</v>
      </c>
      <c r="DX443" s="20">
        <v>7</v>
      </c>
      <c r="DY443" s="21">
        <v>2</v>
      </c>
      <c r="DZ443" s="22" t="s">
        <v>204</v>
      </c>
      <c r="EA443" s="23">
        <v>6</v>
      </c>
      <c r="EB443" s="7">
        <v>6</v>
      </c>
      <c r="EE443" s="9" t="s">
        <v>693</v>
      </c>
      <c r="EF443" s="6" t="s">
        <v>172</v>
      </c>
      <c r="EG443" s="6" t="s">
        <v>647</v>
      </c>
      <c r="EH443" s="6" t="s">
        <v>346</v>
      </c>
      <c r="EI443" s="6" t="s">
        <v>199</v>
      </c>
      <c r="EJ443" s="12">
        <v>100</v>
      </c>
      <c r="EL443" s="6"/>
      <c r="EM443" s="12"/>
      <c r="EN443" s="6" t="s">
        <v>1124</v>
      </c>
      <c r="EP443" s="6" t="s">
        <v>1148</v>
      </c>
      <c r="ET443" s="6" t="str">
        <f t="shared" si="208"/>
        <v>홀수</v>
      </c>
      <c r="EU443" s="12">
        <v>101</v>
      </c>
      <c r="EV443" s="45" t="str">
        <f t="shared" ca="1" si="213"/>
        <v>A</v>
      </c>
      <c r="EW443" s="6">
        <f t="shared" ca="1" si="209"/>
        <v>65</v>
      </c>
      <c r="FO443" s="6"/>
      <c r="FP443" s="11"/>
      <c r="FR443" s="6">
        <v>1</v>
      </c>
      <c r="FS443" s="6" t="str">
        <f t="shared" si="210"/>
        <v/>
      </c>
      <c r="FT443" s="6" t="str">
        <f t="shared" si="211"/>
        <v/>
      </c>
      <c r="FU443" s="6" t="str">
        <f t="shared" ca="1" si="214"/>
        <v/>
      </c>
      <c r="FV443" s="6" t="str">
        <f t="shared" ca="1" si="212"/>
        <v/>
      </c>
      <c r="FW443" s="6" t="str">
        <f t="shared" ca="1" si="223"/>
        <v/>
      </c>
      <c r="FX443" s="6" t="str">
        <f t="shared" ca="1" si="224"/>
        <v/>
      </c>
      <c r="FY443" s="6" t="str">
        <f t="shared" ca="1" si="225"/>
        <v/>
      </c>
      <c r="FZ443" s="6" t="str">
        <f t="shared" ca="1" si="226"/>
        <v/>
      </c>
    </row>
    <row r="444" spans="1:182" ht="15.95" customHeight="1">
      <c r="A444" s="6">
        <v>775</v>
      </c>
      <c r="B444" s="6" t="s">
        <v>694</v>
      </c>
      <c r="E444" s="13" t="s">
        <v>1137</v>
      </c>
      <c r="F444" s="6" t="s">
        <v>1713</v>
      </c>
      <c r="G444" s="6" t="s">
        <v>1218</v>
      </c>
      <c r="H444" s="7" t="s">
        <v>1219</v>
      </c>
      <c r="I444" s="7"/>
      <c r="J444" s="6" t="s">
        <v>1199</v>
      </c>
      <c r="K444" s="6" t="s">
        <v>1201</v>
      </c>
      <c r="N444" s="6" t="s">
        <v>1203</v>
      </c>
      <c r="O444" s="6" t="s">
        <v>1205</v>
      </c>
      <c r="R444" s="101" t="s">
        <v>1220</v>
      </c>
      <c r="Y444" s="6" t="s">
        <v>1228</v>
      </c>
      <c r="Z444" s="6">
        <v>15</v>
      </c>
      <c r="AA444" s="6">
        <v>16</v>
      </c>
      <c r="AD444" s="6" t="s">
        <v>1203</v>
      </c>
      <c r="AE444" s="6" t="s">
        <v>1205</v>
      </c>
      <c r="AG444" s="6" t="s">
        <v>1229</v>
      </c>
      <c r="AY444" s="8" t="s">
        <v>176</v>
      </c>
      <c r="AZ444" s="8" t="s">
        <v>195</v>
      </c>
      <c r="BA444" s="13" t="s">
        <v>197</v>
      </c>
      <c r="BB444" s="13" t="s">
        <v>8</v>
      </c>
      <c r="BC444" s="13">
        <v>111</v>
      </c>
      <c r="BD444" s="13">
        <v>112</v>
      </c>
      <c r="DC444" s="6" t="s">
        <v>169</v>
      </c>
      <c r="DD444" s="6" t="s">
        <v>186</v>
      </c>
      <c r="DH444" s="6" t="str">
        <f t="shared" si="238"/>
        <v>A7</v>
      </c>
      <c r="DI444" s="6" t="str">
        <f t="shared" si="239"/>
        <v>B7</v>
      </c>
      <c r="DK444" s="6" t="s">
        <v>173</v>
      </c>
      <c r="DL444" s="6" t="str">
        <f t="shared" si="240"/>
        <v/>
      </c>
      <c r="DO444" s="9" t="s">
        <v>170</v>
      </c>
      <c r="DP444" s="6" t="s">
        <v>171</v>
      </c>
      <c r="DQ444" s="6" t="s">
        <v>645</v>
      </c>
      <c r="DR444" s="6" t="e">
        <f>#REF!&amp;RIGHT(#REF!,3)</f>
        <v>#REF!</v>
      </c>
      <c r="DS444" s="6" t="str">
        <f t="shared" si="234"/>
        <v>KS1</v>
      </c>
      <c r="DT444" s="10" t="str">
        <f t="shared" si="235"/>
        <v>FCS0111-7-2/1S–MC–107-F16-CN1</v>
      </c>
      <c r="DU444" s="6" t="str">
        <f t="shared" si="236"/>
        <v/>
      </c>
      <c r="DV444" s="19">
        <v>1</v>
      </c>
      <c r="DW444" s="20" t="str">
        <f t="shared" si="237"/>
        <v>11</v>
      </c>
      <c r="DX444" s="20">
        <v>7</v>
      </c>
      <c r="DY444" s="21">
        <v>2</v>
      </c>
      <c r="DZ444" s="22" t="s">
        <v>204</v>
      </c>
      <c r="EA444" s="23">
        <v>7</v>
      </c>
      <c r="EB444" s="7">
        <v>7</v>
      </c>
      <c r="EE444" s="9" t="s">
        <v>693</v>
      </c>
      <c r="EF444" s="6" t="s">
        <v>172</v>
      </c>
      <c r="EG444" s="6" t="s">
        <v>647</v>
      </c>
      <c r="EH444" s="6" t="s">
        <v>347</v>
      </c>
      <c r="EI444" s="6" t="s">
        <v>199</v>
      </c>
      <c r="EJ444" s="12">
        <v>100</v>
      </c>
      <c r="EL444" s="6"/>
      <c r="EM444" s="12"/>
      <c r="EN444" s="6" t="s">
        <v>1124</v>
      </c>
      <c r="EP444" s="6" t="s">
        <v>1148</v>
      </c>
      <c r="ET444" s="6" t="str">
        <f t="shared" si="208"/>
        <v>홀수</v>
      </c>
      <c r="EU444" s="12">
        <v>101</v>
      </c>
      <c r="EV444" s="45" t="str">
        <f t="shared" ca="1" si="213"/>
        <v>B</v>
      </c>
      <c r="EW444" s="6">
        <f t="shared" ca="1" si="209"/>
        <v>66</v>
      </c>
      <c r="FO444" s="6"/>
      <c r="FP444" s="11"/>
      <c r="FR444" s="6">
        <v>1</v>
      </c>
      <c r="FS444" s="6" t="str">
        <f t="shared" si="210"/>
        <v/>
      </c>
      <c r="FT444" s="6" t="str">
        <f t="shared" si="211"/>
        <v/>
      </c>
      <c r="FU444" s="6" t="str">
        <f t="shared" ca="1" si="214"/>
        <v/>
      </c>
      <c r="FV444" s="6" t="str">
        <f t="shared" ca="1" si="212"/>
        <v/>
      </c>
      <c r="FW444" s="6" t="str">
        <f t="shared" ca="1" si="223"/>
        <v/>
      </c>
      <c r="FX444" s="6" t="str">
        <f t="shared" ca="1" si="224"/>
        <v/>
      </c>
      <c r="FY444" s="6" t="str">
        <f t="shared" ca="1" si="225"/>
        <v/>
      </c>
      <c r="FZ444" s="6" t="str">
        <f t="shared" ca="1" si="226"/>
        <v/>
      </c>
    </row>
    <row r="445" spans="1:182" ht="15.95" customHeight="1">
      <c r="A445" s="6">
        <v>778</v>
      </c>
      <c r="B445" s="6" t="s">
        <v>694</v>
      </c>
      <c r="E445" s="6" t="s">
        <v>612</v>
      </c>
      <c r="F445" s="6" t="s">
        <v>1714</v>
      </c>
      <c r="G445" s="6" t="s">
        <v>1218</v>
      </c>
      <c r="H445" s="7" t="s">
        <v>1219</v>
      </c>
      <c r="I445" s="7"/>
      <c r="J445" s="6" t="s">
        <v>1199</v>
      </c>
      <c r="K445" s="6" t="s">
        <v>1201</v>
      </c>
      <c r="N445" s="6" t="s">
        <v>1203</v>
      </c>
      <c r="O445" s="6" t="s">
        <v>1205</v>
      </c>
      <c r="R445" s="101" t="s">
        <v>1220</v>
      </c>
      <c r="Y445" s="6" t="s">
        <v>1310</v>
      </c>
      <c r="Z445" s="6">
        <v>51</v>
      </c>
      <c r="AA445" s="6">
        <v>52</v>
      </c>
      <c r="AD445" s="6" t="s">
        <v>1203</v>
      </c>
      <c r="AE445" s="6" t="s">
        <v>1205</v>
      </c>
      <c r="AG445" s="6" t="s">
        <v>1297</v>
      </c>
      <c r="AY445" s="8" t="s">
        <v>176</v>
      </c>
      <c r="AZ445" s="8" t="s">
        <v>195</v>
      </c>
      <c r="BA445" s="13" t="s">
        <v>197</v>
      </c>
      <c r="BB445" s="13" t="s">
        <v>7</v>
      </c>
      <c r="BC445" s="13">
        <v>107</v>
      </c>
      <c r="BD445" s="13">
        <v>108</v>
      </c>
      <c r="DC445" s="6" t="s">
        <v>169</v>
      </c>
      <c r="DD445" s="6" t="s">
        <v>186</v>
      </c>
      <c r="DH445" s="6" t="str">
        <f t="shared" si="238"/>
        <v>A10</v>
      </c>
      <c r="DI445" s="6" t="str">
        <f t="shared" si="239"/>
        <v>B10</v>
      </c>
      <c r="DK445" s="6" t="s">
        <v>173</v>
      </c>
      <c r="DL445" s="6" t="str">
        <f t="shared" si="240"/>
        <v/>
      </c>
      <c r="DO445" s="9" t="s">
        <v>170</v>
      </c>
      <c r="DP445" s="6" t="s">
        <v>171</v>
      </c>
      <c r="DQ445" s="6" t="s">
        <v>645</v>
      </c>
      <c r="DR445" s="6" t="e">
        <f>#REF!&amp;RIGHT(#REF!,3)</f>
        <v>#REF!</v>
      </c>
      <c r="DS445" s="6" t="str">
        <f t="shared" si="234"/>
        <v>KS1</v>
      </c>
      <c r="DT445" s="10" t="str">
        <f t="shared" si="235"/>
        <v>FCS0111-7-2/1S–MC–107-F16-CN1</v>
      </c>
      <c r="DU445" s="6" t="str">
        <f t="shared" si="236"/>
        <v/>
      </c>
      <c r="DV445" s="19">
        <v>1</v>
      </c>
      <c r="DW445" s="20" t="str">
        <f t="shared" si="237"/>
        <v>11</v>
      </c>
      <c r="DX445" s="20">
        <v>7</v>
      </c>
      <c r="DY445" s="21">
        <v>2</v>
      </c>
      <c r="DZ445" s="22" t="s">
        <v>204</v>
      </c>
      <c r="EA445" s="23">
        <v>10</v>
      </c>
      <c r="EB445" s="7">
        <v>10</v>
      </c>
      <c r="EE445" s="9" t="s">
        <v>693</v>
      </c>
      <c r="EF445" s="6" t="s">
        <v>172</v>
      </c>
      <c r="EG445" s="6" t="s">
        <v>647</v>
      </c>
      <c r="EH445" s="6" t="s">
        <v>348</v>
      </c>
      <c r="EI445" s="6" t="s">
        <v>451</v>
      </c>
      <c r="EJ445" s="12">
        <v>100</v>
      </c>
      <c r="EL445" s="6"/>
      <c r="EM445" s="12"/>
      <c r="EN445" s="6" t="s">
        <v>1124</v>
      </c>
      <c r="EP445" s="6" t="s">
        <v>1148</v>
      </c>
      <c r="ET445" s="6" t="str">
        <f t="shared" si="208"/>
        <v>홀수</v>
      </c>
      <c r="EU445" s="12">
        <v>101</v>
      </c>
      <c r="EV445" s="45" t="str">
        <f t="shared" ca="1" si="213"/>
        <v>C</v>
      </c>
      <c r="EW445" s="6">
        <f t="shared" ca="1" si="209"/>
        <v>67</v>
      </c>
      <c r="FO445" s="6"/>
      <c r="FP445" s="11"/>
      <c r="FR445" s="6">
        <v>1</v>
      </c>
      <c r="FS445" s="6" t="str">
        <f t="shared" si="210"/>
        <v/>
      </c>
      <c r="FT445" s="6" t="str">
        <f t="shared" si="211"/>
        <v/>
      </c>
      <c r="FU445" s="6" t="str">
        <f t="shared" ca="1" si="214"/>
        <v/>
      </c>
      <c r="FV445" s="6" t="str">
        <f t="shared" ca="1" si="212"/>
        <v/>
      </c>
      <c r="FW445" s="6" t="str">
        <f t="shared" ca="1" si="223"/>
        <v/>
      </c>
      <c r="FX445" s="6" t="str">
        <f t="shared" ca="1" si="224"/>
        <v/>
      </c>
      <c r="FY445" s="6" t="str">
        <f t="shared" ca="1" si="225"/>
        <v/>
      </c>
      <c r="FZ445" s="6" t="str">
        <f t="shared" ca="1" si="226"/>
        <v/>
      </c>
    </row>
    <row r="446" spans="1:182" ht="15.95" customHeight="1">
      <c r="A446" s="6">
        <v>779</v>
      </c>
      <c r="B446" s="6" t="s">
        <v>694</v>
      </c>
      <c r="E446" s="6" t="s">
        <v>613</v>
      </c>
      <c r="F446" s="6" t="s">
        <v>1715</v>
      </c>
      <c r="G446" s="6" t="s">
        <v>1218</v>
      </c>
      <c r="H446" s="7" t="s">
        <v>1219</v>
      </c>
      <c r="I446" s="7"/>
      <c r="J446" s="6" t="s">
        <v>1199</v>
      </c>
      <c r="K446" s="6" t="s">
        <v>1201</v>
      </c>
      <c r="N446" s="6" t="s">
        <v>1203</v>
      </c>
      <c r="O446" s="6" t="s">
        <v>1205</v>
      </c>
      <c r="R446" s="101" t="s">
        <v>1220</v>
      </c>
      <c r="Y446" s="6" t="s">
        <v>1228</v>
      </c>
      <c r="Z446" s="6">
        <v>23</v>
      </c>
      <c r="AA446" s="6">
        <v>24</v>
      </c>
      <c r="AD446" s="6" t="s">
        <v>1203</v>
      </c>
      <c r="AE446" s="6" t="s">
        <v>1205</v>
      </c>
      <c r="AG446" s="6" t="s">
        <v>1229</v>
      </c>
      <c r="AY446" s="8" t="s">
        <v>176</v>
      </c>
      <c r="AZ446" s="8" t="s">
        <v>195</v>
      </c>
      <c r="BA446" s="13" t="s">
        <v>197</v>
      </c>
      <c r="BB446" s="13" t="s">
        <v>8</v>
      </c>
      <c r="BC446" s="13">
        <v>119</v>
      </c>
      <c r="BD446" s="13">
        <v>120</v>
      </c>
      <c r="DC446" s="6" t="s">
        <v>169</v>
      </c>
      <c r="DD446" s="6" t="s">
        <v>186</v>
      </c>
      <c r="DH446" s="6" t="str">
        <f t="shared" si="238"/>
        <v>A11</v>
      </c>
      <c r="DI446" s="6" t="str">
        <f t="shared" si="239"/>
        <v>B11</v>
      </c>
      <c r="DK446" s="6" t="s">
        <v>173</v>
      </c>
      <c r="DL446" s="6" t="str">
        <f t="shared" si="240"/>
        <v/>
      </c>
      <c r="DO446" s="9" t="s">
        <v>170</v>
      </c>
      <c r="DP446" s="6" t="s">
        <v>171</v>
      </c>
      <c r="DQ446" s="6" t="s">
        <v>645</v>
      </c>
      <c r="DR446" s="6" t="e">
        <f>#REF!&amp;RIGHT(#REF!,3)</f>
        <v>#REF!</v>
      </c>
      <c r="DS446" s="6" t="str">
        <f t="shared" si="234"/>
        <v>KS1</v>
      </c>
      <c r="DT446" s="10" t="str">
        <f t="shared" si="235"/>
        <v>FCS0111-7-2/1S–MC–107-F16-CN1</v>
      </c>
      <c r="DU446" s="6" t="str">
        <f t="shared" si="236"/>
        <v/>
      </c>
      <c r="DV446" s="19">
        <v>1</v>
      </c>
      <c r="DW446" s="20" t="str">
        <f t="shared" si="237"/>
        <v>11</v>
      </c>
      <c r="DX446" s="20">
        <v>7</v>
      </c>
      <c r="DY446" s="21">
        <v>2</v>
      </c>
      <c r="DZ446" s="22" t="s">
        <v>204</v>
      </c>
      <c r="EA446" s="23">
        <v>11</v>
      </c>
      <c r="EB446" s="7">
        <v>11</v>
      </c>
      <c r="EE446" s="9" t="s">
        <v>693</v>
      </c>
      <c r="EF446" s="6" t="s">
        <v>172</v>
      </c>
      <c r="EG446" s="6" t="s">
        <v>647</v>
      </c>
      <c r="EH446" s="6" t="s">
        <v>349</v>
      </c>
      <c r="EI446" s="6" t="s">
        <v>413</v>
      </c>
      <c r="EJ446" s="12">
        <v>100</v>
      </c>
      <c r="EL446" s="6"/>
      <c r="EM446" s="12"/>
      <c r="EN446" s="6" t="s">
        <v>1124</v>
      </c>
      <c r="EP446" s="6" t="s">
        <v>1148</v>
      </c>
      <c r="ET446" s="6" t="str">
        <f t="shared" si="208"/>
        <v>홀수</v>
      </c>
      <c r="EU446" s="12">
        <v>101</v>
      </c>
      <c r="EV446" s="45" t="str">
        <f t="shared" ca="1" si="213"/>
        <v>D</v>
      </c>
      <c r="EW446" s="6">
        <f t="shared" ca="1" si="209"/>
        <v>68</v>
      </c>
      <c r="FO446" s="6"/>
      <c r="FP446" s="11"/>
      <c r="FR446" s="6">
        <v>1</v>
      </c>
      <c r="FS446" s="6" t="str">
        <f t="shared" si="210"/>
        <v/>
      </c>
      <c r="FT446" s="6" t="str">
        <f t="shared" si="211"/>
        <v/>
      </c>
      <c r="FU446" s="6" t="str">
        <f t="shared" ca="1" si="214"/>
        <v/>
      </c>
      <c r="FV446" s="6" t="str">
        <f t="shared" ca="1" si="212"/>
        <v/>
      </c>
      <c r="FW446" s="6" t="str">
        <f t="shared" ca="1" si="223"/>
        <v/>
      </c>
      <c r="FX446" s="6" t="str">
        <f t="shared" ca="1" si="224"/>
        <v/>
      </c>
      <c r="FY446" s="6" t="str">
        <f t="shared" ca="1" si="225"/>
        <v/>
      </c>
      <c r="FZ446" s="6" t="str">
        <f t="shared" ca="1" si="226"/>
        <v/>
      </c>
    </row>
    <row r="447" spans="1:182" ht="15.95" customHeight="1">
      <c r="A447" s="6">
        <v>780</v>
      </c>
      <c r="B447" s="6" t="s">
        <v>694</v>
      </c>
      <c r="E447" s="6" t="s">
        <v>614</v>
      </c>
      <c r="F447" s="6" t="s">
        <v>1716</v>
      </c>
      <c r="G447" s="6" t="s">
        <v>1218</v>
      </c>
      <c r="H447" s="7" t="s">
        <v>1219</v>
      </c>
      <c r="I447" s="7"/>
      <c r="J447" s="6" t="s">
        <v>1199</v>
      </c>
      <c r="K447" s="6" t="s">
        <v>1201</v>
      </c>
      <c r="N447" s="6" t="s">
        <v>1203</v>
      </c>
      <c r="O447" s="6" t="s">
        <v>1205</v>
      </c>
      <c r="R447" s="101" t="s">
        <v>1220</v>
      </c>
      <c r="Y447" s="6" t="s">
        <v>1228</v>
      </c>
      <c r="Z447" s="6">
        <v>25</v>
      </c>
      <c r="AA447" s="6">
        <v>26</v>
      </c>
      <c r="AD447" s="6" t="s">
        <v>1203</v>
      </c>
      <c r="AE447" s="6" t="s">
        <v>1205</v>
      </c>
      <c r="AG447" s="6" t="s">
        <v>1229</v>
      </c>
      <c r="AY447" s="8" t="s">
        <v>176</v>
      </c>
      <c r="AZ447" s="8" t="s">
        <v>195</v>
      </c>
      <c r="BA447" s="13" t="s">
        <v>197</v>
      </c>
      <c r="BB447" s="13" t="s">
        <v>8</v>
      </c>
      <c r="BC447" s="13">
        <v>121</v>
      </c>
      <c r="BD447" s="13">
        <v>122</v>
      </c>
      <c r="DC447" s="6" t="s">
        <v>169</v>
      </c>
      <c r="DD447" s="6" t="s">
        <v>186</v>
      </c>
      <c r="DH447" s="6" t="str">
        <f t="shared" si="238"/>
        <v>A12</v>
      </c>
      <c r="DI447" s="6" t="str">
        <f t="shared" si="239"/>
        <v>B12</v>
      </c>
      <c r="DK447" s="6" t="s">
        <v>173</v>
      </c>
      <c r="DL447" s="6" t="str">
        <f t="shared" si="240"/>
        <v/>
      </c>
      <c r="DO447" s="9" t="s">
        <v>170</v>
      </c>
      <c r="DP447" s="6" t="s">
        <v>171</v>
      </c>
      <c r="DQ447" s="6" t="s">
        <v>645</v>
      </c>
      <c r="DR447" s="6" t="e">
        <f>#REF!&amp;RIGHT(#REF!,3)</f>
        <v>#REF!</v>
      </c>
      <c r="DS447" s="6" t="str">
        <f t="shared" si="234"/>
        <v>KS1</v>
      </c>
      <c r="DT447" s="10" t="str">
        <f t="shared" si="235"/>
        <v>FCS0111-7-2/1S–MC–107-F16-CN1</v>
      </c>
      <c r="DU447" s="6" t="str">
        <f t="shared" si="236"/>
        <v/>
      </c>
      <c r="DV447" s="19">
        <v>1</v>
      </c>
      <c r="DW447" s="20" t="str">
        <f t="shared" si="237"/>
        <v>11</v>
      </c>
      <c r="DX447" s="20">
        <v>7</v>
      </c>
      <c r="DY447" s="21">
        <v>2</v>
      </c>
      <c r="DZ447" s="22" t="s">
        <v>204</v>
      </c>
      <c r="EA447" s="23">
        <v>12</v>
      </c>
      <c r="EB447" s="7">
        <v>12</v>
      </c>
      <c r="EE447" s="9" t="s">
        <v>693</v>
      </c>
      <c r="EF447" s="6" t="s">
        <v>172</v>
      </c>
      <c r="EG447" s="6" t="s">
        <v>647</v>
      </c>
      <c r="EH447" s="6" t="s">
        <v>350</v>
      </c>
      <c r="EI447" s="6" t="s">
        <v>413</v>
      </c>
      <c r="EJ447" s="12">
        <v>100</v>
      </c>
      <c r="EL447" s="6"/>
      <c r="EM447" s="12"/>
      <c r="EN447" s="6" t="s">
        <v>1124</v>
      </c>
      <c r="EP447" s="6" t="s">
        <v>1148</v>
      </c>
      <c r="ET447" s="6" t="str">
        <f t="shared" si="208"/>
        <v>짝수</v>
      </c>
      <c r="EU447" s="12">
        <v>102</v>
      </c>
      <c r="EV447" s="45" t="str">
        <f t="shared" ca="1" si="213"/>
        <v>A</v>
      </c>
      <c r="EW447" s="6">
        <f t="shared" ca="1" si="209"/>
        <v>65</v>
      </c>
      <c r="FO447" s="6"/>
      <c r="FP447" s="11"/>
      <c r="FR447" s="6">
        <v>1</v>
      </c>
      <c r="FS447" s="6" t="str">
        <f t="shared" si="210"/>
        <v/>
      </c>
      <c r="FT447" s="6" t="str">
        <f t="shared" si="211"/>
        <v/>
      </c>
      <c r="FU447" s="6" t="str">
        <f t="shared" ca="1" si="214"/>
        <v/>
      </c>
      <c r="FV447" s="6" t="str">
        <f t="shared" ca="1" si="212"/>
        <v/>
      </c>
      <c r="FW447" s="6" t="str">
        <f t="shared" ca="1" si="223"/>
        <v/>
      </c>
      <c r="FX447" s="6" t="str">
        <f t="shared" ca="1" si="224"/>
        <v/>
      </c>
      <c r="FY447" s="6" t="str">
        <f t="shared" ca="1" si="225"/>
        <v/>
      </c>
      <c r="FZ447" s="6" t="str">
        <f t="shared" ca="1" si="226"/>
        <v/>
      </c>
    </row>
    <row r="448" spans="1:182" ht="15.95" customHeight="1">
      <c r="A448" s="6">
        <v>781</v>
      </c>
      <c r="B448" s="6" t="s">
        <v>694</v>
      </c>
      <c r="E448" s="6" t="s">
        <v>615</v>
      </c>
      <c r="F448" s="6" t="s">
        <v>1717</v>
      </c>
      <c r="G448" s="6" t="s">
        <v>1218</v>
      </c>
      <c r="H448" s="7" t="s">
        <v>1219</v>
      </c>
      <c r="I448" s="7"/>
      <c r="J448" s="6" t="s">
        <v>1199</v>
      </c>
      <c r="K448" s="6" t="s">
        <v>1201</v>
      </c>
      <c r="N448" s="6" t="s">
        <v>1203</v>
      </c>
      <c r="O448" s="6" t="s">
        <v>1205</v>
      </c>
      <c r="R448" s="101" t="s">
        <v>1220</v>
      </c>
      <c r="Y448" s="6" t="s">
        <v>1702</v>
      </c>
      <c r="Z448" s="6">
        <v>51</v>
      </c>
      <c r="AA448" s="6">
        <v>52</v>
      </c>
      <c r="AD448" s="6" t="s">
        <v>1203</v>
      </c>
      <c r="AE448" s="6" t="s">
        <v>1205</v>
      </c>
      <c r="AG448" s="6" t="s">
        <v>1355</v>
      </c>
      <c r="AY448" s="8" t="s">
        <v>176</v>
      </c>
      <c r="AZ448" s="8" t="s">
        <v>195</v>
      </c>
      <c r="BA448" s="13" t="s">
        <v>197</v>
      </c>
      <c r="BB448" s="13" t="s">
        <v>7</v>
      </c>
      <c r="BC448" s="13">
        <v>151</v>
      </c>
      <c r="BD448" s="13">
        <v>152</v>
      </c>
      <c r="DC448" s="6" t="s">
        <v>169</v>
      </c>
      <c r="DD448" s="6" t="s">
        <v>186</v>
      </c>
      <c r="DH448" s="6" t="str">
        <f t="shared" si="238"/>
        <v>A13</v>
      </c>
      <c r="DI448" s="6" t="str">
        <f t="shared" si="239"/>
        <v>B13</v>
      </c>
      <c r="DK448" s="6" t="s">
        <v>173</v>
      </c>
      <c r="DL448" s="6" t="str">
        <f t="shared" si="240"/>
        <v/>
      </c>
      <c r="DO448" s="9" t="s">
        <v>170</v>
      </c>
      <c r="DP448" s="6" t="s">
        <v>171</v>
      </c>
      <c r="DQ448" s="6" t="s">
        <v>645</v>
      </c>
      <c r="DR448" s="6" t="e">
        <f>#REF!&amp;RIGHT(#REF!,3)</f>
        <v>#REF!</v>
      </c>
      <c r="DS448" s="6" t="str">
        <f t="shared" si="234"/>
        <v>KS1</v>
      </c>
      <c r="DT448" s="10" t="str">
        <f t="shared" si="235"/>
        <v>FCS0111-7-2/1S–MC–107-F16-CN1</v>
      </c>
      <c r="DU448" s="6" t="str">
        <f t="shared" si="236"/>
        <v/>
      </c>
      <c r="DV448" s="19">
        <v>1</v>
      </c>
      <c r="DW448" s="20" t="str">
        <f t="shared" si="237"/>
        <v>11</v>
      </c>
      <c r="DX448" s="20">
        <v>7</v>
      </c>
      <c r="DY448" s="21">
        <v>2</v>
      </c>
      <c r="DZ448" s="22" t="s">
        <v>204</v>
      </c>
      <c r="EA448" s="23">
        <v>13</v>
      </c>
      <c r="EB448" s="7">
        <v>13</v>
      </c>
      <c r="EE448" s="9" t="s">
        <v>693</v>
      </c>
      <c r="EF448" s="6" t="s">
        <v>172</v>
      </c>
      <c r="EG448" s="6" t="s">
        <v>647</v>
      </c>
      <c r="EH448" s="6" t="s">
        <v>351</v>
      </c>
      <c r="EI448" s="6" t="s">
        <v>452</v>
      </c>
      <c r="EJ448" s="12">
        <v>100</v>
      </c>
      <c r="EL448" s="6"/>
      <c r="EM448" s="12"/>
      <c r="EN448" s="6" t="s">
        <v>1124</v>
      </c>
      <c r="EP448" s="6" t="s">
        <v>1148</v>
      </c>
      <c r="ET448" s="6" t="str">
        <f t="shared" si="208"/>
        <v>짝수</v>
      </c>
      <c r="EU448" s="12">
        <v>102</v>
      </c>
      <c r="EV448" s="45" t="str">
        <f t="shared" ca="1" si="213"/>
        <v>B</v>
      </c>
      <c r="EW448" s="6">
        <f t="shared" ca="1" si="209"/>
        <v>66</v>
      </c>
      <c r="FO448" s="6"/>
      <c r="FP448" s="11"/>
      <c r="FR448" s="6">
        <v>1</v>
      </c>
      <c r="FS448" s="6" t="str">
        <f t="shared" si="210"/>
        <v/>
      </c>
      <c r="FT448" s="6" t="str">
        <f t="shared" si="211"/>
        <v/>
      </c>
      <c r="FU448" s="6" t="str">
        <f t="shared" ca="1" si="214"/>
        <v/>
      </c>
      <c r="FV448" s="6" t="str">
        <f t="shared" ca="1" si="212"/>
        <v/>
      </c>
      <c r="FW448" s="6" t="str">
        <f t="shared" ca="1" si="223"/>
        <v/>
      </c>
      <c r="FX448" s="6" t="str">
        <f t="shared" ca="1" si="224"/>
        <v/>
      </c>
      <c r="FY448" s="6" t="str">
        <f t="shared" ca="1" si="225"/>
        <v/>
      </c>
      <c r="FZ448" s="6" t="str">
        <f t="shared" ca="1" si="226"/>
        <v/>
      </c>
    </row>
    <row r="449" spans="1:182" ht="15.95" customHeight="1">
      <c r="A449" s="6">
        <v>785</v>
      </c>
      <c r="B449" s="6" t="s">
        <v>694</v>
      </c>
      <c r="E449" s="6" t="s">
        <v>1138</v>
      </c>
      <c r="F449" s="6" t="s">
        <v>1718</v>
      </c>
      <c r="G449" s="6" t="s">
        <v>1290</v>
      </c>
      <c r="H449" s="7" t="s">
        <v>1291</v>
      </c>
      <c r="I449" s="7"/>
      <c r="J449" s="6" t="s">
        <v>1199</v>
      </c>
      <c r="K449" s="6" t="s">
        <v>1201</v>
      </c>
      <c r="N449" s="6" t="s">
        <v>1203</v>
      </c>
      <c r="O449" s="6" t="s">
        <v>1205</v>
      </c>
      <c r="R449" s="101" t="s">
        <v>1592</v>
      </c>
      <c r="Y449" s="6" t="s">
        <v>1659</v>
      </c>
      <c r="Z449" s="6">
        <v>1</v>
      </c>
      <c r="AA449" s="6">
        <v>2</v>
      </c>
      <c r="AD449" s="6" t="s">
        <v>1203</v>
      </c>
      <c r="AE449" s="6" t="s">
        <v>1205</v>
      </c>
      <c r="AG449" s="6" t="s">
        <v>1660</v>
      </c>
      <c r="AY449" s="8" t="s">
        <v>176</v>
      </c>
      <c r="AZ449" s="8" t="s">
        <v>195</v>
      </c>
      <c r="BA449" s="13" t="s">
        <v>670</v>
      </c>
      <c r="BB449" s="13" t="s">
        <v>200</v>
      </c>
      <c r="BC449" s="13">
        <v>25</v>
      </c>
      <c r="BD449" s="13">
        <v>26</v>
      </c>
      <c r="DC449" s="6" t="s">
        <v>992</v>
      </c>
      <c r="DD449" s="6" t="s">
        <v>187</v>
      </c>
      <c r="DH449" s="6" t="str">
        <f t="shared" si="238"/>
        <v>A1</v>
      </c>
      <c r="DI449" s="6" t="str">
        <f t="shared" si="239"/>
        <v>B1</v>
      </c>
      <c r="DK449" s="6" t="s">
        <v>173</v>
      </c>
      <c r="DL449" s="6" t="str">
        <f t="shared" si="240"/>
        <v>CN2</v>
      </c>
      <c r="DO449" s="9" t="s">
        <v>170</v>
      </c>
      <c r="DP449" s="6" t="s">
        <v>171</v>
      </c>
      <c r="DQ449" s="6" t="s">
        <v>645</v>
      </c>
      <c r="DR449" s="6" t="e">
        <f>#REF!&amp;RIGHT(#REF!,3)</f>
        <v>#REF!</v>
      </c>
      <c r="DS449" s="6" t="str">
        <f t="shared" si="234"/>
        <v>AKB331</v>
      </c>
      <c r="DT449" s="10" t="str">
        <f t="shared" si="235"/>
        <v>FCS0111-7-7/1S–MC–120-R1-CN1</v>
      </c>
      <c r="DU449" s="6" t="str">
        <f t="shared" si="236"/>
        <v>FCS0111-7-7/1S–MC–120-R1-CN2</v>
      </c>
      <c r="DV449" s="19">
        <v>1</v>
      </c>
      <c r="DW449" s="20" t="str">
        <f t="shared" si="237"/>
        <v>11</v>
      </c>
      <c r="DX449" s="20">
        <v>7</v>
      </c>
      <c r="DY449" s="21">
        <v>7</v>
      </c>
      <c r="DZ449" s="22">
        <v>8</v>
      </c>
      <c r="EA449" s="23">
        <v>1</v>
      </c>
      <c r="EB449" s="7">
        <v>17</v>
      </c>
      <c r="EE449" s="9" t="s">
        <v>693</v>
      </c>
      <c r="EF449" s="6" t="s">
        <v>672</v>
      </c>
      <c r="EG449" s="6" t="s">
        <v>647</v>
      </c>
      <c r="EH449" s="6" t="s">
        <v>991</v>
      </c>
      <c r="EI449" s="6" t="s">
        <v>369</v>
      </c>
      <c r="EJ449" s="12">
        <v>200</v>
      </c>
      <c r="EL449" s="6"/>
      <c r="EM449" s="12"/>
      <c r="EN449" s="6" t="s">
        <v>1123</v>
      </c>
      <c r="EP449" s="6" t="s">
        <v>1152</v>
      </c>
      <c r="ET449" s="6" t="str">
        <f t="shared" ref="ET449:ET500" si="241">IF(MOD(EU449,2) = 0, "짝수", "홀수")</f>
        <v>짝수</v>
      </c>
      <c r="EU449" s="12">
        <v>102</v>
      </c>
      <c r="EV449" s="45" t="str">
        <f t="shared" ca="1" si="213"/>
        <v>C</v>
      </c>
      <c r="EW449" s="6">
        <f t="shared" ref="EW449:EW500" ca="1" si="242">IF(EV449="A",65,IF(EV449="B",66,IF(EV449="C",67,68)))</f>
        <v>67</v>
      </c>
      <c r="FO449" s="6"/>
      <c r="FP449" s="11"/>
      <c r="FR449" s="6">
        <v>1</v>
      </c>
      <c r="FS449" s="6">
        <f t="shared" si="210"/>
        <v>1</v>
      </c>
      <c r="FT449" s="6">
        <f t="shared" si="211"/>
        <v>1</v>
      </c>
      <c r="FU449" s="6" t="str">
        <f t="shared" ca="1" si="214"/>
        <v>R1-11</v>
      </c>
      <c r="FV449" s="6" t="str">
        <f t="shared" ca="1" si="212"/>
        <v>R1-12</v>
      </c>
      <c r="FW449" s="6" t="s">
        <v>1095</v>
      </c>
      <c r="FX449" s="6" t="s">
        <v>1096</v>
      </c>
      <c r="FY449" s="6" t="s">
        <v>1095</v>
      </c>
      <c r="FZ449" s="6" t="s">
        <v>1096</v>
      </c>
    </row>
    <row r="450" spans="1:182" ht="15.95" customHeight="1">
      <c r="A450" s="6">
        <v>786</v>
      </c>
      <c r="B450" s="6" t="s">
        <v>694</v>
      </c>
      <c r="E450" s="6" t="s">
        <v>993</v>
      </c>
      <c r="F450" s="6" t="s">
        <v>1719</v>
      </c>
      <c r="G450" s="6" t="s">
        <v>1290</v>
      </c>
      <c r="H450" s="7" t="s">
        <v>1291</v>
      </c>
      <c r="I450" s="7"/>
      <c r="J450" s="6" t="s">
        <v>1199</v>
      </c>
      <c r="K450" s="6" t="s">
        <v>1201</v>
      </c>
      <c r="N450" s="6" t="s">
        <v>1203</v>
      </c>
      <c r="O450" s="6" t="s">
        <v>1205</v>
      </c>
      <c r="R450" s="101" t="s">
        <v>1592</v>
      </c>
      <c r="Y450" s="6" t="s">
        <v>1593</v>
      </c>
      <c r="Z450" s="6">
        <v>1</v>
      </c>
      <c r="AA450" s="6">
        <v>2</v>
      </c>
      <c r="AD450" s="6" t="s">
        <v>1203</v>
      </c>
      <c r="AE450" s="6" t="s">
        <v>1205</v>
      </c>
      <c r="AG450" s="6" t="s">
        <v>1594</v>
      </c>
      <c r="AY450" s="8" t="s">
        <v>176</v>
      </c>
      <c r="AZ450" s="8" t="s">
        <v>195</v>
      </c>
      <c r="BA450" s="13" t="s">
        <v>670</v>
      </c>
      <c r="BB450" s="13" t="s">
        <v>200</v>
      </c>
      <c r="BC450" s="13">
        <v>1</v>
      </c>
      <c r="BD450" s="13">
        <v>2</v>
      </c>
      <c r="DC450" s="6" t="s">
        <v>992</v>
      </c>
      <c r="DD450" s="6" t="s">
        <v>187</v>
      </c>
      <c r="DH450" s="6" t="str">
        <f t="shared" si="238"/>
        <v>A2</v>
      </c>
      <c r="DI450" s="6" t="str">
        <f t="shared" si="239"/>
        <v>B2</v>
      </c>
      <c r="DK450" s="6" t="s">
        <v>173</v>
      </c>
      <c r="DL450" s="6" t="str">
        <f t="shared" si="240"/>
        <v>CN2</v>
      </c>
      <c r="DO450" s="9" t="s">
        <v>170</v>
      </c>
      <c r="DP450" s="6" t="s">
        <v>171</v>
      </c>
      <c r="DQ450" s="6" t="s">
        <v>645</v>
      </c>
      <c r="DR450" s="6" t="e">
        <f>#REF!&amp;RIGHT(#REF!,3)</f>
        <v>#REF!</v>
      </c>
      <c r="DS450" s="6" t="str">
        <f t="shared" si="234"/>
        <v>AKB331</v>
      </c>
      <c r="DT450" s="10" t="str">
        <f t="shared" si="235"/>
        <v>FCS0111-7-7/1S–MC–120-R1-CN1</v>
      </c>
      <c r="DU450" s="6" t="str">
        <f t="shared" si="236"/>
        <v>FCS0111-7-7/1S–MC–120-R1-CN2</v>
      </c>
      <c r="DV450" s="19">
        <v>1</v>
      </c>
      <c r="DW450" s="20" t="str">
        <f t="shared" si="237"/>
        <v>11</v>
      </c>
      <c r="DX450" s="20">
        <v>7</v>
      </c>
      <c r="DY450" s="21">
        <v>7</v>
      </c>
      <c r="DZ450" s="22">
        <v>8</v>
      </c>
      <c r="EA450" s="23">
        <v>2</v>
      </c>
      <c r="EB450" s="7">
        <v>18</v>
      </c>
      <c r="EE450" s="9" t="s">
        <v>693</v>
      </c>
      <c r="EF450" s="6" t="s">
        <v>672</v>
      </c>
      <c r="EG450" s="6" t="s">
        <v>647</v>
      </c>
      <c r="EH450" s="6" t="s">
        <v>993</v>
      </c>
      <c r="EI450" s="6" t="s">
        <v>372</v>
      </c>
      <c r="EJ450" s="12">
        <v>200</v>
      </c>
      <c r="EL450" s="6"/>
      <c r="EM450" s="12"/>
      <c r="EN450" s="6" t="s">
        <v>1123</v>
      </c>
      <c r="EP450" s="6" t="s">
        <v>1152</v>
      </c>
      <c r="ET450" s="6" t="str">
        <f t="shared" si="241"/>
        <v>짝수</v>
      </c>
      <c r="EU450" s="12">
        <v>102</v>
      </c>
      <c r="EV450" s="45" t="str">
        <f t="shared" ca="1" si="213"/>
        <v>D</v>
      </c>
      <c r="EW450" s="6">
        <f t="shared" ca="1" si="242"/>
        <v>68</v>
      </c>
      <c r="FO450" s="6"/>
      <c r="FP450" s="11"/>
      <c r="FR450" s="6">
        <v>1</v>
      </c>
      <c r="FS450" s="6">
        <f t="shared" si="210"/>
        <v>1</v>
      </c>
      <c r="FT450" s="6">
        <f t="shared" si="211"/>
        <v>1</v>
      </c>
      <c r="FU450" s="6" t="str">
        <f t="shared" ca="1" si="214"/>
        <v>R1-11</v>
      </c>
      <c r="FV450" s="6" t="str">
        <f t="shared" ca="1" si="212"/>
        <v>R1-12</v>
      </c>
      <c r="FW450" s="6" t="s">
        <v>1095</v>
      </c>
      <c r="FX450" s="6" t="s">
        <v>1096</v>
      </c>
      <c r="FY450" s="6" t="s">
        <v>1095</v>
      </c>
      <c r="FZ450" s="6" t="s">
        <v>1096</v>
      </c>
    </row>
    <row r="451" spans="1:182" ht="15.95" customHeight="1">
      <c r="A451" s="6">
        <v>787</v>
      </c>
      <c r="B451" s="6" t="s">
        <v>694</v>
      </c>
      <c r="E451" s="6" t="s">
        <v>994</v>
      </c>
      <c r="F451" s="6" t="s">
        <v>1720</v>
      </c>
      <c r="G451" s="6" t="s">
        <v>1290</v>
      </c>
      <c r="H451" s="7" t="s">
        <v>1291</v>
      </c>
      <c r="I451" s="7"/>
      <c r="J451" s="6" t="s">
        <v>1199</v>
      </c>
      <c r="K451" s="6" t="s">
        <v>1201</v>
      </c>
      <c r="N451" s="6" t="s">
        <v>1203</v>
      </c>
      <c r="O451" s="6" t="s">
        <v>1205</v>
      </c>
      <c r="R451" s="101" t="s">
        <v>1592</v>
      </c>
      <c r="Y451" s="6" t="s">
        <v>1593</v>
      </c>
      <c r="Z451" s="6">
        <v>3</v>
      </c>
      <c r="AA451" s="6">
        <v>4</v>
      </c>
      <c r="AD451" s="6" t="s">
        <v>1203</v>
      </c>
      <c r="AE451" s="6" t="s">
        <v>1205</v>
      </c>
      <c r="AG451" s="6" t="s">
        <v>1594</v>
      </c>
      <c r="AY451" s="8" t="s">
        <v>176</v>
      </c>
      <c r="AZ451" s="8" t="s">
        <v>195</v>
      </c>
      <c r="BA451" s="13" t="s">
        <v>670</v>
      </c>
      <c r="BB451" s="13" t="s">
        <v>200</v>
      </c>
      <c r="BC451" s="13">
        <v>3</v>
      </c>
      <c r="BD451" s="13">
        <v>4</v>
      </c>
      <c r="DC451" s="6" t="s">
        <v>992</v>
      </c>
      <c r="DD451" s="6" t="s">
        <v>187</v>
      </c>
      <c r="DH451" s="6" t="str">
        <f t="shared" si="238"/>
        <v>A3</v>
      </c>
      <c r="DI451" s="6" t="str">
        <f t="shared" si="239"/>
        <v>B3</v>
      </c>
      <c r="DK451" s="6" t="s">
        <v>173</v>
      </c>
      <c r="DL451" s="6" t="str">
        <f t="shared" si="240"/>
        <v>CN2</v>
      </c>
      <c r="DO451" s="9" t="s">
        <v>170</v>
      </c>
      <c r="DP451" s="6" t="s">
        <v>171</v>
      </c>
      <c r="DQ451" s="6" t="s">
        <v>645</v>
      </c>
      <c r="DR451" s="6" t="e">
        <f>#REF!&amp;RIGHT(#REF!,3)</f>
        <v>#REF!</v>
      </c>
      <c r="DS451" s="6" t="str">
        <f t="shared" si="234"/>
        <v>AKB331</v>
      </c>
      <c r="DT451" s="10" t="str">
        <f t="shared" si="235"/>
        <v>FCS0111-7-7/1S–MC–120-R1-CN1</v>
      </c>
      <c r="DU451" s="6" t="str">
        <f t="shared" si="236"/>
        <v>FCS0111-7-7/1S–MC–120-R1-CN2</v>
      </c>
      <c r="DV451" s="19">
        <v>1</v>
      </c>
      <c r="DW451" s="20" t="str">
        <f t="shared" si="237"/>
        <v>11</v>
      </c>
      <c r="DX451" s="20">
        <v>7</v>
      </c>
      <c r="DY451" s="21">
        <v>7</v>
      </c>
      <c r="DZ451" s="22">
        <v>8</v>
      </c>
      <c r="EA451" s="23">
        <v>3</v>
      </c>
      <c r="EB451" s="7">
        <v>19</v>
      </c>
      <c r="EE451" s="9" t="s">
        <v>693</v>
      </c>
      <c r="EF451" s="6" t="s">
        <v>672</v>
      </c>
      <c r="EG451" s="6" t="s">
        <v>647</v>
      </c>
      <c r="EH451" s="6" t="s">
        <v>994</v>
      </c>
      <c r="EI451" s="6" t="s">
        <v>376</v>
      </c>
      <c r="EJ451" s="12">
        <v>200</v>
      </c>
      <c r="EL451" s="6"/>
      <c r="EM451" s="12"/>
      <c r="EN451" s="6" t="s">
        <v>1123</v>
      </c>
      <c r="EP451" s="6" t="s">
        <v>1152</v>
      </c>
      <c r="ET451" s="6" t="str">
        <f t="shared" si="241"/>
        <v>홀수</v>
      </c>
      <c r="EU451" s="12">
        <v>103</v>
      </c>
      <c r="EV451" s="45" t="str">
        <f t="shared" ca="1" si="213"/>
        <v>A</v>
      </c>
      <c r="EW451" s="6">
        <f t="shared" ca="1" si="242"/>
        <v>65</v>
      </c>
      <c r="FO451" s="6"/>
      <c r="FP451" s="11"/>
      <c r="FR451" s="6">
        <v>1</v>
      </c>
      <c r="FS451" s="6">
        <f t="shared" ref="FS451:FS500" si="243">IF(OR(DC451="A1BA4D",DC451="A1BD5D"),"",1)</f>
        <v>1</v>
      </c>
      <c r="FT451" s="6">
        <f t="shared" ref="FT451:FT500" si="244">IF(OR(DC451="A1BA4D",DC451="ARM55D"),"",1)</f>
        <v>1</v>
      </c>
      <c r="FU451" s="6" t="str">
        <f t="shared" ca="1" si="214"/>
        <v>R1-11</v>
      </c>
      <c r="FV451" s="6" t="str">
        <f t="shared" ref="FV451:FV500" ca="1" si="245">IF(AND(FS451="",OFFSET(FS451,0,1)="",DC451="A1BA4D"),"",IF(DC451="A1BD5D","",DD451&amp;"-12"))</f>
        <v>R1-12</v>
      </c>
      <c r="FW451" s="6" t="s">
        <v>1095</v>
      </c>
      <c r="FX451" s="6" t="s">
        <v>1096</v>
      </c>
      <c r="FY451" s="6" t="s">
        <v>1095</v>
      </c>
      <c r="FZ451" s="6" t="s">
        <v>1096</v>
      </c>
    </row>
    <row r="452" spans="1:182" ht="15.95" customHeight="1">
      <c r="A452" s="6">
        <v>788</v>
      </c>
      <c r="B452" s="6" t="s">
        <v>694</v>
      </c>
      <c r="E452" s="6" t="s">
        <v>995</v>
      </c>
      <c r="F452" s="6" t="s">
        <v>1721</v>
      </c>
      <c r="G452" s="6" t="s">
        <v>1290</v>
      </c>
      <c r="H452" s="7" t="s">
        <v>1291</v>
      </c>
      <c r="I452" s="7"/>
      <c r="J452" s="6" t="s">
        <v>1199</v>
      </c>
      <c r="K452" s="6" t="s">
        <v>1201</v>
      </c>
      <c r="N452" s="6" t="s">
        <v>1203</v>
      </c>
      <c r="O452" s="6" t="s">
        <v>1205</v>
      </c>
      <c r="R452" s="101" t="s">
        <v>1592</v>
      </c>
      <c r="Y452" s="6" t="s">
        <v>1593</v>
      </c>
      <c r="Z452" s="6">
        <v>5</v>
      </c>
      <c r="AA452" s="6">
        <v>6</v>
      </c>
      <c r="AD452" s="6" t="s">
        <v>1203</v>
      </c>
      <c r="AE452" s="6" t="s">
        <v>1205</v>
      </c>
      <c r="AG452" s="6" t="s">
        <v>1594</v>
      </c>
      <c r="AY452" s="8" t="s">
        <v>176</v>
      </c>
      <c r="AZ452" s="8" t="s">
        <v>195</v>
      </c>
      <c r="BA452" s="13" t="s">
        <v>670</v>
      </c>
      <c r="BB452" s="13" t="s">
        <v>200</v>
      </c>
      <c r="BC452" s="13">
        <v>5</v>
      </c>
      <c r="BD452" s="13">
        <v>6</v>
      </c>
      <c r="DC452" s="6" t="s">
        <v>992</v>
      </c>
      <c r="DD452" s="6" t="s">
        <v>187</v>
      </c>
      <c r="DH452" s="6" t="str">
        <f t="shared" si="238"/>
        <v>A4</v>
      </c>
      <c r="DI452" s="6" t="str">
        <f t="shared" si="239"/>
        <v>B4</v>
      </c>
      <c r="DK452" s="6" t="s">
        <v>173</v>
      </c>
      <c r="DL452" s="6" t="str">
        <f t="shared" si="240"/>
        <v>CN2</v>
      </c>
      <c r="DO452" s="9" t="s">
        <v>170</v>
      </c>
      <c r="DP452" s="6" t="s">
        <v>171</v>
      </c>
      <c r="DQ452" s="6" t="s">
        <v>645</v>
      </c>
      <c r="DR452" s="6" t="e">
        <f>#REF!&amp;RIGHT(#REF!,3)</f>
        <v>#REF!</v>
      </c>
      <c r="DS452" s="6" t="str">
        <f t="shared" si="234"/>
        <v>AKB331</v>
      </c>
      <c r="DT452" s="10" t="str">
        <f t="shared" si="235"/>
        <v>FCS0111-7-7/1S–MC–120-R1-CN1</v>
      </c>
      <c r="DU452" s="6" t="str">
        <f t="shared" si="236"/>
        <v>FCS0111-7-7/1S–MC–120-R1-CN2</v>
      </c>
      <c r="DV452" s="19">
        <v>1</v>
      </c>
      <c r="DW452" s="20" t="str">
        <f t="shared" si="237"/>
        <v>11</v>
      </c>
      <c r="DX452" s="20">
        <v>7</v>
      </c>
      <c r="DY452" s="21">
        <v>7</v>
      </c>
      <c r="DZ452" s="22">
        <v>8</v>
      </c>
      <c r="EA452" s="23">
        <v>4</v>
      </c>
      <c r="EB452" s="7">
        <v>20</v>
      </c>
      <c r="EE452" s="9" t="s">
        <v>693</v>
      </c>
      <c r="EF452" s="6" t="s">
        <v>672</v>
      </c>
      <c r="EG452" s="6" t="s">
        <v>647</v>
      </c>
      <c r="EH452" s="6" t="s">
        <v>995</v>
      </c>
      <c r="EI452" s="6" t="s">
        <v>392</v>
      </c>
      <c r="EJ452" s="12">
        <v>200</v>
      </c>
      <c r="EL452" s="6"/>
      <c r="EM452" s="12"/>
      <c r="EN452" s="6" t="s">
        <v>1123</v>
      </c>
      <c r="EP452" s="6" t="s">
        <v>1152</v>
      </c>
      <c r="ET452" s="6" t="str">
        <f t="shared" si="241"/>
        <v>홀수</v>
      </c>
      <c r="EU452" s="12">
        <v>103</v>
      </c>
      <c r="EV452" s="45" t="str">
        <f t="shared" ca="1" si="213"/>
        <v>B</v>
      </c>
      <c r="EW452" s="6">
        <f t="shared" ca="1" si="242"/>
        <v>66</v>
      </c>
      <c r="FO452" s="6"/>
      <c r="FP452" s="11"/>
      <c r="FR452" s="6">
        <v>1</v>
      </c>
      <c r="FS452" s="6">
        <f t="shared" si="243"/>
        <v>1</v>
      </c>
      <c r="FT452" s="6">
        <f t="shared" si="244"/>
        <v>1</v>
      </c>
      <c r="FU452" s="6" t="str">
        <f t="shared" ca="1" si="214"/>
        <v>R1-11</v>
      </c>
      <c r="FV452" s="6" t="str">
        <f t="shared" ca="1" si="245"/>
        <v>R1-12</v>
      </c>
      <c r="FW452" s="6" t="s">
        <v>1095</v>
      </c>
      <c r="FX452" s="6" t="s">
        <v>1096</v>
      </c>
      <c r="FY452" s="6" t="s">
        <v>1095</v>
      </c>
      <c r="FZ452" s="6" t="s">
        <v>1096</v>
      </c>
    </row>
    <row r="453" spans="1:182" ht="15.95" customHeight="1">
      <c r="A453" s="6">
        <v>819</v>
      </c>
      <c r="B453" s="6" t="s">
        <v>780</v>
      </c>
      <c r="E453" s="6" t="s">
        <v>618</v>
      </c>
      <c r="F453" s="6" t="s">
        <v>1722</v>
      </c>
      <c r="G453" s="6" t="s">
        <v>1218</v>
      </c>
      <c r="H453" s="7" t="s">
        <v>1219</v>
      </c>
      <c r="I453" s="7"/>
      <c r="J453" s="6" t="s">
        <v>1199</v>
      </c>
      <c r="K453" s="6" t="s">
        <v>1201</v>
      </c>
      <c r="N453" s="6" t="s">
        <v>1203</v>
      </c>
      <c r="O453" s="6" t="s">
        <v>1205</v>
      </c>
      <c r="R453" s="101" t="s">
        <v>1220</v>
      </c>
      <c r="Y453" s="6" t="s">
        <v>1723</v>
      </c>
      <c r="Z453" s="6">
        <v>3</v>
      </c>
      <c r="AA453" s="6">
        <v>4</v>
      </c>
      <c r="AD453" s="6" t="s">
        <v>1203</v>
      </c>
      <c r="AE453" s="6" t="s">
        <v>1205</v>
      </c>
      <c r="AG453" s="6" t="s">
        <v>1724</v>
      </c>
      <c r="AY453" s="8" t="s">
        <v>176</v>
      </c>
      <c r="AZ453" s="8" t="s">
        <v>195</v>
      </c>
      <c r="BA453" s="13" t="s">
        <v>198</v>
      </c>
      <c r="BB453" s="13" t="s">
        <v>7</v>
      </c>
      <c r="BC453" s="13">
        <v>27</v>
      </c>
      <c r="BD453" s="13">
        <v>28</v>
      </c>
      <c r="DC453" s="6" t="s">
        <v>169</v>
      </c>
      <c r="DD453" s="6" t="s">
        <v>177</v>
      </c>
      <c r="DH453" s="6" t="str">
        <f>"A"&amp;EA453</f>
        <v>A3</v>
      </c>
      <c r="DI453" s="6" t="str">
        <f>"B"&amp;EA453</f>
        <v>B3</v>
      </c>
      <c r="DK453" s="6" t="s">
        <v>173</v>
      </c>
      <c r="DL453" s="6" t="str">
        <f>IF(DZ453&lt;&gt;"","CN2","")</f>
        <v>CN2</v>
      </c>
      <c r="DO453" s="9" t="s">
        <v>170</v>
      </c>
      <c r="DP453" s="6" t="s">
        <v>171</v>
      </c>
      <c r="DQ453" s="6" t="s">
        <v>1013</v>
      </c>
      <c r="DR453" s="6" t="e">
        <f>#REF!&amp;RIGHT(#REF!,3)</f>
        <v>#REF!</v>
      </c>
      <c r="DS453" s="6" t="str">
        <f>IF(MID(EF453,2,1)="A","KS1","AKB331")</f>
        <v>KS1</v>
      </c>
      <c r="DT453" s="10" t="str">
        <f>DQ453&amp;"-"&amp;DX453&amp;"-"&amp;DY453&amp;"/"&amp;BA453&amp;"-"&amp;DD453&amp;"-"&amp;DK453</f>
        <v>FCS0112-1-1/1S–MC–108-F1-CN1</v>
      </c>
      <c r="DU453" s="6" t="str">
        <f>IF(DL453="","",DQ453&amp;"-"&amp;DX453&amp;"-"&amp;DY453&amp;"/"&amp;BA453&amp;"-"&amp;DD453&amp;"-"&amp;DL453)</f>
        <v>FCS0112-1-1/1S–MC–108-F1-CN2</v>
      </c>
      <c r="DV453" s="19">
        <v>1</v>
      </c>
      <c r="DW453" s="20" t="str">
        <f>RIGHT(DQ453,2)</f>
        <v>12</v>
      </c>
      <c r="DX453" s="20">
        <v>1</v>
      </c>
      <c r="DY453" s="21">
        <v>1</v>
      </c>
      <c r="DZ453" s="22">
        <v>2</v>
      </c>
      <c r="EA453" s="23">
        <v>3</v>
      </c>
      <c r="EB453" s="7">
        <v>19</v>
      </c>
      <c r="EE453" s="9" t="s">
        <v>778</v>
      </c>
      <c r="EF453" s="6" t="s">
        <v>172</v>
      </c>
      <c r="EG453" s="6" t="s">
        <v>647</v>
      </c>
      <c r="EH453" s="6" t="s">
        <v>354</v>
      </c>
      <c r="EI453" s="6" t="s">
        <v>455</v>
      </c>
      <c r="EJ453" s="12">
        <v>38</v>
      </c>
      <c r="EL453" s="6"/>
      <c r="EM453" s="12"/>
      <c r="EN453" s="6" t="s">
        <v>1135</v>
      </c>
      <c r="EP453" s="6" t="s">
        <v>1157</v>
      </c>
      <c r="ET453" s="6" t="str">
        <f t="shared" si="241"/>
        <v>짝수</v>
      </c>
      <c r="EU453" s="12">
        <v>104</v>
      </c>
      <c r="EV453" s="45" t="str">
        <f t="shared" ca="1" si="213"/>
        <v>A</v>
      </c>
      <c r="EW453" s="6">
        <f t="shared" ca="1" si="242"/>
        <v>65</v>
      </c>
      <c r="FO453" s="6"/>
      <c r="FP453" s="11"/>
      <c r="FR453" s="6">
        <v>1</v>
      </c>
      <c r="FS453" s="6" t="str">
        <f t="shared" si="243"/>
        <v/>
      </c>
      <c r="FT453" s="6" t="str">
        <f t="shared" si="244"/>
        <v/>
      </c>
      <c r="FU453" s="6" t="str">
        <f t="shared" ca="1" si="214"/>
        <v/>
      </c>
      <c r="FV453" s="6" t="str">
        <f t="shared" ca="1" si="245"/>
        <v/>
      </c>
      <c r="FW453" s="6" t="str">
        <f t="shared" ref="FW453:FW481" ca="1" si="246">IF(AND(FT453=1,FU453=""),DD453&amp;"-11",IF(AND(FT453=1,FU453&lt;&gt;""),DD453&amp;"-21",""))</f>
        <v/>
      </c>
      <c r="FX453" s="6" t="str">
        <f t="shared" ref="FX453:FX481" ca="1" si="247">IF(AND(FT453=1,FU453=""),DD453&amp;"-12",IF(AND(FT453=1,FU453&lt;&gt;""),DD453&amp;"-22",""))</f>
        <v/>
      </c>
      <c r="FY453" s="6" t="str">
        <f t="shared" ref="FY453:FY481" ca="1" si="248">IF(AND(FS453="",OFFSET(FS453,0,1)="",DC453="A1BA4D"),"",IF(DC453="A1BD5D",LEFT(FW453,3)&amp;"21",FW453))</f>
        <v/>
      </c>
      <c r="FZ453" s="6" t="str">
        <f t="shared" ref="FZ453:FZ481" ca="1" si="249" xml:space="preserve">
IF(AND(FS453="",OFFSET(FS453,0,1)="",DC453="A1BA4D"),"",IF(DC453="A1BD5D",LEFT(FW453,3)&amp;"22",FW453))</f>
        <v/>
      </c>
    </row>
    <row r="454" spans="1:182" ht="15.95" customHeight="1">
      <c r="A454" s="6">
        <v>1057</v>
      </c>
      <c r="B454" s="6" t="s">
        <v>694</v>
      </c>
      <c r="E454" s="6" t="s">
        <v>630</v>
      </c>
      <c r="F454" s="6" t="s">
        <v>1725</v>
      </c>
      <c r="G454" s="6" t="s">
        <v>1226</v>
      </c>
      <c r="H454" s="7" t="s">
        <v>1227</v>
      </c>
      <c r="I454" s="7"/>
      <c r="J454" s="6" t="s">
        <v>1199</v>
      </c>
      <c r="K454" s="6" t="s">
        <v>1201</v>
      </c>
      <c r="N454" s="6" t="s">
        <v>1203</v>
      </c>
      <c r="O454" s="6" t="s">
        <v>1205</v>
      </c>
      <c r="R454" s="101" t="s">
        <v>1220</v>
      </c>
      <c r="Y454" s="6" t="s">
        <v>1726</v>
      </c>
      <c r="Z454" s="6">
        <v>7</v>
      </c>
      <c r="AA454" s="6">
        <v>8</v>
      </c>
      <c r="AD454" s="6" t="s">
        <v>1203</v>
      </c>
      <c r="AE454" s="6" t="s">
        <v>1205</v>
      </c>
      <c r="AG454" s="6" t="s">
        <v>1727</v>
      </c>
      <c r="AY454" s="8" t="s">
        <v>176</v>
      </c>
      <c r="AZ454" s="8" t="s">
        <v>195</v>
      </c>
      <c r="BA454" s="13" t="s">
        <v>198</v>
      </c>
      <c r="BB454" s="13" t="s">
        <v>7</v>
      </c>
      <c r="BC454" s="13">
        <v>69</v>
      </c>
      <c r="BD454" s="13">
        <v>70</v>
      </c>
      <c r="DC454" s="6" t="s">
        <v>169</v>
      </c>
      <c r="DD454" s="6" t="s">
        <v>202</v>
      </c>
      <c r="DH454" s="6" t="str">
        <f>"A"&amp;EA454</f>
        <v>A1</v>
      </c>
      <c r="DI454" s="6" t="str">
        <f>"B"&amp;EA454</f>
        <v>B1</v>
      </c>
      <c r="DK454" s="6" t="s">
        <v>173</v>
      </c>
      <c r="DL454" s="6" t="str">
        <f>IF(DZ454&lt;&gt;"","CN2","")</f>
        <v>CN2</v>
      </c>
      <c r="DO454" s="9" t="s">
        <v>170</v>
      </c>
      <c r="DP454" s="6" t="s">
        <v>171</v>
      </c>
      <c r="DQ454" s="6" t="s">
        <v>1013</v>
      </c>
      <c r="DR454" s="6" t="e">
        <f>#REF!&amp;RIGHT(#REF!,3)</f>
        <v>#REF!</v>
      </c>
      <c r="DS454" s="6" t="str">
        <f>IF(MID(EF454,2,1)="A","KS1","AKB331")</f>
        <v>KS1</v>
      </c>
      <c r="DT454" s="10" t="str">
        <f>DQ454&amp;"-"&amp;DX454&amp;"-"&amp;DY454&amp;"/"&amp;BA454&amp;"-"&amp;DD454&amp;"-"&amp;DK454</f>
        <v>FCS0112-3-3/1S–MC–108-F3-CN1</v>
      </c>
      <c r="DU454" s="6" t="str">
        <f>IF(DL454="","",DQ454&amp;"-"&amp;DX454&amp;"-"&amp;DY454&amp;"/"&amp;BA454&amp;"-"&amp;DD454&amp;"-"&amp;DL454)</f>
        <v>FCS0112-3-3/1S–MC–108-F3-CN2</v>
      </c>
      <c r="DV454" s="19">
        <v>1</v>
      </c>
      <c r="DW454" s="20" t="str">
        <f>RIGHT(DQ454,2)</f>
        <v>12</v>
      </c>
      <c r="DX454" s="20">
        <v>3</v>
      </c>
      <c r="DY454" s="21">
        <v>3</v>
      </c>
      <c r="DZ454" s="22">
        <v>4</v>
      </c>
      <c r="EA454" s="23">
        <v>1</v>
      </c>
      <c r="EB454" s="7">
        <v>1</v>
      </c>
      <c r="EE454" s="9" t="s">
        <v>693</v>
      </c>
      <c r="EF454" s="6" t="s">
        <v>174</v>
      </c>
      <c r="EG454" s="6" t="s">
        <v>647</v>
      </c>
      <c r="EH454" s="6" t="s">
        <v>1134</v>
      </c>
      <c r="EI454" s="6" t="s">
        <v>460</v>
      </c>
      <c r="EJ454" s="12">
        <v>38</v>
      </c>
      <c r="EL454" s="6"/>
      <c r="EM454" s="12"/>
      <c r="EN454" s="6" t="s">
        <v>1135</v>
      </c>
      <c r="EP454" s="6" t="s">
        <v>1158</v>
      </c>
      <c r="ET454" s="6" t="str">
        <f t="shared" si="241"/>
        <v>짝수</v>
      </c>
      <c r="EU454" s="12">
        <v>104</v>
      </c>
      <c r="EV454" s="45" t="str">
        <f t="shared" ca="1" si="213"/>
        <v>B</v>
      </c>
      <c r="EW454" s="6">
        <f t="shared" ca="1" si="242"/>
        <v>66</v>
      </c>
      <c r="FO454" s="6"/>
      <c r="FP454" s="11"/>
      <c r="FR454" s="6">
        <v>1</v>
      </c>
      <c r="FS454" s="6" t="str">
        <f t="shared" si="243"/>
        <v/>
      </c>
      <c r="FT454" s="6" t="str">
        <f t="shared" si="244"/>
        <v/>
      </c>
      <c r="FU454" s="6" t="str">
        <f t="shared" ca="1" si="214"/>
        <v/>
      </c>
      <c r="FV454" s="6" t="str">
        <f t="shared" ca="1" si="245"/>
        <v/>
      </c>
      <c r="FW454" s="6" t="str">
        <f t="shared" ca="1" si="246"/>
        <v/>
      </c>
      <c r="FX454" s="6" t="str">
        <f t="shared" ca="1" si="247"/>
        <v/>
      </c>
      <c r="FY454" s="6" t="str">
        <f t="shared" ca="1" si="248"/>
        <v/>
      </c>
      <c r="FZ454" s="6" t="str">
        <f t="shared" ca="1" si="249"/>
        <v/>
      </c>
    </row>
    <row r="455" spans="1:182" ht="15.95" customHeight="1">
      <c r="A455" s="6">
        <v>817</v>
      </c>
      <c r="B455" s="6" t="s">
        <v>780</v>
      </c>
      <c r="E455" s="6" t="s">
        <v>616</v>
      </c>
      <c r="F455" s="6" t="s">
        <v>1728</v>
      </c>
      <c r="G455" s="6" t="s">
        <v>1218</v>
      </c>
      <c r="H455" s="7" t="s">
        <v>1219</v>
      </c>
      <c r="I455" s="7"/>
      <c r="J455" s="6" t="s">
        <v>1199</v>
      </c>
      <c r="K455" s="6" t="s">
        <v>1201</v>
      </c>
      <c r="N455" s="6" t="s">
        <v>1203</v>
      </c>
      <c r="O455" s="6" t="s">
        <v>1205</v>
      </c>
      <c r="R455" s="101" t="s">
        <v>1220</v>
      </c>
      <c r="Y455" s="6" t="s">
        <v>1726</v>
      </c>
      <c r="Z455" s="6">
        <v>5</v>
      </c>
      <c r="AA455" s="6">
        <v>6</v>
      </c>
      <c r="AD455" s="6" t="s">
        <v>1203</v>
      </c>
      <c r="AE455" s="6" t="s">
        <v>1205</v>
      </c>
      <c r="AG455" s="6" t="s">
        <v>1727</v>
      </c>
      <c r="AY455" s="8" t="s">
        <v>176</v>
      </c>
      <c r="AZ455" s="8" t="s">
        <v>195</v>
      </c>
      <c r="BA455" s="13" t="s">
        <v>198</v>
      </c>
      <c r="BB455" s="13" t="s">
        <v>7</v>
      </c>
      <c r="BC455" s="13">
        <v>67</v>
      </c>
      <c r="BD455" s="13">
        <v>68</v>
      </c>
      <c r="DC455" s="6" t="s">
        <v>169</v>
      </c>
      <c r="DD455" s="6" t="s">
        <v>177</v>
      </c>
      <c r="DH455" s="6" t="str">
        <f>"A"&amp;EA455</f>
        <v>A1</v>
      </c>
      <c r="DI455" s="6" t="str">
        <f>"B"&amp;EA455</f>
        <v>B1</v>
      </c>
      <c r="DK455" s="6" t="s">
        <v>173</v>
      </c>
      <c r="DL455" s="6" t="str">
        <f>IF(DZ455&lt;&gt;"","CN2","")</f>
        <v>CN2</v>
      </c>
      <c r="DO455" s="9" t="s">
        <v>170</v>
      </c>
      <c r="DP455" s="6" t="s">
        <v>171</v>
      </c>
      <c r="DQ455" s="6" t="s">
        <v>1013</v>
      </c>
      <c r="DR455" s="6" t="e">
        <f>#REF!&amp;RIGHT(#REF!,3)</f>
        <v>#REF!</v>
      </c>
      <c r="DS455" s="6" t="str">
        <f>IF(MID(EF455,2,1)="A","KS1","AKB331")</f>
        <v>KS1</v>
      </c>
      <c r="DT455" s="10" t="str">
        <f>DQ455&amp;"-"&amp;DX455&amp;"-"&amp;DY455&amp;"/"&amp;BA455&amp;"-"&amp;DD455&amp;"-"&amp;DK455</f>
        <v>FCS0112-1-1/1S–MC–108-F1-CN1</v>
      </c>
      <c r="DU455" s="6" t="str">
        <f>IF(DL455="","",DQ455&amp;"-"&amp;DX455&amp;"-"&amp;DY455&amp;"/"&amp;BA455&amp;"-"&amp;DD455&amp;"-"&amp;DL455)</f>
        <v>FCS0112-1-1/1S–MC–108-F1-CN2</v>
      </c>
      <c r="DV455" s="19">
        <v>1</v>
      </c>
      <c r="DW455" s="20" t="str">
        <f>RIGHT(DQ455,2)</f>
        <v>12</v>
      </c>
      <c r="DX455" s="20">
        <v>1</v>
      </c>
      <c r="DY455" s="21">
        <v>1</v>
      </c>
      <c r="DZ455" s="22">
        <v>2</v>
      </c>
      <c r="EA455" s="23">
        <v>1</v>
      </c>
      <c r="EB455" s="7">
        <v>17</v>
      </c>
      <c r="EE455" s="9" t="s">
        <v>778</v>
      </c>
      <c r="EF455" s="6" t="s">
        <v>172</v>
      </c>
      <c r="EG455" s="6" t="s">
        <v>647</v>
      </c>
      <c r="EH455" s="6" t="s">
        <v>352</v>
      </c>
      <c r="EI455" s="6" t="s">
        <v>453</v>
      </c>
      <c r="EJ455" s="12">
        <v>38</v>
      </c>
      <c r="EL455" s="6"/>
      <c r="EM455" s="12"/>
      <c r="EN455" s="6" t="s">
        <v>1135</v>
      </c>
      <c r="ET455" s="6" t="str">
        <f t="shared" si="241"/>
        <v>짝수</v>
      </c>
      <c r="EU455" s="12">
        <v>104</v>
      </c>
      <c r="EV455" s="45" t="str">
        <f t="shared" ca="1" si="213"/>
        <v>C</v>
      </c>
      <c r="EW455" s="6">
        <f t="shared" ca="1" si="242"/>
        <v>67</v>
      </c>
      <c r="FO455" s="6"/>
      <c r="FP455" s="11"/>
      <c r="FR455" s="6">
        <v>1</v>
      </c>
      <c r="FS455" s="6" t="str">
        <f t="shared" si="243"/>
        <v/>
      </c>
      <c r="FT455" s="6" t="str">
        <f t="shared" si="244"/>
        <v/>
      </c>
      <c r="FU455" s="6" t="str">
        <f t="shared" ca="1" si="214"/>
        <v/>
      </c>
      <c r="FV455" s="6" t="str">
        <f t="shared" ca="1" si="245"/>
        <v/>
      </c>
      <c r="FW455" s="6" t="str">
        <f t="shared" ca="1" si="246"/>
        <v/>
      </c>
      <c r="FX455" s="6" t="str">
        <f t="shared" ca="1" si="247"/>
        <v/>
      </c>
      <c r="FY455" s="6" t="str">
        <f t="shared" ca="1" si="248"/>
        <v/>
      </c>
      <c r="FZ455" s="6" t="str">
        <f t="shared" ca="1" si="249"/>
        <v/>
      </c>
    </row>
    <row r="456" spans="1:182" ht="15.95" customHeight="1">
      <c r="A456" s="6">
        <v>818</v>
      </c>
      <c r="B456" s="6" t="s">
        <v>780</v>
      </c>
      <c r="E456" s="6" t="s">
        <v>617</v>
      </c>
      <c r="F456" s="6" t="s">
        <v>1729</v>
      </c>
      <c r="G456" s="6" t="s">
        <v>1218</v>
      </c>
      <c r="H456" s="7" t="s">
        <v>1219</v>
      </c>
      <c r="I456" s="7"/>
      <c r="J456" s="6" t="s">
        <v>1199</v>
      </c>
      <c r="K456" s="6" t="s">
        <v>1201</v>
      </c>
      <c r="N456" s="6" t="s">
        <v>1203</v>
      </c>
      <c r="O456" s="6" t="s">
        <v>1205</v>
      </c>
      <c r="R456" s="101" t="s">
        <v>1220</v>
      </c>
      <c r="Y456" s="6" t="s">
        <v>1730</v>
      </c>
      <c r="Z456" s="6">
        <v>3</v>
      </c>
      <c r="AA456" s="6">
        <v>4</v>
      </c>
      <c r="AD456" s="6" t="s">
        <v>1203</v>
      </c>
      <c r="AE456" s="6" t="s">
        <v>1205</v>
      </c>
      <c r="AG456" s="6" t="s">
        <v>1731</v>
      </c>
      <c r="AY456" s="8" t="s">
        <v>176</v>
      </c>
      <c r="AZ456" s="8" t="s">
        <v>195</v>
      </c>
      <c r="BA456" s="13" t="s">
        <v>198</v>
      </c>
      <c r="BB456" s="13" t="s">
        <v>7</v>
      </c>
      <c r="BC456" s="13">
        <v>17</v>
      </c>
      <c r="BD456" s="13">
        <v>18</v>
      </c>
      <c r="DC456" s="6" t="s">
        <v>169</v>
      </c>
      <c r="DD456" s="6" t="s">
        <v>177</v>
      </c>
      <c r="DH456" s="6" t="str">
        <f>"A"&amp;EA456</f>
        <v>A2</v>
      </c>
      <c r="DI456" s="6" t="str">
        <f>"B"&amp;EA456</f>
        <v>B2</v>
      </c>
      <c r="DK456" s="6" t="s">
        <v>173</v>
      </c>
      <c r="DL456" s="6" t="str">
        <f>IF(DZ456&lt;&gt;"","CN2","")</f>
        <v>CN2</v>
      </c>
      <c r="DO456" s="9" t="s">
        <v>170</v>
      </c>
      <c r="DP456" s="6" t="s">
        <v>171</v>
      </c>
      <c r="DQ456" s="6" t="s">
        <v>1013</v>
      </c>
      <c r="DR456" s="6" t="e">
        <f>#REF!&amp;RIGHT(#REF!,3)</f>
        <v>#REF!</v>
      </c>
      <c r="DS456" s="6" t="str">
        <f>IF(MID(EF456,2,1)="A","KS1","AKB331")</f>
        <v>KS1</v>
      </c>
      <c r="DT456" s="10" t="str">
        <f>DQ456&amp;"-"&amp;DX456&amp;"-"&amp;DY456&amp;"/"&amp;BA456&amp;"-"&amp;DD456&amp;"-"&amp;DK456</f>
        <v>FCS0112-1-1/1S–MC–108-F1-CN1</v>
      </c>
      <c r="DU456" s="6" t="str">
        <f>IF(DL456="","",DQ456&amp;"-"&amp;DX456&amp;"-"&amp;DY456&amp;"/"&amp;BA456&amp;"-"&amp;DD456&amp;"-"&amp;DL456)</f>
        <v>FCS0112-1-1/1S–MC–108-F1-CN2</v>
      </c>
      <c r="DV456" s="19">
        <v>1</v>
      </c>
      <c r="DW456" s="20" t="str">
        <f>RIGHT(DQ456,2)</f>
        <v>12</v>
      </c>
      <c r="DX456" s="20">
        <v>1</v>
      </c>
      <c r="DY456" s="21">
        <v>1</v>
      </c>
      <c r="DZ456" s="22">
        <v>2</v>
      </c>
      <c r="EA456" s="23">
        <v>2</v>
      </c>
      <c r="EB456" s="7">
        <v>18</v>
      </c>
      <c r="EE456" s="9" t="s">
        <v>778</v>
      </c>
      <c r="EF456" s="6" t="s">
        <v>172</v>
      </c>
      <c r="EG456" s="6" t="s">
        <v>647</v>
      </c>
      <c r="EH456" s="6" t="s">
        <v>353</v>
      </c>
      <c r="EI456" s="6" t="s">
        <v>454</v>
      </c>
      <c r="EJ456" s="12">
        <v>300</v>
      </c>
      <c r="EL456" s="6"/>
      <c r="EM456" s="12"/>
      <c r="EN456" s="12" t="s">
        <v>1135</v>
      </c>
      <c r="EP456" s="6" t="s">
        <v>1147</v>
      </c>
      <c r="ET456" s="6" t="str">
        <f t="shared" si="241"/>
        <v>홀수</v>
      </c>
      <c r="EU456" s="12">
        <v>105</v>
      </c>
      <c r="EV456" s="45" t="str">
        <f t="shared" ref="EV456:EV500" ca="1" si="250">IF(EU456=OFFSET(EU456,-1,0),CHAR(EW455+1),"A")</f>
        <v>A</v>
      </c>
      <c r="EW456" s="6">
        <f t="shared" ca="1" si="242"/>
        <v>65</v>
      </c>
      <c r="FO456" s="6"/>
      <c r="FP456" s="11"/>
      <c r="FR456" s="6">
        <v>1</v>
      </c>
      <c r="FS456" s="6" t="str">
        <f t="shared" si="243"/>
        <v/>
      </c>
      <c r="FT456" s="6" t="str">
        <f t="shared" si="244"/>
        <v/>
      </c>
      <c r="FU456" s="6" t="str">
        <f t="shared" ca="1" si="214"/>
        <v/>
      </c>
      <c r="FV456" s="6" t="str">
        <f t="shared" ca="1" si="245"/>
        <v/>
      </c>
      <c r="FW456" s="6" t="str">
        <f t="shared" ca="1" si="246"/>
        <v/>
      </c>
      <c r="FX456" s="6" t="str">
        <f t="shared" ca="1" si="247"/>
        <v/>
      </c>
      <c r="FY456" s="6" t="str">
        <f t="shared" ca="1" si="248"/>
        <v/>
      </c>
      <c r="FZ456" s="6" t="str">
        <f t="shared" ca="1" si="249"/>
        <v/>
      </c>
    </row>
    <row r="457" spans="1:182" ht="15.95" customHeight="1">
      <c r="A457" s="6">
        <v>1058</v>
      </c>
      <c r="B457" s="6" t="s">
        <v>694</v>
      </c>
      <c r="E457" s="6" t="s">
        <v>631</v>
      </c>
      <c r="F457" s="6" t="s">
        <v>1732</v>
      </c>
      <c r="G457" s="6" t="s">
        <v>1226</v>
      </c>
      <c r="H457" s="7" t="s">
        <v>1227</v>
      </c>
      <c r="I457" s="7"/>
      <c r="J457" s="6" t="s">
        <v>1199</v>
      </c>
      <c r="K457" s="6" t="s">
        <v>1201</v>
      </c>
      <c r="N457" s="6" t="s">
        <v>1203</v>
      </c>
      <c r="O457" s="6" t="s">
        <v>1205</v>
      </c>
      <c r="R457" s="101" t="s">
        <v>1220</v>
      </c>
      <c r="Y457" s="6" t="s">
        <v>1730</v>
      </c>
      <c r="Z457" s="6">
        <v>5</v>
      </c>
      <c r="AA457" s="6">
        <v>6</v>
      </c>
      <c r="AD457" s="6" t="s">
        <v>1203</v>
      </c>
      <c r="AE457" s="6" t="s">
        <v>1205</v>
      </c>
      <c r="AG457" s="6" t="s">
        <v>1731</v>
      </c>
      <c r="AY457" s="8" t="s">
        <v>176</v>
      </c>
      <c r="AZ457" s="8" t="s">
        <v>195</v>
      </c>
      <c r="BA457" s="13" t="s">
        <v>198</v>
      </c>
      <c r="BB457" s="13" t="s">
        <v>7</v>
      </c>
      <c r="BC457" s="13">
        <v>19</v>
      </c>
      <c r="BD457" s="13">
        <v>20</v>
      </c>
      <c r="DC457" s="6" t="s">
        <v>169</v>
      </c>
      <c r="DD457" s="6" t="s">
        <v>202</v>
      </c>
      <c r="DH457" s="6" t="str">
        <f>"A"&amp;EA457</f>
        <v>A2</v>
      </c>
      <c r="DI457" s="6" t="str">
        <f>"B"&amp;EA457</f>
        <v>B2</v>
      </c>
      <c r="DK457" s="6" t="s">
        <v>173</v>
      </c>
      <c r="DL457" s="6" t="str">
        <f>IF(DZ457&lt;&gt;"","CN2","")</f>
        <v>CN2</v>
      </c>
      <c r="DO457" s="9" t="s">
        <v>170</v>
      </c>
      <c r="DP457" s="6" t="s">
        <v>171</v>
      </c>
      <c r="DQ457" s="6" t="s">
        <v>1013</v>
      </c>
      <c r="DR457" s="6" t="e">
        <f>#REF!&amp;RIGHT(#REF!,3)</f>
        <v>#REF!</v>
      </c>
      <c r="DS457" s="6" t="str">
        <f>IF(MID(EF457,2,1)="A","KS1","AKB331")</f>
        <v>KS1</v>
      </c>
      <c r="DT457" s="10" t="str">
        <f>DQ457&amp;"-"&amp;DX457&amp;"-"&amp;DY457&amp;"/"&amp;BA457&amp;"-"&amp;DD457&amp;"-"&amp;DK457</f>
        <v>FCS0112-3-3/1S–MC–108-F3-CN1</v>
      </c>
      <c r="DU457" s="6" t="str">
        <f>IF(DL457="","",DQ457&amp;"-"&amp;DX457&amp;"-"&amp;DY457&amp;"/"&amp;BA457&amp;"-"&amp;DD457&amp;"-"&amp;DL457)</f>
        <v>FCS0112-3-3/1S–MC–108-F3-CN2</v>
      </c>
      <c r="DV457" s="19">
        <v>1</v>
      </c>
      <c r="DW457" s="20" t="str">
        <f>RIGHT(DQ457,2)</f>
        <v>12</v>
      </c>
      <c r="DX457" s="20">
        <v>3</v>
      </c>
      <c r="DY457" s="21">
        <v>3</v>
      </c>
      <c r="DZ457" s="22">
        <v>4</v>
      </c>
      <c r="EA457" s="23">
        <v>2</v>
      </c>
      <c r="EB457" s="7">
        <v>2</v>
      </c>
      <c r="EE457" s="9" t="s">
        <v>693</v>
      </c>
      <c r="EF457" s="6" t="s">
        <v>174</v>
      </c>
      <c r="EG457" s="6" t="s">
        <v>647</v>
      </c>
      <c r="EH457" s="6" t="s">
        <v>353</v>
      </c>
      <c r="EI457" s="6" t="s">
        <v>461</v>
      </c>
      <c r="EJ457" s="12">
        <v>300</v>
      </c>
      <c r="EL457" s="6"/>
      <c r="EM457" s="12"/>
      <c r="EN457" s="12" t="s">
        <v>1135</v>
      </c>
      <c r="ET457" s="6" t="str">
        <f t="shared" si="241"/>
        <v>홀수</v>
      </c>
      <c r="EU457" s="12">
        <v>105</v>
      </c>
      <c r="EV457" s="45" t="str">
        <f t="shared" ca="1" si="250"/>
        <v>B</v>
      </c>
      <c r="EW457" s="6">
        <f t="shared" ca="1" si="242"/>
        <v>66</v>
      </c>
      <c r="FO457" s="6"/>
      <c r="FP457" s="11"/>
      <c r="FR457" s="6">
        <v>1</v>
      </c>
      <c r="FS457" s="6" t="str">
        <f t="shared" si="243"/>
        <v/>
      </c>
      <c r="FT457" s="6" t="str">
        <f t="shared" si="244"/>
        <v/>
      </c>
      <c r="FU457" s="6" t="str">
        <f t="shared" ca="1" si="214"/>
        <v/>
      </c>
      <c r="FV457" s="6" t="str">
        <f t="shared" ca="1" si="245"/>
        <v/>
      </c>
      <c r="FW457" s="6" t="str">
        <f t="shared" ca="1" si="246"/>
        <v/>
      </c>
      <c r="FX457" s="6" t="str">
        <f t="shared" ca="1" si="247"/>
        <v/>
      </c>
      <c r="FY457" s="6" t="str">
        <f t="shared" ca="1" si="248"/>
        <v/>
      </c>
      <c r="FZ457" s="6" t="str">
        <f t="shared" ca="1" si="249"/>
        <v/>
      </c>
    </row>
    <row r="458" spans="1:182" ht="15.95" customHeight="1">
      <c r="A458" s="6">
        <v>820</v>
      </c>
      <c r="B458" s="6" t="s">
        <v>780</v>
      </c>
      <c r="E458" s="6" t="s">
        <v>619</v>
      </c>
      <c r="F458" s="6" t="s">
        <v>1733</v>
      </c>
      <c r="G458" s="6" t="s">
        <v>1218</v>
      </c>
      <c r="H458" s="7" t="s">
        <v>1219</v>
      </c>
      <c r="I458" s="7"/>
      <c r="J458" s="6" t="s">
        <v>1199</v>
      </c>
      <c r="K458" s="6" t="s">
        <v>1201</v>
      </c>
      <c r="N458" s="6" t="s">
        <v>1203</v>
      </c>
      <c r="O458" s="6" t="s">
        <v>1205</v>
      </c>
      <c r="R458" s="101" t="s">
        <v>1220</v>
      </c>
      <c r="Y458" s="6" t="s">
        <v>1730</v>
      </c>
      <c r="Z458" s="6">
        <v>7</v>
      </c>
      <c r="AA458" s="6">
        <v>8</v>
      </c>
      <c r="AD458" s="6" t="s">
        <v>1203</v>
      </c>
      <c r="AE458" s="6" t="s">
        <v>1205</v>
      </c>
      <c r="AG458" s="6" t="s">
        <v>1731</v>
      </c>
      <c r="AY458" s="8" t="s">
        <v>176</v>
      </c>
      <c r="AZ458" s="8" t="s">
        <v>195</v>
      </c>
      <c r="BA458" s="13" t="s">
        <v>198</v>
      </c>
      <c r="BB458" s="13" t="s">
        <v>7</v>
      </c>
      <c r="BC458" s="13">
        <v>21</v>
      </c>
      <c r="BD458" s="13">
        <v>22</v>
      </c>
      <c r="DC458" s="6" t="s">
        <v>169</v>
      </c>
      <c r="DD458" s="6" t="s">
        <v>177</v>
      </c>
      <c r="DH458" s="6" t="str">
        <f t="shared" si="238"/>
        <v>A4</v>
      </c>
      <c r="DI458" s="6" t="str">
        <f t="shared" si="239"/>
        <v>B4</v>
      </c>
      <c r="DK458" s="6" t="s">
        <v>173</v>
      </c>
      <c r="DL458" s="6" t="str">
        <f t="shared" si="240"/>
        <v>CN2</v>
      </c>
      <c r="DO458" s="9" t="s">
        <v>170</v>
      </c>
      <c r="DP458" s="6" t="s">
        <v>171</v>
      </c>
      <c r="DQ458" s="6" t="s">
        <v>1013</v>
      </c>
      <c r="DR458" s="6" t="e">
        <f>#REF!&amp;RIGHT(#REF!,3)</f>
        <v>#REF!</v>
      </c>
      <c r="DS458" s="6" t="str">
        <f t="shared" si="234"/>
        <v>KS1</v>
      </c>
      <c r="DT458" s="10" t="str">
        <f t="shared" si="235"/>
        <v>FCS0112-1-1/1S–MC–108-F1-CN1</v>
      </c>
      <c r="DU458" s="6" t="str">
        <f t="shared" si="236"/>
        <v>FCS0112-1-1/1S–MC–108-F1-CN2</v>
      </c>
      <c r="DV458" s="19">
        <v>1</v>
      </c>
      <c r="DW458" s="20" t="str">
        <f t="shared" si="237"/>
        <v>12</v>
      </c>
      <c r="DX458" s="20">
        <v>1</v>
      </c>
      <c r="DY458" s="21">
        <v>1</v>
      </c>
      <c r="DZ458" s="22">
        <v>2</v>
      </c>
      <c r="EA458" s="23">
        <v>4</v>
      </c>
      <c r="EB458" s="7">
        <v>20</v>
      </c>
      <c r="EE458" s="9" t="s">
        <v>778</v>
      </c>
      <c r="EF458" s="6" t="s">
        <v>172</v>
      </c>
      <c r="EG458" s="6" t="s">
        <v>647</v>
      </c>
      <c r="EH458" s="6" t="s">
        <v>355</v>
      </c>
      <c r="EI458" s="6" t="s">
        <v>454</v>
      </c>
      <c r="EJ458" s="12">
        <v>6</v>
      </c>
      <c r="EK458" s="12"/>
      <c r="EM458" s="12"/>
      <c r="EN458" s="12" t="s">
        <v>1100</v>
      </c>
      <c r="EO458" s="6" t="s">
        <v>1099</v>
      </c>
      <c r="EP458" s="6" t="s">
        <v>1145</v>
      </c>
      <c r="ER458" s="6" t="str">
        <f>"LY"&amp;MID(EH458,3,7)</f>
        <v>LY51025</v>
      </c>
      <c r="ET458" s="6" t="str">
        <f t="shared" si="241"/>
        <v>홀수</v>
      </c>
      <c r="EU458" s="12">
        <v>105</v>
      </c>
      <c r="EV458" s="45" t="str">
        <f t="shared" ca="1" si="250"/>
        <v>C</v>
      </c>
      <c r="EW458" s="6">
        <f t="shared" ca="1" si="242"/>
        <v>67</v>
      </c>
      <c r="FO458" s="6"/>
      <c r="FP458" s="11"/>
      <c r="FR458" s="6">
        <v>1</v>
      </c>
      <c r="FS458" s="6" t="str">
        <f t="shared" si="243"/>
        <v/>
      </c>
      <c r="FT458" s="6" t="str">
        <f t="shared" si="244"/>
        <v/>
      </c>
      <c r="FU458" s="6" t="str">
        <f t="shared" ca="1" si="214"/>
        <v/>
      </c>
      <c r="FV458" s="6" t="str">
        <f t="shared" ca="1" si="245"/>
        <v/>
      </c>
      <c r="FW458" s="6" t="str">
        <f t="shared" ca="1" si="246"/>
        <v/>
      </c>
      <c r="FX458" s="6" t="str">
        <f t="shared" ca="1" si="247"/>
        <v/>
      </c>
      <c r="FY458" s="6" t="str">
        <f t="shared" ca="1" si="248"/>
        <v/>
      </c>
      <c r="FZ458" s="6" t="str">
        <f t="shared" ca="1" si="249"/>
        <v/>
      </c>
    </row>
    <row r="459" spans="1:182" ht="15.95" customHeight="1">
      <c r="A459" s="6">
        <v>1192</v>
      </c>
      <c r="B459" s="6" t="s">
        <v>694</v>
      </c>
      <c r="E459" s="6" t="s">
        <v>638</v>
      </c>
      <c r="F459" s="6" t="s">
        <v>1734</v>
      </c>
      <c r="G459" s="6" t="s">
        <v>1218</v>
      </c>
      <c r="H459" s="7" t="s">
        <v>1219</v>
      </c>
      <c r="I459" s="7"/>
      <c r="J459" s="6" t="s">
        <v>1199</v>
      </c>
      <c r="K459" s="6" t="s">
        <v>1201</v>
      </c>
      <c r="N459" s="6" t="s">
        <v>1203</v>
      </c>
      <c r="O459" s="6" t="s">
        <v>1205</v>
      </c>
      <c r="R459" s="101" t="s">
        <v>1220</v>
      </c>
      <c r="Y459" s="6" t="s">
        <v>1730</v>
      </c>
      <c r="Z459" s="6">
        <v>9</v>
      </c>
      <c r="AA459" s="6">
        <v>10</v>
      </c>
      <c r="AD459" s="6" t="s">
        <v>1203</v>
      </c>
      <c r="AE459" s="6" t="s">
        <v>1205</v>
      </c>
      <c r="AG459" s="6" t="s">
        <v>1731</v>
      </c>
      <c r="AY459" s="8" t="s">
        <v>176</v>
      </c>
      <c r="AZ459" s="8" t="s">
        <v>195</v>
      </c>
      <c r="BA459" s="13" t="s">
        <v>198</v>
      </c>
      <c r="BB459" s="13" t="s">
        <v>7</v>
      </c>
      <c r="BC459" s="13">
        <v>23</v>
      </c>
      <c r="BD459" s="13">
        <v>24</v>
      </c>
      <c r="DC459" s="6" t="s">
        <v>169</v>
      </c>
      <c r="DD459" s="6" t="s">
        <v>178</v>
      </c>
      <c r="DH459" s="6" t="str">
        <f>"A"&amp;EA459</f>
        <v>A8</v>
      </c>
      <c r="DI459" s="6" t="str">
        <f>"B"&amp;EA459</f>
        <v>B8</v>
      </c>
      <c r="DK459" s="6" t="s">
        <v>173</v>
      </c>
      <c r="DL459" s="6" t="str">
        <f>IF(DZ459&lt;&gt;"","CN2","")</f>
        <v/>
      </c>
      <c r="DO459" s="9" t="s">
        <v>170</v>
      </c>
      <c r="DP459" s="6" t="s">
        <v>171</v>
      </c>
      <c r="DQ459" s="6" t="s">
        <v>1013</v>
      </c>
      <c r="DS459" s="6" t="str">
        <f>IF(MID(EF459,2,1)="A","KS1","AKB331")</f>
        <v>KS1</v>
      </c>
      <c r="DT459" s="10" t="str">
        <f>DQ459&amp;"-"&amp;DX459&amp;"-"&amp;DY459&amp;"/"&amp;BA459&amp;"-"&amp;DD459&amp;"-"&amp;DK459</f>
        <v>FCS0112-4-2/1S–MC–108-F4-CN1</v>
      </c>
      <c r="DU459" s="6" t="str">
        <f>IF(DL459="","",DQ459&amp;"-"&amp;DX459&amp;"-"&amp;DY459&amp;"/"&amp;BA459&amp;"-"&amp;DD459&amp;"-"&amp;DL459)</f>
        <v/>
      </c>
      <c r="DV459" s="12"/>
      <c r="DW459" s="20" t="str">
        <f>RIGHT(DQ459,2)</f>
        <v>12</v>
      </c>
      <c r="DX459" s="20">
        <v>4</v>
      </c>
      <c r="DY459" s="21">
        <v>2</v>
      </c>
      <c r="DZ459" s="22" t="s">
        <v>204</v>
      </c>
      <c r="EA459" s="23">
        <v>8</v>
      </c>
      <c r="EB459" s="6">
        <v>8</v>
      </c>
      <c r="EE459" s="9" t="s">
        <v>693</v>
      </c>
      <c r="EF459" s="6" t="s">
        <v>172</v>
      </c>
      <c r="EG459" s="6" t="s">
        <v>647</v>
      </c>
      <c r="EH459" s="6" t="s">
        <v>367</v>
      </c>
      <c r="EI459" s="6" t="s">
        <v>454</v>
      </c>
      <c r="EJ459" s="12">
        <v>6</v>
      </c>
      <c r="EK459" s="12"/>
      <c r="EM459" s="12"/>
      <c r="EN459" s="12" t="s">
        <v>1100</v>
      </c>
      <c r="EP459" s="6" t="s">
        <v>1146</v>
      </c>
      <c r="ET459" s="6" t="str">
        <f t="shared" si="241"/>
        <v>홀수</v>
      </c>
      <c r="EU459" s="12">
        <v>105</v>
      </c>
      <c r="EV459" s="45" t="str">
        <f t="shared" ca="1" si="250"/>
        <v>D</v>
      </c>
      <c r="EW459" s="6">
        <f t="shared" ca="1" si="242"/>
        <v>68</v>
      </c>
      <c r="FO459" s="6"/>
      <c r="FP459" s="11"/>
      <c r="FR459" s="6">
        <v>1</v>
      </c>
      <c r="FS459" s="6" t="str">
        <f t="shared" si="243"/>
        <v/>
      </c>
      <c r="FT459" s="6" t="str">
        <f t="shared" si="244"/>
        <v/>
      </c>
      <c r="FU459" s="6" t="str">
        <f t="shared" ref="FU459:FU500" ca="1" si="251">IF(AND(FS459="",OFFSET(FS459,0,1)="",DC459="A1BA4D"),"",IF(DC459="A1BD5D","",DD459&amp;"-11"))</f>
        <v/>
      </c>
      <c r="FV459" s="6" t="str">
        <f t="shared" ca="1" si="245"/>
        <v/>
      </c>
      <c r="FW459" s="6" t="str">
        <f t="shared" ca="1" si="246"/>
        <v/>
      </c>
      <c r="FX459" s="6" t="str">
        <f t="shared" ca="1" si="247"/>
        <v/>
      </c>
      <c r="FY459" s="6" t="str">
        <f t="shared" ca="1" si="248"/>
        <v/>
      </c>
      <c r="FZ459" s="6" t="str">
        <f t="shared" ca="1" si="249"/>
        <v/>
      </c>
    </row>
    <row r="460" spans="1:182" ht="15.95" customHeight="1">
      <c r="A460" s="6">
        <v>821</v>
      </c>
      <c r="B460" s="6" t="s">
        <v>780</v>
      </c>
      <c r="E460" s="6" t="s">
        <v>620</v>
      </c>
      <c r="F460" s="6" t="s">
        <v>1735</v>
      </c>
      <c r="G460" s="6" t="s">
        <v>1218</v>
      </c>
      <c r="H460" s="7" t="s">
        <v>1219</v>
      </c>
      <c r="I460" s="7"/>
      <c r="J460" s="6" t="s">
        <v>1199</v>
      </c>
      <c r="K460" s="6" t="s">
        <v>1201</v>
      </c>
      <c r="N460" s="6" t="s">
        <v>1203</v>
      </c>
      <c r="O460" s="6" t="s">
        <v>1205</v>
      </c>
      <c r="R460" s="101" t="s">
        <v>1220</v>
      </c>
      <c r="Y460" s="6" t="s">
        <v>1736</v>
      </c>
      <c r="Z460" s="6">
        <v>29</v>
      </c>
      <c r="AA460" s="6">
        <v>30</v>
      </c>
      <c r="AD460" s="6" t="s">
        <v>1203</v>
      </c>
      <c r="AE460" s="6" t="s">
        <v>1205</v>
      </c>
      <c r="AG460" s="6" t="s">
        <v>1737</v>
      </c>
      <c r="AY460" s="8" t="s">
        <v>176</v>
      </c>
      <c r="AZ460" s="8" t="s">
        <v>195</v>
      </c>
      <c r="BA460" s="13" t="s">
        <v>198</v>
      </c>
      <c r="BB460" s="13" t="s">
        <v>7</v>
      </c>
      <c r="BC460" s="13">
        <v>31</v>
      </c>
      <c r="BD460" s="13">
        <v>32</v>
      </c>
      <c r="DC460" s="6" t="s">
        <v>169</v>
      </c>
      <c r="DD460" s="6" t="s">
        <v>177</v>
      </c>
      <c r="DH460" s="6" t="str">
        <f>"A"&amp;EA460</f>
        <v>A5</v>
      </c>
      <c r="DI460" s="6" t="str">
        <f>"B"&amp;EA460</f>
        <v>B5</v>
      </c>
      <c r="DK460" s="6" t="s">
        <v>173</v>
      </c>
      <c r="DL460" s="6" t="str">
        <f>IF(DZ460&lt;&gt;"","CN2","")</f>
        <v>CN2</v>
      </c>
      <c r="DO460" s="9" t="s">
        <v>170</v>
      </c>
      <c r="DP460" s="6" t="s">
        <v>171</v>
      </c>
      <c r="DQ460" s="6" t="s">
        <v>1013</v>
      </c>
      <c r="DR460" s="6" t="e">
        <f>#REF!&amp;RIGHT(#REF!,3)</f>
        <v>#REF!</v>
      </c>
      <c r="DS460" s="6" t="str">
        <f>IF(MID(EF460,2,1)="A","KS1","AKB331")</f>
        <v>KS1</v>
      </c>
      <c r="DT460" s="10" t="str">
        <f>DQ460&amp;"-"&amp;DX460&amp;"-"&amp;DY460&amp;"/"&amp;BA460&amp;"-"&amp;DD460&amp;"-"&amp;DK460</f>
        <v>FCS0112-1-1/1S–MC–108-F1-CN1</v>
      </c>
      <c r="DU460" s="6" t="str">
        <f>IF(DL460="","",DQ460&amp;"-"&amp;DX460&amp;"-"&amp;DY460&amp;"/"&amp;BA460&amp;"-"&amp;DD460&amp;"-"&amp;DL460)</f>
        <v>FCS0112-1-1/1S–MC–108-F1-CN2</v>
      </c>
      <c r="DV460" s="19">
        <v>1</v>
      </c>
      <c r="DW460" s="20" t="str">
        <f>RIGHT(DQ460,2)</f>
        <v>12</v>
      </c>
      <c r="DX460" s="20">
        <v>1</v>
      </c>
      <c r="DY460" s="21">
        <v>1</v>
      </c>
      <c r="DZ460" s="22">
        <v>2</v>
      </c>
      <c r="EA460" s="23">
        <v>5</v>
      </c>
      <c r="EB460" s="7">
        <v>21</v>
      </c>
      <c r="EE460" s="9" t="s">
        <v>778</v>
      </c>
      <c r="EF460" s="6" t="s">
        <v>172</v>
      </c>
      <c r="EG460" s="6" t="s">
        <v>647</v>
      </c>
      <c r="EH460" s="6" t="s">
        <v>356</v>
      </c>
      <c r="EI460" s="6" t="s">
        <v>199</v>
      </c>
      <c r="EJ460" s="12">
        <v>300</v>
      </c>
      <c r="EL460" s="6"/>
      <c r="EM460" s="12"/>
      <c r="EN460" s="12" t="s">
        <v>1135</v>
      </c>
      <c r="EP460" s="6" t="s">
        <v>1147</v>
      </c>
      <c r="ET460" s="6" t="str">
        <f t="shared" si="241"/>
        <v>짝수</v>
      </c>
      <c r="EU460" s="12">
        <v>106</v>
      </c>
      <c r="EV460" s="45" t="str">
        <f t="shared" ca="1" si="250"/>
        <v>A</v>
      </c>
      <c r="EW460" s="6">
        <f t="shared" ca="1" si="242"/>
        <v>65</v>
      </c>
      <c r="FO460" s="6"/>
      <c r="FP460" s="11"/>
      <c r="FR460" s="6">
        <v>1</v>
      </c>
      <c r="FS460" s="6" t="str">
        <f t="shared" si="243"/>
        <v/>
      </c>
      <c r="FT460" s="6" t="str">
        <f t="shared" si="244"/>
        <v/>
      </c>
      <c r="FU460" s="6" t="str">
        <f t="shared" ca="1" si="251"/>
        <v/>
      </c>
      <c r="FV460" s="6" t="str">
        <f t="shared" ca="1" si="245"/>
        <v/>
      </c>
      <c r="FW460" s="6" t="str">
        <f t="shared" ca="1" si="246"/>
        <v/>
      </c>
      <c r="FX460" s="6" t="str">
        <f t="shared" ca="1" si="247"/>
        <v/>
      </c>
      <c r="FY460" s="6" t="str">
        <f t="shared" ca="1" si="248"/>
        <v/>
      </c>
      <c r="FZ460" s="6" t="str">
        <f t="shared" ca="1" si="249"/>
        <v/>
      </c>
    </row>
    <row r="461" spans="1:182" ht="15.95" customHeight="1">
      <c r="A461" s="6">
        <v>1069</v>
      </c>
      <c r="B461" s="6" t="s">
        <v>694</v>
      </c>
      <c r="E461" s="6" t="s">
        <v>637</v>
      </c>
      <c r="F461" s="6" t="s">
        <v>1738</v>
      </c>
      <c r="G461" s="6" t="s">
        <v>1226</v>
      </c>
      <c r="H461" s="7" t="s">
        <v>1227</v>
      </c>
      <c r="I461" s="7"/>
      <c r="J461" s="6" t="s">
        <v>1199</v>
      </c>
      <c r="K461" s="6" t="s">
        <v>1201</v>
      </c>
      <c r="N461" s="6" t="s">
        <v>1203</v>
      </c>
      <c r="O461" s="6" t="s">
        <v>1205</v>
      </c>
      <c r="R461" s="101" t="s">
        <v>1220</v>
      </c>
      <c r="Y461" s="6" t="s">
        <v>1736</v>
      </c>
      <c r="Z461" s="6">
        <v>31</v>
      </c>
      <c r="AA461" s="6">
        <v>32</v>
      </c>
      <c r="AD461" s="6" t="s">
        <v>1203</v>
      </c>
      <c r="AE461" s="6" t="s">
        <v>1205</v>
      </c>
      <c r="AG461" s="6" t="s">
        <v>1737</v>
      </c>
      <c r="AY461" s="8" t="s">
        <v>176</v>
      </c>
      <c r="AZ461" s="8" t="s">
        <v>195</v>
      </c>
      <c r="BA461" s="13" t="s">
        <v>198</v>
      </c>
      <c r="BB461" s="13" t="s">
        <v>8</v>
      </c>
      <c r="BC461" s="13">
        <v>155</v>
      </c>
      <c r="BD461" s="13">
        <v>106</v>
      </c>
      <c r="DC461" s="6" t="s">
        <v>169</v>
      </c>
      <c r="DD461" s="6" t="s">
        <v>202</v>
      </c>
      <c r="DH461" s="6" t="str">
        <f>"A"&amp;EA461</f>
        <v>A13</v>
      </c>
      <c r="DI461" s="6" t="str">
        <f>"B"&amp;EA461</f>
        <v>B13</v>
      </c>
      <c r="DK461" s="6" t="s">
        <v>173</v>
      </c>
      <c r="DL461" s="6" t="str">
        <f>IF(DZ461&lt;&gt;"","CN2","")</f>
        <v>CN2</v>
      </c>
      <c r="DO461" s="9" t="s">
        <v>170</v>
      </c>
      <c r="DP461" s="6" t="s">
        <v>171</v>
      </c>
      <c r="DQ461" s="6" t="s">
        <v>1013</v>
      </c>
      <c r="DR461" s="6" t="e">
        <f>#REF!&amp;RIGHT(#REF!,3)</f>
        <v>#REF!</v>
      </c>
      <c r="DS461" s="6" t="str">
        <f>IF(MID(EF461,2,1)="A","KS1","AKB331")</f>
        <v>KS1</v>
      </c>
      <c r="DT461" s="10" t="str">
        <f>DQ461&amp;"-"&amp;DX461&amp;"-"&amp;DY461&amp;"/"&amp;BA461&amp;"-"&amp;DD461&amp;"-"&amp;DK461</f>
        <v>FCS0112-3-3/1S–MC–108-F3-CN1</v>
      </c>
      <c r="DU461" s="6" t="str">
        <f>IF(DL461="","",DQ461&amp;"-"&amp;DX461&amp;"-"&amp;DY461&amp;"/"&amp;BA461&amp;"-"&amp;DD461&amp;"-"&amp;DL461)</f>
        <v>FCS0112-3-3/1S–MC–108-F3-CN2</v>
      </c>
      <c r="DV461" s="19">
        <v>1</v>
      </c>
      <c r="DW461" s="20" t="str">
        <f>RIGHT(DQ461,2)</f>
        <v>12</v>
      </c>
      <c r="DX461" s="20">
        <v>3</v>
      </c>
      <c r="DY461" s="21">
        <v>3</v>
      </c>
      <c r="DZ461" s="22">
        <v>4</v>
      </c>
      <c r="EA461" s="23">
        <v>13</v>
      </c>
      <c r="EB461" s="7">
        <v>13</v>
      </c>
      <c r="EE461" s="9" t="s">
        <v>693</v>
      </c>
      <c r="EF461" s="6" t="s">
        <v>174</v>
      </c>
      <c r="EG461" s="6" t="s">
        <v>647</v>
      </c>
      <c r="EH461" s="6" t="s">
        <v>356</v>
      </c>
      <c r="EI461" s="6" t="s">
        <v>199</v>
      </c>
      <c r="EJ461" s="12">
        <v>300</v>
      </c>
      <c r="EL461" s="6"/>
      <c r="EM461" s="12"/>
      <c r="EN461" s="12" t="s">
        <v>1135</v>
      </c>
      <c r="ET461" s="6" t="str">
        <f t="shared" si="241"/>
        <v>짝수</v>
      </c>
      <c r="EU461" s="12">
        <v>106</v>
      </c>
      <c r="EV461" s="45" t="str">
        <f t="shared" ca="1" si="250"/>
        <v>B</v>
      </c>
      <c r="EW461" s="6">
        <f t="shared" ca="1" si="242"/>
        <v>66</v>
      </c>
      <c r="FO461" s="6"/>
      <c r="FP461" s="11"/>
      <c r="FR461" s="6">
        <v>1</v>
      </c>
      <c r="FS461" s="6" t="str">
        <f t="shared" si="243"/>
        <v/>
      </c>
      <c r="FT461" s="6" t="str">
        <f t="shared" si="244"/>
        <v/>
      </c>
      <c r="FU461" s="6" t="str">
        <f t="shared" ca="1" si="251"/>
        <v/>
      </c>
      <c r="FV461" s="6" t="str">
        <f t="shared" ca="1" si="245"/>
        <v/>
      </c>
      <c r="FW461" s="6" t="str">
        <f t="shared" ca="1" si="246"/>
        <v/>
      </c>
      <c r="FX461" s="6" t="str">
        <f t="shared" ca="1" si="247"/>
        <v/>
      </c>
      <c r="FY461" s="6" t="str">
        <f t="shared" ca="1" si="248"/>
        <v/>
      </c>
      <c r="FZ461" s="6" t="str">
        <f t="shared" ca="1" si="249"/>
        <v/>
      </c>
    </row>
    <row r="462" spans="1:182" ht="15.95" customHeight="1">
      <c r="A462" s="6">
        <v>822</v>
      </c>
      <c r="B462" s="6" t="s">
        <v>780</v>
      </c>
      <c r="E462" s="6" t="s">
        <v>621</v>
      </c>
      <c r="F462" s="6" t="s">
        <v>1739</v>
      </c>
      <c r="G462" s="6" t="s">
        <v>1218</v>
      </c>
      <c r="H462" s="7" t="s">
        <v>1219</v>
      </c>
      <c r="I462" s="7"/>
      <c r="J462" s="6" t="s">
        <v>1199</v>
      </c>
      <c r="K462" s="6" t="s">
        <v>1201</v>
      </c>
      <c r="N462" s="6" t="s">
        <v>1203</v>
      </c>
      <c r="O462" s="6" t="s">
        <v>1205</v>
      </c>
      <c r="R462" s="101" t="s">
        <v>1220</v>
      </c>
      <c r="Y462" s="6" t="s">
        <v>1740</v>
      </c>
      <c r="Z462" s="6">
        <v>17</v>
      </c>
      <c r="AA462" s="6">
        <v>18</v>
      </c>
      <c r="AD462" s="6" t="s">
        <v>1203</v>
      </c>
      <c r="AE462" s="6" t="s">
        <v>1205</v>
      </c>
      <c r="AG462" s="6" t="s">
        <v>1741</v>
      </c>
      <c r="AY462" s="8" t="s">
        <v>176</v>
      </c>
      <c r="AZ462" s="8" t="s">
        <v>195</v>
      </c>
      <c r="BA462" s="13" t="s">
        <v>198</v>
      </c>
      <c r="BB462" s="13" t="s">
        <v>7</v>
      </c>
      <c r="BC462" s="13">
        <v>203</v>
      </c>
      <c r="BD462" s="13">
        <v>204</v>
      </c>
      <c r="DC462" s="6" t="s">
        <v>169</v>
      </c>
      <c r="DD462" s="6" t="s">
        <v>177</v>
      </c>
      <c r="DH462" s="6" t="str">
        <f>"A"&amp;EA462</f>
        <v>A6</v>
      </c>
      <c r="DI462" s="6" t="str">
        <f>"B"&amp;EA462</f>
        <v>B6</v>
      </c>
      <c r="DK462" s="6" t="s">
        <v>173</v>
      </c>
      <c r="DL462" s="6" t="str">
        <f>IF(DZ462&lt;&gt;"","CN2","")</f>
        <v>CN2</v>
      </c>
      <c r="DO462" s="9" t="s">
        <v>170</v>
      </c>
      <c r="DP462" s="6" t="s">
        <v>171</v>
      </c>
      <c r="DQ462" s="6" t="s">
        <v>1013</v>
      </c>
      <c r="DR462" s="6" t="e">
        <f>#REF!&amp;RIGHT(#REF!,3)</f>
        <v>#REF!</v>
      </c>
      <c r="DS462" s="6" t="str">
        <f>IF(MID(EF462,2,1)="A","KS1","AKB331")</f>
        <v>KS1</v>
      </c>
      <c r="DT462" s="10" t="str">
        <f>DQ462&amp;"-"&amp;DX462&amp;"-"&amp;DY462&amp;"/"&amp;BA462&amp;"-"&amp;DD462&amp;"-"&amp;DK462</f>
        <v>FCS0112-1-1/1S–MC–108-F1-CN1</v>
      </c>
      <c r="DU462" s="6" t="str">
        <f>IF(DL462="","",DQ462&amp;"-"&amp;DX462&amp;"-"&amp;DY462&amp;"/"&amp;BA462&amp;"-"&amp;DD462&amp;"-"&amp;DL462)</f>
        <v>FCS0112-1-1/1S–MC–108-F1-CN2</v>
      </c>
      <c r="DV462" s="19">
        <v>1</v>
      </c>
      <c r="DW462" s="20" t="str">
        <f>RIGHT(DQ462,2)</f>
        <v>12</v>
      </c>
      <c r="DX462" s="20">
        <v>1</v>
      </c>
      <c r="DY462" s="21">
        <v>1</v>
      </c>
      <c r="DZ462" s="22">
        <v>2</v>
      </c>
      <c r="EA462" s="23">
        <v>6</v>
      </c>
      <c r="EB462" s="7">
        <v>22</v>
      </c>
      <c r="EE462" s="9" t="s">
        <v>778</v>
      </c>
      <c r="EF462" s="6" t="s">
        <v>172</v>
      </c>
      <c r="EG462" s="6" t="s">
        <v>647</v>
      </c>
      <c r="EH462" s="6" t="s">
        <v>357</v>
      </c>
      <c r="EI462" s="6" t="s">
        <v>199</v>
      </c>
      <c r="EJ462" s="12">
        <v>300</v>
      </c>
      <c r="EL462" s="6"/>
      <c r="EM462" s="12"/>
      <c r="EN462" s="12" t="s">
        <v>1135</v>
      </c>
      <c r="EP462" s="6" t="s">
        <v>1147</v>
      </c>
      <c r="ET462" s="6" t="str">
        <f t="shared" si="241"/>
        <v>짝수</v>
      </c>
      <c r="EU462" s="12">
        <v>106</v>
      </c>
      <c r="EV462" s="45" t="str">
        <f t="shared" ca="1" si="250"/>
        <v>C</v>
      </c>
      <c r="EW462" s="6">
        <f t="shared" ca="1" si="242"/>
        <v>67</v>
      </c>
      <c r="FO462" s="6"/>
      <c r="FP462" s="11"/>
      <c r="FR462" s="6">
        <v>1</v>
      </c>
      <c r="FS462" s="6" t="str">
        <f t="shared" si="243"/>
        <v/>
      </c>
      <c r="FT462" s="6" t="str">
        <f t="shared" si="244"/>
        <v/>
      </c>
      <c r="FU462" s="6" t="str">
        <f t="shared" ca="1" si="251"/>
        <v/>
      </c>
      <c r="FV462" s="6" t="str">
        <f t="shared" ca="1" si="245"/>
        <v/>
      </c>
      <c r="FW462" s="6" t="str">
        <f t="shared" ca="1" si="246"/>
        <v/>
      </c>
      <c r="FX462" s="6" t="str">
        <f t="shared" ca="1" si="247"/>
        <v/>
      </c>
      <c r="FY462" s="6" t="str">
        <f t="shared" ca="1" si="248"/>
        <v/>
      </c>
      <c r="FZ462" s="6" t="str">
        <f t="shared" ca="1" si="249"/>
        <v/>
      </c>
    </row>
    <row r="463" spans="1:182" ht="15.95" customHeight="1">
      <c r="A463" s="6">
        <v>1213</v>
      </c>
      <c r="B463" s="6" t="s">
        <v>694</v>
      </c>
      <c r="E463" s="6" t="s">
        <v>639</v>
      </c>
      <c r="F463" s="6" t="s">
        <v>1742</v>
      </c>
      <c r="G463" s="6" t="s">
        <v>1226</v>
      </c>
      <c r="H463" s="7" t="s">
        <v>1227</v>
      </c>
      <c r="I463" s="7"/>
      <c r="J463" s="6" t="s">
        <v>1199</v>
      </c>
      <c r="K463" s="6" t="s">
        <v>1201</v>
      </c>
      <c r="N463" s="6" t="s">
        <v>1203</v>
      </c>
      <c r="O463" s="6" t="s">
        <v>1205</v>
      </c>
      <c r="R463" s="101" t="s">
        <v>1220</v>
      </c>
      <c r="Y463" s="6" t="s">
        <v>1740</v>
      </c>
      <c r="Z463" s="6">
        <v>19</v>
      </c>
      <c r="AA463" s="6">
        <v>20</v>
      </c>
      <c r="AD463" s="6" t="s">
        <v>1203</v>
      </c>
      <c r="AE463" s="6" t="s">
        <v>1205</v>
      </c>
      <c r="AG463" s="6" t="s">
        <v>1741</v>
      </c>
      <c r="AY463" s="8" t="s">
        <v>176</v>
      </c>
      <c r="AZ463" s="8" t="s">
        <v>195</v>
      </c>
      <c r="BA463" s="13" t="s">
        <v>198</v>
      </c>
      <c r="BB463" s="13" t="s">
        <v>7</v>
      </c>
      <c r="BC463" s="13">
        <v>211</v>
      </c>
      <c r="BD463" s="13">
        <v>212</v>
      </c>
      <c r="DC463" s="6" t="s">
        <v>169</v>
      </c>
      <c r="DD463" s="6" t="s">
        <v>189</v>
      </c>
      <c r="DH463" s="6" t="str">
        <f>"A"&amp;EA463</f>
        <v>A13</v>
      </c>
      <c r="DI463" s="6" t="str">
        <f>"B"&amp;EA463</f>
        <v>B13</v>
      </c>
      <c r="DK463" s="6" t="s">
        <v>173</v>
      </c>
      <c r="DL463" s="6" t="str">
        <f>IF(DZ463&lt;&gt;"","CN2","")</f>
        <v>CN2</v>
      </c>
      <c r="DO463" s="9" t="s">
        <v>170</v>
      </c>
      <c r="DP463" s="6" t="s">
        <v>171</v>
      </c>
      <c r="DQ463" s="6" t="s">
        <v>1013</v>
      </c>
      <c r="DS463" s="6" t="str">
        <f>IF(MID(EF463,2,1)="A","KS1","AKB331")</f>
        <v>KS1</v>
      </c>
      <c r="DT463" s="10" t="str">
        <f>DQ463&amp;"-"&amp;DX463&amp;"-"&amp;DY463&amp;"/"&amp;BA463&amp;"-"&amp;DD463&amp;"-"&amp;DK463</f>
        <v>FCS0112-4-3/1S–MC–108-R3-CN1</v>
      </c>
      <c r="DU463" s="6" t="str">
        <f>IF(DL463="","",DQ463&amp;"-"&amp;DX463&amp;"-"&amp;DY463&amp;"/"&amp;BA463&amp;"-"&amp;DD463&amp;"-"&amp;DL463)</f>
        <v>FCS0112-4-3/1S–MC–108-R3-CN2</v>
      </c>
      <c r="DV463" s="12"/>
      <c r="DW463" s="20" t="str">
        <f>RIGHT(DQ463,2)</f>
        <v>12</v>
      </c>
      <c r="DX463" s="20">
        <v>4</v>
      </c>
      <c r="DY463" s="21">
        <v>3</v>
      </c>
      <c r="DZ463" s="22">
        <v>4</v>
      </c>
      <c r="EA463" s="23">
        <v>13</v>
      </c>
      <c r="EB463" s="6">
        <v>29</v>
      </c>
      <c r="EE463" s="9" t="s">
        <v>693</v>
      </c>
      <c r="EF463" s="6" t="s">
        <v>174</v>
      </c>
      <c r="EG463" s="6" t="s">
        <v>647</v>
      </c>
      <c r="EH463" s="6" t="s">
        <v>357</v>
      </c>
      <c r="EI463" s="6" t="s">
        <v>199</v>
      </c>
      <c r="EJ463" s="12">
        <v>300</v>
      </c>
      <c r="EL463" s="6"/>
      <c r="EM463" s="12"/>
      <c r="EN463" s="12" t="s">
        <v>1135</v>
      </c>
      <c r="ET463" s="6" t="str">
        <f t="shared" si="241"/>
        <v>짝수</v>
      </c>
      <c r="EU463" s="12">
        <v>106</v>
      </c>
      <c r="EV463" s="45" t="str">
        <f t="shared" ca="1" si="250"/>
        <v>D</v>
      </c>
      <c r="EW463" s="6">
        <f t="shared" ca="1" si="242"/>
        <v>68</v>
      </c>
      <c r="FO463" s="6"/>
      <c r="FP463" s="11"/>
      <c r="FR463" s="6">
        <v>1</v>
      </c>
      <c r="FS463" s="6" t="str">
        <f t="shared" si="243"/>
        <v/>
      </c>
      <c r="FT463" s="6" t="str">
        <f t="shared" si="244"/>
        <v/>
      </c>
      <c r="FU463" s="6" t="str">
        <f t="shared" ca="1" si="251"/>
        <v/>
      </c>
      <c r="FV463" s="6" t="str">
        <f t="shared" ca="1" si="245"/>
        <v/>
      </c>
      <c r="FW463" s="6" t="str">
        <f t="shared" ca="1" si="246"/>
        <v/>
      </c>
      <c r="FX463" s="6" t="str">
        <f t="shared" ca="1" si="247"/>
        <v/>
      </c>
      <c r="FY463" s="6" t="str">
        <f t="shared" ca="1" si="248"/>
        <v/>
      </c>
      <c r="FZ463" s="6" t="str">
        <f t="shared" ca="1" si="249"/>
        <v/>
      </c>
    </row>
    <row r="464" spans="1:182" ht="15.95" customHeight="1">
      <c r="A464" s="6">
        <v>825</v>
      </c>
      <c r="B464" s="6" t="s">
        <v>780</v>
      </c>
      <c r="E464" s="6" t="s">
        <v>624</v>
      </c>
      <c r="F464" s="6" t="s">
        <v>1743</v>
      </c>
      <c r="G464" s="6" t="s">
        <v>1218</v>
      </c>
      <c r="H464" s="7" t="s">
        <v>1219</v>
      </c>
      <c r="I464" s="7"/>
      <c r="J464" s="6" t="s">
        <v>1199</v>
      </c>
      <c r="K464" s="6" t="s">
        <v>1201</v>
      </c>
      <c r="N464" s="6" t="s">
        <v>1203</v>
      </c>
      <c r="O464" s="6" t="s">
        <v>1205</v>
      </c>
      <c r="R464" s="101" t="s">
        <v>1220</v>
      </c>
      <c r="Y464" s="6" t="s">
        <v>1744</v>
      </c>
      <c r="Z464" s="6">
        <v>5</v>
      </c>
      <c r="AA464" s="6">
        <v>6</v>
      </c>
      <c r="AD464" s="6" t="s">
        <v>1203</v>
      </c>
      <c r="AE464" s="6" t="s">
        <v>1205</v>
      </c>
      <c r="AG464" s="6" t="s">
        <v>1745</v>
      </c>
      <c r="AY464" s="8" t="s">
        <v>176</v>
      </c>
      <c r="AZ464" s="8" t="s">
        <v>195</v>
      </c>
      <c r="BA464" s="13" t="s">
        <v>198</v>
      </c>
      <c r="BB464" s="13" t="s">
        <v>7</v>
      </c>
      <c r="BC464" s="13">
        <v>53</v>
      </c>
      <c r="BD464" s="13">
        <v>54</v>
      </c>
      <c r="DC464" s="6" t="s">
        <v>169</v>
      </c>
      <c r="DD464" s="6" t="s">
        <v>177</v>
      </c>
      <c r="DH464" s="6" t="str">
        <f t="shared" ref="DH464:DH478" si="252">"A"&amp;EA464</f>
        <v>A9</v>
      </c>
      <c r="DI464" s="6" t="str">
        <f t="shared" ref="DI464:DI478" si="253">"B"&amp;EA464</f>
        <v>B9</v>
      </c>
      <c r="DK464" s="6" t="s">
        <v>173</v>
      </c>
      <c r="DL464" s="6" t="str">
        <f t="shared" ref="DL464:DL478" si="254">IF(DZ464&lt;&gt;"","CN2","")</f>
        <v>CN2</v>
      </c>
      <c r="DO464" s="9" t="s">
        <v>170</v>
      </c>
      <c r="DP464" s="6" t="s">
        <v>171</v>
      </c>
      <c r="DQ464" s="6" t="s">
        <v>1013</v>
      </c>
      <c r="DR464" s="6" t="e">
        <f>#REF!&amp;RIGHT(#REF!,3)</f>
        <v>#REF!</v>
      </c>
      <c r="DS464" s="6" t="str">
        <f t="shared" ref="DS464:DS478" si="255">IF(MID(EF464,2,1)="A","KS1","AKB331")</f>
        <v>KS1</v>
      </c>
      <c r="DT464" s="10" t="str">
        <f t="shared" ref="DT464:DT478" si="256">DQ464&amp;"-"&amp;DX464&amp;"-"&amp;DY464&amp;"/"&amp;BA464&amp;"-"&amp;DD464&amp;"-"&amp;DK464</f>
        <v>FCS0112-1-1/1S–MC–108-F1-CN1</v>
      </c>
      <c r="DU464" s="6" t="str">
        <f t="shared" ref="DU464:DU478" si="257">IF(DL464="","",DQ464&amp;"-"&amp;DX464&amp;"-"&amp;DY464&amp;"/"&amp;BA464&amp;"-"&amp;DD464&amp;"-"&amp;DL464)</f>
        <v>FCS0112-1-1/1S–MC–108-F1-CN2</v>
      </c>
      <c r="DV464" s="19">
        <v>1</v>
      </c>
      <c r="DW464" s="20" t="str">
        <f t="shared" ref="DW464:DW478" si="258">RIGHT(DQ464,2)</f>
        <v>12</v>
      </c>
      <c r="DX464" s="20">
        <v>1</v>
      </c>
      <c r="DY464" s="21">
        <v>1</v>
      </c>
      <c r="DZ464" s="22">
        <v>2</v>
      </c>
      <c r="EA464" s="23">
        <v>9</v>
      </c>
      <c r="EB464" s="7">
        <v>25</v>
      </c>
      <c r="EE464" s="9" t="s">
        <v>778</v>
      </c>
      <c r="EF464" s="6" t="s">
        <v>172</v>
      </c>
      <c r="EG464" s="6" t="s">
        <v>647</v>
      </c>
      <c r="EH464" s="6" t="s">
        <v>360</v>
      </c>
      <c r="EI464" s="6" t="s">
        <v>456</v>
      </c>
      <c r="EJ464" s="12">
        <v>24</v>
      </c>
      <c r="EL464" s="6"/>
      <c r="EM464" s="12"/>
      <c r="EN464" s="12" t="s">
        <v>1100</v>
      </c>
      <c r="EO464" s="6" t="s">
        <v>1099</v>
      </c>
      <c r="EP464" s="6" t="s">
        <v>1145</v>
      </c>
      <c r="ER464" s="6" t="str">
        <f>"PY"&amp;MID(E467,3,6)</f>
        <v>PY53015</v>
      </c>
      <c r="ET464" s="6" t="str">
        <f t="shared" si="241"/>
        <v>홀수</v>
      </c>
      <c r="EU464" s="12">
        <v>107</v>
      </c>
      <c r="EV464" s="45" t="str">
        <f ca="1">IF(EU464=OFFSET(EU464,-1,0),CHAR(EW468+1),"A")</f>
        <v>A</v>
      </c>
      <c r="EW464" s="6">
        <f t="shared" ca="1" si="242"/>
        <v>65</v>
      </c>
      <c r="FO464" s="6"/>
      <c r="FP464" s="11"/>
      <c r="FR464" s="6">
        <v>1</v>
      </c>
      <c r="FS464" s="6" t="str">
        <f t="shared" si="243"/>
        <v/>
      </c>
      <c r="FT464" s="6" t="str">
        <f t="shared" si="244"/>
        <v/>
      </c>
      <c r="FU464" s="6" t="str">
        <f t="shared" ca="1" si="251"/>
        <v/>
      </c>
      <c r="FV464" s="6" t="str">
        <f t="shared" ca="1" si="245"/>
        <v/>
      </c>
      <c r="FW464" s="6" t="str">
        <f t="shared" ca="1" si="246"/>
        <v/>
      </c>
      <c r="FX464" s="6" t="str">
        <f t="shared" ca="1" si="247"/>
        <v/>
      </c>
      <c r="FY464" s="6" t="str">
        <f t="shared" ca="1" si="248"/>
        <v/>
      </c>
      <c r="FZ464" s="6" t="str">
        <f t="shared" ca="1" si="249"/>
        <v/>
      </c>
    </row>
    <row r="465" spans="1:182" ht="15.95" customHeight="1">
      <c r="A465" s="6">
        <v>824</v>
      </c>
      <c r="B465" s="6" t="s">
        <v>780</v>
      </c>
      <c r="E465" s="6" t="s">
        <v>623</v>
      </c>
      <c r="F465" s="6" t="s">
        <v>1746</v>
      </c>
      <c r="G465" s="6" t="s">
        <v>1218</v>
      </c>
      <c r="H465" s="7" t="s">
        <v>1219</v>
      </c>
      <c r="I465" s="7"/>
      <c r="J465" s="6" t="s">
        <v>1199</v>
      </c>
      <c r="K465" s="6" t="s">
        <v>1201</v>
      </c>
      <c r="N465" s="6" t="s">
        <v>1203</v>
      </c>
      <c r="O465" s="6" t="s">
        <v>1205</v>
      </c>
      <c r="R465" s="101" t="s">
        <v>1220</v>
      </c>
      <c r="Y465" s="6" t="s">
        <v>1744</v>
      </c>
      <c r="Z465" s="6">
        <v>1</v>
      </c>
      <c r="AA465" s="6">
        <v>2</v>
      </c>
      <c r="AD465" s="6" t="s">
        <v>1203</v>
      </c>
      <c r="AE465" s="6" t="s">
        <v>1205</v>
      </c>
      <c r="AG465" s="6" t="s">
        <v>1745</v>
      </c>
      <c r="AY465" s="8" t="s">
        <v>176</v>
      </c>
      <c r="AZ465" s="8" t="s">
        <v>195</v>
      </c>
      <c r="BA465" s="13" t="s">
        <v>198</v>
      </c>
      <c r="BB465" s="13" t="s">
        <v>7</v>
      </c>
      <c r="BC465" s="13">
        <v>49</v>
      </c>
      <c r="BD465" s="13">
        <v>50</v>
      </c>
      <c r="DC465" s="6" t="s">
        <v>169</v>
      </c>
      <c r="DD465" s="6" t="s">
        <v>177</v>
      </c>
      <c r="DH465" s="6" t="str">
        <f>"A"&amp;EA465</f>
        <v>A8</v>
      </c>
      <c r="DI465" s="6" t="str">
        <f>"B"&amp;EA465</f>
        <v>B8</v>
      </c>
      <c r="DK465" s="6" t="s">
        <v>173</v>
      </c>
      <c r="DL465" s="6" t="str">
        <f>IF(DZ465&lt;&gt;"","CN2","")</f>
        <v>CN2</v>
      </c>
      <c r="DO465" s="9" t="s">
        <v>170</v>
      </c>
      <c r="DP465" s="6" t="s">
        <v>171</v>
      </c>
      <c r="DQ465" s="6" t="s">
        <v>1013</v>
      </c>
      <c r="DR465" s="6" t="e">
        <f>#REF!&amp;RIGHT(#REF!,3)</f>
        <v>#REF!</v>
      </c>
      <c r="DS465" s="6" t="str">
        <f>IF(MID(EF465,2,1)="A","KS1","AKB331")</f>
        <v>KS1</v>
      </c>
      <c r="DT465" s="10" t="str">
        <f>DQ465&amp;"-"&amp;DX465&amp;"-"&amp;DY465&amp;"/"&amp;BA465&amp;"-"&amp;DD465&amp;"-"&amp;DK465</f>
        <v>FCS0112-1-1/1S–MC–108-F1-CN1</v>
      </c>
      <c r="DU465" s="6" t="str">
        <f>IF(DL465="","",DQ465&amp;"-"&amp;DX465&amp;"-"&amp;DY465&amp;"/"&amp;BA465&amp;"-"&amp;DD465&amp;"-"&amp;DL465)</f>
        <v>FCS0112-1-1/1S–MC–108-F1-CN2</v>
      </c>
      <c r="DV465" s="19">
        <v>1</v>
      </c>
      <c r="DW465" s="20" t="str">
        <f>RIGHT(DQ465,2)</f>
        <v>12</v>
      </c>
      <c r="DX465" s="20">
        <v>1</v>
      </c>
      <c r="DY465" s="21">
        <v>1</v>
      </c>
      <c r="DZ465" s="22">
        <v>2</v>
      </c>
      <c r="EA465" s="23">
        <v>8</v>
      </c>
      <c r="EB465" s="7">
        <v>24</v>
      </c>
      <c r="EE465" s="9" t="s">
        <v>778</v>
      </c>
      <c r="EF465" s="6" t="s">
        <v>172</v>
      </c>
      <c r="EG465" s="6" t="s">
        <v>647</v>
      </c>
      <c r="EH465" s="6" t="s">
        <v>359</v>
      </c>
      <c r="EI465" s="6" t="s">
        <v>456</v>
      </c>
      <c r="EJ465" s="12">
        <v>24</v>
      </c>
      <c r="EL465" s="6"/>
      <c r="EM465" s="12"/>
      <c r="EN465" s="12" t="s">
        <v>1100</v>
      </c>
      <c r="EP465" s="6" t="s">
        <v>1159</v>
      </c>
      <c r="ET465" s="6" t="str">
        <f t="shared" si="241"/>
        <v>홀수</v>
      </c>
      <c r="EU465" s="12">
        <v>107</v>
      </c>
      <c r="EV465" s="45" t="str">
        <f t="shared" ca="1" si="250"/>
        <v>B</v>
      </c>
      <c r="EW465" s="6">
        <f t="shared" ca="1" si="242"/>
        <v>66</v>
      </c>
      <c r="FO465" s="6"/>
      <c r="FP465" s="11"/>
      <c r="FR465" s="6">
        <v>1</v>
      </c>
      <c r="FS465" s="6" t="str">
        <f t="shared" si="243"/>
        <v/>
      </c>
      <c r="FT465" s="6" t="str">
        <f t="shared" si="244"/>
        <v/>
      </c>
      <c r="FU465" s="6" t="str">
        <f t="shared" ca="1" si="251"/>
        <v/>
      </c>
      <c r="FV465" s="6" t="str">
        <f t="shared" ca="1" si="245"/>
        <v/>
      </c>
      <c r="FW465" s="6" t="str">
        <f t="shared" ca="1" si="246"/>
        <v/>
      </c>
      <c r="FX465" s="6" t="str">
        <f t="shared" ca="1" si="247"/>
        <v/>
      </c>
      <c r="FY465" s="6" t="str">
        <f t="shared" ca="1" si="248"/>
        <v/>
      </c>
      <c r="FZ465" s="6" t="str">
        <f t="shared" ca="1" si="249"/>
        <v/>
      </c>
    </row>
    <row r="466" spans="1:182" ht="15.95" customHeight="1">
      <c r="A466" s="6">
        <v>1060</v>
      </c>
      <c r="B466" s="6" t="s">
        <v>694</v>
      </c>
      <c r="E466" s="6" t="s">
        <v>632</v>
      </c>
      <c r="F466" s="6" t="s">
        <v>1747</v>
      </c>
      <c r="G466" s="6" t="s">
        <v>1226</v>
      </c>
      <c r="H466" s="7" t="s">
        <v>1227</v>
      </c>
      <c r="I466" s="7"/>
      <c r="J466" s="6" t="s">
        <v>1199</v>
      </c>
      <c r="K466" s="6" t="s">
        <v>1201</v>
      </c>
      <c r="N466" s="6" t="s">
        <v>1203</v>
      </c>
      <c r="O466" s="6" t="s">
        <v>1205</v>
      </c>
      <c r="R466" s="101" t="s">
        <v>1220</v>
      </c>
      <c r="Y466" s="6" t="s">
        <v>1744</v>
      </c>
      <c r="Z466" s="6">
        <v>3</v>
      </c>
      <c r="AA466" s="6">
        <v>4</v>
      </c>
      <c r="AD466" s="6" t="s">
        <v>1203</v>
      </c>
      <c r="AE466" s="6" t="s">
        <v>1205</v>
      </c>
      <c r="AG466" s="6" t="s">
        <v>1745</v>
      </c>
      <c r="AY466" s="8" t="s">
        <v>176</v>
      </c>
      <c r="AZ466" s="8" t="s">
        <v>195</v>
      </c>
      <c r="BA466" s="13" t="s">
        <v>198</v>
      </c>
      <c r="BB466" s="13" t="s">
        <v>7</v>
      </c>
      <c r="BC466" s="13">
        <v>51</v>
      </c>
      <c r="BD466" s="13">
        <v>52</v>
      </c>
      <c r="DC466" s="6" t="s">
        <v>169</v>
      </c>
      <c r="DD466" s="6" t="s">
        <v>202</v>
      </c>
      <c r="DH466" s="6" t="str">
        <f>"A"&amp;EA466</f>
        <v>A4</v>
      </c>
      <c r="DI466" s="6" t="str">
        <f>"B"&amp;EA466</f>
        <v>B4</v>
      </c>
      <c r="DK466" s="6" t="s">
        <v>173</v>
      </c>
      <c r="DL466" s="6" t="str">
        <f>IF(DZ466&lt;&gt;"","CN2","")</f>
        <v>CN2</v>
      </c>
      <c r="DO466" s="9" t="s">
        <v>170</v>
      </c>
      <c r="DP466" s="6" t="s">
        <v>171</v>
      </c>
      <c r="DQ466" s="6" t="s">
        <v>1013</v>
      </c>
      <c r="DR466" s="6" t="e">
        <f>#REF!&amp;RIGHT(#REF!,3)</f>
        <v>#REF!</v>
      </c>
      <c r="DS466" s="6" t="str">
        <f>IF(MID(EF466,2,1)="A","KS1","AKB331")</f>
        <v>KS1</v>
      </c>
      <c r="DT466" s="10" t="str">
        <f>DQ466&amp;"-"&amp;DX466&amp;"-"&amp;DY466&amp;"/"&amp;BA466&amp;"-"&amp;DD466&amp;"-"&amp;DK466</f>
        <v>FCS0112-3-3/1S–MC–108-F3-CN1</v>
      </c>
      <c r="DU466" s="6" t="str">
        <f>IF(DL466="","",DQ466&amp;"-"&amp;DX466&amp;"-"&amp;DY466&amp;"/"&amp;BA466&amp;"-"&amp;DD466&amp;"-"&amp;DL466)</f>
        <v>FCS0112-3-3/1S–MC–108-F3-CN2</v>
      </c>
      <c r="DV466" s="19">
        <v>1</v>
      </c>
      <c r="DW466" s="20" t="str">
        <f>RIGHT(DQ466,2)</f>
        <v>12</v>
      </c>
      <c r="DX466" s="20">
        <v>3</v>
      </c>
      <c r="DY466" s="21">
        <v>3</v>
      </c>
      <c r="DZ466" s="22">
        <v>4</v>
      </c>
      <c r="EA466" s="23">
        <v>4</v>
      </c>
      <c r="EB466" s="7">
        <v>4</v>
      </c>
      <c r="EE466" s="9" t="s">
        <v>693</v>
      </c>
      <c r="EF466" s="6" t="s">
        <v>174</v>
      </c>
      <c r="EG466" s="6" t="s">
        <v>647</v>
      </c>
      <c r="EH466" s="6" t="s">
        <v>360</v>
      </c>
      <c r="EI466" s="6" t="s">
        <v>462</v>
      </c>
      <c r="EJ466" s="12">
        <v>24</v>
      </c>
      <c r="EL466" s="6"/>
      <c r="EM466" s="12"/>
      <c r="EN466" s="6" t="s">
        <v>1135</v>
      </c>
      <c r="EP466" s="6" t="s">
        <v>1151</v>
      </c>
      <c r="ET466" s="6" t="str">
        <f t="shared" si="241"/>
        <v>홀수</v>
      </c>
      <c r="EU466" s="12">
        <v>107</v>
      </c>
      <c r="EV466" s="45" t="str">
        <f t="shared" ca="1" si="250"/>
        <v>C</v>
      </c>
      <c r="EW466" s="6">
        <f t="shared" ca="1" si="242"/>
        <v>67</v>
      </c>
      <c r="FO466" s="6"/>
      <c r="FP466" s="11"/>
      <c r="FR466" s="6">
        <v>1</v>
      </c>
      <c r="FS466" s="6" t="str">
        <f t="shared" si="243"/>
        <v/>
      </c>
      <c r="FT466" s="6" t="str">
        <f t="shared" si="244"/>
        <v/>
      </c>
      <c r="FU466" s="6" t="str">
        <f t="shared" ca="1" si="251"/>
        <v/>
      </c>
      <c r="FV466" s="6" t="str">
        <f t="shared" ca="1" si="245"/>
        <v/>
      </c>
      <c r="FW466" s="6" t="str">
        <f t="shared" ca="1" si="246"/>
        <v/>
      </c>
      <c r="FX466" s="6" t="str">
        <f t="shared" ca="1" si="247"/>
        <v/>
      </c>
      <c r="FY466" s="6" t="str">
        <f t="shared" ca="1" si="248"/>
        <v/>
      </c>
      <c r="FZ466" s="6" t="str">
        <f t="shared" ca="1" si="249"/>
        <v/>
      </c>
    </row>
    <row r="467" spans="1:182" ht="15.95" customHeight="1">
      <c r="A467" s="6">
        <v>1059</v>
      </c>
      <c r="B467" s="6" t="s">
        <v>694</v>
      </c>
      <c r="E467" s="6" t="s">
        <v>1136</v>
      </c>
      <c r="F467" s="6" t="s">
        <v>1748</v>
      </c>
      <c r="G467" s="6" t="s">
        <v>1226</v>
      </c>
      <c r="H467" s="7" t="s">
        <v>1227</v>
      </c>
      <c r="I467" s="7"/>
      <c r="J467" s="6" t="s">
        <v>1199</v>
      </c>
      <c r="K467" s="6" t="s">
        <v>1201</v>
      </c>
      <c r="N467" s="6" t="s">
        <v>1203</v>
      </c>
      <c r="O467" s="6" t="s">
        <v>1205</v>
      </c>
      <c r="R467" s="101" t="s">
        <v>1220</v>
      </c>
      <c r="Y467" s="6" t="s">
        <v>1726</v>
      </c>
      <c r="Z467" s="6">
        <v>19</v>
      </c>
      <c r="AA467" s="6">
        <v>20</v>
      </c>
      <c r="AD467" s="6" t="s">
        <v>1203</v>
      </c>
      <c r="AE467" s="6" t="s">
        <v>1205</v>
      </c>
      <c r="AG467" s="6" t="s">
        <v>1727</v>
      </c>
      <c r="AY467" s="8" t="s">
        <v>176</v>
      </c>
      <c r="AZ467" s="8" t="s">
        <v>195</v>
      </c>
      <c r="BA467" s="13" t="s">
        <v>198</v>
      </c>
      <c r="BB467" s="13" t="s">
        <v>7</v>
      </c>
      <c r="BC467" s="13">
        <v>81</v>
      </c>
      <c r="BD467" s="13">
        <v>82</v>
      </c>
      <c r="DC467" s="6" t="s">
        <v>169</v>
      </c>
      <c r="DD467" s="6" t="s">
        <v>202</v>
      </c>
      <c r="DH467" s="6" t="str">
        <f>"A"&amp;EA467</f>
        <v>A3</v>
      </c>
      <c r="DI467" s="6" t="str">
        <f>"B"&amp;EA467</f>
        <v>B3</v>
      </c>
      <c r="DK467" s="6" t="s">
        <v>173</v>
      </c>
      <c r="DL467" s="6" t="str">
        <f>IF(DZ467&lt;&gt;"","CN2","")</f>
        <v>CN2</v>
      </c>
      <c r="DO467" s="9" t="s">
        <v>170</v>
      </c>
      <c r="DP467" s="6" t="s">
        <v>171</v>
      </c>
      <c r="DQ467" s="6" t="s">
        <v>1013</v>
      </c>
      <c r="DR467" s="6" t="e">
        <f>#REF!&amp;RIGHT(#REF!,3)</f>
        <v>#REF!</v>
      </c>
      <c r="DS467" s="6" t="str">
        <f>IF(MID(EF467,2,1)="A","KS1","AKB331")</f>
        <v>KS1</v>
      </c>
      <c r="DT467" s="10" t="str">
        <f>DQ467&amp;"-"&amp;DX467&amp;"-"&amp;DY467&amp;"/"&amp;BA467&amp;"-"&amp;DD467&amp;"-"&amp;DK467</f>
        <v>FCS0112-3-3/1S–MC–108-F3-CN1</v>
      </c>
      <c r="DU467" s="6" t="str">
        <f>IF(DL467="","",DQ467&amp;"-"&amp;DX467&amp;"-"&amp;DY467&amp;"/"&amp;BA467&amp;"-"&amp;DD467&amp;"-"&amp;DL467)</f>
        <v>FCS0112-3-3/1S–MC–108-F3-CN2</v>
      </c>
      <c r="DV467" s="19">
        <v>1</v>
      </c>
      <c r="DW467" s="20" t="str">
        <f>RIGHT(DQ467,2)</f>
        <v>12</v>
      </c>
      <c r="DX467" s="20">
        <v>3</v>
      </c>
      <c r="DY467" s="21">
        <v>3</v>
      </c>
      <c r="DZ467" s="22">
        <v>4</v>
      </c>
      <c r="EA467" s="23">
        <v>3</v>
      </c>
      <c r="EB467" s="7">
        <v>3</v>
      </c>
      <c r="EE467" s="9" t="s">
        <v>693</v>
      </c>
      <c r="EF467" s="6" t="s">
        <v>174</v>
      </c>
      <c r="EG467" s="6" t="s">
        <v>647</v>
      </c>
      <c r="EH467" s="6" t="s">
        <v>359</v>
      </c>
      <c r="EI467" s="6" t="s">
        <v>462</v>
      </c>
      <c r="EJ467" s="12">
        <v>24</v>
      </c>
      <c r="EL467" s="6"/>
      <c r="EM467" s="12"/>
      <c r="EN467" s="6" t="s">
        <v>1135</v>
      </c>
      <c r="ET467" s="6" t="str">
        <f t="shared" si="241"/>
        <v>홀수</v>
      </c>
      <c r="EU467" s="12">
        <v>107</v>
      </c>
      <c r="EV467" s="45" t="str">
        <f t="shared" ca="1" si="250"/>
        <v>D</v>
      </c>
      <c r="EW467" s="6">
        <f t="shared" ca="1" si="242"/>
        <v>68</v>
      </c>
      <c r="FO467" s="6"/>
      <c r="FP467" s="11"/>
      <c r="FR467" s="6">
        <v>1</v>
      </c>
      <c r="FS467" s="6" t="str">
        <f t="shared" si="243"/>
        <v/>
      </c>
      <c r="FT467" s="6" t="str">
        <f t="shared" si="244"/>
        <v/>
      </c>
      <c r="FU467" s="6" t="str">
        <f t="shared" ca="1" si="251"/>
        <v/>
      </c>
      <c r="FV467" s="6" t="str">
        <f t="shared" ca="1" si="245"/>
        <v/>
      </c>
      <c r="FW467" s="6" t="str">
        <f t="shared" ca="1" si="246"/>
        <v/>
      </c>
      <c r="FX467" s="6" t="str">
        <f t="shared" ca="1" si="247"/>
        <v/>
      </c>
      <c r="FY467" s="6" t="str">
        <f t="shared" ca="1" si="248"/>
        <v/>
      </c>
      <c r="FZ467" s="6" t="str">
        <f t="shared" ca="1" si="249"/>
        <v/>
      </c>
    </row>
    <row r="468" spans="1:182" ht="15.95" customHeight="1">
      <c r="A468" s="6">
        <v>823</v>
      </c>
      <c r="B468" s="6" t="s">
        <v>780</v>
      </c>
      <c r="E468" s="6" t="s">
        <v>622</v>
      </c>
      <c r="F468" s="6" t="s">
        <v>1749</v>
      </c>
      <c r="G468" s="6" t="s">
        <v>1218</v>
      </c>
      <c r="H468" s="7" t="s">
        <v>1219</v>
      </c>
      <c r="I468" s="7"/>
      <c r="J468" s="6" t="s">
        <v>1199</v>
      </c>
      <c r="K468" s="6" t="s">
        <v>1201</v>
      </c>
      <c r="N468" s="6" t="s">
        <v>1203</v>
      </c>
      <c r="O468" s="6" t="s">
        <v>1205</v>
      </c>
      <c r="R468" s="101" t="s">
        <v>1220</v>
      </c>
      <c r="Y468" s="6" t="s">
        <v>1750</v>
      </c>
      <c r="Z468" s="6">
        <v>7</v>
      </c>
      <c r="AA468" s="6">
        <v>8</v>
      </c>
      <c r="AD468" s="6" t="s">
        <v>1203</v>
      </c>
      <c r="AE468" s="6" t="s">
        <v>1205</v>
      </c>
      <c r="AG468" s="6" t="s">
        <v>1751</v>
      </c>
      <c r="AY468" s="8" t="s">
        <v>176</v>
      </c>
      <c r="AZ468" s="8" t="s">
        <v>195</v>
      </c>
      <c r="BA468" s="13" t="s">
        <v>198</v>
      </c>
      <c r="BB468" s="13" t="s">
        <v>7</v>
      </c>
      <c r="BC468" s="13">
        <v>7</v>
      </c>
      <c r="BD468" s="13">
        <v>8</v>
      </c>
      <c r="DC468" s="6" t="s">
        <v>169</v>
      </c>
      <c r="DD468" s="6" t="s">
        <v>177</v>
      </c>
      <c r="DH468" s="6" t="str">
        <f>"A"&amp;EA468</f>
        <v>A7</v>
      </c>
      <c r="DI468" s="6" t="str">
        <f>"B"&amp;EA468</f>
        <v>B7</v>
      </c>
      <c r="DK468" s="6" t="s">
        <v>173</v>
      </c>
      <c r="DL468" s="6" t="str">
        <f>IF(DZ468&lt;&gt;"","CN2","")</f>
        <v>CN2</v>
      </c>
      <c r="DO468" s="9" t="s">
        <v>170</v>
      </c>
      <c r="DP468" s="6" t="s">
        <v>171</v>
      </c>
      <c r="DQ468" s="6" t="s">
        <v>1013</v>
      </c>
      <c r="DR468" s="6" t="e">
        <f>#REF!&amp;RIGHT(#REF!,3)</f>
        <v>#REF!</v>
      </c>
      <c r="DS468" s="6" t="str">
        <f>IF(MID(EF468,2,1)="A","KS1","AKB331")</f>
        <v>KS1</v>
      </c>
      <c r="DT468" s="10" t="str">
        <f>DQ468&amp;"-"&amp;DX468&amp;"-"&amp;DY468&amp;"/"&amp;BA468&amp;"-"&amp;DD468&amp;"-"&amp;DK468</f>
        <v>FCS0112-1-1/1S–MC–108-F1-CN1</v>
      </c>
      <c r="DU468" s="6" t="str">
        <f>IF(DL468="","",DQ468&amp;"-"&amp;DX468&amp;"-"&amp;DY468&amp;"/"&amp;BA468&amp;"-"&amp;DD468&amp;"-"&amp;DL468)</f>
        <v>FCS0112-1-1/1S–MC–108-F1-CN2</v>
      </c>
      <c r="DV468" s="19">
        <v>1</v>
      </c>
      <c r="DW468" s="20" t="str">
        <f>RIGHT(DQ468,2)</f>
        <v>12</v>
      </c>
      <c r="DX468" s="20">
        <v>1</v>
      </c>
      <c r="DY468" s="21">
        <v>1</v>
      </c>
      <c r="DZ468" s="22">
        <v>2</v>
      </c>
      <c r="EA468" s="23">
        <v>7</v>
      </c>
      <c r="EB468" s="7">
        <v>23</v>
      </c>
      <c r="EE468" s="9" t="s">
        <v>778</v>
      </c>
      <c r="EF468" s="6" t="s">
        <v>172</v>
      </c>
      <c r="EG468" s="6" t="s">
        <v>647</v>
      </c>
      <c r="EH468" s="6" t="s">
        <v>358</v>
      </c>
      <c r="EI468" s="6" t="s">
        <v>199</v>
      </c>
      <c r="EJ468" s="12">
        <v>100</v>
      </c>
      <c r="EL468" s="6"/>
      <c r="EM468" s="12"/>
      <c r="EN468" s="12" t="s">
        <v>1100</v>
      </c>
      <c r="EP468" s="6" t="s">
        <v>1148</v>
      </c>
      <c r="ET468" s="6" t="str">
        <f>IF(MOD(EU468,2) = 0, "짝수", "홀수")</f>
        <v>짝수</v>
      </c>
      <c r="EU468" s="12">
        <v>108</v>
      </c>
      <c r="EV468" s="45" t="str">
        <f ca="1">IF(EU468=OFFSET(EU468,-1,0),CHAR(EW463+1),"A")</f>
        <v>A</v>
      </c>
      <c r="EW468" s="6">
        <f ca="1">IF(EV468="A",65,IF(EV468="B",66,IF(EV468="C",67,68)))</f>
        <v>65</v>
      </c>
      <c r="FO468" s="6"/>
      <c r="FP468" s="11"/>
      <c r="FR468" s="6">
        <v>1</v>
      </c>
      <c r="FS468" s="6" t="str">
        <f t="shared" si="243"/>
        <v/>
      </c>
      <c r="FT468" s="6" t="str">
        <f t="shared" si="244"/>
        <v/>
      </c>
      <c r="FU468" s="6" t="str">
        <f t="shared" ca="1" si="251"/>
        <v/>
      </c>
      <c r="FV468" s="6" t="str">
        <f t="shared" ca="1" si="245"/>
        <v/>
      </c>
      <c r="FW468" s="6" t="str">
        <f t="shared" ca="1" si="246"/>
        <v/>
      </c>
      <c r="FX468" s="6" t="str">
        <f t="shared" ca="1" si="247"/>
        <v/>
      </c>
      <c r="FY468" s="6" t="str">
        <f t="shared" ca="1" si="248"/>
        <v/>
      </c>
      <c r="FZ468" s="6" t="str">
        <f t="shared" ca="1" si="249"/>
        <v/>
      </c>
    </row>
    <row r="469" spans="1:182" ht="15.95" customHeight="1">
      <c r="A469" s="6">
        <v>826</v>
      </c>
      <c r="B469" s="6" t="s">
        <v>780</v>
      </c>
      <c r="E469" s="6" t="s">
        <v>625</v>
      </c>
      <c r="F469" s="6" t="s">
        <v>1752</v>
      </c>
      <c r="G469" s="6" t="s">
        <v>1218</v>
      </c>
      <c r="H469" s="7" t="s">
        <v>1219</v>
      </c>
      <c r="I469" s="7"/>
      <c r="J469" s="6" t="s">
        <v>1199</v>
      </c>
      <c r="K469" s="6" t="s">
        <v>1201</v>
      </c>
      <c r="N469" s="6" t="s">
        <v>1203</v>
      </c>
      <c r="O469" s="6" t="s">
        <v>1205</v>
      </c>
      <c r="R469" s="101" t="s">
        <v>1220</v>
      </c>
      <c r="Y469" s="6" t="s">
        <v>1744</v>
      </c>
      <c r="Z469" s="6">
        <v>7</v>
      </c>
      <c r="AA469" s="6">
        <v>8</v>
      </c>
      <c r="AD469" s="6" t="s">
        <v>1203</v>
      </c>
      <c r="AE469" s="6" t="s">
        <v>1205</v>
      </c>
      <c r="AG469" s="6" t="s">
        <v>1745</v>
      </c>
      <c r="AY469" s="8" t="s">
        <v>176</v>
      </c>
      <c r="AZ469" s="8" t="s">
        <v>195</v>
      </c>
      <c r="BA469" s="13" t="s">
        <v>198</v>
      </c>
      <c r="BB469" s="13" t="s">
        <v>7</v>
      </c>
      <c r="BC469" s="13">
        <v>55</v>
      </c>
      <c r="BD469" s="13">
        <v>56</v>
      </c>
      <c r="DC469" s="6" t="s">
        <v>169</v>
      </c>
      <c r="DD469" s="6" t="s">
        <v>177</v>
      </c>
      <c r="DH469" s="6" t="str">
        <f>"A"&amp;EA469</f>
        <v>A10</v>
      </c>
      <c r="DI469" s="6" t="str">
        <f>"B"&amp;EA469</f>
        <v>B10</v>
      </c>
      <c r="DK469" s="6" t="s">
        <v>173</v>
      </c>
      <c r="DL469" s="6" t="str">
        <f>IF(DZ469&lt;&gt;"","CN2","")</f>
        <v>CN2</v>
      </c>
      <c r="DO469" s="9" t="s">
        <v>170</v>
      </c>
      <c r="DP469" s="6" t="s">
        <v>171</v>
      </c>
      <c r="DQ469" s="6" t="s">
        <v>1013</v>
      </c>
      <c r="DR469" s="6" t="e">
        <f>#REF!&amp;RIGHT(#REF!,3)</f>
        <v>#REF!</v>
      </c>
      <c r="DS469" s="6" t="str">
        <f>IF(MID(EF469,2,1)="A","KS1","AKB331")</f>
        <v>KS1</v>
      </c>
      <c r="DT469" s="10" t="str">
        <f>DQ469&amp;"-"&amp;DX469&amp;"-"&amp;DY469&amp;"/"&amp;BA469&amp;"-"&amp;DD469&amp;"-"&amp;DK469</f>
        <v>FCS0112-1-1/1S–MC–108-F1-CN1</v>
      </c>
      <c r="DU469" s="6" t="str">
        <f>IF(DL469="","",DQ469&amp;"-"&amp;DX469&amp;"-"&amp;DY469&amp;"/"&amp;BA469&amp;"-"&amp;DD469&amp;"-"&amp;DL469)</f>
        <v>FCS0112-1-1/1S–MC–108-F1-CN2</v>
      </c>
      <c r="DV469" s="19">
        <v>1</v>
      </c>
      <c r="DW469" s="20" t="str">
        <f>RIGHT(DQ469,2)</f>
        <v>12</v>
      </c>
      <c r="DX469" s="20">
        <v>1</v>
      </c>
      <c r="DY469" s="21">
        <v>1</v>
      </c>
      <c r="DZ469" s="22">
        <v>2</v>
      </c>
      <c r="EA469" s="23">
        <v>10</v>
      </c>
      <c r="EB469" s="7">
        <v>26</v>
      </c>
      <c r="EE469" s="9" t="s">
        <v>778</v>
      </c>
      <c r="EF469" s="6" t="s">
        <v>172</v>
      </c>
      <c r="EG469" s="6" t="s">
        <v>647</v>
      </c>
      <c r="EH469" s="6" t="s">
        <v>361</v>
      </c>
      <c r="EI469" s="6" t="s">
        <v>199</v>
      </c>
      <c r="EJ469" s="12">
        <v>300</v>
      </c>
      <c r="EL469" s="6"/>
      <c r="EM469" s="12"/>
      <c r="EN469" s="12" t="s">
        <v>1135</v>
      </c>
      <c r="EP469" s="6" t="s">
        <v>1147</v>
      </c>
      <c r="ET469" s="6" t="str">
        <f t="shared" si="241"/>
        <v>짝수</v>
      </c>
      <c r="EU469" s="12">
        <v>108</v>
      </c>
      <c r="EV469" s="45" t="str">
        <f ca="1">IF(EU469=OFFSET(EU469,-1,0),CHAR(EW464+1),"A")</f>
        <v>B</v>
      </c>
      <c r="EW469" s="6">
        <f t="shared" ca="1" si="242"/>
        <v>66</v>
      </c>
      <c r="FO469" s="6"/>
      <c r="FP469" s="11"/>
      <c r="FR469" s="6">
        <v>1</v>
      </c>
      <c r="FS469" s="6" t="str">
        <f t="shared" si="243"/>
        <v/>
      </c>
      <c r="FT469" s="6" t="str">
        <f t="shared" si="244"/>
        <v/>
      </c>
      <c r="FU469" s="6" t="str">
        <f t="shared" ca="1" si="251"/>
        <v/>
      </c>
      <c r="FV469" s="6" t="str">
        <f t="shared" ca="1" si="245"/>
        <v/>
      </c>
      <c r="FW469" s="6" t="str">
        <f t="shared" ca="1" si="246"/>
        <v/>
      </c>
      <c r="FX469" s="6" t="str">
        <f t="shared" ca="1" si="247"/>
        <v/>
      </c>
      <c r="FY469" s="6" t="str">
        <f t="shared" ca="1" si="248"/>
        <v/>
      </c>
      <c r="FZ469" s="6" t="str">
        <f t="shared" ca="1" si="249"/>
        <v/>
      </c>
    </row>
    <row r="470" spans="1:182" ht="15.95" customHeight="1">
      <c r="A470" s="6">
        <v>1061</v>
      </c>
      <c r="B470" s="6" t="s">
        <v>694</v>
      </c>
      <c r="E470" s="6" t="s">
        <v>633</v>
      </c>
      <c r="F470" s="6" t="s">
        <v>1753</v>
      </c>
      <c r="G470" s="6" t="s">
        <v>1226</v>
      </c>
      <c r="H470" s="7" t="s">
        <v>1227</v>
      </c>
      <c r="I470" s="7"/>
      <c r="J470" s="6" t="e">
        <v>#N/A</v>
      </c>
      <c r="K470" s="6" t="e">
        <v>#N/A</v>
      </c>
      <c r="N470" s="6" t="e">
        <v>#N/A</v>
      </c>
      <c r="O470" s="6" t="e">
        <v>#N/A</v>
      </c>
      <c r="R470" s="101" t="e">
        <v>#N/A</v>
      </c>
      <c r="Y470" s="6" t="e">
        <v>#N/A</v>
      </c>
      <c r="Z470" s="6" t="e">
        <v>#N/A</v>
      </c>
      <c r="AA470" s="6" t="e">
        <v>#N/A</v>
      </c>
      <c r="AD470" s="6" t="e">
        <v>#N/A</v>
      </c>
      <c r="AE470" s="6" t="e">
        <v>#N/A</v>
      </c>
      <c r="AG470" s="6" t="e">
        <v>#N/A</v>
      </c>
      <c r="AY470" s="8" t="s">
        <v>176</v>
      </c>
      <c r="AZ470" s="8" t="s">
        <v>195</v>
      </c>
      <c r="BA470" s="13" t="s">
        <v>198</v>
      </c>
      <c r="BB470" s="13" t="s">
        <v>7</v>
      </c>
      <c r="BC470" s="13">
        <v>57</v>
      </c>
      <c r="BD470" s="13">
        <v>58</v>
      </c>
      <c r="DC470" s="6" t="s">
        <v>169</v>
      </c>
      <c r="DD470" s="6" t="s">
        <v>202</v>
      </c>
      <c r="DH470" s="6" t="str">
        <f t="shared" si="252"/>
        <v>A5</v>
      </c>
      <c r="DI470" s="6" t="str">
        <f t="shared" si="253"/>
        <v>B5</v>
      </c>
      <c r="DK470" s="6" t="s">
        <v>173</v>
      </c>
      <c r="DL470" s="6" t="str">
        <f t="shared" si="254"/>
        <v>CN2</v>
      </c>
      <c r="DO470" s="9" t="s">
        <v>170</v>
      </c>
      <c r="DP470" s="6" t="s">
        <v>171</v>
      </c>
      <c r="DQ470" s="6" t="s">
        <v>1013</v>
      </c>
      <c r="DR470" s="6" t="e">
        <f>#REF!&amp;RIGHT(#REF!,3)</f>
        <v>#REF!</v>
      </c>
      <c r="DS470" s="6" t="str">
        <f t="shared" si="255"/>
        <v>KS1</v>
      </c>
      <c r="DT470" s="10" t="str">
        <f t="shared" si="256"/>
        <v>FCS0112-3-3/1S–MC–108-F3-CN1</v>
      </c>
      <c r="DU470" s="6" t="str">
        <f t="shared" si="257"/>
        <v>FCS0112-3-3/1S–MC–108-F3-CN2</v>
      </c>
      <c r="DV470" s="19">
        <v>1</v>
      </c>
      <c r="DW470" s="20" t="str">
        <f t="shared" si="258"/>
        <v>12</v>
      </c>
      <c r="DX470" s="20">
        <v>3</v>
      </c>
      <c r="DY470" s="21">
        <v>3</v>
      </c>
      <c r="DZ470" s="22">
        <v>4</v>
      </c>
      <c r="EA470" s="23">
        <v>5</v>
      </c>
      <c r="EB470" s="7">
        <v>5</v>
      </c>
      <c r="EE470" s="9" t="s">
        <v>693</v>
      </c>
      <c r="EF470" s="6" t="s">
        <v>174</v>
      </c>
      <c r="EG470" s="6" t="s">
        <v>647</v>
      </c>
      <c r="EH470" s="6" t="s">
        <v>361</v>
      </c>
      <c r="EI470" s="6" t="s">
        <v>463</v>
      </c>
      <c r="EJ470" s="12">
        <v>300</v>
      </c>
      <c r="EL470" s="6"/>
      <c r="EM470" s="12"/>
      <c r="EN470" s="12" t="s">
        <v>1135</v>
      </c>
      <c r="ET470" s="6" t="str">
        <f t="shared" si="241"/>
        <v>짝수</v>
      </c>
      <c r="EU470" s="12">
        <v>108</v>
      </c>
      <c r="EV470" s="45" t="str">
        <f ca="1">IF(EU470=OFFSET(EU470,-1,0),CHAR(EW465+1),"A")</f>
        <v>C</v>
      </c>
      <c r="EW470" s="6">
        <f t="shared" ca="1" si="242"/>
        <v>67</v>
      </c>
      <c r="FO470" s="6"/>
      <c r="FP470" s="11"/>
      <c r="FR470" s="6">
        <v>1</v>
      </c>
      <c r="FS470" s="6" t="str">
        <f t="shared" si="243"/>
        <v/>
      </c>
      <c r="FT470" s="6" t="str">
        <f t="shared" si="244"/>
        <v/>
      </c>
      <c r="FU470" s="6" t="str">
        <f t="shared" ca="1" si="251"/>
        <v/>
      </c>
      <c r="FV470" s="6" t="str">
        <f t="shared" ca="1" si="245"/>
        <v/>
      </c>
      <c r="FW470" s="6" t="str">
        <f t="shared" ca="1" si="246"/>
        <v/>
      </c>
      <c r="FX470" s="6" t="str">
        <f t="shared" ca="1" si="247"/>
        <v/>
      </c>
      <c r="FY470" s="6" t="str">
        <f t="shared" ca="1" si="248"/>
        <v/>
      </c>
      <c r="FZ470" s="6" t="str">
        <f t="shared" ca="1" si="249"/>
        <v/>
      </c>
    </row>
    <row r="471" spans="1:182" ht="15.95" customHeight="1">
      <c r="A471" s="6">
        <v>1284</v>
      </c>
      <c r="B471" s="6" t="s">
        <v>694</v>
      </c>
      <c r="E471" s="6" t="s">
        <v>640</v>
      </c>
      <c r="F471" s="6" t="s">
        <v>1754</v>
      </c>
      <c r="G471" s="6" t="s">
        <v>1218</v>
      </c>
      <c r="H471" s="7" t="s">
        <v>1219</v>
      </c>
      <c r="I471" s="7"/>
      <c r="J471" s="6" t="s">
        <v>1199</v>
      </c>
      <c r="K471" s="6" t="s">
        <v>1201</v>
      </c>
      <c r="N471" s="6" t="s">
        <v>1203</v>
      </c>
      <c r="O471" s="6" t="s">
        <v>1205</v>
      </c>
      <c r="R471" s="101" t="s">
        <v>1220</v>
      </c>
      <c r="Y471" s="6" t="s">
        <v>1740</v>
      </c>
      <c r="Z471" s="6">
        <v>9</v>
      </c>
      <c r="AA471" s="6">
        <v>10</v>
      </c>
      <c r="AD471" s="6" t="s">
        <v>1203</v>
      </c>
      <c r="AE471" s="6" t="s">
        <v>1205</v>
      </c>
      <c r="AG471" s="6" t="s">
        <v>1741</v>
      </c>
      <c r="AY471" s="8" t="s">
        <v>176</v>
      </c>
      <c r="AZ471" s="8" t="s">
        <v>195</v>
      </c>
      <c r="BA471" s="13" t="s">
        <v>198</v>
      </c>
      <c r="BB471" s="13" t="s">
        <v>7</v>
      </c>
      <c r="BC471" s="13">
        <v>41</v>
      </c>
      <c r="BD471" s="13">
        <v>42</v>
      </c>
      <c r="DC471" s="6" t="s">
        <v>169</v>
      </c>
      <c r="DD471" s="6" t="s">
        <v>190</v>
      </c>
      <c r="DH471" s="6" t="str">
        <f>"A"&amp;EA471</f>
        <v>A4</v>
      </c>
      <c r="DI471" s="6" t="str">
        <f>"B"&amp;EA471</f>
        <v>B4</v>
      </c>
      <c r="DK471" s="6" t="s">
        <v>173</v>
      </c>
      <c r="DL471" s="6" t="str">
        <f>IF(DZ471&lt;&gt;"","CN2","")</f>
        <v/>
      </c>
      <c r="DO471" s="9" t="s">
        <v>170</v>
      </c>
      <c r="DP471" s="6" t="s">
        <v>171</v>
      </c>
      <c r="DQ471" s="6" t="s">
        <v>1013</v>
      </c>
      <c r="DS471" s="6" t="str">
        <f>IF(MID(EF471,2,1)="A","KS1","AKB331")</f>
        <v>KS1</v>
      </c>
      <c r="DT471" s="10" t="str">
        <f>DQ471&amp;"-"&amp;DX471&amp;"-"&amp;DY471&amp;"/"&amp;BA471&amp;"-"&amp;DD471&amp;"-"&amp;DK471</f>
        <v>FCS0112-5-1/1S–MC–108-R4-CN1</v>
      </c>
      <c r="DU471" s="6" t="str">
        <f>IF(DL471="","",DQ471&amp;"-"&amp;DX471&amp;"-"&amp;DY471&amp;"/"&amp;BA471&amp;"-"&amp;DD471&amp;"-"&amp;DL471)</f>
        <v/>
      </c>
      <c r="DV471" s="12"/>
      <c r="DW471" s="20" t="str">
        <f>RIGHT(DQ471,2)</f>
        <v>12</v>
      </c>
      <c r="DX471" s="20">
        <v>5</v>
      </c>
      <c r="DY471" s="21">
        <v>1</v>
      </c>
      <c r="DZ471" s="22" t="s">
        <v>204</v>
      </c>
      <c r="EA471" s="23">
        <v>4</v>
      </c>
      <c r="EB471" s="6">
        <v>4</v>
      </c>
      <c r="EC471" s="6">
        <v>1</v>
      </c>
      <c r="EE471" s="9" t="s">
        <v>693</v>
      </c>
      <c r="EF471" s="6" t="s">
        <v>172</v>
      </c>
      <c r="EG471" s="6" t="s">
        <v>672</v>
      </c>
      <c r="EH471" s="6" t="s">
        <v>366</v>
      </c>
      <c r="EI471" s="6" t="s">
        <v>199</v>
      </c>
      <c r="EJ471" s="12">
        <v>24</v>
      </c>
      <c r="EL471" s="6"/>
      <c r="EM471" s="12"/>
      <c r="EN471" s="12" t="s">
        <v>1100</v>
      </c>
      <c r="EO471" s="6" t="s">
        <v>1099</v>
      </c>
      <c r="EP471" s="6" t="s">
        <v>1145</v>
      </c>
      <c r="ER471" s="6" t="str">
        <f>"PY"&amp;MID(E474,3,6)</f>
        <v>PY53027</v>
      </c>
      <c r="ET471" s="6" t="str">
        <f t="shared" si="241"/>
        <v>홀수</v>
      </c>
      <c r="EU471" s="12">
        <v>109</v>
      </c>
      <c r="EV471" s="45" t="str">
        <f t="shared" ca="1" si="250"/>
        <v>A</v>
      </c>
      <c r="EW471" s="6">
        <f t="shared" ca="1" si="242"/>
        <v>65</v>
      </c>
      <c r="FO471" s="6"/>
      <c r="FP471" s="11"/>
      <c r="FR471" s="6">
        <v>1</v>
      </c>
      <c r="FS471" s="6" t="str">
        <f t="shared" si="243"/>
        <v/>
      </c>
      <c r="FT471" s="6" t="str">
        <f t="shared" si="244"/>
        <v/>
      </c>
      <c r="FU471" s="6" t="str">
        <f t="shared" ca="1" si="251"/>
        <v/>
      </c>
      <c r="FV471" s="6" t="str">
        <f t="shared" ca="1" si="245"/>
        <v/>
      </c>
      <c r="FW471" s="6" t="str">
        <f t="shared" ca="1" si="246"/>
        <v/>
      </c>
      <c r="FX471" s="6" t="str">
        <f t="shared" ca="1" si="247"/>
        <v/>
      </c>
      <c r="FY471" s="6" t="str">
        <f t="shared" ca="1" si="248"/>
        <v/>
      </c>
      <c r="FZ471" s="6" t="str">
        <f t="shared" ca="1" si="249"/>
        <v/>
      </c>
    </row>
    <row r="472" spans="1:182" ht="15.95" customHeight="1">
      <c r="A472" s="6">
        <v>827</v>
      </c>
      <c r="B472" s="6" t="s">
        <v>780</v>
      </c>
      <c r="E472" s="6" t="s">
        <v>626</v>
      </c>
      <c r="F472" s="6" t="s">
        <v>1755</v>
      </c>
      <c r="G472" s="6" t="s">
        <v>1218</v>
      </c>
      <c r="H472" s="7" t="s">
        <v>1219</v>
      </c>
      <c r="I472" s="7"/>
      <c r="J472" s="6" t="s">
        <v>1199</v>
      </c>
      <c r="K472" s="6" t="s">
        <v>1201</v>
      </c>
      <c r="N472" s="6" t="s">
        <v>1203</v>
      </c>
      <c r="O472" s="6" t="s">
        <v>1205</v>
      </c>
      <c r="R472" s="101" t="s">
        <v>1220</v>
      </c>
      <c r="Y472" s="6" t="s">
        <v>1740</v>
      </c>
      <c r="Z472" s="6">
        <v>1</v>
      </c>
      <c r="AA472" s="6">
        <v>2</v>
      </c>
      <c r="AD472" s="6" t="s">
        <v>1203</v>
      </c>
      <c r="AE472" s="6" t="s">
        <v>1205</v>
      </c>
      <c r="AG472" s="6" t="s">
        <v>1741</v>
      </c>
      <c r="AY472" s="8" t="s">
        <v>176</v>
      </c>
      <c r="AZ472" s="8" t="s">
        <v>195</v>
      </c>
      <c r="BA472" s="13" t="s">
        <v>198</v>
      </c>
      <c r="BB472" s="13" t="s">
        <v>7</v>
      </c>
      <c r="BC472" s="13">
        <v>33</v>
      </c>
      <c r="BD472" s="13">
        <v>34</v>
      </c>
      <c r="DC472" s="6" t="s">
        <v>169</v>
      </c>
      <c r="DD472" s="6" t="s">
        <v>177</v>
      </c>
      <c r="DH472" s="6" t="str">
        <f>"A"&amp;EA472</f>
        <v>A11</v>
      </c>
      <c r="DI472" s="6" t="str">
        <f>"B"&amp;EA472</f>
        <v>B11</v>
      </c>
      <c r="DK472" s="6" t="s">
        <v>173</v>
      </c>
      <c r="DL472" s="6" t="str">
        <f>IF(DZ472&lt;&gt;"","CN2","")</f>
        <v>CN2</v>
      </c>
      <c r="DO472" s="9" t="s">
        <v>170</v>
      </c>
      <c r="DP472" s="6" t="s">
        <v>171</v>
      </c>
      <c r="DQ472" s="6" t="s">
        <v>1013</v>
      </c>
      <c r="DR472" s="6" t="e">
        <f>#REF!&amp;RIGHT(#REF!,3)</f>
        <v>#REF!</v>
      </c>
      <c r="DS472" s="6" t="str">
        <f>IF(MID(EF472,2,1)="A","KS1","AKB331")</f>
        <v>KS1</v>
      </c>
      <c r="DT472" s="10" t="str">
        <f>DQ472&amp;"-"&amp;DX472&amp;"-"&amp;DY472&amp;"/"&amp;BA472&amp;"-"&amp;DD472&amp;"-"&amp;DK472</f>
        <v>FCS0112-1-1/1S–MC–108-F1-CN1</v>
      </c>
      <c r="DU472" s="6" t="str">
        <f>IF(DL472="","",DQ472&amp;"-"&amp;DX472&amp;"-"&amp;DY472&amp;"/"&amp;BA472&amp;"-"&amp;DD472&amp;"-"&amp;DL472)</f>
        <v>FCS0112-1-1/1S–MC–108-F1-CN2</v>
      </c>
      <c r="DV472" s="19">
        <v>1</v>
      </c>
      <c r="DW472" s="20" t="str">
        <f>RIGHT(DQ472,2)</f>
        <v>12</v>
      </c>
      <c r="DX472" s="20">
        <v>1</v>
      </c>
      <c r="DY472" s="21">
        <v>1</v>
      </c>
      <c r="DZ472" s="22">
        <v>2</v>
      </c>
      <c r="EA472" s="23">
        <v>11</v>
      </c>
      <c r="EB472" s="7">
        <v>27</v>
      </c>
      <c r="EE472" s="9" t="s">
        <v>778</v>
      </c>
      <c r="EF472" s="6" t="s">
        <v>172</v>
      </c>
      <c r="EG472" s="6" t="s">
        <v>647</v>
      </c>
      <c r="EH472" s="6" t="s">
        <v>362</v>
      </c>
      <c r="EI472" s="6" t="s">
        <v>199</v>
      </c>
      <c r="EJ472" s="12">
        <v>24</v>
      </c>
      <c r="EL472" s="6"/>
      <c r="EM472" s="12"/>
      <c r="EN472" s="12" t="s">
        <v>1100</v>
      </c>
      <c r="EP472" s="6" t="s">
        <v>1159</v>
      </c>
      <c r="ET472" s="6" t="str">
        <f t="shared" si="241"/>
        <v>홀수</v>
      </c>
      <c r="EU472" s="12">
        <v>109</v>
      </c>
      <c r="EV472" s="45" t="str">
        <f t="shared" ca="1" si="250"/>
        <v>B</v>
      </c>
      <c r="EW472" s="6">
        <f t="shared" ca="1" si="242"/>
        <v>66</v>
      </c>
      <c r="FO472" s="6"/>
      <c r="FP472" s="11"/>
      <c r="FR472" s="6">
        <v>1</v>
      </c>
      <c r="FS472" s="6" t="str">
        <f t="shared" si="243"/>
        <v/>
      </c>
      <c r="FT472" s="6" t="str">
        <f t="shared" si="244"/>
        <v/>
      </c>
      <c r="FU472" s="6" t="str">
        <f t="shared" ca="1" si="251"/>
        <v/>
      </c>
      <c r="FV472" s="6" t="str">
        <f t="shared" ca="1" si="245"/>
        <v/>
      </c>
      <c r="FW472" s="6" t="str">
        <f t="shared" ca="1" si="246"/>
        <v/>
      </c>
      <c r="FX472" s="6" t="str">
        <f t="shared" ca="1" si="247"/>
        <v/>
      </c>
      <c r="FY472" s="6" t="str">
        <f t="shared" ca="1" si="248"/>
        <v/>
      </c>
      <c r="FZ472" s="6" t="str">
        <f t="shared" ca="1" si="249"/>
        <v/>
      </c>
    </row>
    <row r="473" spans="1:182" ht="15.95" customHeight="1">
      <c r="A473" s="6">
        <v>1062</v>
      </c>
      <c r="B473" s="6" t="s">
        <v>694</v>
      </c>
      <c r="E473" s="6" t="s">
        <v>634</v>
      </c>
      <c r="F473" s="6" t="s">
        <v>1756</v>
      </c>
      <c r="G473" s="6" t="s">
        <v>1226</v>
      </c>
      <c r="H473" s="7" t="s">
        <v>1227</v>
      </c>
      <c r="I473" s="7"/>
      <c r="J473" s="6" t="s">
        <v>1199</v>
      </c>
      <c r="K473" s="6" t="s">
        <v>1201</v>
      </c>
      <c r="N473" s="6" t="s">
        <v>1203</v>
      </c>
      <c r="O473" s="6" t="s">
        <v>1205</v>
      </c>
      <c r="R473" s="101" t="s">
        <v>1220</v>
      </c>
      <c r="Y473" s="6" t="s">
        <v>1744</v>
      </c>
      <c r="Z473" s="6">
        <v>11</v>
      </c>
      <c r="AA473" s="6">
        <v>12</v>
      </c>
      <c r="AD473" s="6" t="s">
        <v>1203</v>
      </c>
      <c r="AE473" s="6" t="s">
        <v>1205</v>
      </c>
      <c r="AG473" s="6" t="s">
        <v>1745</v>
      </c>
      <c r="AY473" s="8" t="s">
        <v>176</v>
      </c>
      <c r="AZ473" s="8" t="s">
        <v>195</v>
      </c>
      <c r="BA473" s="13" t="s">
        <v>198</v>
      </c>
      <c r="BB473" s="13" t="s">
        <v>7</v>
      </c>
      <c r="BC473" s="13">
        <v>59</v>
      </c>
      <c r="BD473" s="13">
        <v>60</v>
      </c>
      <c r="DC473" s="6" t="s">
        <v>169</v>
      </c>
      <c r="DD473" s="6" t="s">
        <v>202</v>
      </c>
      <c r="DH473" s="6" t="str">
        <f>"A"&amp;EA473</f>
        <v>A6</v>
      </c>
      <c r="DI473" s="6" t="str">
        <f>"B"&amp;EA473</f>
        <v>B6</v>
      </c>
      <c r="DK473" s="6" t="s">
        <v>173</v>
      </c>
      <c r="DL473" s="6" t="str">
        <f>IF(DZ473&lt;&gt;"","CN2","")</f>
        <v>CN2</v>
      </c>
      <c r="DO473" s="9" t="s">
        <v>170</v>
      </c>
      <c r="DP473" s="6" t="s">
        <v>171</v>
      </c>
      <c r="DQ473" s="6" t="s">
        <v>1013</v>
      </c>
      <c r="DR473" s="6" t="e">
        <f>#REF!&amp;RIGHT(#REF!,3)</f>
        <v>#REF!</v>
      </c>
      <c r="DS473" s="6" t="str">
        <f>IF(MID(EF473,2,1)="A","KS1","AKB331")</f>
        <v>KS1</v>
      </c>
      <c r="DT473" s="10" t="str">
        <f>DQ473&amp;"-"&amp;DX473&amp;"-"&amp;DY473&amp;"/"&amp;BA473&amp;"-"&amp;DD473&amp;"-"&amp;DK473</f>
        <v>FCS0112-3-3/1S–MC–108-F3-CN1</v>
      </c>
      <c r="DU473" s="6" t="str">
        <f>IF(DL473="","",DQ473&amp;"-"&amp;DX473&amp;"-"&amp;DY473&amp;"/"&amp;BA473&amp;"-"&amp;DD473&amp;"-"&amp;DL473)</f>
        <v>FCS0112-3-3/1S–MC–108-F3-CN2</v>
      </c>
      <c r="DV473" s="19">
        <v>1</v>
      </c>
      <c r="DW473" s="20" t="str">
        <f>RIGHT(DQ473,2)</f>
        <v>12</v>
      </c>
      <c r="DX473" s="20">
        <v>3</v>
      </c>
      <c r="DY473" s="21">
        <v>3</v>
      </c>
      <c r="DZ473" s="22">
        <v>4</v>
      </c>
      <c r="EA473" s="23">
        <v>6</v>
      </c>
      <c r="EB473" s="7">
        <v>6</v>
      </c>
      <c r="EE473" s="9" t="s">
        <v>693</v>
      </c>
      <c r="EF473" s="6" t="s">
        <v>174</v>
      </c>
      <c r="EG473" s="6" t="s">
        <v>647</v>
      </c>
      <c r="EH473" s="6" t="s">
        <v>362</v>
      </c>
      <c r="EI473" s="6" t="s">
        <v>464</v>
      </c>
      <c r="EJ473" s="12">
        <v>24</v>
      </c>
      <c r="EL473" s="6"/>
      <c r="EM473" s="12"/>
      <c r="EN473" s="6" t="s">
        <v>1135</v>
      </c>
      <c r="EP473" s="6" t="s">
        <v>1151</v>
      </c>
      <c r="ET473" s="6" t="str">
        <f t="shared" si="241"/>
        <v>홀수</v>
      </c>
      <c r="EU473" s="12">
        <v>109</v>
      </c>
      <c r="EV473" s="45" t="str">
        <f t="shared" ca="1" si="250"/>
        <v>C</v>
      </c>
      <c r="EW473" s="6">
        <f t="shared" ca="1" si="242"/>
        <v>67</v>
      </c>
      <c r="FO473" s="6"/>
      <c r="FP473" s="11"/>
      <c r="FR473" s="6">
        <v>1</v>
      </c>
      <c r="FS473" s="6" t="str">
        <f t="shared" si="243"/>
        <v/>
      </c>
      <c r="FT473" s="6" t="str">
        <f t="shared" si="244"/>
        <v/>
      </c>
      <c r="FU473" s="6" t="str">
        <f t="shared" ca="1" si="251"/>
        <v/>
      </c>
      <c r="FV473" s="6" t="str">
        <f t="shared" ca="1" si="245"/>
        <v/>
      </c>
      <c r="FW473" s="6" t="str">
        <f t="shared" ca="1" si="246"/>
        <v/>
      </c>
      <c r="FX473" s="6" t="str">
        <f t="shared" ca="1" si="247"/>
        <v/>
      </c>
      <c r="FY473" s="6" t="str">
        <f t="shared" ca="1" si="248"/>
        <v/>
      </c>
      <c r="FZ473" s="6" t="str">
        <f t="shared" ca="1" si="249"/>
        <v/>
      </c>
    </row>
    <row r="474" spans="1:182" ht="15.95" customHeight="1">
      <c r="A474" s="6">
        <v>1063</v>
      </c>
      <c r="B474" s="6" t="s">
        <v>694</v>
      </c>
      <c r="E474" s="6" t="s">
        <v>635</v>
      </c>
      <c r="F474" s="6" t="s">
        <v>1757</v>
      </c>
      <c r="G474" s="6" t="s">
        <v>1226</v>
      </c>
      <c r="H474" s="7" t="s">
        <v>1227</v>
      </c>
      <c r="I474" s="7"/>
      <c r="J474" s="6" t="s">
        <v>1199</v>
      </c>
      <c r="K474" s="6" t="s">
        <v>1201</v>
      </c>
      <c r="N474" s="6" t="s">
        <v>1203</v>
      </c>
      <c r="O474" s="6" t="s">
        <v>1205</v>
      </c>
      <c r="R474" s="101" t="s">
        <v>1220</v>
      </c>
      <c r="Y474" s="6" t="s">
        <v>1740</v>
      </c>
      <c r="Z474" s="6">
        <v>3</v>
      </c>
      <c r="AA474" s="6">
        <v>4</v>
      </c>
      <c r="AD474" s="6" t="s">
        <v>1203</v>
      </c>
      <c r="AE474" s="6" t="s">
        <v>1205</v>
      </c>
      <c r="AG474" s="6" t="s">
        <v>1741</v>
      </c>
      <c r="AY474" s="8" t="s">
        <v>176</v>
      </c>
      <c r="AZ474" s="8" t="s">
        <v>195</v>
      </c>
      <c r="BA474" s="13" t="s">
        <v>198</v>
      </c>
      <c r="BB474" s="13" t="s">
        <v>7</v>
      </c>
      <c r="BC474" s="13">
        <v>35</v>
      </c>
      <c r="BD474" s="13">
        <v>36</v>
      </c>
      <c r="DC474" s="6" t="s">
        <v>169</v>
      </c>
      <c r="DD474" s="6" t="s">
        <v>202</v>
      </c>
      <c r="DH474" s="6" t="str">
        <f>"A"&amp;EA474</f>
        <v>A7</v>
      </c>
      <c r="DI474" s="6" t="str">
        <f>"B"&amp;EA474</f>
        <v>B7</v>
      </c>
      <c r="DK474" s="6" t="s">
        <v>173</v>
      </c>
      <c r="DL474" s="6" t="str">
        <f>IF(DZ474&lt;&gt;"","CN2","")</f>
        <v>CN2</v>
      </c>
      <c r="DO474" s="9" t="s">
        <v>170</v>
      </c>
      <c r="DP474" s="6" t="s">
        <v>171</v>
      </c>
      <c r="DQ474" s="6" t="s">
        <v>1013</v>
      </c>
      <c r="DR474" s="6" t="e">
        <f>#REF!&amp;RIGHT(#REF!,3)</f>
        <v>#REF!</v>
      </c>
      <c r="DS474" s="6" t="str">
        <f>IF(MID(EF474,2,1)="A","KS1","AKB331")</f>
        <v>KS1</v>
      </c>
      <c r="DT474" s="10" t="str">
        <f>DQ474&amp;"-"&amp;DX474&amp;"-"&amp;DY474&amp;"/"&amp;BA474&amp;"-"&amp;DD474&amp;"-"&amp;DK474</f>
        <v>FCS0112-3-3/1S–MC–108-F3-CN1</v>
      </c>
      <c r="DU474" s="6" t="str">
        <f>IF(DL474="","",DQ474&amp;"-"&amp;DX474&amp;"-"&amp;DY474&amp;"/"&amp;BA474&amp;"-"&amp;DD474&amp;"-"&amp;DL474)</f>
        <v>FCS0112-3-3/1S–MC–108-F3-CN2</v>
      </c>
      <c r="DV474" s="19">
        <v>1</v>
      </c>
      <c r="DW474" s="20" t="str">
        <f>RIGHT(DQ474,2)</f>
        <v>12</v>
      </c>
      <c r="DX474" s="20">
        <v>3</v>
      </c>
      <c r="DY474" s="21">
        <v>3</v>
      </c>
      <c r="DZ474" s="22">
        <v>4</v>
      </c>
      <c r="EA474" s="23">
        <v>7</v>
      </c>
      <c r="EB474" s="7">
        <v>7</v>
      </c>
      <c r="EE474" s="9" t="s">
        <v>693</v>
      </c>
      <c r="EF474" s="6" t="s">
        <v>174</v>
      </c>
      <c r="EG474" s="6" t="s">
        <v>647</v>
      </c>
      <c r="EH474" s="6" t="s">
        <v>366</v>
      </c>
      <c r="EI474" s="6" t="s">
        <v>462</v>
      </c>
      <c r="EJ474" s="12">
        <v>24</v>
      </c>
      <c r="EL474" s="6"/>
      <c r="EM474" s="12"/>
      <c r="EN474" s="6" t="s">
        <v>1135</v>
      </c>
      <c r="ET474" s="6" t="str">
        <f t="shared" si="241"/>
        <v>홀수</v>
      </c>
      <c r="EU474" s="12">
        <v>109</v>
      </c>
      <c r="EV474" s="45" t="str">
        <f t="shared" ca="1" si="250"/>
        <v>D</v>
      </c>
      <c r="EW474" s="6">
        <f t="shared" ca="1" si="242"/>
        <v>68</v>
      </c>
      <c r="FO474" s="6"/>
      <c r="FP474" s="11"/>
      <c r="FR474" s="6">
        <v>1</v>
      </c>
      <c r="FS474" s="6" t="str">
        <f t="shared" si="243"/>
        <v/>
      </c>
      <c r="FT474" s="6" t="str">
        <f t="shared" si="244"/>
        <v/>
      </c>
      <c r="FU474" s="6" t="str">
        <f t="shared" ca="1" si="251"/>
        <v/>
      </c>
      <c r="FV474" s="6" t="str">
        <f t="shared" ca="1" si="245"/>
        <v/>
      </c>
      <c r="FW474" s="6" t="str">
        <f t="shared" ca="1" si="246"/>
        <v/>
      </c>
      <c r="FX474" s="6" t="str">
        <f t="shared" ca="1" si="247"/>
        <v/>
      </c>
      <c r="FY474" s="6" t="str">
        <f t="shared" ca="1" si="248"/>
        <v/>
      </c>
      <c r="FZ474" s="6" t="str">
        <f t="shared" ca="1" si="249"/>
        <v/>
      </c>
    </row>
    <row r="475" spans="1:182" ht="15.95" customHeight="1">
      <c r="A475" s="6">
        <v>828</v>
      </c>
      <c r="B475" s="6" t="s">
        <v>780</v>
      </c>
      <c r="E475" s="6" t="s">
        <v>627</v>
      </c>
      <c r="F475" s="6" t="s">
        <v>1758</v>
      </c>
      <c r="G475" s="6" t="s">
        <v>1218</v>
      </c>
      <c r="H475" s="7" t="s">
        <v>1219</v>
      </c>
      <c r="I475" s="7"/>
      <c r="J475" s="6" t="s">
        <v>1199</v>
      </c>
      <c r="K475" s="6" t="s">
        <v>1201</v>
      </c>
      <c r="N475" s="6" t="s">
        <v>1203</v>
      </c>
      <c r="O475" s="6" t="s">
        <v>1205</v>
      </c>
      <c r="R475" s="101" t="s">
        <v>1220</v>
      </c>
      <c r="Y475" s="6" t="s">
        <v>1740</v>
      </c>
      <c r="Z475" s="6">
        <v>5</v>
      </c>
      <c r="AA475" s="6">
        <v>6</v>
      </c>
      <c r="AD475" s="6" t="s">
        <v>1203</v>
      </c>
      <c r="AE475" s="6" t="s">
        <v>1205</v>
      </c>
      <c r="AG475" s="6" t="s">
        <v>1741</v>
      </c>
      <c r="AY475" s="8" t="s">
        <v>176</v>
      </c>
      <c r="AZ475" s="8" t="s">
        <v>195</v>
      </c>
      <c r="BA475" s="13" t="s">
        <v>198</v>
      </c>
      <c r="BB475" s="13" t="s">
        <v>7</v>
      </c>
      <c r="BC475" s="13">
        <v>37</v>
      </c>
      <c r="BD475" s="13">
        <v>38</v>
      </c>
      <c r="DC475" s="6" t="s">
        <v>169</v>
      </c>
      <c r="DD475" s="6" t="s">
        <v>177</v>
      </c>
      <c r="DH475" s="6" t="str">
        <f>"A"&amp;EA475</f>
        <v>A12</v>
      </c>
      <c r="DI475" s="6" t="str">
        <f>"B"&amp;EA475</f>
        <v>B12</v>
      </c>
      <c r="DK475" s="6" t="s">
        <v>173</v>
      </c>
      <c r="DL475" s="6" t="str">
        <f>IF(DZ475&lt;&gt;"","CN2","")</f>
        <v>CN2</v>
      </c>
      <c r="DO475" s="9" t="s">
        <v>170</v>
      </c>
      <c r="DP475" s="6" t="s">
        <v>171</v>
      </c>
      <c r="DQ475" s="6" t="s">
        <v>1013</v>
      </c>
      <c r="DR475" s="6" t="e">
        <f>#REF!&amp;RIGHT(#REF!,3)</f>
        <v>#REF!</v>
      </c>
      <c r="DS475" s="6" t="str">
        <f>IF(MID(EF475,2,1)="A","KS1","AKB331")</f>
        <v>KS1</v>
      </c>
      <c r="DT475" s="10" t="str">
        <f>DQ475&amp;"-"&amp;DX475&amp;"-"&amp;DY475&amp;"/"&amp;BA475&amp;"-"&amp;DD475&amp;"-"&amp;DK475</f>
        <v>FCS0112-1-1/1S–MC–108-F1-CN1</v>
      </c>
      <c r="DU475" s="6" t="str">
        <f>IF(DL475="","",DQ475&amp;"-"&amp;DX475&amp;"-"&amp;DY475&amp;"/"&amp;BA475&amp;"-"&amp;DD475&amp;"-"&amp;DL475)</f>
        <v>FCS0112-1-1/1S–MC–108-F1-CN2</v>
      </c>
      <c r="DV475" s="19">
        <v>1</v>
      </c>
      <c r="DW475" s="20" t="str">
        <f>RIGHT(DQ475,2)</f>
        <v>12</v>
      </c>
      <c r="DX475" s="20">
        <v>1</v>
      </c>
      <c r="DY475" s="21">
        <v>1</v>
      </c>
      <c r="DZ475" s="22">
        <v>2</v>
      </c>
      <c r="EA475" s="23">
        <v>12</v>
      </c>
      <c r="EB475" s="7">
        <v>28</v>
      </c>
      <c r="EE475" s="9" t="s">
        <v>778</v>
      </c>
      <c r="EF475" s="6" t="s">
        <v>172</v>
      </c>
      <c r="EG475" s="6" t="s">
        <v>647</v>
      </c>
      <c r="EH475" s="6" t="s">
        <v>363</v>
      </c>
      <c r="EI475" s="6" t="s">
        <v>1072</v>
      </c>
      <c r="EJ475" s="12">
        <v>300</v>
      </c>
      <c r="EL475" s="6"/>
      <c r="EM475" s="12"/>
      <c r="EN475" s="12" t="s">
        <v>1135</v>
      </c>
      <c r="EP475" s="6" t="s">
        <v>1147</v>
      </c>
      <c r="ET475" s="6" t="str">
        <f t="shared" si="241"/>
        <v>짝수</v>
      </c>
      <c r="EU475" s="12">
        <v>110</v>
      </c>
      <c r="EV475" s="45" t="str">
        <f t="shared" ca="1" si="250"/>
        <v>A</v>
      </c>
      <c r="EW475" s="6">
        <f t="shared" ca="1" si="242"/>
        <v>65</v>
      </c>
      <c r="FO475" s="6"/>
      <c r="FP475" s="11"/>
      <c r="FR475" s="6">
        <v>1</v>
      </c>
      <c r="FS475" s="6" t="str">
        <f t="shared" si="243"/>
        <v/>
      </c>
      <c r="FT475" s="6" t="str">
        <f t="shared" si="244"/>
        <v/>
      </c>
      <c r="FU475" s="6" t="str">
        <f t="shared" ca="1" si="251"/>
        <v/>
      </c>
      <c r="FV475" s="6" t="str">
        <f t="shared" ca="1" si="245"/>
        <v/>
      </c>
      <c r="FW475" s="6" t="str">
        <f t="shared" ca="1" si="246"/>
        <v/>
      </c>
      <c r="FX475" s="6" t="str">
        <f t="shared" ca="1" si="247"/>
        <v/>
      </c>
      <c r="FY475" s="6" t="str">
        <f t="shared" ca="1" si="248"/>
        <v/>
      </c>
      <c r="FZ475" s="6" t="str">
        <f t="shared" ca="1" si="249"/>
        <v/>
      </c>
    </row>
    <row r="476" spans="1:182" ht="15.95" customHeight="1">
      <c r="A476" s="6">
        <v>1064</v>
      </c>
      <c r="B476" s="6" t="s">
        <v>694</v>
      </c>
      <c r="E476" s="6" t="s">
        <v>636</v>
      </c>
      <c r="F476" s="6" t="s">
        <v>1759</v>
      </c>
      <c r="G476" s="6" t="s">
        <v>1226</v>
      </c>
      <c r="H476" s="7" t="s">
        <v>1227</v>
      </c>
      <c r="I476" s="7"/>
      <c r="J476" s="6" t="s">
        <v>1199</v>
      </c>
      <c r="K476" s="6" t="s">
        <v>1201</v>
      </c>
      <c r="N476" s="6" t="s">
        <v>1203</v>
      </c>
      <c r="O476" s="6" t="s">
        <v>1205</v>
      </c>
      <c r="R476" s="101" t="s">
        <v>1220</v>
      </c>
      <c r="Y476" s="6" t="s">
        <v>1740</v>
      </c>
      <c r="Z476" s="6">
        <v>7</v>
      </c>
      <c r="AA476" s="6">
        <v>8</v>
      </c>
      <c r="AD476" s="6" t="s">
        <v>1203</v>
      </c>
      <c r="AE476" s="6" t="s">
        <v>1205</v>
      </c>
      <c r="AG476" s="6" t="s">
        <v>1741</v>
      </c>
      <c r="AY476" s="8" t="s">
        <v>176</v>
      </c>
      <c r="AZ476" s="8" t="s">
        <v>195</v>
      </c>
      <c r="BA476" s="13" t="s">
        <v>198</v>
      </c>
      <c r="BB476" s="13" t="s">
        <v>7</v>
      </c>
      <c r="BC476" s="13">
        <v>39</v>
      </c>
      <c r="BD476" s="13">
        <v>40</v>
      </c>
      <c r="DC476" s="6" t="s">
        <v>169</v>
      </c>
      <c r="DD476" s="6" t="s">
        <v>202</v>
      </c>
      <c r="DH476" s="6" t="str">
        <f t="shared" si="252"/>
        <v>A8</v>
      </c>
      <c r="DI476" s="6" t="str">
        <f t="shared" si="253"/>
        <v>B8</v>
      </c>
      <c r="DK476" s="6" t="s">
        <v>173</v>
      </c>
      <c r="DL476" s="6" t="str">
        <f t="shared" si="254"/>
        <v>CN2</v>
      </c>
      <c r="DO476" s="9" t="s">
        <v>170</v>
      </c>
      <c r="DP476" s="6" t="s">
        <v>171</v>
      </c>
      <c r="DQ476" s="6" t="s">
        <v>1013</v>
      </c>
      <c r="DR476" s="6" t="e">
        <f>#REF!&amp;RIGHT(#REF!,3)</f>
        <v>#REF!</v>
      </c>
      <c r="DS476" s="6" t="str">
        <f t="shared" si="255"/>
        <v>KS1</v>
      </c>
      <c r="DT476" s="10" t="str">
        <f t="shared" si="256"/>
        <v>FCS0112-3-3/1S–MC–108-F3-CN1</v>
      </c>
      <c r="DU476" s="6" t="str">
        <f t="shared" si="257"/>
        <v>FCS0112-3-3/1S–MC–108-F3-CN2</v>
      </c>
      <c r="DV476" s="19">
        <v>1</v>
      </c>
      <c r="DW476" s="20" t="str">
        <f t="shared" si="258"/>
        <v>12</v>
      </c>
      <c r="DX476" s="20">
        <v>3</v>
      </c>
      <c r="DY476" s="21">
        <v>3</v>
      </c>
      <c r="DZ476" s="22">
        <v>4</v>
      </c>
      <c r="EA476" s="23">
        <v>8</v>
      </c>
      <c r="EB476" s="7">
        <v>8</v>
      </c>
      <c r="EE476" s="9" t="s">
        <v>693</v>
      </c>
      <c r="EF476" s="6" t="s">
        <v>174</v>
      </c>
      <c r="EG476" s="6" t="s">
        <v>647</v>
      </c>
      <c r="EH476" s="6" t="s">
        <v>363</v>
      </c>
      <c r="EI476" s="6" t="s">
        <v>465</v>
      </c>
      <c r="EJ476" s="12">
        <v>300</v>
      </c>
      <c r="EL476" s="6"/>
      <c r="EM476" s="12"/>
      <c r="EN476" s="12" t="s">
        <v>1135</v>
      </c>
      <c r="ET476" s="6" t="str">
        <f t="shared" si="241"/>
        <v>짝수</v>
      </c>
      <c r="EU476" s="12">
        <v>110</v>
      </c>
      <c r="EV476" s="45" t="str">
        <f t="shared" ca="1" si="250"/>
        <v>B</v>
      </c>
      <c r="EW476" s="6">
        <f t="shared" ca="1" si="242"/>
        <v>66</v>
      </c>
      <c r="FO476" s="6"/>
      <c r="FP476" s="11"/>
      <c r="FR476" s="6">
        <v>1</v>
      </c>
      <c r="FS476" s="6" t="str">
        <f t="shared" si="243"/>
        <v/>
      </c>
      <c r="FT476" s="6" t="str">
        <f t="shared" si="244"/>
        <v/>
      </c>
      <c r="FU476" s="6" t="str">
        <f t="shared" ca="1" si="251"/>
        <v/>
      </c>
      <c r="FV476" s="6" t="str">
        <f t="shared" ca="1" si="245"/>
        <v/>
      </c>
      <c r="FW476" s="6" t="str">
        <f t="shared" ca="1" si="246"/>
        <v/>
      </c>
      <c r="FX476" s="6" t="str">
        <f t="shared" ca="1" si="247"/>
        <v/>
      </c>
      <c r="FY476" s="6" t="str">
        <f t="shared" ca="1" si="248"/>
        <v/>
      </c>
      <c r="FZ476" s="6" t="str">
        <f t="shared" ca="1" si="249"/>
        <v/>
      </c>
    </row>
    <row r="477" spans="1:182" ht="15.95" customHeight="1">
      <c r="A477" s="6">
        <v>829</v>
      </c>
      <c r="B477" s="6" t="s">
        <v>780</v>
      </c>
      <c r="E477" s="6" t="s">
        <v>628</v>
      </c>
      <c r="F477" s="6" t="s">
        <v>1760</v>
      </c>
      <c r="G477" s="6" t="s">
        <v>1218</v>
      </c>
      <c r="H477" s="7" t="s">
        <v>1219</v>
      </c>
      <c r="I477" s="7"/>
      <c r="J477" s="6" t="s">
        <v>1199</v>
      </c>
      <c r="K477" s="6" t="s">
        <v>1201</v>
      </c>
      <c r="N477" s="6" t="s">
        <v>1203</v>
      </c>
      <c r="O477" s="6" t="s">
        <v>1205</v>
      </c>
      <c r="R477" s="101" t="s">
        <v>1220</v>
      </c>
      <c r="Y477" s="6" t="s">
        <v>1740</v>
      </c>
      <c r="Z477" s="6">
        <v>11</v>
      </c>
      <c r="AA477" s="6">
        <v>12</v>
      </c>
      <c r="AD477" s="6" t="s">
        <v>1203</v>
      </c>
      <c r="AE477" s="6" t="s">
        <v>1205</v>
      </c>
      <c r="AG477" s="6" t="s">
        <v>1741</v>
      </c>
      <c r="AY477" s="8" t="s">
        <v>176</v>
      </c>
      <c r="AZ477" s="8" t="s">
        <v>195</v>
      </c>
      <c r="BA477" s="13" t="s">
        <v>198</v>
      </c>
      <c r="BB477" s="13" t="s">
        <v>7</v>
      </c>
      <c r="BC477" s="13">
        <v>43</v>
      </c>
      <c r="BD477" s="13">
        <v>44</v>
      </c>
      <c r="DC477" s="6" t="s">
        <v>169</v>
      </c>
      <c r="DD477" s="6" t="s">
        <v>177</v>
      </c>
      <c r="DH477" s="6" t="str">
        <f>"A"&amp;EA477</f>
        <v>A13</v>
      </c>
      <c r="DI477" s="6" t="str">
        <f>"B"&amp;EA477</f>
        <v>B13</v>
      </c>
      <c r="DK477" s="6" t="s">
        <v>173</v>
      </c>
      <c r="DL477" s="6" t="str">
        <f>IF(DZ477&lt;&gt;"","CN2","")</f>
        <v>CN2</v>
      </c>
      <c r="DO477" s="9" t="s">
        <v>170</v>
      </c>
      <c r="DP477" s="6" t="s">
        <v>171</v>
      </c>
      <c r="DQ477" s="6" t="s">
        <v>1013</v>
      </c>
      <c r="DR477" s="6" t="e">
        <f>#REF!&amp;RIGHT(#REF!,3)</f>
        <v>#REF!</v>
      </c>
      <c r="DS477" s="6" t="str">
        <f>IF(MID(EF477,2,1)="A","KS1","AKB331")</f>
        <v>KS1</v>
      </c>
      <c r="DT477" s="10" t="str">
        <f>DQ477&amp;"-"&amp;DX477&amp;"-"&amp;DY477&amp;"/"&amp;BA477&amp;"-"&amp;DD477&amp;"-"&amp;DK477</f>
        <v>FCS0112-1-1/1S–MC–108-F1-CN1</v>
      </c>
      <c r="DU477" s="6" t="str">
        <f>IF(DL477="","",DQ477&amp;"-"&amp;DX477&amp;"-"&amp;DY477&amp;"/"&amp;BA477&amp;"-"&amp;DD477&amp;"-"&amp;DL477)</f>
        <v>FCS0112-1-1/1S–MC–108-F1-CN2</v>
      </c>
      <c r="DV477" s="19">
        <v>1</v>
      </c>
      <c r="DW477" s="20" t="str">
        <f>RIGHT(DQ477,2)</f>
        <v>12</v>
      </c>
      <c r="DX477" s="20">
        <v>1</v>
      </c>
      <c r="DY477" s="21">
        <v>1</v>
      </c>
      <c r="DZ477" s="22">
        <v>2</v>
      </c>
      <c r="EA477" s="23">
        <v>13</v>
      </c>
      <c r="EB477" s="7">
        <v>29</v>
      </c>
      <c r="EE477" s="9" t="s">
        <v>778</v>
      </c>
      <c r="EF477" s="6" t="s">
        <v>172</v>
      </c>
      <c r="EG477" s="6" t="s">
        <v>647</v>
      </c>
      <c r="EH477" s="6" t="s">
        <v>364</v>
      </c>
      <c r="EI477" s="6" t="s">
        <v>199</v>
      </c>
      <c r="EJ477" s="12">
        <v>300</v>
      </c>
      <c r="EL477" s="6"/>
      <c r="EM477" s="12"/>
      <c r="EN477" s="12" t="s">
        <v>1135</v>
      </c>
      <c r="EP477" s="6" t="s">
        <v>1147</v>
      </c>
      <c r="ET477" s="6" t="str">
        <f t="shared" si="241"/>
        <v>짝수</v>
      </c>
      <c r="EU477" s="12">
        <v>110</v>
      </c>
      <c r="EV477" s="45" t="str">
        <f t="shared" ca="1" si="250"/>
        <v>C</v>
      </c>
      <c r="EW477" s="6">
        <f t="shared" ca="1" si="242"/>
        <v>67</v>
      </c>
      <c r="FO477" s="6"/>
      <c r="FP477" s="11"/>
      <c r="FR477" s="6">
        <v>1</v>
      </c>
      <c r="FS477" s="6" t="str">
        <f t="shared" si="243"/>
        <v/>
      </c>
      <c r="FT477" s="6" t="str">
        <f t="shared" si="244"/>
        <v/>
      </c>
      <c r="FU477" s="6" t="str">
        <f t="shared" ca="1" si="251"/>
        <v/>
      </c>
      <c r="FV477" s="6" t="str">
        <f t="shared" ca="1" si="245"/>
        <v/>
      </c>
      <c r="FW477" s="6" t="str">
        <f t="shared" ca="1" si="246"/>
        <v/>
      </c>
      <c r="FX477" s="6" t="str">
        <f t="shared" ca="1" si="247"/>
        <v/>
      </c>
      <c r="FY477" s="6" t="str">
        <f t="shared" ca="1" si="248"/>
        <v/>
      </c>
      <c r="FZ477" s="6" t="str">
        <f t="shared" ca="1" si="249"/>
        <v/>
      </c>
    </row>
    <row r="478" spans="1:182" ht="15.95" customHeight="1">
      <c r="A478" s="6">
        <v>1065</v>
      </c>
      <c r="B478" s="6" t="s">
        <v>694</v>
      </c>
      <c r="E478" s="6" t="s">
        <v>1090</v>
      </c>
      <c r="F478" s="6" t="s">
        <v>1761</v>
      </c>
      <c r="G478" s="6" t="s">
        <v>1226</v>
      </c>
      <c r="H478" s="7" t="s">
        <v>1227</v>
      </c>
      <c r="I478" s="7"/>
      <c r="J478" s="6" t="s">
        <v>1199</v>
      </c>
      <c r="K478" s="6" t="s">
        <v>1201</v>
      </c>
      <c r="N478" s="6" t="s">
        <v>1203</v>
      </c>
      <c r="O478" s="6" t="s">
        <v>1205</v>
      </c>
      <c r="R478" s="101" t="s">
        <v>1220</v>
      </c>
      <c r="Y478" s="6" t="s">
        <v>1740</v>
      </c>
      <c r="Z478" s="6">
        <v>13</v>
      </c>
      <c r="AA478" s="6">
        <v>14</v>
      </c>
      <c r="AD478" s="6" t="s">
        <v>1203</v>
      </c>
      <c r="AE478" s="6" t="s">
        <v>1205</v>
      </c>
      <c r="AG478" s="6" t="s">
        <v>1741</v>
      </c>
      <c r="AY478" s="8" t="s">
        <v>176</v>
      </c>
      <c r="AZ478" s="8" t="s">
        <v>195</v>
      </c>
      <c r="BA478" s="13" t="s">
        <v>198</v>
      </c>
      <c r="BB478" s="13" t="s">
        <v>7</v>
      </c>
      <c r="BC478" s="13">
        <v>45</v>
      </c>
      <c r="BD478" s="13">
        <v>46</v>
      </c>
      <c r="DC478" s="6" t="s">
        <v>169</v>
      </c>
      <c r="DD478" s="6" t="s">
        <v>202</v>
      </c>
      <c r="DH478" s="6" t="str">
        <f t="shared" si="252"/>
        <v>A9</v>
      </c>
      <c r="DI478" s="6" t="str">
        <f t="shared" si="253"/>
        <v>B9</v>
      </c>
      <c r="DK478" s="6" t="s">
        <v>173</v>
      </c>
      <c r="DL478" s="6" t="str">
        <f t="shared" si="254"/>
        <v>CN2</v>
      </c>
      <c r="DO478" s="9" t="s">
        <v>170</v>
      </c>
      <c r="DP478" s="6" t="s">
        <v>171</v>
      </c>
      <c r="DQ478" s="6" t="s">
        <v>1013</v>
      </c>
      <c r="DR478" s="6" t="e">
        <f>#REF!&amp;RIGHT(#REF!,3)</f>
        <v>#REF!</v>
      </c>
      <c r="DS478" s="6" t="str">
        <f t="shared" si="255"/>
        <v>KS1</v>
      </c>
      <c r="DT478" s="10" t="str">
        <f t="shared" si="256"/>
        <v>FCS0112-3-3/1S–MC–108-F3-CN1</v>
      </c>
      <c r="DU478" s="6" t="str">
        <f t="shared" si="257"/>
        <v>FCS0112-3-3/1S–MC–108-F3-CN2</v>
      </c>
      <c r="DV478" s="19">
        <v>1</v>
      </c>
      <c r="DW478" s="20" t="str">
        <f t="shared" si="258"/>
        <v>12</v>
      </c>
      <c r="DX478" s="20">
        <v>3</v>
      </c>
      <c r="DY478" s="21">
        <v>3</v>
      </c>
      <c r="DZ478" s="22">
        <v>4</v>
      </c>
      <c r="EA478" s="23">
        <v>9</v>
      </c>
      <c r="EB478" s="7">
        <v>9</v>
      </c>
      <c r="EE478" s="9" t="s">
        <v>693</v>
      </c>
      <c r="EF478" s="6" t="s">
        <v>174</v>
      </c>
      <c r="EG478" s="6" t="s">
        <v>647</v>
      </c>
      <c r="EH478" s="6" t="s">
        <v>364</v>
      </c>
      <c r="EI478" s="6" t="s">
        <v>466</v>
      </c>
      <c r="EJ478" s="12">
        <v>300</v>
      </c>
      <c r="EL478" s="6"/>
      <c r="EM478" s="12"/>
      <c r="EN478" s="12" t="s">
        <v>1135</v>
      </c>
      <c r="ET478" s="6" t="str">
        <f t="shared" si="241"/>
        <v>짝수</v>
      </c>
      <c r="EU478" s="12">
        <v>110</v>
      </c>
      <c r="EV478" s="45" t="str">
        <f t="shared" ca="1" si="250"/>
        <v>D</v>
      </c>
      <c r="EW478" s="6">
        <f t="shared" ca="1" si="242"/>
        <v>68</v>
      </c>
      <c r="FO478" s="6"/>
      <c r="FP478" s="11"/>
      <c r="FR478" s="6">
        <v>1</v>
      </c>
      <c r="FS478" s="6" t="str">
        <f t="shared" si="243"/>
        <v/>
      </c>
      <c r="FT478" s="6" t="str">
        <f t="shared" si="244"/>
        <v/>
      </c>
      <c r="FU478" s="6" t="str">
        <f t="shared" ca="1" si="251"/>
        <v/>
      </c>
      <c r="FV478" s="6" t="str">
        <f t="shared" ca="1" si="245"/>
        <v/>
      </c>
      <c r="FW478" s="6" t="str">
        <f t="shared" ca="1" si="246"/>
        <v/>
      </c>
      <c r="FX478" s="6" t="str">
        <f t="shared" ca="1" si="247"/>
        <v/>
      </c>
      <c r="FY478" s="6" t="str">
        <f t="shared" ca="1" si="248"/>
        <v/>
      </c>
      <c r="FZ478" s="6" t="str">
        <f t="shared" ca="1" si="249"/>
        <v/>
      </c>
    </row>
    <row r="479" spans="1:182" ht="15.95" customHeight="1">
      <c r="A479" s="6">
        <v>832</v>
      </c>
      <c r="B479" s="6" t="s">
        <v>780</v>
      </c>
      <c r="E479" s="13" t="s">
        <v>629</v>
      </c>
      <c r="F479" s="6" t="s">
        <v>1762</v>
      </c>
      <c r="G479" s="6" t="s">
        <v>1218</v>
      </c>
      <c r="H479" s="7" t="s">
        <v>1219</v>
      </c>
      <c r="I479" s="7"/>
      <c r="J479" s="6" t="e">
        <v>#N/A</v>
      </c>
      <c r="K479" s="6" t="e">
        <v>#N/A</v>
      </c>
      <c r="N479" s="6" t="e">
        <v>#N/A</v>
      </c>
      <c r="O479" s="6" t="e">
        <v>#N/A</v>
      </c>
      <c r="R479" s="101" t="e">
        <v>#N/A</v>
      </c>
      <c r="Y479" s="6" t="e">
        <v>#N/A</v>
      </c>
      <c r="Z479" s="6" t="e">
        <v>#N/A</v>
      </c>
      <c r="AA479" s="6" t="e">
        <v>#N/A</v>
      </c>
      <c r="AD479" s="6" t="e">
        <v>#N/A</v>
      </c>
      <c r="AE479" s="6" t="e">
        <v>#N/A</v>
      </c>
      <c r="AG479" s="6" t="e">
        <v>#N/A</v>
      </c>
      <c r="AY479" s="8" t="s">
        <v>176</v>
      </c>
      <c r="AZ479" s="8" t="s">
        <v>195</v>
      </c>
      <c r="BA479" s="13" t="s">
        <v>198</v>
      </c>
      <c r="BB479" s="13" t="s">
        <v>9</v>
      </c>
      <c r="BC479" s="13">
        <v>55</v>
      </c>
      <c r="BD479" s="13">
        <v>56</v>
      </c>
      <c r="DC479" s="6" t="s">
        <v>169</v>
      </c>
      <c r="DD479" s="6" t="s">
        <v>177</v>
      </c>
      <c r="DH479" s="6" t="str">
        <f t="shared" si="238"/>
        <v>A16</v>
      </c>
      <c r="DI479" s="6" t="str">
        <f t="shared" si="239"/>
        <v>B16</v>
      </c>
      <c r="DK479" s="6" t="s">
        <v>173</v>
      </c>
      <c r="DL479" s="6" t="str">
        <f t="shared" si="240"/>
        <v>CN2</v>
      </c>
      <c r="DO479" s="9" t="s">
        <v>170</v>
      </c>
      <c r="DP479" s="6" t="s">
        <v>171</v>
      </c>
      <c r="DQ479" s="6" t="s">
        <v>1013</v>
      </c>
      <c r="DR479" s="6" t="e">
        <f>#REF!&amp;RIGHT(#REF!,3)</f>
        <v>#REF!</v>
      </c>
      <c r="DS479" s="6" t="str">
        <f t="shared" si="234"/>
        <v>KS1</v>
      </c>
      <c r="DT479" s="10" t="str">
        <f t="shared" si="235"/>
        <v>FCS0112-1-1/1S–MC–108-F1-CN1</v>
      </c>
      <c r="DU479" s="6" t="str">
        <f t="shared" si="236"/>
        <v>FCS0112-1-1/1S–MC–108-F1-CN2</v>
      </c>
      <c r="DV479" s="19">
        <v>1</v>
      </c>
      <c r="DW479" s="20" t="str">
        <f t="shared" si="237"/>
        <v>12</v>
      </c>
      <c r="DX479" s="20">
        <v>1</v>
      </c>
      <c r="DY479" s="21">
        <v>1</v>
      </c>
      <c r="DZ479" s="22">
        <v>2</v>
      </c>
      <c r="EA479" s="23">
        <v>16</v>
      </c>
      <c r="EB479" s="7">
        <v>32</v>
      </c>
      <c r="EE479" s="9" t="s">
        <v>778</v>
      </c>
      <c r="EF479" s="6" t="s">
        <v>172</v>
      </c>
      <c r="EG479" s="6" t="s">
        <v>647</v>
      </c>
      <c r="EH479" s="6" t="s">
        <v>365</v>
      </c>
      <c r="EI479" s="6" t="s">
        <v>457</v>
      </c>
      <c r="EJ479" s="12">
        <v>100</v>
      </c>
      <c r="EL479" s="6"/>
      <c r="EM479" s="12"/>
      <c r="EN479" s="6" t="s">
        <v>1123</v>
      </c>
      <c r="EP479" s="6" t="s">
        <v>1148</v>
      </c>
      <c r="ET479" s="6" t="str">
        <f t="shared" si="241"/>
        <v>홀수</v>
      </c>
      <c r="EU479" s="12">
        <v>111</v>
      </c>
      <c r="EV479" s="45" t="str">
        <f t="shared" ca="1" si="250"/>
        <v>A</v>
      </c>
      <c r="EW479" s="6">
        <f t="shared" ca="1" si="242"/>
        <v>65</v>
      </c>
      <c r="FO479" s="6"/>
      <c r="FP479" s="11"/>
      <c r="FR479" s="6">
        <v>1</v>
      </c>
      <c r="FS479" s="6" t="str">
        <f t="shared" si="243"/>
        <v/>
      </c>
      <c r="FT479" s="6" t="str">
        <f t="shared" si="244"/>
        <v/>
      </c>
      <c r="FU479" s="6" t="str">
        <f t="shared" ca="1" si="251"/>
        <v/>
      </c>
      <c r="FV479" s="6" t="str">
        <f t="shared" ca="1" si="245"/>
        <v/>
      </c>
      <c r="FW479" s="6" t="str">
        <f t="shared" ca="1" si="246"/>
        <v/>
      </c>
      <c r="FX479" s="6" t="str">
        <f t="shared" ca="1" si="247"/>
        <v/>
      </c>
      <c r="FY479" s="6" t="str">
        <f t="shared" ca="1" si="248"/>
        <v/>
      </c>
      <c r="FZ479" s="6" t="str">
        <f t="shared" ca="1" si="249"/>
        <v/>
      </c>
    </row>
    <row r="480" spans="1:182" ht="15.95" customHeight="1">
      <c r="A480" s="6">
        <v>849</v>
      </c>
      <c r="B480" s="6" t="s">
        <v>780</v>
      </c>
      <c r="E480" s="6" t="s">
        <v>1131</v>
      </c>
      <c r="F480" s="6" t="s">
        <v>1763</v>
      </c>
      <c r="G480" s="6" t="s">
        <v>1290</v>
      </c>
      <c r="H480" s="7" t="s">
        <v>1291</v>
      </c>
      <c r="I480" s="7"/>
      <c r="J480" s="6" t="s">
        <v>1199</v>
      </c>
      <c r="K480" s="6" t="s">
        <v>1201</v>
      </c>
      <c r="N480" s="6" t="s">
        <v>1203</v>
      </c>
      <c r="O480" s="6" t="s">
        <v>1205</v>
      </c>
      <c r="R480" s="101" t="s">
        <v>1220</v>
      </c>
      <c r="Y480" s="6" t="s">
        <v>1764</v>
      </c>
      <c r="Z480" s="6">
        <v>5</v>
      </c>
      <c r="AA480" s="6">
        <v>6</v>
      </c>
      <c r="AD480" s="6" t="s">
        <v>1203</v>
      </c>
      <c r="AE480" s="6" t="s">
        <v>1205</v>
      </c>
      <c r="AG480" s="6" t="s">
        <v>1765</v>
      </c>
      <c r="AY480" s="8" t="s">
        <v>176</v>
      </c>
      <c r="AZ480" s="8" t="s">
        <v>195</v>
      </c>
      <c r="BA480" s="13" t="s">
        <v>1012</v>
      </c>
      <c r="BB480" s="13" t="s">
        <v>200</v>
      </c>
      <c r="BC480" s="13">
        <v>3</v>
      </c>
      <c r="BD480" s="13">
        <v>4</v>
      </c>
      <c r="DC480" s="6" t="s">
        <v>644</v>
      </c>
      <c r="DD480" s="6" t="s">
        <v>187</v>
      </c>
      <c r="DH480" s="6" t="str">
        <f t="shared" ref="DH480:DH500" si="259">"A"&amp;EA480</f>
        <v>A1</v>
      </c>
      <c r="DI480" s="6" t="str">
        <f t="shared" ref="DI480:DI500" si="260">"B"&amp;EA480</f>
        <v>B1</v>
      </c>
      <c r="DK480" s="6" t="s">
        <v>173</v>
      </c>
      <c r="DL480" s="6" t="str">
        <f t="shared" ref="DL480:DL500" si="261">IF(DZ480&lt;&gt;"","CN2","")</f>
        <v/>
      </c>
      <c r="DO480" s="9" t="s">
        <v>170</v>
      </c>
      <c r="DP480" s="6" t="s">
        <v>171</v>
      </c>
      <c r="DQ480" s="6" t="s">
        <v>1013</v>
      </c>
      <c r="DR480" s="6" t="e">
        <f>#REF!&amp;RIGHT(#REF!,3)</f>
        <v>#REF!</v>
      </c>
      <c r="DS480" s="6" t="str">
        <f t="shared" ref="DS480:DS500" si="262">IF(MID(EF480,2,1)="A","KS1","AKB331")</f>
        <v>AKB331</v>
      </c>
      <c r="DT480" s="10" t="str">
        <f t="shared" ref="DT480:DT500" si="263">DQ480&amp;"-"&amp;DX480&amp;"-"&amp;DY480&amp;"/"&amp;BA480&amp;"-"&amp;DD480&amp;"-"&amp;DK480</f>
        <v>FCS0112-1-5/1S–MC–119-R1-CN1</v>
      </c>
      <c r="DU480" s="6" t="str">
        <f t="shared" ref="DU480:DU500" si="264">IF(DL480="","",DQ480&amp;"-"&amp;DX480&amp;"-"&amp;DY480&amp;"/"&amp;BA480&amp;"-"&amp;DD480&amp;"-"&amp;DL480)</f>
        <v/>
      </c>
      <c r="DV480" s="19">
        <v>1</v>
      </c>
      <c r="DW480" s="20" t="str">
        <f t="shared" ref="DW480:DW500" si="265">RIGHT(DQ480,2)</f>
        <v>12</v>
      </c>
      <c r="DX480" s="20">
        <v>1</v>
      </c>
      <c r="DY480" s="21">
        <v>5</v>
      </c>
      <c r="DZ480" s="22" t="s">
        <v>204</v>
      </c>
      <c r="EA480" s="23">
        <v>1</v>
      </c>
      <c r="EB480" s="7">
        <v>17</v>
      </c>
      <c r="EC480" s="6">
        <v>1</v>
      </c>
      <c r="EE480" s="9" t="s">
        <v>778</v>
      </c>
      <c r="EF480" s="6" t="s">
        <v>647</v>
      </c>
      <c r="EG480" s="6" t="s">
        <v>672</v>
      </c>
      <c r="EH480" s="6" t="s">
        <v>1011</v>
      </c>
      <c r="EI480" s="6" t="s">
        <v>1014</v>
      </c>
      <c r="EJ480" s="12">
        <v>8</v>
      </c>
      <c r="EK480" s="12"/>
      <c r="EM480" s="12"/>
      <c r="EN480" s="12" t="s">
        <v>1126</v>
      </c>
      <c r="EP480" s="6" t="s">
        <v>1155</v>
      </c>
      <c r="ER480" s="6" t="str">
        <f>LEFT(EH482,2)&amp;"O"&amp;MID(EH482,4,7)</f>
        <v>UVO52006</v>
      </c>
      <c r="ET480" s="6" t="str">
        <f t="shared" si="241"/>
        <v>홀수</v>
      </c>
      <c r="EU480" s="12">
        <v>111</v>
      </c>
      <c r="EV480" s="45" t="str">
        <f t="shared" ca="1" si="250"/>
        <v>B</v>
      </c>
      <c r="EW480" s="6">
        <f t="shared" ca="1" si="242"/>
        <v>66</v>
      </c>
      <c r="FO480" s="6"/>
      <c r="FP480" s="11"/>
      <c r="FR480" s="6">
        <v>1</v>
      </c>
      <c r="FS480" s="6" t="str">
        <f t="shared" si="243"/>
        <v/>
      </c>
      <c r="FT480" s="6">
        <f t="shared" si="244"/>
        <v>1</v>
      </c>
      <c r="FU480" s="6" t="str">
        <f t="shared" ca="1" si="251"/>
        <v/>
      </c>
      <c r="FV480" s="6" t="str">
        <f t="shared" ca="1" si="245"/>
        <v/>
      </c>
      <c r="FW480" s="6" t="str">
        <f t="shared" ca="1" si="246"/>
        <v>R1-11</v>
      </c>
      <c r="FX480" s="6" t="str">
        <f t="shared" ca="1" si="247"/>
        <v>R1-12</v>
      </c>
      <c r="FY480" s="6" t="str">
        <f t="shared" ca="1" si="248"/>
        <v>R1-21</v>
      </c>
      <c r="FZ480" s="6" t="str">
        <f t="shared" ca="1" si="249"/>
        <v>R1-22</v>
      </c>
    </row>
    <row r="481" spans="1:182" ht="15.95" customHeight="1">
      <c r="A481" s="6">
        <v>850</v>
      </c>
      <c r="B481" s="6" t="s">
        <v>780</v>
      </c>
      <c r="E481" s="6" t="s">
        <v>1015</v>
      </c>
      <c r="F481" s="6" t="s">
        <v>1766</v>
      </c>
      <c r="G481" s="6" t="s">
        <v>1290</v>
      </c>
      <c r="H481" s="7" t="s">
        <v>1291</v>
      </c>
      <c r="I481" s="7"/>
      <c r="J481" s="6" t="s">
        <v>1199</v>
      </c>
      <c r="K481" s="6" t="s">
        <v>1201</v>
      </c>
      <c r="N481" s="6" t="s">
        <v>1203</v>
      </c>
      <c r="O481" s="6" t="s">
        <v>1205</v>
      </c>
      <c r="R481" s="101" t="s">
        <v>1220</v>
      </c>
      <c r="Y481" s="6" t="s">
        <v>1764</v>
      </c>
      <c r="Z481" s="6">
        <v>3</v>
      </c>
      <c r="AA481" s="6">
        <v>4</v>
      </c>
      <c r="AD481" s="6" t="s">
        <v>1203</v>
      </c>
      <c r="AE481" s="6" t="s">
        <v>1205</v>
      </c>
      <c r="AG481" s="6" t="s">
        <v>1765</v>
      </c>
      <c r="AY481" s="8" t="s">
        <v>176</v>
      </c>
      <c r="AZ481" s="8" t="s">
        <v>195</v>
      </c>
      <c r="BA481" s="13" t="s">
        <v>1012</v>
      </c>
      <c r="BB481" s="13" t="s">
        <v>200</v>
      </c>
      <c r="BC481" s="13">
        <v>1</v>
      </c>
      <c r="BD481" s="13">
        <v>2</v>
      </c>
      <c r="DC481" s="6" t="s">
        <v>644</v>
      </c>
      <c r="DD481" s="6" t="s">
        <v>187</v>
      </c>
      <c r="DH481" s="6" t="str">
        <f t="shared" si="259"/>
        <v>A2</v>
      </c>
      <c r="DI481" s="6" t="str">
        <f t="shared" si="260"/>
        <v>B2</v>
      </c>
      <c r="DK481" s="6" t="s">
        <v>173</v>
      </c>
      <c r="DL481" s="6" t="str">
        <f t="shared" si="261"/>
        <v/>
      </c>
      <c r="DO481" s="9" t="s">
        <v>170</v>
      </c>
      <c r="DP481" s="6" t="s">
        <v>171</v>
      </c>
      <c r="DQ481" s="6" t="s">
        <v>1013</v>
      </c>
      <c r="DR481" s="6" t="e">
        <f>#REF!&amp;RIGHT(#REF!,3)</f>
        <v>#REF!</v>
      </c>
      <c r="DS481" s="6" t="str">
        <f t="shared" si="262"/>
        <v>AKB331</v>
      </c>
      <c r="DT481" s="10" t="str">
        <f t="shared" si="263"/>
        <v>FCS0112-1-5/1S–MC–119-R1-CN1</v>
      </c>
      <c r="DU481" s="6" t="str">
        <f t="shared" si="264"/>
        <v/>
      </c>
      <c r="DV481" s="19">
        <v>1</v>
      </c>
      <c r="DW481" s="20" t="str">
        <f t="shared" si="265"/>
        <v>12</v>
      </c>
      <c r="DX481" s="20">
        <v>1</v>
      </c>
      <c r="DY481" s="21">
        <v>5</v>
      </c>
      <c r="DZ481" s="22" t="s">
        <v>204</v>
      </c>
      <c r="EA481" s="23">
        <v>2</v>
      </c>
      <c r="EB481" s="7">
        <v>18</v>
      </c>
      <c r="EC481" s="6">
        <v>1</v>
      </c>
      <c r="EE481" s="9" t="s">
        <v>778</v>
      </c>
      <c r="EF481" s="6" t="s">
        <v>647</v>
      </c>
      <c r="EG481" s="6" t="s">
        <v>672</v>
      </c>
      <c r="EH481" s="6" t="s">
        <v>1015</v>
      </c>
      <c r="EI481" s="6" t="s">
        <v>1014</v>
      </c>
      <c r="EJ481" s="12">
        <v>8</v>
      </c>
      <c r="EK481" s="12"/>
      <c r="EM481" s="12"/>
      <c r="EN481" s="12" t="s">
        <v>1126</v>
      </c>
      <c r="ET481" s="6" t="str">
        <f t="shared" si="241"/>
        <v>홀수</v>
      </c>
      <c r="EU481" s="12">
        <v>111</v>
      </c>
      <c r="EV481" s="45" t="str">
        <f t="shared" ca="1" si="250"/>
        <v>C</v>
      </c>
      <c r="EW481" s="6">
        <f t="shared" ca="1" si="242"/>
        <v>67</v>
      </c>
      <c r="FO481" s="6"/>
      <c r="FP481" s="11"/>
      <c r="FR481" s="6">
        <v>1</v>
      </c>
      <c r="FS481" s="6" t="str">
        <f t="shared" si="243"/>
        <v/>
      </c>
      <c r="FT481" s="6">
        <f t="shared" si="244"/>
        <v>1</v>
      </c>
      <c r="FU481" s="6" t="str">
        <f t="shared" ca="1" si="251"/>
        <v/>
      </c>
      <c r="FV481" s="6" t="str">
        <f t="shared" ca="1" si="245"/>
        <v/>
      </c>
      <c r="FW481" s="6" t="str">
        <f t="shared" ca="1" si="246"/>
        <v>R1-11</v>
      </c>
      <c r="FX481" s="6" t="str">
        <f t="shared" ca="1" si="247"/>
        <v>R1-12</v>
      </c>
      <c r="FY481" s="6" t="str">
        <f t="shared" ca="1" si="248"/>
        <v>R1-21</v>
      </c>
      <c r="FZ481" s="6" t="str">
        <f t="shared" ca="1" si="249"/>
        <v>R1-22</v>
      </c>
    </row>
    <row r="482" spans="1:182" ht="15.95" customHeight="1">
      <c r="A482" s="6">
        <v>1473</v>
      </c>
      <c r="B482" s="6" t="s">
        <v>780</v>
      </c>
      <c r="E482" s="6" t="s">
        <v>1046</v>
      </c>
      <c r="F482" s="6" t="s">
        <v>1216</v>
      </c>
      <c r="G482" s="6" t="s">
        <v>1290</v>
      </c>
      <c r="H482" s="7" t="s">
        <v>1291</v>
      </c>
      <c r="I482" s="7"/>
      <c r="J482" s="6" t="e">
        <v>#N/A</v>
      </c>
      <c r="K482" s="6" t="e">
        <v>#N/A</v>
      </c>
      <c r="N482" s="6" t="e">
        <v>#N/A</v>
      </c>
      <c r="O482" s="6" t="e">
        <v>#N/A</v>
      </c>
      <c r="R482" s="101" t="e">
        <v>#N/A</v>
      </c>
      <c r="Y482" s="6" t="e">
        <v>#N/A</v>
      </c>
      <c r="Z482" s="6" t="e">
        <v>#N/A</v>
      </c>
      <c r="AA482" s="6" t="e">
        <v>#N/A</v>
      </c>
      <c r="AD482" s="6" t="e">
        <v>#N/A</v>
      </c>
      <c r="AE482" s="6" t="e">
        <v>#N/A</v>
      </c>
      <c r="AG482" s="6" t="e">
        <v>#N/A</v>
      </c>
      <c r="AY482" s="8" t="s">
        <v>176</v>
      </c>
      <c r="AZ482" s="8" t="s">
        <v>195</v>
      </c>
      <c r="BA482" s="13" t="s">
        <v>670</v>
      </c>
      <c r="BB482" s="13" t="s">
        <v>740</v>
      </c>
      <c r="BC482" s="13">
        <v>33</v>
      </c>
      <c r="BD482" s="13">
        <v>34</v>
      </c>
      <c r="DC482" s="6" t="s">
        <v>992</v>
      </c>
      <c r="DD482" s="6" t="s">
        <v>188</v>
      </c>
      <c r="DH482" s="6" t="str">
        <f>"A"&amp;EA482</f>
        <v>A1</v>
      </c>
      <c r="DI482" s="6" t="str">
        <f>"B"&amp;EA482</f>
        <v>B1</v>
      </c>
      <c r="DK482" s="6" t="s">
        <v>173</v>
      </c>
      <c r="DL482" s="6" t="str">
        <f>IF(DZ482&lt;&gt;"","CN2","")</f>
        <v>CN2</v>
      </c>
      <c r="DO482" s="9" t="s">
        <v>170</v>
      </c>
      <c r="DP482" s="6" t="s">
        <v>171</v>
      </c>
      <c r="DQ482" s="6" t="s">
        <v>1013</v>
      </c>
      <c r="DS482" s="6" t="str">
        <f>IF(MID(EF482,2,1)="A","KS1","AKB331")</f>
        <v>AKB331</v>
      </c>
      <c r="DT482" s="10" t="str">
        <f>DQ482&amp;"-"&amp;DX482&amp;"-"&amp;DY482&amp;"/"&amp;BA482&amp;"-"&amp;DD482&amp;"-"&amp;DK482</f>
        <v>FCS0112-6-7/1S–MC–120-R2-CN1</v>
      </c>
      <c r="DU482" s="6" t="str">
        <f>IF(DL482="","",DQ482&amp;"-"&amp;DX482&amp;"-"&amp;DY482&amp;"/"&amp;BA482&amp;"-"&amp;DD482&amp;"-"&amp;DL482)</f>
        <v>FCS0112-6-7/1S–MC–120-R2-CN2</v>
      </c>
      <c r="DV482" s="12"/>
      <c r="DW482" s="20" t="str">
        <f>RIGHT(DQ482,2)</f>
        <v>12</v>
      </c>
      <c r="DX482" s="20">
        <v>6</v>
      </c>
      <c r="DY482" s="21">
        <v>7</v>
      </c>
      <c r="DZ482" s="22">
        <v>8</v>
      </c>
      <c r="EA482" s="23">
        <v>1</v>
      </c>
      <c r="EB482" s="6">
        <v>1</v>
      </c>
      <c r="EE482" s="9" t="s">
        <v>778</v>
      </c>
      <c r="EF482" s="6" t="s">
        <v>672</v>
      </c>
      <c r="EG482" s="6" t="s">
        <v>647</v>
      </c>
      <c r="EH482" s="6" t="s">
        <v>1046</v>
      </c>
      <c r="EI482" s="6" t="s">
        <v>1014</v>
      </c>
      <c r="EJ482" s="12">
        <v>8</v>
      </c>
      <c r="EK482" s="12"/>
      <c r="EM482" s="12"/>
      <c r="EN482" s="12" t="s">
        <v>1126</v>
      </c>
      <c r="ET482" s="6" t="str">
        <f t="shared" si="241"/>
        <v>홀수</v>
      </c>
      <c r="EU482" s="12">
        <v>111</v>
      </c>
      <c r="EV482" s="45" t="str">
        <f t="shared" ca="1" si="250"/>
        <v>D</v>
      </c>
      <c r="EW482" s="6">
        <f t="shared" ca="1" si="242"/>
        <v>68</v>
      </c>
      <c r="FO482" s="6"/>
      <c r="FP482" s="11"/>
      <c r="FR482" s="6">
        <v>1</v>
      </c>
      <c r="FS482" s="6">
        <f t="shared" si="243"/>
        <v>1</v>
      </c>
      <c r="FT482" s="6">
        <f t="shared" si="244"/>
        <v>1</v>
      </c>
      <c r="FU482" s="6" t="str">
        <f t="shared" ca="1" si="251"/>
        <v>R2-11</v>
      </c>
      <c r="FV482" s="6" t="str">
        <f t="shared" ca="1" si="245"/>
        <v>R2-12</v>
      </c>
      <c r="FW482" s="6" t="s">
        <v>1097</v>
      </c>
      <c r="FX482" s="6" t="s">
        <v>1098</v>
      </c>
      <c r="FY482" s="6" t="s">
        <v>1097</v>
      </c>
      <c r="FZ482" s="6" t="s">
        <v>1098</v>
      </c>
    </row>
    <row r="483" spans="1:182" ht="15.95" customHeight="1">
      <c r="A483" s="6">
        <v>852</v>
      </c>
      <c r="B483" s="6" t="s">
        <v>780</v>
      </c>
      <c r="E483" s="6" t="s">
        <v>1017</v>
      </c>
      <c r="F483" s="6" t="s">
        <v>1767</v>
      </c>
      <c r="G483" s="6" t="s">
        <v>1290</v>
      </c>
      <c r="H483" s="7" t="s">
        <v>1291</v>
      </c>
      <c r="I483" s="7"/>
      <c r="J483" s="6" t="s">
        <v>1199</v>
      </c>
      <c r="K483" s="6" t="s">
        <v>1201</v>
      </c>
      <c r="N483" s="6" t="s">
        <v>1203</v>
      </c>
      <c r="O483" s="6" t="s">
        <v>1205</v>
      </c>
      <c r="R483" s="101" t="s">
        <v>1443</v>
      </c>
      <c r="Y483" s="6" t="s">
        <v>1768</v>
      </c>
      <c r="Z483" s="6">
        <v>3</v>
      </c>
      <c r="AA483" s="6">
        <v>4</v>
      </c>
      <c r="AD483" s="6" t="s">
        <v>1203</v>
      </c>
      <c r="AE483" s="6" t="s">
        <v>1205</v>
      </c>
      <c r="AG483" s="6" t="s">
        <v>1769</v>
      </c>
      <c r="AY483" s="8" t="s">
        <v>176</v>
      </c>
      <c r="AZ483" s="8" t="s">
        <v>195</v>
      </c>
      <c r="BA483" s="13" t="s">
        <v>1012</v>
      </c>
      <c r="BB483" s="13" t="s">
        <v>200</v>
      </c>
      <c r="BC483" s="13">
        <v>7</v>
      </c>
      <c r="BD483" s="13">
        <v>8</v>
      </c>
      <c r="DC483" s="6" t="s">
        <v>644</v>
      </c>
      <c r="DD483" s="6" t="s">
        <v>187</v>
      </c>
      <c r="DH483" s="6" t="str">
        <f>"A"&amp;EA483</f>
        <v>A4</v>
      </c>
      <c r="DI483" s="6" t="str">
        <f>"B"&amp;EA483</f>
        <v>B4</v>
      </c>
      <c r="DK483" s="6" t="s">
        <v>173</v>
      </c>
      <c r="DL483" s="6" t="str">
        <f>IF(DZ483&lt;&gt;"","CN2","")</f>
        <v/>
      </c>
      <c r="DO483" s="9" t="s">
        <v>170</v>
      </c>
      <c r="DP483" s="6" t="s">
        <v>171</v>
      </c>
      <c r="DQ483" s="6" t="s">
        <v>1013</v>
      </c>
      <c r="DR483" s="6" t="e">
        <f>#REF!&amp;RIGHT(#REF!,3)</f>
        <v>#REF!</v>
      </c>
      <c r="DS483" s="6" t="str">
        <f>IF(MID(EF483,2,1)="A","KS1","AKB331")</f>
        <v>AKB331</v>
      </c>
      <c r="DT483" s="10" t="str">
        <f>DQ483&amp;"-"&amp;DX483&amp;"-"&amp;DY483&amp;"/"&amp;BA483&amp;"-"&amp;DD483&amp;"-"&amp;DK483</f>
        <v>FCS0112-1-5/1S–MC–119-R1-CN1</v>
      </c>
      <c r="DU483" s="6" t="str">
        <f>IF(DL483="","",DQ483&amp;"-"&amp;DX483&amp;"-"&amp;DY483&amp;"/"&amp;BA483&amp;"-"&amp;DD483&amp;"-"&amp;DL483)</f>
        <v/>
      </c>
      <c r="DV483" s="19">
        <v>1</v>
      </c>
      <c r="DW483" s="20" t="str">
        <f>RIGHT(DQ483,2)</f>
        <v>12</v>
      </c>
      <c r="DX483" s="20">
        <v>1</v>
      </c>
      <c r="DY483" s="21">
        <v>5</v>
      </c>
      <c r="DZ483" s="22" t="s">
        <v>204</v>
      </c>
      <c r="EA483" s="23">
        <v>4</v>
      </c>
      <c r="EB483" s="7">
        <v>20</v>
      </c>
      <c r="EC483" s="6">
        <v>1</v>
      </c>
      <c r="EE483" s="9" t="s">
        <v>778</v>
      </c>
      <c r="EF483" s="6" t="s">
        <v>647</v>
      </c>
      <c r="EG483" s="6" t="s">
        <v>672</v>
      </c>
      <c r="EH483" s="6" t="s">
        <v>1017</v>
      </c>
      <c r="EI483" s="6" t="s">
        <v>467</v>
      </c>
      <c r="EJ483" s="12">
        <v>10</v>
      </c>
      <c r="EK483" s="12"/>
      <c r="EM483" s="12"/>
      <c r="EN483" s="12" t="s">
        <v>1126</v>
      </c>
      <c r="EP483" s="6" t="s">
        <v>1156</v>
      </c>
      <c r="ER483" s="6" t="str">
        <f>"UVOX"&amp;MID(EH483,4,6)</f>
        <v>UVOX53033</v>
      </c>
      <c r="ET483" s="6" t="str">
        <f t="shared" si="241"/>
        <v>짝수</v>
      </c>
      <c r="EU483" s="12">
        <v>112</v>
      </c>
      <c r="EV483" s="45" t="str">
        <f t="shared" ca="1" si="250"/>
        <v>A</v>
      </c>
      <c r="EW483" s="6">
        <f t="shared" ca="1" si="242"/>
        <v>65</v>
      </c>
      <c r="EZ483" s="6" t="str">
        <f>"UVNXD"&amp;MID(EH483,4,6)&amp;"I"</f>
        <v>UVNXD53033I</v>
      </c>
      <c r="FO483" s="6"/>
      <c r="FP483" s="11"/>
      <c r="FR483" s="6">
        <v>1</v>
      </c>
      <c r="FS483" s="6" t="str">
        <f t="shared" si="243"/>
        <v/>
      </c>
      <c r="FT483" s="6">
        <f t="shared" si="244"/>
        <v>1</v>
      </c>
      <c r="FU483" s="6" t="str">
        <f t="shared" ca="1" si="251"/>
        <v/>
      </c>
      <c r="FV483" s="6" t="str">
        <f t="shared" ca="1" si="245"/>
        <v/>
      </c>
      <c r="FW483" s="6" t="str">
        <f t="shared" ref="FW483:FW500" ca="1" si="266">IF(AND(FT483=1,FU483=""),DD483&amp;"-11",IF(AND(FT483=1,FU483&lt;&gt;""),DD483&amp;"-21",""))</f>
        <v>R1-11</v>
      </c>
      <c r="FX483" s="6" t="str">
        <f t="shared" ref="FX483:FX500" ca="1" si="267">IF(AND(FT483=1,FU483=""),DD483&amp;"-12",IF(AND(FT483=1,FU483&lt;&gt;""),DD483&amp;"-22",""))</f>
        <v>R1-12</v>
      </c>
      <c r="FY483" s="6" t="str">
        <f t="shared" ref="FY483:FY500" ca="1" si="268">IF(AND(FS483="",OFFSET(FS483,0,1)="",DC483="A1BA4D"),"",IF(DC483="A1BD5D",LEFT(FW483,3)&amp;"21",FW483))</f>
        <v>R1-21</v>
      </c>
      <c r="FZ483" s="6" t="str">
        <f t="shared" ref="FZ483:FZ500" ca="1" si="269" xml:space="preserve">
IF(AND(FS483="",OFFSET(FS483,0,1)="",DC483="A1BA4D"),"",IF(DC483="A1BD5D",LEFT(FW483,3)&amp;"22",FW483))</f>
        <v>R1-22</v>
      </c>
    </row>
    <row r="484" spans="1:182" ht="15.95" customHeight="1">
      <c r="A484" s="6">
        <v>851</v>
      </c>
      <c r="B484" s="6" t="s">
        <v>780</v>
      </c>
      <c r="E484" s="6" t="s">
        <v>1016</v>
      </c>
      <c r="F484" s="6" t="s">
        <v>1770</v>
      </c>
      <c r="G484" s="6" t="s">
        <v>1290</v>
      </c>
      <c r="H484" s="7" t="s">
        <v>1291</v>
      </c>
      <c r="I484" s="7"/>
      <c r="J484" s="6" t="s">
        <v>1199</v>
      </c>
      <c r="K484" s="6" t="s">
        <v>1201</v>
      </c>
      <c r="N484" s="6" t="s">
        <v>1203</v>
      </c>
      <c r="O484" s="6" t="s">
        <v>1205</v>
      </c>
      <c r="R484" s="101" t="s">
        <v>1443</v>
      </c>
      <c r="Y484" s="6" t="s">
        <v>1768</v>
      </c>
      <c r="Z484" s="6">
        <v>1</v>
      </c>
      <c r="AA484" s="6">
        <v>2</v>
      </c>
      <c r="AD484" s="6" t="s">
        <v>1203</v>
      </c>
      <c r="AE484" s="6" t="s">
        <v>1205</v>
      </c>
      <c r="AG484" s="6" t="s">
        <v>1769</v>
      </c>
      <c r="AY484" s="8" t="s">
        <v>176</v>
      </c>
      <c r="AZ484" s="8" t="s">
        <v>195</v>
      </c>
      <c r="BA484" s="13" t="s">
        <v>1012</v>
      </c>
      <c r="BB484" s="13" t="s">
        <v>200</v>
      </c>
      <c r="BC484" s="13">
        <v>5</v>
      </c>
      <c r="BD484" s="13">
        <v>6</v>
      </c>
      <c r="DC484" s="6" t="s">
        <v>644</v>
      </c>
      <c r="DD484" s="6" t="s">
        <v>187</v>
      </c>
      <c r="DH484" s="6" t="str">
        <f t="shared" si="259"/>
        <v>A3</v>
      </c>
      <c r="DI484" s="6" t="str">
        <f t="shared" si="260"/>
        <v>B3</v>
      </c>
      <c r="DK484" s="6" t="s">
        <v>173</v>
      </c>
      <c r="DL484" s="6" t="str">
        <f t="shared" si="261"/>
        <v/>
      </c>
      <c r="DO484" s="9" t="s">
        <v>170</v>
      </c>
      <c r="DP484" s="6" t="s">
        <v>171</v>
      </c>
      <c r="DQ484" s="6" t="s">
        <v>1013</v>
      </c>
      <c r="DR484" s="6" t="e">
        <f>#REF!&amp;RIGHT(#REF!,3)</f>
        <v>#REF!</v>
      </c>
      <c r="DS484" s="6" t="str">
        <f t="shared" si="262"/>
        <v>AKB331</v>
      </c>
      <c r="DT484" s="10" t="str">
        <f t="shared" si="263"/>
        <v>FCS0112-1-5/1S–MC–119-R1-CN1</v>
      </c>
      <c r="DU484" s="6" t="str">
        <f t="shared" si="264"/>
        <v/>
      </c>
      <c r="DV484" s="19">
        <v>1</v>
      </c>
      <c r="DW484" s="20" t="str">
        <f t="shared" si="265"/>
        <v>12</v>
      </c>
      <c r="DX484" s="20">
        <v>1</v>
      </c>
      <c r="DY484" s="21">
        <v>5</v>
      </c>
      <c r="DZ484" s="22" t="s">
        <v>204</v>
      </c>
      <c r="EA484" s="23">
        <v>3</v>
      </c>
      <c r="EB484" s="7">
        <v>19</v>
      </c>
      <c r="EC484" s="6">
        <v>1</v>
      </c>
      <c r="EE484" s="9" t="s">
        <v>778</v>
      </c>
      <c r="EF484" s="6" t="s">
        <v>647</v>
      </c>
      <c r="EG484" s="6" t="s">
        <v>672</v>
      </c>
      <c r="EH484" s="6" t="s">
        <v>1016</v>
      </c>
      <c r="EI484" s="6" t="s">
        <v>467</v>
      </c>
      <c r="EJ484" s="12">
        <v>10</v>
      </c>
      <c r="EK484" s="12"/>
      <c r="EM484" s="12"/>
      <c r="EN484" s="12" t="s">
        <v>1126</v>
      </c>
      <c r="ET484" s="6" t="str">
        <f t="shared" si="241"/>
        <v>짝수</v>
      </c>
      <c r="EU484" s="12">
        <v>112</v>
      </c>
      <c r="EV484" s="45" t="str">
        <f t="shared" ca="1" si="250"/>
        <v>B</v>
      </c>
      <c r="EW484" s="6">
        <f t="shared" ca="1" si="242"/>
        <v>66</v>
      </c>
      <c r="FO484" s="6"/>
      <c r="FP484" s="11"/>
      <c r="FR484" s="6">
        <v>1</v>
      </c>
      <c r="FS484" s="6" t="str">
        <f t="shared" si="243"/>
        <v/>
      </c>
      <c r="FT484" s="6">
        <f t="shared" si="244"/>
        <v>1</v>
      </c>
      <c r="FU484" s="6" t="str">
        <f t="shared" ca="1" si="251"/>
        <v/>
      </c>
      <c r="FV484" s="6" t="str">
        <f t="shared" ca="1" si="245"/>
        <v/>
      </c>
      <c r="FW484" s="6" t="str">
        <f t="shared" ca="1" si="266"/>
        <v>R1-11</v>
      </c>
      <c r="FX484" s="6" t="str">
        <f t="shared" ca="1" si="267"/>
        <v>R1-12</v>
      </c>
      <c r="FY484" s="6" t="str">
        <f t="shared" ca="1" si="268"/>
        <v>R1-21</v>
      </c>
      <c r="FZ484" s="6" t="str">
        <f t="shared" ca="1" si="269"/>
        <v>R1-22</v>
      </c>
    </row>
    <row r="485" spans="1:182" ht="15.95" customHeight="1">
      <c r="A485" s="6">
        <v>854</v>
      </c>
      <c r="B485" s="6" t="s">
        <v>780</v>
      </c>
      <c r="E485" s="6" t="s">
        <v>1020</v>
      </c>
      <c r="F485" s="6" t="s">
        <v>1771</v>
      </c>
      <c r="G485" s="6" t="s">
        <v>1290</v>
      </c>
      <c r="H485" s="7" t="s">
        <v>1291</v>
      </c>
      <c r="I485" s="7"/>
      <c r="J485" s="6" t="s">
        <v>1199</v>
      </c>
      <c r="K485" s="6" t="s">
        <v>1201</v>
      </c>
      <c r="N485" s="6" t="s">
        <v>1203</v>
      </c>
      <c r="O485" s="6" t="s">
        <v>1205</v>
      </c>
      <c r="R485" s="101" t="s">
        <v>1443</v>
      </c>
      <c r="Y485" s="6" t="s">
        <v>1768</v>
      </c>
      <c r="Z485" s="6">
        <v>7</v>
      </c>
      <c r="AA485" s="6">
        <v>8</v>
      </c>
      <c r="AD485" s="6" t="s">
        <v>1203</v>
      </c>
      <c r="AE485" s="6" t="s">
        <v>1205</v>
      </c>
      <c r="AG485" s="6" t="s">
        <v>1769</v>
      </c>
      <c r="AY485" s="8" t="s">
        <v>176</v>
      </c>
      <c r="AZ485" s="8" t="s">
        <v>195</v>
      </c>
      <c r="BA485" s="13" t="s">
        <v>1012</v>
      </c>
      <c r="BB485" s="13" t="s">
        <v>200</v>
      </c>
      <c r="BC485" s="13">
        <v>11</v>
      </c>
      <c r="BD485" s="13">
        <v>12</v>
      </c>
      <c r="DC485" s="6" t="s">
        <v>644</v>
      </c>
      <c r="DD485" s="6" t="s">
        <v>187</v>
      </c>
      <c r="DH485" s="6" t="str">
        <f>"A"&amp;EA485</f>
        <v>A6</v>
      </c>
      <c r="DI485" s="6" t="str">
        <f>"B"&amp;EA485</f>
        <v>B6</v>
      </c>
      <c r="DK485" s="6" t="s">
        <v>173</v>
      </c>
      <c r="DL485" s="6" t="str">
        <f>IF(DZ485&lt;&gt;"","CN2","")</f>
        <v/>
      </c>
      <c r="DO485" s="9" t="s">
        <v>170</v>
      </c>
      <c r="DP485" s="6" t="s">
        <v>171</v>
      </c>
      <c r="DQ485" s="6" t="s">
        <v>1013</v>
      </c>
      <c r="DR485" s="6" t="e">
        <f>#REF!&amp;RIGHT(#REF!,3)</f>
        <v>#REF!</v>
      </c>
      <c r="DS485" s="6" t="str">
        <f>IF(MID(EF485,2,1)="A","KS1","AKB331")</f>
        <v>AKB331</v>
      </c>
      <c r="DT485" s="10" t="str">
        <f>DQ485&amp;"-"&amp;DX485&amp;"-"&amp;DY485&amp;"/"&amp;BA485&amp;"-"&amp;DD485&amp;"-"&amp;DK485</f>
        <v>FCS0112-1-5/1S–MC–119-R1-CN1</v>
      </c>
      <c r="DU485" s="6" t="str">
        <f>IF(DL485="","",DQ485&amp;"-"&amp;DX485&amp;"-"&amp;DY485&amp;"/"&amp;BA485&amp;"-"&amp;DD485&amp;"-"&amp;DL485)</f>
        <v/>
      </c>
      <c r="DV485" s="19">
        <v>1</v>
      </c>
      <c r="DW485" s="20" t="str">
        <f>RIGHT(DQ485,2)</f>
        <v>12</v>
      </c>
      <c r="DX485" s="20">
        <v>1</v>
      </c>
      <c r="DY485" s="21">
        <v>5</v>
      </c>
      <c r="DZ485" s="22" t="s">
        <v>204</v>
      </c>
      <c r="EA485" s="23">
        <v>6</v>
      </c>
      <c r="EB485" s="7">
        <v>22</v>
      </c>
      <c r="EC485" s="6">
        <v>1</v>
      </c>
      <c r="EE485" s="9" t="s">
        <v>778</v>
      </c>
      <c r="EF485" s="6" t="s">
        <v>647</v>
      </c>
      <c r="EG485" s="6" t="s">
        <v>672</v>
      </c>
      <c r="EH485" s="6" t="s">
        <v>1020</v>
      </c>
      <c r="EI485" s="6" t="s">
        <v>1019</v>
      </c>
      <c r="EJ485" s="12">
        <v>10</v>
      </c>
      <c r="EK485" s="12"/>
      <c r="EM485" s="12"/>
      <c r="EN485" s="12" t="s">
        <v>1126</v>
      </c>
      <c r="EP485" s="6" t="s">
        <v>1156</v>
      </c>
      <c r="ER485" s="6" t="str">
        <f>"UVOX"&amp;MID(EH485,4,6)</f>
        <v>UVOX53034</v>
      </c>
      <c r="ET485" s="6" t="str">
        <f t="shared" si="241"/>
        <v>짝수</v>
      </c>
      <c r="EU485" s="12">
        <v>112</v>
      </c>
      <c r="EV485" s="45" t="str">
        <f t="shared" ca="1" si="250"/>
        <v>C</v>
      </c>
      <c r="EW485" s="6">
        <f t="shared" ca="1" si="242"/>
        <v>67</v>
      </c>
      <c r="EZ485" s="6" t="str">
        <f>"UVNXD"&amp;MID(EH485,4,6)&amp;"I"</f>
        <v>UVNXD53034I</v>
      </c>
      <c r="FO485" s="6"/>
      <c r="FP485" s="11"/>
      <c r="FR485" s="6">
        <v>1</v>
      </c>
      <c r="FS485" s="6" t="str">
        <f t="shared" si="243"/>
        <v/>
      </c>
      <c r="FT485" s="6">
        <f t="shared" si="244"/>
        <v>1</v>
      </c>
      <c r="FU485" s="6" t="str">
        <f t="shared" ca="1" si="251"/>
        <v/>
      </c>
      <c r="FV485" s="6" t="str">
        <f t="shared" ca="1" si="245"/>
        <v/>
      </c>
      <c r="FW485" s="6" t="str">
        <f t="shared" ca="1" si="266"/>
        <v>R1-11</v>
      </c>
      <c r="FX485" s="6" t="str">
        <f t="shared" ca="1" si="267"/>
        <v>R1-12</v>
      </c>
      <c r="FY485" s="6" t="str">
        <f t="shared" ca="1" si="268"/>
        <v>R1-21</v>
      </c>
      <c r="FZ485" s="6" t="str">
        <f t="shared" ca="1" si="269"/>
        <v>R1-22</v>
      </c>
    </row>
    <row r="486" spans="1:182" ht="15.95" customHeight="1">
      <c r="A486" s="6">
        <v>853</v>
      </c>
      <c r="B486" s="6" t="s">
        <v>780</v>
      </c>
      <c r="E486" s="6" t="s">
        <v>1018</v>
      </c>
      <c r="F486" s="6" t="s">
        <v>1772</v>
      </c>
      <c r="G486" s="6" t="s">
        <v>1290</v>
      </c>
      <c r="H486" s="7" t="s">
        <v>1291</v>
      </c>
      <c r="I486" s="7"/>
      <c r="J486" s="6" t="s">
        <v>1199</v>
      </c>
      <c r="K486" s="6" t="s">
        <v>1201</v>
      </c>
      <c r="N486" s="6" t="s">
        <v>1203</v>
      </c>
      <c r="O486" s="6" t="s">
        <v>1205</v>
      </c>
      <c r="R486" s="101" t="s">
        <v>1443</v>
      </c>
      <c r="Y486" s="6" t="s">
        <v>1768</v>
      </c>
      <c r="Z486" s="6">
        <v>5</v>
      </c>
      <c r="AA486" s="6">
        <v>6</v>
      </c>
      <c r="AD486" s="6" t="s">
        <v>1203</v>
      </c>
      <c r="AE486" s="6" t="s">
        <v>1205</v>
      </c>
      <c r="AG486" s="6" t="s">
        <v>1769</v>
      </c>
      <c r="AY486" s="8" t="s">
        <v>176</v>
      </c>
      <c r="AZ486" s="8" t="s">
        <v>195</v>
      </c>
      <c r="BA486" s="13" t="s">
        <v>1012</v>
      </c>
      <c r="BB486" s="13" t="s">
        <v>200</v>
      </c>
      <c r="BC486" s="13">
        <v>9</v>
      </c>
      <c r="BD486" s="13">
        <v>10</v>
      </c>
      <c r="DC486" s="6" t="s">
        <v>644</v>
      </c>
      <c r="DD486" s="6" t="s">
        <v>187</v>
      </c>
      <c r="DH486" s="6" t="str">
        <f t="shared" si="259"/>
        <v>A5</v>
      </c>
      <c r="DI486" s="6" t="str">
        <f t="shared" si="260"/>
        <v>B5</v>
      </c>
      <c r="DK486" s="6" t="s">
        <v>173</v>
      </c>
      <c r="DL486" s="6" t="str">
        <f t="shared" si="261"/>
        <v/>
      </c>
      <c r="DO486" s="9" t="s">
        <v>170</v>
      </c>
      <c r="DP486" s="6" t="s">
        <v>171</v>
      </c>
      <c r="DQ486" s="6" t="s">
        <v>1013</v>
      </c>
      <c r="DR486" s="6" t="e">
        <f>#REF!&amp;RIGHT(#REF!,3)</f>
        <v>#REF!</v>
      </c>
      <c r="DS486" s="6" t="str">
        <f t="shared" si="262"/>
        <v>AKB331</v>
      </c>
      <c r="DT486" s="10" t="str">
        <f t="shared" si="263"/>
        <v>FCS0112-1-5/1S–MC–119-R1-CN1</v>
      </c>
      <c r="DU486" s="6" t="str">
        <f t="shared" si="264"/>
        <v/>
      </c>
      <c r="DV486" s="19">
        <v>1</v>
      </c>
      <c r="DW486" s="20" t="str">
        <f t="shared" si="265"/>
        <v>12</v>
      </c>
      <c r="DX486" s="20">
        <v>1</v>
      </c>
      <c r="DY486" s="21">
        <v>5</v>
      </c>
      <c r="DZ486" s="22" t="s">
        <v>204</v>
      </c>
      <c r="EA486" s="23">
        <v>5</v>
      </c>
      <c r="EB486" s="7">
        <v>21</v>
      </c>
      <c r="EC486" s="6">
        <v>1</v>
      </c>
      <c r="EE486" s="9" t="s">
        <v>778</v>
      </c>
      <c r="EF486" s="6" t="s">
        <v>647</v>
      </c>
      <c r="EG486" s="6" t="s">
        <v>672</v>
      </c>
      <c r="EH486" s="6" t="s">
        <v>1018</v>
      </c>
      <c r="EI486" s="6" t="s">
        <v>1019</v>
      </c>
      <c r="EJ486" s="12">
        <v>10</v>
      </c>
      <c r="EK486" s="12"/>
      <c r="EM486" s="12"/>
      <c r="EN486" s="12" t="s">
        <v>1126</v>
      </c>
      <c r="ET486" s="6" t="str">
        <f t="shared" si="241"/>
        <v>짝수</v>
      </c>
      <c r="EU486" s="12">
        <v>112</v>
      </c>
      <c r="EV486" s="45" t="str">
        <f t="shared" ca="1" si="250"/>
        <v>D</v>
      </c>
      <c r="EW486" s="6">
        <f t="shared" ca="1" si="242"/>
        <v>68</v>
      </c>
      <c r="FO486" s="6"/>
      <c r="FP486" s="11"/>
      <c r="FR486" s="6">
        <v>1</v>
      </c>
      <c r="FS486" s="6" t="str">
        <f t="shared" si="243"/>
        <v/>
      </c>
      <c r="FT486" s="6">
        <f t="shared" si="244"/>
        <v>1</v>
      </c>
      <c r="FU486" s="6" t="str">
        <f t="shared" ca="1" si="251"/>
        <v/>
      </c>
      <c r="FV486" s="6" t="str">
        <f t="shared" ca="1" si="245"/>
        <v/>
      </c>
      <c r="FW486" s="6" t="str">
        <f t="shared" ca="1" si="266"/>
        <v>R1-11</v>
      </c>
      <c r="FX486" s="6" t="str">
        <f t="shared" ca="1" si="267"/>
        <v>R1-12</v>
      </c>
      <c r="FY486" s="6" t="str">
        <f t="shared" ca="1" si="268"/>
        <v>R1-21</v>
      </c>
      <c r="FZ486" s="6" t="str">
        <f t="shared" ca="1" si="269"/>
        <v>R1-22</v>
      </c>
    </row>
    <row r="487" spans="1:182" ht="15.95" customHeight="1">
      <c r="A487" s="6">
        <v>856</v>
      </c>
      <c r="B487" s="6" t="s">
        <v>780</v>
      </c>
      <c r="E487" s="6" t="s">
        <v>1023</v>
      </c>
      <c r="F487" s="6" t="s">
        <v>1773</v>
      </c>
      <c r="G487" s="6" t="s">
        <v>1290</v>
      </c>
      <c r="H487" s="7" t="s">
        <v>1291</v>
      </c>
      <c r="I487" s="7"/>
      <c r="J487" s="6" t="s">
        <v>1199</v>
      </c>
      <c r="K487" s="6" t="s">
        <v>1201</v>
      </c>
      <c r="N487" s="6" t="s">
        <v>1203</v>
      </c>
      <c r="O487" s="6" t="s">
        <v>1205</v>
      </c>
      <c r="R487" s="101" t="s">
        <v>1443</v>
      </c>
      <c r="Y487" s="6" t="s">
        <v>1774</v>
      </c>
      <c r="Z487" s="6">
        <v>3</v>
      </c>
      <c r="AA487" s="6">
        <v>4</v>
      </c>
      <c r="AD487" s="6" t="s">
        <v>1203</v>
      </c>
      <c r="AE487" s="6" t="s">
        <v>1205</v>
      </c>
      <c r="AG487" s="6" t="s">
        <v>1775</v>
      </c>
      <c r="AY487" s="8" t="s">
        <v>176</v>
      </c>
      <c r="AZ487" s="8" t="s">
        <v>195</v>
      </c>
      <c r="BA487" s="13" t="s">
        <v>1012</v>
      </c>
      <c r="BB487" s="13" t="s">
        <v>200</v>
      </c>
      <c r="BC487" s="13">
        <v>89</v>
      </c>
      <c r="BD487" s="13">
        <v>90</v>
      </c>
      <c r="DC487" s="6" t="s">
        <v>644</v>
      </c>
      <c r="DD487" s="6" t="s">
        <v>187</v>
      </c>
      <c r="DH487" s="6" t="str">
        <f>"A"&amp;EA487</f>
        <v>A8</v>
      </c>
      <c r="DI487" s="6" t="str">
        <f>"B"&amp;EA487</f>
        <v>B8</v>
      </c>
      <c r="DK487" s="6" t="s">
        <v>173</v>
      </c>
      <c r="DL487" s="6" t="str">
        <f>IF(DZ487&lt;&gt;"","CN2","")</f>
        <v/>
      </c>
      <c r="DO487" s="9" t="s">
        <v>170</v>
      </c>
      <c r="DP487" s="6" t="s">
        <v>171</v>
      </c>
      <c r="DQ487" s="6" t="s">
        <v>1013</v>
      </c>
      <c r="DR487" s="6" t="e">
        <f>#REF!&amp;RIGHT(#REF!,3)</f>
        <v>#REF!</v>
      </c>
      <c r="DS487" s="6" t="str">
        <f>IF(MID(EF487,2,1)="A","KS1","AKB331")</f>
        <v>AKB331</v>
      </c>
      <c r="DT487" s="10" t="str">
        <f>DQ487&amp;"-"&amp;DX487&amp;"-"&amp;DY487&amp;"/"&amp;BA487&amp;"-"&amp;DD487&amp;"-"&amp;DK487</f>
        <v>FCS0112-1-5/1S–MC–119-R1-CN1</v>
      </c>
      <c r="DU487" s="6" t="str">
        <f>IF(DL487="","",DQ487&amp;"-"&amp;DX487&amp;"-"&amp;DY487&amp;"/"&amp;BA487&amp;"-"&amp;DD487&amp;"-"&amp;DL487)</f>
        <v/>
      </c>
      <c r="DV487" s="19">
        <v>1</v>
      </c>
      <c r="DW487" s="20" t="str">
        <f>RIGHT(DQ487,2)</f>
        <v>12</v>
      </c>
      <c r="DX487" s="20">
        <v>1</v>
      </c>
      <c r="DY487" s="21">
        <v>5</v>
      </c>
      <c r="DZ487" s="22" t="s">
        <v>204</v>
      </c>
      <c r="EA487" s="23">
        <v>8</v>
      </c>
      <c r="EB487" s="7">
        <v>24</v>
      </c>
      <c r="EC487" s="6">
        <v>1</v>
      </c>
      <c r="EE487" s="9" t="s">
        <v>778</v>
      </c>
      <c r="EF487" s="6" t="s">
        <v>647</v>
      </c>
      <c r="EG487" s="6" t="s">
        <v>672</v>
      </c>
      <c r="EH487" s="6" t="s">
        <v>1023</v>
      </c>
      <c r="EI487" s="6" t="s">
        <v>1022</v>
      </c>
      <c r="EJ487" s="12">
        <v>10</v>
      </c>
      <c r="EK487" s="12"/>
      <c r="EM487" s="12"/>
      <c r="EN487" s="12" t="s">
        <v>1126</v>
      </c>
      <c r="EP487" s="6" t="s">
        <v>1156</v>
      </c>
      <c r="ER487" s="6" t="str">
        <f>"UVOX"&amp;MID(EH487,4,6)</f>
        <v>UVOX54001</v>
      </c>
      <c r="ET487" s="6" t="str">
        <f t="shared" si="241"/>
        <v>홀수</v>
      </c>
      <c r="EU487" s="12">
        <v>113</v>
      </c>
      <c r="EV487" s="45" t="str">
        <f t="shared" ca="1" si="250"/>
        <v>A</v>
      </c>
      <c r="EW487" s="6">
        <f t="shared" ca="1" si="242"/>
        <v>65</v>
      </c>
      <c r="EZ487" s="6" t="str">
        <f>"UVNXD"&amp;MID(EH487,4,6)&amp;"I"</f>
        <v>UVNXD54001I</v>
      </c>
      <c r="FO487" s="6"/>
      <c r="FP487" s="11"/>
      <c r="FR487" s="6">
        <v>1</v>
      </c>
      <c r="FS487" s="6" t="str">
        <f t="shared" si="243"/>
        <v/>
      </c>
      <c r="FT487" s="6">
        <f t="shared" si="244"/>
        <v>1</v>
      </c>
      <c r="FU487" s="6" t="str">
        <f t="shared" ca="1" si="251"/>
        <v/>
      </c>
      <c r="FV487" s="6" t="str">
        <f t="shared" ca="1" si="245"/>
        <v/>
      </c>
      <c r="FW487" s="6" t="str">
        <f t="shared" ca="1" si="266"/>
        <v>R1-11</v>
      </c>
      <c r="FX487" s="6" t="str">
        <f t="shared" ca="1" si="267"/>
        <v>R1-12</v>
      </c>
      <c r="FY487" s="6" t="str">
        <f t="shared" ca="1" si="268"/>
        <v>R1-21</v>
      </c>
      <c r="FZ487" s="6" t="str">
        <f t="shared" ca="1" si="269"/>
        <v>R1-22</v>
      </c>
    </row>
    <row r="488" spans="1:182" ht="15.95" customHeight="1">
      <c r="A488" s="6">
        <v>855</v>
      </c>
      <c r="B488" s="6" t="s">
        <v>780</v>
      </c>
      <c r="E488" s="6" t="s">
        <v>1021</v>
      </c>
      <c r="F488" s="6" t="s">
        <v>1776</v>
      </c>
      <c r="G488" s="6" t="s">
        <v>1290</v>
      </c>
      <c r="H488" s="7" t="s">
        <v>1291</v>
      </c>
      <c r="I488" s="7"/>
      <c r="J488" s="6" t="s">
        <v>1199</v>
      </c>
      <c r="K488" s="6" t="s">
        <v>1201</v>
      </c>
      <c r="N488" s="6" t="s">
        <v>1203</v>
      </c>
      <c r="O488" s="6" t="s">
        <v>1205</v>
      </c>
      <c r="R488" s="101" t="s">
        <v>1443</v>
      </c>
      <c r="Y488" s="6" t="s">
        <v>1774</v>
      </c>
      <c r="Z488" s="6">
        <v>1</v>
      </c>
      <c r="AA488" s="6">
        <v>2</v>
      </c>
      <c r="AD488" s="6" t="s">
        <v>1203</v>
      </c>
      <c r="AE488" s="6" t="s">
        <v>1205</v>
      </c>
      <c r="AG488" s="6" t="s">
        <v>1775</v>
      </c>
      <c r="AY488" s="8" t="s">
        <v>176</v>
      </c>
      <c r="AZ488" s="8" t="s">
        <v>195</v>
      </c>
      <c r="BA488" s="13" t="s">
        <v>1012</v>
      </c>
      <c r="BB488" s="13" t="s">
        <v>200</v>
      </c>
      <c r="BC488" s="13">
        <v>87</v>
      </c>
      <c r="BD488" s="13">
        <v>88</v>
      </c>
      <c r="DC488" s="6" t="s">
        <v>644</v>
      </c>
      <c r="DD488" s="6" t="s">
        <v>187</v>
      </c>
      <c r="DH488" s="6" t="str">
        <f t="shared" si="259"/>
        <v>A7</v>
      </c>
      <c r="DI488" s="6" t="str">
        <f t="shared" si="260"/>
        <v>B7</v>
      </c>
      <c r="DK488" s="6" t="s">
        <v>173</v>
      </c>
      <c r="DL488" s="6" t="str">
        <f t="shared" si="261"/>
        <v/>
      </c>
      <c r="DO488" s="9" t="s">
        <v>170</v>
      </c>
      <c r="DP488" s="6" t="s">
        <v>171</v>
      </c>
      <c r="DQ488" s="6" t="s">
        <v>1013</v>
      </c>
      <c r="DR488" s="6" t="e">
        <f>#REF!&amp;RIGHT(#REF!,3)</f>
        <v>#REF!</v>
      </c>
      <c r="DS488" s="6" t="str">
        <f t="shared" si="262"/>
        <v>AKB331</v>
      </c>
      <c r="DT488" s="10" t="str">
        <f t="shared" si="263"/>
        <v>FCS0112-1-5/1S–MC–119-R1-CN1</v>
      </c>
      <c r="DU488" s="6" t="str">
        <f t="shared" si="264"/>
        <v/>
      </c>
      <c r="DV488" s="19">
        <v>1</v>
      </c>
      <c r="DW488" s="20" t="str">
        <f t="shared" si="265"/>
        <v>12</v>
      </c>
      <c r="DX488" s="20">
        <v>1</v>
      </c>
      <c r="DY488" s="21">
        <v>5</v>
      </c>
      <c r="DZ488" s="22" t="s">
        <v>204</v>
      </c>
      <c r="EA488" s="23">
        <v>7</v>
      </c>
      <c r="EB488" s="7">
        <v>23</v>
      </c>
      <c r="EC488" s="6">
        <v>1</v>
      </c>
      <c r="EE488" s="9" t="s">
        <v>778</v>
      </c>
      <c r="EF488" s="6" t="s">
        <v>647</v>
      </c>
      <c r="EG488" s="6" t="s">
        <v>672</v>
      </c>
      <c r="EH488" s="6" t="s">
        <v>1021</v>
      </c>
      <c r="EI488" s="6" t="s">
        <v>1022</v>
      </c>
      <c r="EJ488" s="12">
        <v>10</v>
      </c>
      <c r="EK488" s="12"/>
      <c r="EM488" s="12"/>
      <c r="EN488" s="12" t="s">
        <v>1126</v>
      </c>
      <c r="ET488" s="6" t="str">
        <f t="shared" si="241"/>
        <v>홀수</v>
      </c>
      <c r="EU488" s="12">
        <v>113</v>
      </c>
      <c r="EV488" s="45" t="str">
        <f t="shared" ca="1" si="250"/>
        <v>B</v>
      </c>
      <c r="EW488" s="6">
        <f t="shared" ca="1" si="242"/>
        <v>66</v>
      </c>
      <c r="FO488" s="6"/>
      <c r="FP488" s="11"/>
      <c r="FR488" s="6">
        <v>1</v>
      </c>
      <c r="FS488" s="6" t="str">
        <f t="shared" si="243"/>
        <v/>
      </c>
      <c r="FT488" s="6">
        <f t="shared" si="244"/>
        <v>1</v>
      </c>
      <c r="FU488" s="6" t="str">
        <f t="shared" ca="1" si="251"/>
        <v/>
      </c>
      <c r="FV488" s="6" t="str">
        <f t="shared" ca="1" si="245"/>
        <v/>
      </c>
      <c r="FW488" s="6" t="str">
        <f t="shared" ca="1" si="266"/>
        <v>R1-11</v>
      </c>
      <c r="FX488" s="6" t="str">
        <f t="shared" ca="1" si="267"/>
        <v>R1-12</v>
      </c>
      <c r="FY488" s="6" t="str">
        <f t="shared" ca="1" si="268"/>
        <v>R1-21</v>
      </c>
      <c r="FZ488" s="6" t="str">
        <f t="shared" ca="1" si="269"/>
        <v>R1-22</v>
      </c>
    </row>
    <row r="489" spans="1:182" ht="15.95" customHeight="1">
      <c r="A489" s="6">
        <v>857</v>
      </c>
      <c r="B489" s="6" t="s">
        <v>780</v>
      </c>
      <c r="E489" s="6" t="s">
        <v>1024</v>
      </c>
      <c r="F489" s="6" t="s">
        <v>1777</v>
      </c>
      <c r="G489" s="6" t="s">
        <v>1290</v>
      </c>
      <c r="H489" s="7" t="s">
        <v>1291</v>
      </c>
      <c r="I489" s="7"/>
      <c r="J489" s="6" t="s">
        <v>1199</v>
      </c>
      <c r="K489" s="6" t="s">
        <v>1201</v>
      </c>
      <c r="N489" s="6" t="s">
        <v>1203</v>
      </c>
      <c r="O489" s="6" t="s">
        <v>1205</v>
      </c>
      <c r="R489" s="101" t="s">
        <v>1778</v>
      </c>
      <c r="Y489" s="6" t="s">
        <v>1779</v>
      </c>
      <c r="Z489" s="6">
        <v>21</v>
      </c>
      <c r="AA489" s="6">
        <v>22</v>
      </c>
      <c r="AD489" s="6" t="s">
        <v>1203</v>
      </c>
      <c r="AE489" s="6" t="s">
        <v>1205</v>
      </c>
      <c r="AG489" s="6">
        <v>0</v>
      </c>
      <c r="AY489" s="8" t="s">
        <v>176</v>
      </c>
      <c r="AZ489" s="8" t="s">
        <v>195</v>
      </c>
      <c r="BA489" s="13" t="s">
        <v>1012</v>
      </c>
      <c r="BB489" s="13" t="s">
        <v>200</v>
      </c>
      <c r="BC489" s="13">
        <v>91</v>
      </c>
      <c r="BD489" s="13">
        <v>92</v>
      </c>
      <c r="DC489" s="6" t="s">
        <v>644</v>
      </c>
      <c r="DD489" s="6" t="s">
        <v>187</v>
      </c>
      <c r="DH489" s="6" t="str">
        <f t="shared" si="259"/>
        <v>A9</v>
      </c>
      <c r="DI489" s="6" t="str">
        <f t="shared" si="260"/>
        <v>B9</v>
      </c>
      <c r="DK489" s="6" t="s">
        <v>173</v>
      </c>
      <c r="DL489" s="6" t="str">
        <f t="shared" si="261"/>
        <v/>
      </c>
      <c r="DO489" s="9" t="s">
        <v>170</v>
      </c>
      <c r="DP489" s="6" t="s">
        <v>171</v>
      </c>
      <c r="DQ489" s="6" t="s">
        <v>1013</v>
      </c>
      <c r="DR489" s="6" t="e">
        <f>#REF!&amp;RIGHT(#REF!,3)</f>
        <v>#REF!</v>
      </c>
      <c r="DS489" s="6" t="str">
        <f t="shared" si="262"/>
        <v>AKB331</v>
      </c>
      <c r="DT489" s="10" t="str">
        <f t="shared" si="263"/>
        <v>FCS0112-1-5/1S–MC–119-R1-CN1</v>
      </c>
      <c r="DU489" s="6" t="str">
        <f t="shared" si="264"/>
        <v/>
      </c>
      <c r="DV489" s="19">
        <v>1</v>
      </c>
      <c r="DW489" s="20" t="str">
        <f t="shared" si="265"/>
        <v>12</v>
      </c>
      <c r="DX489" s="20">
        <v>1</v>
      </c>
      <c r="DY489" s="21">
        <v>5</v>
      </c>
      <c r="DZ489" s="22" t="s">
        <v>204</v>
      </c>
      <c r="EA489" s="23">
        <v>9</v>
      </c>
      <c r="EB489" s="7">
        <v>25</v>
      </c>
      <c r="EC489" s="6">
        <v>1</v>
      </c>
      <c r="EE489" s="9" t="s">
        <v>778</v>
      </c>
      <c r="EF489" s="6" t="s">
        <v>647</v>
      </c>
      <c r="EG489" s="6" t="s">
        <v>672</v>
      </c>
      <c r="EH489" s="6" t="s">
        <v>1024</v>
      </c>
      <c r="EI489" s="6" t="s">
        <v>458</v>
      </c>
      <c r="EJ489" s="12">
        <v>100</v>
      </c>
      <c r="EL489" s="6"/>
      <c r="EM489" s="12"/>
      <c r="EN489" s="6" t="s">
        <v>1123</v>
      </c>
      <c r="EP489" s="6" t="s">
        <v>1148</v>
      </c>
      <c r="ET489" s="6" t="str">
        <f t="shared" si="241"/>
        <v>홀수</v>
      </c>
      <c r="EU489" s="12">
        <v>113</v>
      </c>
      <c r="EV489" s="45" t="str">
        <f t="shared" ca="1" si="250"/>
        <v>C</v>
      </c>
      <c r="EW489" s="6">
        <f t="shared" ca="1" si="242"/>
        <v>67</v>
      </c>
      <c r="FO489" s="6"/>
      <c r="FP489" s="11"/>
      <c r="FR489" s="6">
        <v>1</v>
      </c>
      <c r="FS489" s="6" t="str">
        <f t="shared" si="243"/>
        <v/>
      </c>
      <c r="FT489" s="6">
        <f t="shared" si="244"/>
        <v>1</v>
      </c>
      <c r="FU489" s="6" t="str">
        <f t="shared" ca="1" si="251"/>
        <v/>
      </c>
      <c r="FV489" s="6" t="str">
        <f t="shared" ca="1" si="245"/>
        <v/>
      </c>
      <c r="FW489" s="6" t="str">
        <f t="shared" ca="1" si="266"/>
        <v>R1-11</v>
      </c>
      <c r="FX489" s="6" t="str">
        <f t="shared" ca="1" si="267"/>
        <v>R1-12</v>
      </c>
      <c r="FY489" s="6" t="str">
        <f t="shared" ca="1" si="268"/>
        <v>R1-21</v>
      </c>
      <c r="FZ489" s="6" t="str">
        <f t="shared" ca="1" si="269"/>
        <v>R1-22</v>
      </c>
    </row>
    <row r="490" spans="1:182" ht="15.95" customHeight="1">
      <c r="A490" s="6">
        <v>858</v>
      </c>
      <c r="B490" s="6" t="s">
        <v>780</v>
      </c>
      <c r="E490" s="6" t="s">
        <v>1025</v>
      </c>
      <c r="F490" s="6" t="s">
        <v>1780</v>
      </c>
      <c r="G490" s="6" t="s">
        <v>1290</v>
      </c>
      <c r="H490" s="7" t="s">
        <v>1291</v>
      </c>
      <c r="I490" s="7"/>
      <c r="J490" s="6" t="s">
        <v>1199</v>
      </c>
      <c r="K490" s="6" t="s">
        <v>1201</v>
      </c>
      <c r="N490" s="6" t="s">
        <v>1203</v>
      </c>
      <c r="O490" s="6" t="s">
        <v>1205</v>
      </c>
      <c r="R490" s="101" t="s">
        <v>1778</v>
      </c>
      <c r="Y490" s="6" t="s">
        <v>1779</v>
      </c>
      <c r="Z490" s="6">
        <v>23</v>
      </c>
      <c r="AA490" s="6">
        <v>24</v>
      </c>
      <c r="AD490" s="6" t="s">
        <v>1203</v>
      </c>
      <c r="AE490" s="6" t="s">
        <v>1205</v>
      </c>
      <c r="AG490" s="6">
        <v>0</v>
      </c>
      <c r="AY490" s="8" t="s">
        <v>176</v>
      </c>
      <c r="AZ490" s="8" t="s">
        <v>195</v>
      </c>
      <c r="BA490" s="13" t="s">
        <v>1012</v>
      </c>
      <c r="BB490" s="13" t="s">
        <v>200</v>
      </c>
      <c r="BC490" s="13">
        <v>93</v>
      </c>
      <c r="BD490" s="13">
        <v>94</v>
      </c>
      <c r="DC490" s="6" t="s">
        <v>644</v>
      </c>
      <c r="DD490" s="6" t="s">
        <v>187</v>
      </c>
      <c r="DH490" s="6" t="str">
        <f t="shared" si="259"/>
        <v>A10</v>
      </c>
      <c r="DI490" s="6" t="str">
        <f t="shared" si="260"/>
        <v>B10</v>
      </c>
      <c r="DK490" s="6" t="s">
        <v>173</v>
      </c>
      <c r="DL490" s="6" t="str">
        <f t="shared" si="261"/>
        <v/>
      </c>
      <c r="DO490" s="9" t="s">
        <v>170</v>
      </c>
      <c r="DP490" s="6" t="s">
        <v>171</v>
      </c>
      <c r="DQ490" s="6" t="s">
        <v>1013</v>
      </c>
      <c r="DR490" s="6" t="e">
        <f>#REF!&amp;RIGHT(#REF!,3)</f>
        <v>#REF!</v>
      </c>
      <c r="DS490" s="6" t="str">
        <f t="shared" si="262"/>
        <v>AKB331</v>
      </c>
      <c r="DT490" s="10" t="str">
        <f t="shared" si="263"/>
        <v>FCS0112-1-5/1S–MC–119-R1-CN1</v>
      </c>
      <c r="DU490" s="6" t="str">
        <f t="shared" si="264"/>
        <v/>
      </c>
      <c r="DV490" s="19">
        <v>1</v>
      </c>
      <c r="DW490" s="20" t="str">
        <f t="shared" si="265"/>
        <v>12</v>
      </c>
      <c r="DX490" s="20">
        <v>1</v>
      </c>
      <c r="DY490" s="21">
        <v>5</v>
      </c>
      <c r="DZ490" s="22" t="s">
        <v>204</v>
      </c>
      <c r="EA490" s="23">
        <v>10</v>
      </c>
      <c r="EB490" s="7">
        <v>26</v>
      </c>
      <c r="EC490" s="6">
        <v>1</v>
      </c>
      <c r="EE490" s="9" t="s">
        <v>778</v>
      </c>
      <c r="EF490" s="6" t="s">
        <v>647</v>
      </c>
      <c r="EG490" s="6" t="s">
        <v>672</v>
      </c>
      <c r="EH490" s="6" t="s">
        <v>1025</v>
      </c>
      <c r="EI490" s="6" t="s">
        <v>459</v>
      </c>
      <c r="EJ490" s="12">
        <v>100</v>
      </c>
      <c r="EL490" s="6"/>
      <c r="EM490" s="12"/>
      <c r="EN490" s="6" t="s">
        <v>1123</v>
      </c>
      <c r="EP490" s="6" t="s">
        <v>1148</v>
      </c>
      <c r="ET490" s="6" t="str">
        <f t="shared" si="241"/>
        <v>홀수</v>
      </c>
      <c r="EU490" s="12">
        <v>113</v>
      </c>
      <c r="EV490" s="45" t="str">
        <f t="shared" ca="1" si="250"/>
        <v>D</v>
      </c>
      <c r="EW490" s="6">
        <f t="shared" ca="1" si="242"/>
        <v>68</v>
      </c>
      <c r="FO490" s="6"/>
      <c r="FP490" s="11"/>
      <c r="FR490" s="6">
        <v>1</v>
      </c>
      <c r="FS490" s="6" t="str">
        <f t="shared" si="243"/>
        <v/>
      </c>
      <c r="FT490" s="6">
        <f t="shared" si="244"/>
        <v>1</v>
      </c>
      <c r="FU490" s="6" t="str">
        <f t="shared" ca="1" si="251"/>
        <v/>
      </c>
      <c r="FV490" s="6" t="str">
        <f t="shared" ca="1" si="245"/>
        <v/>
      </c>
      <c r="FW490" s="6" t="str">
        <f t="shared" ca="1" si="266"/>
        <v>R1-11</v>
      </c>
      <c r="FX490" s="6" t="str">
        <f t="shared" ca="1" si="267"/>
        <v>R1-12</v>
      </c>
      <c r="FY490" s="6" t="str">
        <f t="shared" ca="1" si="268"/>
        <v>R1-21</v>
      </c>
      <c r="FZ490" s="6" t="str">
        <f t="shared" ca="1" si="269"/>
        <v>R1-22</v>
      </c>
    </row>
    <row r="491" spans="1:182" ht="15.95" customHeight="1">
      <c r="A491" s="6">
        <v>860</v>
      </c>
      <c r="B491" s="6" t="s">
        <v>780</v>
      </c>
      <c r="E491" s="6" t="s">
        <v>1028</v>
      </c>
      <c r="F491" s="6" t="s">
        <v>1781</v>
      </c>
      <c r="G491" s="6" t="s">
        <v>1290</v>
      </c>
      <c r="H491" s="7" t="s">
        <v>1291</v>
      </c>
      <c r="I491" s="7"/>
      <c r="J491" s="6" t="s">
        <v>1199</v>
      </c>
      <c r="K491" s="6" t="s">
        <v>1201</v>
      </c>
      <c r="N491" s="6" t="s">
        <v>1203</v>
      </c>
      <c r="O491" s="6" t="s">
        <v>1205</v>
      </c>
      <c r="R491" s="101" t="s">
        <v>1778</v>
      </c>
      <c r="Y491" s="6" t="s">
        <v>1779</v>
      </c>
      <c r="Z491" s="6">
        <v>3</v>
      </c>
      <c r="AA491" s="6">
        <v>4</v>
      </c>
      <c r="AD491" s="6" t="s">
        <v>1203</v>
      </c>
      <c r="AE491" s="6" t="s">
        <v>1205</v>
      </c>
      <c r="AG491" s="6">
        <v>0</v>
      </c>
      <c r="AY491" s="8" t="s">
        <v>176</v>
      </c>
      <c r="AZ491" s="8" t="s">
        <v>195</v>
      </c>
      <c r="BA491" s="13" t="s">
        <v>1012</v>
      </c>
      <c r="BB491" s="13" t="s">
        <v>200</v>
      </c>
      <c r="BC491" s="13">
        <v>97</v>
      </c>
      <c r="BD491" s="13">
        <v>98</v>
      </c>
      <c r="DC491" s="6" t="s">
        <v>644</v>
      </c>
      <c r="DD491" s="6" t="s">
        <v>187</v>
      </c>
      <c r="DH491" s="6" t="str">
        <f>"A"&amp;EA491</f>
        <v>A12</v>
      </c>
      <c r="DI491" s="6" t="str">
        <f>"B"&amp;EA491</f>
        <v>B12</v>
      </c>
      <c r="DK491" s="6" t="s">
        <v>173</v>
      </c>
      <c r="DL491" s="6" t="str">
        <f>IF(DZ491&lt;&gt;"","CN2","")</f>
        <v/>
      </c>
      <c r="DO491" s="9" t="s">
        <v>170</v>
      </c>
      <c r="DP491" s="6" t="s">
        <v>171</v>
      </c>
      <c r="DQ491" s="6" t="s">
        <v>1013</v>
      </c>
      <c r="DR491" s="6" t="e">
        <f>#REF!&amp;RIGHT(#REF!,3)</f>
        <v>#REF!</v>
      </c>
      <c r="DS491" s="6" t="str">
        <f>IF(MID(EF491,2,1)="A","KS1","AKB331")</f>
        <v>AKB331</v>
      </c>
      <c r="DT491" s="10" t="str">
        <f>DQ491&amp;"-"&amp;DX491&amp;"-"&amp;DY491&amp;"/"&amp;BA491&amp;"-"&amp;DD491&amp;"-"&amp;DK491</f>
        <v>FCS0112-1-5/1S–MC–119-R1-CN1</v>
      </c>
      <c r="DU491" s="6" t="str">
        <f>IF(DL491="","",DQ491&amp;"-"&amp;DX491&amp;"-"&amp;DY491&amp;"/"&amp;BA491&amp;"-"&amp;DD491&amp;"-"&amp;DL491)</f>
        <v/>
      </c>
      <c r="DV491" s="19">
        <v>1</v>
      </c>
      <c r="DW491" s="20" t="str">
        <f>RIGHT(DQ491,2)</f>
        <v>12</v>
      </c>
      <c r="DX491" s="20">
        <v>1</v>
      </c>
      <c r="DY491" s="21">
        <v>5</v>
      </c>
      <c r="DZ491" s="22" t="s">
        <v>204</v>
      </c>
      <c r="EA491" s="23">
        <v>12</v>
      </c>
      <c r="EB491" s="7">
        <v>28</v>
      </c>
      <c r="EC491" s="6">
        <v>1</v>
      </c>
      <c r="EE491" s="9" t="s">
        <v>778</v>
      </c>
      <c r="EF491" s="6" t="s">
        <v>647</v>
      </c>
      <c r="EG491" s="6" t="s">
        <v>672</v>
      </c>
      <c r="EH491" s="6" t="s">
        <v>1028</v>
      </c>
      <c r="EI491" s="6" t="s">
        <v>1027</v>
      </c>
      <c r="EJ491" s="12">
        <v>10</v>
      </c>
      <c r="EK491" s="12"/>
      <c r="EM491" s="12"/>
      <c r="EN491" s="12" t="s">
        <v>1126</v>
      </c>
      <c r="EP491" s="6" t="s">
        <v>1156</v>
      </c>
      <c r="ER491" s="6" t="str">
        <f>"UVOX"&amp;MID(EH491,4,6)</f>
        <v>UVOXY54206</v>
      </c>
      <c r="ET491" s="6" t="str">
        <f t="shared" si="241"/>
        <v>짝수</v>
      </c>
      <c r="EU491" s="12">
        <v>114</v>
      </c>
      <c r="EV491" s="45" t="str">
        <f t="shared" ca="1" si="250"/>
        <v>A</v>
      </c>
      <c r="EW491" s="6">
        <f t="shared" ca="1" si="242"/>
        <v>65</v>
      </c>
      <c r="EZ491" s="6" t="str">
        <f>"UVNXD"&amp;MID(EH491,4,6)&amp;"I"</f>
        <v>UVNXDY54206I</v>
      </c>
      <c r="FO491" s="6"/>
      <c r="FP491" s="11"/>
      <c r="FR491" s="6">
        <v>1</v>
      </c>
      <c r="FS491" s="6" t="str">
        <f t="shared" si="243"/>
        <v/>
      </c>
      <c r="FT491" s="6">
        <f t="shared" si="244"/>
        <v>1</v>
      </c>
      <c r="FU491" s="6" t="str">
        <f t="shared" ca="1" si="251"/>
        <v/>
      </c>
      <c r="FV491" s="6" t="str">
        <f t="shared" ca="1" si="245"/>
        <v/>
      </c>
      <c r="FW491" s="6" t="str">
        <f t="shared" ca="1" si="266"/>
        <v>R1-11</v>
      </c>
      <c r="FX491" s="6" t="str">
        <f t="shared" ca="1" si="267"/>
        <v>R1-12</v>
      </c>
      <c r="FY491" s="6" t="str">
        <f t="shared" ca="1" si="268"/>
        <v>R1-21</v>
      </c>
      <c r="FZ491" s="6" t="str">
        <f t="shared" ca="1" si="269"/>
        <v>R1-22</v>
      </c>
    </row>
    <row r="492" spans="1:182" ht="15.95" customHeight="1">
      <c r="A492" s="6">
        <v>859</v>
      </c>
      <c r="B492" s="6" t="s">
        <v>780</v>
      </c>
      <c r="E492" s="6" t="s">
        <v>1026</v>
      </c>
      <c r="F492" s="6" t="s">
        <v>1782</v>
      </c>
      <c r="G492" s="6" t="s">
        <v>1290</v>
      </c>
      <c r="H492" s="7" t="s">
        <v>1291</v>
      </c>
      <c r="I492" s="7"/>
      <c r="J492" s="6" t="s">
        <v>1199</v>
      </c>
      <c r="K492" s="6" t="s">
        <v>1201</v>
      </c>
      <c r="N492" s="6" t="s">
        <v>1203</v>
      </c>
      <c r="O492" s="6" t="s">
        <v>1205</v>
      </c>
      <c r="R492" s="101" t="s">
        <v>1778</v>
      </c>
      <c r="Y492" s="6" t="s">
        <v>1779</v>
      </c>
      <c r="Z492" s="6">
        <v>1</v>
      </c>
      <c r="AA492" s="6">
        <v>2</v>
      </c>
      <c r="AD492" s="6" t="s">
        <v>1203</v>
      </c>
      <c r="AE492" s="6" t="s">
        <v>1205</v>
      </c>
      <c r="AG492" s="6">
        <v>0</v>
      </c>
      <c r="AY492" s="8" t="s">
        <v>176</v>
      </c>
      <c r="AZ492" s="8" t="s">
        <v>195</v>
      </c>
      <c r="BA492" s="13" t="s">
        <v>1012</v>
      </c>
      <c r="BB492" s="13" t="s">
        <v>200</v>
      </c>
      <c r="BC492" s="13">
        <v>95</v>
      </c>
      <c r="BD492" s="13">
        <v>96</v>
      </c>
      <c r="DC492" s="6" t="s">
        <v>644</v>
      </c>
      <c r="DD492" s="6" t="s">
        <v>187</v>
      </c>
      <c r="DH492" s="6" t="str">
        <f t="shared" si="259"/>
        <v>A11</v>
      </c>
      <c r="DI492" s="6" t="str">
        <f t="shared" si="260"/>
        <v>B11</v>
      </c>
      <c r="DK492" s="6" t="s">
        <v>173</v>
      </c>
      <c r="DL492" s="6" t="str">
        <f t="shared" si="261"/>
        <v/>
      </c>
      <c r="DO492" s="9" t="s">
        <v>170</v>
      </c>
      <c r="DP492" s="6" t="s">
        <v>171</v>
      </c>
      <c r="DQ492" s="6" t="s">
        <v>1013</v>
      </c>
      <c r="DR492" s="6" t="e">
        <f>#REF!&amp;RIGHT(#REF!,3)</f>
        <v>#REF!</v>
      </c>
      <c r="DS492" s="6" t="str">
        <f t="shared" si="262"/>
        <v>AKB331</v>
      </c>
      <c r="DT492" s="10" t="str">
        <f t="shared" si="263"/>
        <v>FCS0112-1-5/1S–MC–119-R1-CN1</v>
      </c>
      <c r="DU492" s="6" t="str">
        <f t="shared" si="264"/>
        <v/>
      </c>
      <c r="DV492" s="19">
        <v>1</v>
      </c>
      <c r="DW492" s="20" t="str">
        <f t="shared" si="265"/>
        <v>12</v>
      </c>
      <c r="DX492" s="20">
        <v>1</v>
      </c>
      <c r="DY492" s="21">
        <v>5</v>
      </c>
      <c r="DZ492" s="22" t="s">
        <v>204</v>
      </c>
      <c r="EA492" s="23">
        <v>11</v>
      </c>
      <c r="EB492" s="7">
        <v>27</v>
      </c>
      <c r="EC492" s="6">
        <v>1</v>
      </c>
      <c r="EE492" s="9" t="s">
        <v>778</v>
      </c>
      <c r="EF492" s="6" t="s">
        <v>647</v>
      </c>
      <c r="EG492" s="6" t="s">
        <v>672</v>
      </c>
      <c r="EH492" s="6" t="s">
        <v>1026</v>
      </c>
      <c r="EI492" s="6" t="s">
        <v>1027</v>
      </c>
      <c r="EJ492" s="12">
        <v>10</v>
      </c>
      <c r="EK492" s="12"/>
      <c r="EM492" s="12"/>
      <c r="EN492" s="12" t="s">
        <v>1126</v>
      </c>
      <c r="ET492" s="6" t="str">
        <f t="shared" si="241"/>
        <v>짝수</v>
      </c>
      <c r="EU492" s="12">
        <v>114</v>
      </c>
      <c r="EV492" s="45" t="str">
        <f t="shared" ca="1" si="250"/>
        <v>B</v>
      </c>
      <c r="EW492" s="6">
        <f t="shared" ca="1" si="242"/>
        <v>66</v>
      </c>
      <c r="FO492" s="6"/>
      <c r="FP492" s="11"/>
      <c r="FR492" s="6">
        <v>1</v>
      </c>
      <c r="FS492" s="6" t="str">
        <f t="shared" si="243"/>
        <v/>
      </c>
      <c r="FT492" s="6">
        <f t="shared" si="244"/>
        <v>1</v>
      </c>
      <c r="FU492" s="6" t="str">
        <f t="shared" ca="1" si="251"/>
        <v/>
      </c>
      <c r="FV492" s="6" t="str">
        <f t="shared" ca="1" si="245"/>
        <v/>
      </c>
      <c r="FW492" s="6" t="str">
        <f t="shared" ca="1" si="266"/>
        <v>R1-11</v>
      </c>
      <c r="FX492" s="6" t="str">
        <f t="shared" ca="1" si="267"/>
        <v>R1-12</v>
      </c>
      <c r="FY492" s="6" t="str">
        <f t="shared" ca="1" si="268"/>
        <v>R1-21</v>
      </c>
      <c r="FZ492" s="6" t="str">
        <f t="shared" ca="1" si="269"/>
        <v>R1-22</v>
      </c>
    </row>
    <row r="493" spans="1:182" ht="15.95" customHeight="1">
      <c r="A493" s="6">
        <v>862</v>
      </c>
      <c r="B493" s="6" t="s">
        <v>780</v>
      </c>
      <c r="E493" s="6" t="s">
        <v>1031</v>
      </c>
      <c r="F493" s="6" t="s">
        <v>1783</v>
      </c>
      <c r="G493" s="6" t="s">
        <v>1290</v>
      </c>
      <c r="H493" s="7" t="s">
        <v>1291</v>
      </c>
      <c r="I493" s="7"/>
      <c r="J493" s="6" t="s">
        <v>1199</v>
      </c>
      <c r="K493" s="6" t="s">
        <v>1201</v>
      </c>
      <c r="N493" s="6" t="s">
        <v>1203</v>
      </c>
      <c r="O493" s="6" t="s">
        <v>1205</v>
      </c>
      <c r="R493" s="101" t="s">
        <v>1778</v>
      </c>
      <c r="Y493" s="6" t="s">
        <v>1779</v>
      </c>
      <c r="Z493" s="6">
        <v>7</v>
      </c>
      <c r="AA493" s="6">
        <v>8</v>
      </c>
      <c r="AD493" s="6" t="s">
        <v>1203</v>
      </c>
      <c r="AE493" s="6" t="s">
        <v>1205</v>
      </c>
      <c r="AG493" s="6">
        <v>0</v>
      </c>
      <c r="AY493" s="8" t="s">
        <v>176</v>
      </c>
      <c r="AZ493" s="8" t="s">
        <v>195</v>
      </c>
      <c r="BA493" s="13" t="s">
        <v>1012</v>
      </c>
      <c r="BB493" s="13" t="s">
        <v>200</v>
      </c>
      <c r="BC493" s="13">
        <v>101</v>
      </c>
      <c r="BD493" s="13">
        <v>102</v>
      </c>
      <c r="DC493" s="6" t="s">
        <v>644</v>
      </c>
      <c r="DD493" s="6" t="s">
        <v>187</v>
      </c>
      <c r="DH493" s="6" t="str">
        <f>"A"&amp;EA493</f>
        <v>A14</v>
      </c>
      <c r="DI493" s="6" t="str">
        <f>"B"&amp;EA493</f>
        <v>B14</v>
      </c>
      <c r="DK493" s="6" t="s">
        <v>173</v>
      </c>
      <c r="DL493" s="6" t="str">
        <f>IF(DZ493&lt;&gt;"","CN2","")</f>
        <v/>
      </c>
      <c r="DO493" s="9" t="s">
        <v>170</v>
      </c>
      <c r="DP493" s="6" t="s">
        <v>171</v>
      </c>
      <c r="DQ493" s="6" t="s">
        <v>1013</v>
      </c>
      <c r="DR493" s="6" t="e">
        <f>#REF!&amp;RIGHT(#REF!,3)</f>
        <v>#REF!</v>
      </c>
      <c r="DS493" s="6" t="str">
        <f>IF(MID(EF493,2,1)="A","KS1","AKB331")</f>
        <v>AKB331</v>
      </c>
      <c r="DT493" s="10" t="str">
        <f>DQ493&amp;"-"&amp;DX493&amp;"-"&amp;DY493&amp;"/"&amp;BA493&amp;"-"&amp;DD493&amp;"-"&amp;DK493</f>
        <v>FCS0112-1-5/1S–MC–119-R1-CN1</v>
      </c>
      <c r="DU493" s="6" t="str">
        <f>IF(DL493="","",DQ493&amp;"-"&amp;DX493&amp;"-"&amp;DY493&amp;"/"&amp;BA493&amp;"-"&amp;DD493&amp;"-"&amp;DL493)</f>
        <v/>
      </c>
      <c r="DV493" s="19">
        <v>1</v>
      </c>
      <c r="DW493" s="20" t="str">
        <f>RIGHT(DQ493,2)</f>
        <v>12</v>
      </c>
      <c r="DX493" s="20">
        <v>1</v>
      </c>
      <c r="DY493" s="21">
        <v>5</v>
      </c>
      <c r="DZ493" s="22" t="s">
        <v>204</v>
      </c>
      <c r="EA493" s="23">
        <v>14</v>
      </c>
      <c r="EB493" s="7">
        <v>30</v>
      </c>
      <c r="EC493" s="6">
        <v>1</v>
      </c>
      <c r="EE493" s="9" t="s">
        <v>778</v>
      </c>
      <c r="EF493" s="6" t="s">
        <v>647</v>
      </c>
      <c r="EG493" s="6" t="s">
        <v>672</v>
      </c>
      <c r="EH493" s="6" t="s">
        <v>1031</v>
      </c>
      <c r="EI493" s="6" t="s">
        <v>1030</v>
      </c>
      <c r="EJ493" s="12">
        <v>10</v>
      </c>
      <c r="EK493" s="12"/>
      <c r="EM493" s="12"/>
      <c r="EN493" s="12" t="s">
        <v>1126</v>
      </c>
      <c r="EP493" s="6" t="s">
        <v>1156</v>
      </c>
      <c r="ER493" s="6" t="str">
        <f>"UVOX"&amp;MID(EH493,4,6)</f>
        <v>UVOXY54208</v>
      </c>
      <c r="ET493" s="6" t="str">
        <f t="shared" si="241"/>
        <v>짝수</v>
      </c>
      <c r="EU493" s="12">
        <v>114</v>
      </c>
      <c r="EV493" s="45" t="str">
        <f t="shared" ca="1" si="250"/>
        <v>C</v>
      </c>
      <c r="EW493" s="6">
        <f t="shared" ca="1" si="242"/>
        <v>67</v>
      </c>
      <c r="EZ493" s="6" t="str">
        <f>"UVNXD"&amp;MID(EH493,4,6)&amp;"I"</f>
        <v>UVNXDY54208I</v>
      </c>
      <c r="FO493" s="6"/>
      <c r="FP493" s="11"/>
      <c r="FR493" s="6">
        <v>1</v>
      </c>
      <c r="FS493" s="6" t="str">
        <f t="shared" si="243"/>
        <v/>
      </c>
      <c r="FT493" s="6">
        <f t="shared" si="244"/>
        <v>1</v>
      </c>
      <c r="FU493" s="6" t="str">
        <f t="shared" ca="1" si="251"/>
        <v/>
      </c>
      <c r="FV493" s="6" t="str">
        <f t="shared" ca="1" si="245"/>
        <v/>
      </c>
      <c r="FW493" s="6" t="str">
        <f t="shared" ca="1" si="266"/>
        <v>R1-11</v>
      </c>
      <c r="FX493" s="6" t="str">
        <f t="shared" ca="1" si="267"/>
        <v>R1-12</v>
      </c>
      <c r="FY493" s="6" t="str">
        <f t="shared" ca="1" si="268"/>
        <v>R1-21</v>
      </c>
      <c r="FZ493" s="6" t="str">
        <f t="shared" ca="1" si="269"/>
        <v>R1-22</v>
      </c>
    </row>
    <row r="494" spans="1:182" ht="15.95" customHeight="1">
      <c r="A494" s="6">
        <v>861</v>
      </c>
      <c r="B494" s="6" t="s">
        <v>780</v>
      </c>
      <c r="E494" s="6" t="s">
        <v>1029</v>
      </c>
      <c r="F494" s="6" t="s">
        <v>1784</v>
      </c>
      <c r="G494" s="6" t="s">
        <v>1290</v>
      </c>
      <c r="H494" s="7" t="s">
        <v>1291</v>
      </c>
      <c r="I494" s="7"/>
      <c r="J494" s="6" t="s">
        <v>1199</v>
      </c>
      <c r="K494" s="6" t="s">
        <v>1201</v>
      </c>
      <c r="N494" s="6" t="s">
        <v>1203</v>
      </c>
      <c r="O494" s="6" t="s">
        <v>1205</v>
      </c>
      <c r="R494" s="101" t="s">
        <v>1778</v>
      </c>
      <c r="Y494" s="6" t="s">
        <v>1779</v>
      </c>
      <c r="Z494" s="6">
        <v>5</v>
      </c>
      <c r="AA494" s="6">
        <v>6</v>
      </c>
      <c r="AD494" s="6" t="s">
        <v>1203</v>
      </c>
      <c r="AE494" s="6" t="s">
        <v>1205</v>
      </c>
      <c r="AG494" s="6">
        <v>0</v>
      </c>
      <c r="AY494" s="8" t="s">
        <v>176</v>
      </c>
      <c r="AZ494" s="8" t="s">
        <v>195</v>
      </c>
      <c r="BA494" s="13" t="s">
        <v>1012</v>
      </c>
      <c r="BB494" s="13" t="s">
        <v>200</v>
      </c>
      <c r="BC494" s="13">
        <v>99</v>
      </c>
      <c r="BD494" s="13">
        <v>100</v>
      </c>
      <c r="DC494" s="6" t="s">
        <v>644</v>
      </c>
      <c r="DD494" s="6" t="s">
        <v>187</v>
      </c>
      <c r="DH494" s="6" t="str">
        <f t="shared" si="259"/>
        <v>A13</v>
      </c>
      <c r="DI494" s="6" t="str">
        <f t="shared" si="260"/>
        <v>B13</v>
      </c>
      <c r="DK494" s="6" t="s">
        <v>173</v>
      </c>
      <c r="DL494" s="6" t="str">
        <f t="shared" si="261"/>
        <v/>
      </c>
      <c r="DO494" s="9" t="s">
        <v>170</v>
      </c>
      <c r="DP494" s="6" t="s">
        <v>171</v>
      </c>
      <c r="DQ494" s="6" t="s">
        <v>1013</v>
      </c>
      <c r="DR494" s="6" t="e">
        <f>#REF!&amp;RIGHT(#REF!,3)</f>
        <v>#REF!</v>
      </c>
      <c r="DS494" s="6" t="str">
        <f t="shared" si="262"/>
        <v>AKB331</v>
      </c>
      <c r="DT494" s="10" t="str">
        <f t="shared" si="263"/>
        <v>FCS0112-1-5/1S–MC–119-R1-CN1</v>
      </c>
      <c r="DU494" s="6" t="str">
        <f t="shared" si="264"/>
        <v/>
      </c>
      <c r="DV494" s="19">
        <v>1</v>
      </c>
      <c r="DW494" s="20" t="str">
        <f t="shared" si="265"/>
        <v>12</v>
      </c>
      <c r="DX494" s="20">
        <v>1</v>
      </c>
      <c r="DY494" s="21">
        <v>5</v>
      </c>
      <c r="DZ494" s="22" t="s">
        <v>204</v>
      </c>
      <c r="EA494" s="23">
        <v>13</v>
      </c>
      <c r="EB494" s="7">
        <v>29</v>
      </c>
      <c r="EC494" s="6">
        <v>1</v>
      </c>
      <c r="EE494" s="9" t="s">
        <v>778</v>
      </c>
      <c r="EF494" s="6" t="s">
        <v>647</v>
      </c>
      <c r="EG494" s="6" t="s">
        <v>672</v>
      </c>
      <c r="EH494" s="6" t="s">
        <v>1029</v>
      </c>
      <c r="EI494" s="6" t="s">
        <v>1030</v>
      </c>
      <c r="EJ494" s="12">
        <v>10</v>
      </c>
      <c r="EK494" s="12"/>
      <c r="EM494" s="12"/>
      <c r="EN494" s="12" t="s">
        <v>1126</v>
      </c>
      <c r="ET494" s="6" t="str">
        <f t="shared" si="241"/>
        <v>짝수</v>
      </c>
      <c r="EU494" s="12">
        <v>114</v>
      </c>
      <c r="EV494" s="45" t="str">
        <f t="shared" ca="1" si="250"/>
        <v>D</v>
      </c>
      <c r="EW494" s="6">
        <f t="shared" ca="1" si="242"/>
        <v>68</v>
      </c>
      <c r="FO494" s="6"/>
      <c r="FP494" s="11"/>
      <c r="FR494" s="6">
        <v>1</v>
      </c>
      <c r="FS494" s="6" t="str">
        <f t="shared" si="243"/>
        <v/>
      </c>
      <c r="FT494" s="6">
        <f t="shared" si="244"/>
        <v>1</v>
      </c>
      <c r="FU494" s="6" t="str">
        <f t="shared" ca="1" si="251"/>
        <v/>
      </c>
      <c r="FV494" s="6" t="str">
        <f t="shared" ca="1" si="245"/>
        <v/>
      </c>
      <c r="FW494" s="6" t="str">
        <f t="shared" ca="1" si="266"/>
        <v>R1-11</v>
      </c>
      <c r="FX494" s="6" t="str">
        <f t="shared" ca="1" si="267"/>
        <v>R1-12</v>
      </c>
      <c r="FY494" s="6" t="str">
        <f t="shared" ca="1" si="268"/>
        <v>R1-21</v>
      </c>
      <c r="FZ494" s="6" t="str">
        <f t="shared" ca="1" si="269"/>
        <v>R1-22</v>
      </c>
    </row>
    <row r="495" spans="1:182" ht="15.95" customHeight="1">
      <c r="A495" s="6">
        <v>864</v>
      </c>
      <c r="B495" s="6" t="s">
        <v>780</v>
      </c>
      <c r="E495" s="6" t="s">
        <v>1034</v>
      </c>
      <c r="F495" s="6" t="s">
        <v>1785</v>
      </c>
      <c r="G495" s="6" t="s">
        <v>1290</v>
      </c>
      <c r="H495" s="7" t="s">
        <v>1291</v>
      </c>
      <c r="I495" s="7"/>
      <c r="J495" s="6" t="s">
        <v>1199</v>
      </c>
      <c r="K495" s="6" t="s">
        <v>1201</v>
      </c>
      <c r="N495" s="6" t="s">
        <v>1203</v>
      </c>
      <c r="O495" s="6" t="s">
        <v>1205</v>
      </c>
      <c r="R495" s="101" t="s">
        <v>1778</v>
      </c>
      <c r="Y495" s="6" t="s">
        <v>1779</v>
      </c>
      <c r="Z495" s="6">
        <v>11</v>
      </c>
      <c r="AA495" s="6">
        <v>12</v>
      </c>
      <c r="AD495" s="6" t="s">
        <v>1203</v>
      </c>
      <c r="AE495" s="6" t="s">
        <v>1205</v>
      </c>
      <c r="AG495" s="6">
        <v>0</v>
      </c>
      <c r="AY495" s="8" t="s">
        <v>176</v>
      </c>
      <c r="AZ495" s="8" t="s">
        <v>195</v>
      </c>
      <c r="BA495" s="13" t="s">
        <v>1012</v>
      </c>
      <c r="BB495" s="13" t="s">
        <v>200</v>
      </c>
      <c r="BC495" s="13">
        <v>105</v>
      </c>
      <c r="BD495" s="13">
        <v>106</v>
      </c>
      <c r="DC495" s="6" t="s">
        <v>644</v>
      </c>
      <c r="DD495" s="6" t="s">
        <v>187</v>
      </c>
      <c r="DH495" s="6" t="str">
        <f>"A"&amp;EA495</f>
        <v>A16</v>
      </c>
      <c r="DI495" s="6" t="str">
        <f>"B"&amp;EA495</f>
        <v>B16</v>
      </c>
      <c r="DK495" s="6" t="s">
        <v>173</v>
      </c>
      <c r="DL495" s="6" t="str">
        <f>IF(DZ495&lt;&gt;"","CN2","")</f>
        <v/>
      </c>
      <c r="DO495" s="9" t="s">
        <v>170</v>
      </c>
      <c r="DP495" s="6" t="s">
        <v>171</v>
      </c>
      <c r="DQ495" s="6" t="s">
        <v>1013</v>
      </c>
      <c r="DR495" s="6" t="e">
        <f>#REF!&amp;RIGHT(#REF!,3)</f>
        <v>#REF!</v>
      </c>
      <c r="DS495" s="6" t="str">
        <f>IF(MID(EF495,2,1)="A","KS1","AKB331")</f>
        <v>AKB331</v>
      </c>
      <c r="DT495" s="10" t="str">
        <f>DQ495&amp;"-"&amp;DX495&amp;"-"&amp;DY495&amp;"/"&amp;BA495&amp;"-"&amp;DD495&amp;"-"&amp;DK495</f>
        <v>FCS0112-1-5/1S–MC–119-R1-CN1</v>
      </c>
      <c r="DU495" s="6" t="str">
        <f>IF(DL495="","",DQ495&amp;"-"&amp;DX495&amp;"-"&amp;DY495&amp;"/"&amp;BA495&amp;"-"&amp;DD495&amp;"-"&amp;DL495)</f>
        <v/>
      </c>
      <c r="DV495" s="19">
        <v>1</v>
      </c>
      <c r="DW495" s="20" t="str">
        <f>RIGHT(DQ495,2)</f>
        <v>12</v>
      </c>
      <c r="DX495" s="20">
        <v>1</v>
      </c>
      <c r="DY495" s="21">
        <v>5</v>
      </c>
      <c r="DZ495" s="22" t="s">
        <v>204</v>
      </c>
      <c r="EA495" s="23">
        <v>16</v>
      </c>
      <c r="EB495" s="7">
        <v>32</v>
      </c>
      <c r="EC495" s="6">
        <v>1</v>
      </c>
      <c r="EE495" s="9" t="s">
        <v>778</v>
      </c>
      <c r="EF495" s="6" t="s">
        <v>647</v>
      </c>
      <c r="EG495" s="6" t="s">
        <v>672</v>
      </c>
      <c r="EH495" s="6" t="s">
        <v>1034</v>
      </c>
      <c r="EI495" s="6" t="s">
        <v>1033</v>
      </c>
      <c r="EJ495" s="12">
        <v>10</v>
      </c>
      <c r="EK495" s="12"/>
      <c r="EM495" s="12"/>
      <c r="EN495" s="12" t="s">
        <v>1126</v>
      </c>
      <c r="EP495" s="6" t="s">
        <v>1156</v>
      </c>
      <c r="ER495" s="6" t="str">
        <f>"UVOX"&amp;MID(EH495,4,6)</f>
        <v>UVOXY54222</v>
      </c>
      <c r="ET495" s="6" t="str">
        <f t="shared" si="241"/>
        <v>홀수</v>
      </c>
      <c r="EU495" s="12">
        <v>115</v>
      </c>
      <c r="EV495" s="45" t="str">
        <f t="shared" ca="1" si="250"/>
        <v>A</v>
      </c>
      <c r="EW495" s="6">
        <f t="shared" ca="1" si="242"/>
        <v>65</v>
      </c>
      <c r="EZ495" s="6" t="str">
        <f>"UVNXD"&amp;MID(EH495,4,6)&amp;"I"</f>
        <v>UVNXDY54222I</v>
      </c>
      <c r="FO495" s="6"/>
      <c r="FP495" s="11"/>
      <c r="FR495" s="6">
        <v>1</v>
      </c>
      <c r="FS495" s="6" t="str">
        <f t="shared" si="243"/>
        <v/>
      </c>
      <c r="FT495" s="6">
        <f t="shared" si="244"/>
        <v>1</v>
      </c>
      <c r="FU495" s="6" t="str">
        <f t="shared" ca="1" si="251"/>
        <v/>
      </c>
      <c r="FV495" s="6" t="str">
        <f t="shared" ca="1" si="245"/>
        <v/>
      </c>
      <c r="FW495" s="6" t="str">
        <f t="shared" ca="1" si="266"/>
        <v>R1-11</v>
      </c>
      <c r="FX495" s="6" t="str">
        <f t="shared" ca="1" si="267"/>
        <v>R1-12</v>
      </c>
      <c r="FY495" s="6" t="str">
        <f t="shared" ca="1" si="268"/>
        <v>R1-21</v>
      </c>
      <c r="FZ495" s="6" t="str">
        <f t="shared" ca="1" si="269"/>
        <v>R1-22</v>
      </c>
    </row>
    <row r="496" spans="1:182" ht="15.95" customHeight="1">
      <c r="A496" s="6">
        <v>863</v>
      </c>
      <c r="B496" s="6" t="s">
        <v>780</v>
      </c>
      <c r="E496" s="6" t="s">
        <v>1032</v>
      </c>
      <c r="F496" s="6" t="s">
        <v>1786</v>
      </c>
      <c r="G496" s="6" t="s">
        <v>1290</v>
      </c>
      <c r="H496" s="7" t="s">
        <v>1291</v>
      </c>
      <c r="I496" s="7"/>
      <c r="J496" s="6" t="s">
        <v>1199</v>
      </c>
      <c r="K496" s="6" t="s">
        <v>1201</v>
      </c>
      <c r="N496" s="6" t="s">
        <v>1203</v>
      </c>
      <c r="O496" s="6" t="s">
        <v>1205</v>
      </c>
      <c r="R496" s="101" t="s">
        <v>1778</v>
      </c>
      <c r="Y496" s="6" t="s">
        <v>1779</v>
      </c>
      <c r="Z496" s="6">
        <v>9</v>
      </c>
      <c r="AA496" s="6">
        <v>10</v>
      </c>
      <c r="AD496" s="6" t="s">
        <v>1203</v>
      </c>
      <c r="AE496" s="6" t="s">
        <v>1205</v>
      </c>
      <c r="AG496" s="6">
        <v>0</v>
      </c>
      <c r="AY496" s="8" t="s">
        <v>176</v>
      </c>
      <c r="AZ496" s="8" t="s">
        <v>195</v>
      </c>
      <c r="BA496" s="13" t="s">
        <v>1012</v>
      </c>
      <c r="BB496" s="13" t="s">
        <v>200</v>
      </c>
      <c r="BC496" s="13">
        <v>103</v>
      </c>
      <c r="BD496" s="13">
        <v>104</v>
      </c>
      <c r="DC496" s="6" t="s">
        <v>644</v>
      </c>
      <c r="DD496" s="6" t="s">
        <v>187</v>
      </c>
      <c r="DH496" s="6" t="str">
        <f t="shared" si="259"/>
        <v>A15</v>
      </c>
      <c r="DI496" s="6" t="str">
        <f t="shared" si="260"/>
        <v>B15</v>
      </c>
      <c r="DK496" s="6" t="s">
        <v>173</v>
      </c>
      <c r="DL496" s="6" t="str">
        <f t="shared" si="261"/>
        <v/>
      </c>
      <c r="DO496" s="9" t="s">
        <v>170</v>
      </c>
      <c r="DP496" s="6" t="s">
        <v>171</v>
      </c>
      <c r="DQ496" s="6" t="s">
        <v>1013</v>
      </c>
      <c r="DR496" s="6" t="e">
        <f>#REF!&amp;RIGHT(#REF!,3)</f>
        <v>#REF!</v>
      </c>
      <c r="DS496" s="6" t="str">
        <f t="shared" si="262"/>
        <v>AKB331</v>
      </c>
      <c r="DT496" s="10" t="str">
        <f t="shared" si="263"/>
        <v>FCS0112-1-5/1S–MC–119-R1-CN1</v>
      </c>
      <c r="DU496" s="6" t="str">
        <f t="shared" si="264"/>
        <v/>
      </c>
      <c r="DV496" s="19">
        <v>1</v>
      </c>
      <c r="DW496" s="20" t="str">
        <f t="shared" si="265"/>
        <v>12</v>
      </c>
      <c r="DX496" s="20">
        <v>1</v>
      </c>
      <c r="DY496" s="21">
        <v>5</v>
      </c>
      <c r="DZ496" s="22" t="s">
        <v>204</v>
      </c>
      <c r="EA496" s="23">
        <v>15</v>
      </c>
      <c r="EB496" s="7">
        <v>31</v>
      </c>
      <c r="EC496" s="6">
        <v>1</v>
      </c>
      <c r="EE496" s="9" t="s">
        <v>778</v>
      </c>
      <c r="EF496" s="6" t="s">
        <v>647</v>
      </c>
      <c r="EG496" s="6" t="s">
        <v>672</v>
      </c>
      <c r="EH496" s="6" t="s">
        <v>1032</v>
      </c>
      <c r="EI496" s="6" t="s">
        <v>1033</v>
      </c>
      <c r="EJ496" s="12">
        <v>10</v>
      </c>
      <c r="EK496" s="12"/>
      <c r="EM496" s="12"/>
      <c r="EN496" s="12" t="s">
        <v>1126</v>
      </c>
      <c r="ET496" s="6" t="str">
        <f t="shared" si="241"/>
        <v>홀수</v>
      </c>
      <c r="EU496" s="12">
        <v>115</v>
      </c>
      <c r="EV496" s="45" t="str">
        <f t="shared" ca="1" si="250"/>
        <v>B</v>
      </c>
      <c r="EW496" s="6">
        <f t="shared" ca="1" si="242"/>
        <v>66</v>
      </c>
      <c r="FO496" s="6"/>
      <c r="FP496" s="11"/>
      <c r="FR496" s="6">
        <v>1</v>
      </c>
      <c r="FS496" s="6" t="str">
        <f t="shared" si="243"/>
        <v/>
      </c>
      <c r="FT496" s="6">
        <f t="shared" si="244"/>
        <v>1</v>
      </c>
      <c r="FU496" s="6" t="str">
        <f t="shared" ca="1" si="251"/>
        <v/>
      </c>
      <c r="FV496" s="6" t="str">
        <f t="shared" ca="1" si="245"/>
        <v/>
      </c>
      <c r="FW496" s="6" t="str">
        <f t="shared" ca="1" si="266"/>
        <v>R1-11</v>
      </c>
      <c r="FX496" s="6" t="str">
        <f t="shared" ca="1" si="267"/>
        <v>R1-12</v>
      </c>
      <c r="FY496" s="6" t="str">
        <f t="shared" ca="1" si="268"/>
        <v>R1-21</v>
      </c>
      <c r="FZ496" s="6" t="str">
        <f t="shared" ca="1" si="269"/>
        <v>R1-22</v>
      </c>
    </row>
    <row r="497" spans="1:182" ht="15.95" customHeight="1">
      <c r="A497" s="6">
        <v>865</v>
      </c>
      <c r="B497" s="6" t="s">
        <v>780</v>
      </c>
      <c r="E497" s="6" t="s">
        <v>1035</v>
      </c>
      <c r="F497" s="6" t="s">
        <v>1787</v>
      </c>
      <c r="G497" s="6" t="s">
        <v>1290</v>
      </c>
      <c r="H497" s="7" t="s">
        <v>1291</v>
      </c>
      <c r="I497" s="7"/>
      <c r="J497" s="6" t="s">
        <v>1199</v>
      </c>
      <c r="K497" s="6" t="s">
        <v>1201</v>
      </c>
      <c r="N497" s="6" t="s">
        <v>1203</v>
      </c>
      <c r="O497" s="6" t="s">
        <v>1205</v>
      </c>
      <c r="R497" s="101" t="s">
        <v>1778</v>
      </c>
      <c r="Y497" s="6" t="s">
        <v>1779</v>
      </c>
      <c r="Z497" s="6">
        <v>25</v>
      </c>
      <c r="AA497" s="6">
        <v>26</v>
      </c>
      <c r="AD497" s="6" t="s">
        <v>1203</v>
      </c>
      <c r="AE497" s="6" t="s">
        <v>1205</v>
      </c>
      <c r="AG497" s="6">
        <v>0</v>
      </c>
      <c r="AY497" s="8" t="s">
        <v>176</v>
      </c>
      <c r="AZ497" s="8" t="s">
        <v>195</v>
      </c>
      <c r="BA497" s="13" t="s">
        <v>1012</v>
      </c>
      <c r="BB497" s="13" t="s">
        <v>200</v>
      </c>
      <c r="BC497" s="13">
        <v>125</v>
      </c>
      <c r="BD497" s="13">
        <v>126</v>
      </c>
      <c r="DC497" s="6" t="s">
        <v>644</v>
      </c>
      <c r="DD497" s="6" t="s">
        <v>187</v>
      </c>
      <c r="DH497" s="6" t="str">
        <f t="shared" si="259"/>
        <v>A17</v>
      </c>
      <c r="DI497" s="6" t="str">
        <f t="shared" si="260"/>
        <v>B17</v>
      </c>
      <c r="DK497" s="6" t="s">
        <v>173</v>
      </c>
      <c r="DL497" s="6" t="str">
        <f t="shared" si="261"/>
        <v/>
      </c>
      <c r="DO497" s="9" t="s">
        <v>170</v>
      </c>
      <c r="DP497" s="6" t="s">
        <v>171</v>
      </c>
      <c r="DQ497" s="6" t="s">
        <v>1013</v>
      </c>
      <c r="DR497" s="6" t="e">
        <f>#REF!&amp;RIGHT(#REF!,3)</f>
        <v>#REF!</v>
      </c>
      <c r="DS497" s="6" t="str">
        <f t="shared" si="262"/>
        <v>AKB331</v>
      </c>
      <c r="DT497" s="10" t="str">
        <f t="shared" si="263"/>
        <v>FCS0112-1-5/1S–MC–119-R1-CN1</v>
      </c>
      <c r="DU497" s="6" t="str">
        <f t="shared" si="264"/>
        <v/>
      </c>
      <c r="DV497" s="19">
        <v>1</v>
      </c>
      <c r="DW497" s="20" t="str">
        <f t="shared" si="265"/>
        <v>12</v>
      </c>
      <c r="DX497" s="20">
        <v>1</v>
      </c>
      <c r="DY497" s="21">
        <v>5</v>
      </c>
      <c r="DZ497" s="22" t="s">
        <v>204</v>
      </c>
      <c r="EA497" s="23">
        <v>17</v>
      </c>
      <c r="EB497" s="7">
        <v>1</v>
      </c>
      <c r="EE497" s="9" t="s">
        <v>778</v>
      </c>
      <c r="EF497" s="6" t="s">
        <v>647</v>
      </c>
      <c r="EG497" s="6" t="s">
        <v>647</v>
      </c>
      <c r="EH497" s="6" t="s">
        <v>1035</v>
      </c>
      <c r="EI497" s="6" t="s">
        <v>1036</v>
      </c>
      <c r="EJ497" s="12">
        <v>100</v>
      </c>
      <c r="EL497" s="6"/>
      <c r="EM497" s="12"/>
      <c r="EN497" s="6" t="s">
        <v>1123</v>
      </c>
      <c r="EP497" s="6" t="s">
        <v>1148</v>
      </c>
      <c r="ET497" s="6" t="str">
        <f t="shared" si="241"/>
        <v>홀수</v>
      </c>
      <c r="EU497" s="12">
        <v>115</v>
      </c>
      <c r="EV497" s="45" t="str">
        <f t="shared" ca="1" si="250"/>
        <v>C</v>
      </c>
      <c r="EW497" s="6">
        <f t="shared" ca="1" si="242"/>
        <v>67</v>
      </c>
      <c r="FO497" s="6"/>
      <c r="FP497" s="11"/>
      <c r="FR497" s="6">
        <v>1</v>
      </c>
      <c r="FS497" s="6" t="str">
        <f t="shared" si="243"/>
        <v/>
      </c>
      <c r="FT497" s="6">
        <f t="shared" si="244"/>
        <v>1</v>
      </c>
      <c r="FU497" s="6" t="str">
        <f t="shared" ca="1" si="251"/>
        <v/>
      </c>
      <c r="FV497" s="6" t="str">
        <f t="shared" ca="1" si="245"/>
        <v/>
      </c>
      <c r="FW497" s="6" t="str">
        <f t="shared" ca="1" si="266"/>
        <v>R1-11</v>
      </c>
      <c r="FX497" s="6" t="str">
        <f t="shared" ca="1" si="267"/>
        <v>R1-12</v>
      </c>
      <c r="FY497" s="6" t="str">
        <f t="shared" ca="1" si="268"/>
        <v>R1-21</v>
      </c>
      <c r="FZ497" s="6" t="str">
        <f t="shared" ca="1" si="269"/>
        <v>R1-22</v>
      </c>
    </row>
    <row r="498" spans="1:182" ht="15.95" customHeight="1">
      <c r="A498" s="6">
        <v>866</v>
      </c>
      <c r="B498" s="6" t="s">
        <v>780</v>
      </c>
      <c r="E498" s="6" t="s">
        <v>1037</v>
      </c>
      <c r="F498" s="6" t="s">
        <v>1788</v>
      </c>
      <c r="G498" s="6" t="s">
        <v>1290</v>
      </c>
      <c r="H498" s="7" t="s">
        <v>1291</v>
      </c>
      <c r="I498" s="7"/>
      <c r="J498" s="6" t="s">
        <v>1199</v>
      </c>
      <c r="K498" s="6" t="s">
        <v>1201</v>
      </c>
      <c r="N498" s="6" t="s">
        <v>1203</v>
      </c>
      <c r="O498" s="6" t="s">
        <v>1205</v>
      </c>
      <c r="R498" s="101" t="s">
        <v>1778</v>
      </c>
      <c r="Y498" s="6" t="s">
        <v>1779</v>
      </c>
      <c r="Z498" s="6">
        <v>27</v>
      </c>
      <c r="AA498" s="6">
        <v>28</v>
      </c>
      <c r="AD498" s="6" t="s">
        <v>1203</v>
      </c>
      <c r="AE498" s="6" t="s">
        <v>1205</v>
      </c>
      <c r="AG498" s="6">
        <v>0</v>
      </c>
      <c r="AY498" s="8" t="s">
        <v>176</v>
      </c>
      <c r="AZ498" s="8" t="s">
        <v>195</v>
      </c>
      <c r="BA498" s="13" t="s">
        <v>1012</v>
      </c>
      <c r="BB498" s="13" t="s">
        <v>200</v>
      </c>
      <c r="BC498" s="13">
        <v>127</v>
      </c>
      <c r="BD498" s="13">
        <v>128</v>
      </c>
      <c r="DC498" s="6" t="s">
        <v>644</v>
      </c>
      <c r="DD498" s="6" t="s">
        <v>187</v>
      </c>
      <c r="DH498" s="6" t="str">
        <f t="shared" si="259"/>
        <v>A18</v>
      </c>
      <c r="DI498" s="6" t="str">
        <f t="shared" si="260"/>
        <v>B18</v>
      </c>
      <c r="DK498" s="6" t="s">
        <v>173</v>
      </c>
      <c r="DL498" s="6" t="str">
        <f t="shared" si="261"/>
        <v/>
      </c>
      <c r="DO498" s="9" t="s">
        <v>170</v>
      </c>
      <c r="DP498" s="6" t="s">
        <v>171</v>
      </c>
      <c r="DQ498" s="6" t="s">
        <v>1013</v>
      </c>
      <c r="DR498" s="6" t="e">
        <f>#REF!&amp;RIGHT(#REF!,3)</f>
        <v>#REF!</v>
      </c>
      <c r="DS498" s="6" t="str">
        <f t="shared" si="262"/>
        <v>AKB331</v>
      </c>
      <c r="DT498" s="10" t="str">
        <f t="shared" si="263"/>
        <v>FCS0112-1-5/1S–MC–119-R1-CN1</v>
      </c>
      <c r="DU498" s="6" t="str">
        <f t="shared" si="264"/>
        <v/>
      </c>
      <c r="DV498" s="19">
        <v>1</v>
      </c>
      <c r="DW498" s="20" t="str">
        <f t="shared" si="265"/>
        <v>12</v>
      </c>
      <c r="DX498" s="20">
        <v>1</v>
      </c>
      <c r="DY498" s="21">
        <v>5</v>
      </c>
      <c r="DZ498" s="22" t="s">
        <v>204</v>
      </c>
      <c r="EA498" s="23">
        <v>18</v>
      </c>
      <c r="EB498" s="7">
        <v>2</v>
      </c>
      <c r="EE498" s="9" t="s">
        <v>778</v>
      </c>
      <c r="EF498" s="6" t="s">
        <v>647</v>
      </c>
      <c r="EG498" s="6" t="s">
        <v>647</v>
      </c>
      <c r="EH498" s="6" t="s">
        <v>1037</v>
      </c>
      <c r="EI498" s="6" t="s">
        <v>1036</v>
      </c>
      <c r="EJ498" s="12">
        <v>100</v>
      </c>
      <c r="EL498" s="6"/>
      <c r="EM498" s="12"/>
      <c r="EN498" s="6" t="s">
        <v>1123</v>
      </c>
      <c r="EP498" s="6" t="s">
        <v>1148</v>
      </c>
      <c r="ET498" s="6" t="str">
        <f t="shared" si="241"/>
        <v>홀수</v>
      </c>
      <c r="EU498" s="12">
        <v>115</v>
      </c>
      <c r="EV498" s="45" t="str">
        <f t="shared" ca="1" si="250"/>
        <v>D</v>
      </c>
      <c r="EW498" s="6">
        <f t="shared" ca="1" si="242"/>
        <v>68</v>
      </c>
      <c r="FO498" s="6"/>
      <c r="FP498" s="11"/>
      <c r="FR498" s="6">
        <v>1</v>
      </c>
      <c r="FS498" s="6" t="str">
        <f t="shared" si="243"/>
        <v/>
      </c>
      <c r="FT498" s="6">
        <f t="shared" si="244"/>
        <v>1</v>
      </c>
      <c r="FU498" s="6" t="str">
        <f t="shared" ca="1" si="251"/>
        <v/>
      </c>
      <c r="FV498" s="6" t="str">
        <f t="shared" ca="1" si="245"/>
        <v/>
      </c>
      <c r="FW498" s="6" t="str">
        <f t="shared" ca="1" si="266"/>
        <v>R1-11</v>
      </c>
      <c r="FX498" s="6" t="str">
        <f t="shared" ca="1" si="267"/>
        <v>R1-12</v>
      </c>
      <c r="FY498" s="6" t="str">
        <f t="shared" ca="1" si="268"/>
        <v>R1-21</v>
      </c>
      <c r="FZ498" s="6" t="str">
        <f t="shared" ca="1" si="269"/>
        <v>R1-22</v>
      </c>
    </row>
    <row r="499" spans="1:182" ht="15.95" customHeight="1">
      <c r="A499" s="6">
        <v>868</v>
      </c>
      <c r="B499" s="6" t="s">
        <v>780</v>
      </c>
      <c r="E499" s="6" t="s">
        <v>1040</v>
      </c>
      <c r="F499" s="6" t="s">
        <v>1789</v>
      </c>
      <c r="G499" s="6" t="s">
        <v>1290</v>
      </c>
      <c r="H499" s="7" t="s">
        <v>1291</v>
      </c>
      <c r="I499" s="7"/>
      <c r="J499" s="6" t="s">
        <v>1199</v>
      </c>
      <c r="K499" s="6" t="s">
        <v>1201</v>
      </c>
      <c r="N499" s="6" t="s">
        <v>1203</v>
      </c>
      <c r="O499" s="6" t="s">
        <v>1205</v>
      </c>
      <c r="R499" s="101" t="s">
        <v>1778</v>
      </c>
      <c r="Y499" s="6" t="s">
        <v>1779</v>
      </c>
      <c r="Z499" s="6">
        <v>15</v>
      </c>
      <c r="AA499" s="6">
        <v>16</v>
      </c>
      <c r="AD499" s="6" t="s">
        <v>1203</v>
      </c>
      <c r="AE499" s="6" t="s">
        <v>1205</v>
      </c>
      <c r="AG499" s="6">
        <v>0</v>
      </c>
      <c r="AY499" s="8" t="s">
        <v>176</v>
      </c>
      <c r="AZ499" s="8" t="s">
        <v>195</v>
      </c>
      <c r="BA499" s="13" t="s">
        <v>1012</v>
      </c>
      <c r="BB499" s="13" t="s">
        <v>200</v>
      </c>
      <c r="BC499" s="13">
        <v>109</v>
      </c>
      <c r="BD499" s="13">
        <v>110</v>
      </c>
      <c r="DC499" s="6" t="s">
        <v>644</v>
      </c>
      <c r="DD499" s="6" t="s">
        <v>187</v>
      </c>
      <c r="DH499" s="6" t="str">
        <f>"A"&amp;EA499</f>
        <v>A20</v>
      </c>
      <c r="DI499" s="6" t="str">
        <f>"B"&amp;EA499</f>
        <v>B20</v>
      </c>
      <c r="DK499" s="6" t="s">
        <v>173</v>
      </c>
      <c r="DL499" s="6" t="str">
        <f>IF(DZ499&lt;&gt;"","CN2","")</f>
        <v/>
      </c>
      <c r="DO499" s="9" t="s">
        <v>170</v>
      </c>
      <c r="DP499" s="6" t="s">
        <v>171</v>
      </c>
      <c r="DQ499" s="6" t="s">
        <v>1013</v>
      </c>
      <c r="DR499" s="6" t="e">
        <f>#REF!&amp;RIGHT(#REF!,3)</f>
        <v>#REF!</v>
      </c>
      <c r="DS499" s="6" t="str">
        <f>IF(MID(EF499,2,1)="A","KS1","AKB331")</f>
        <v>AKB331</v>
      </c>
      <c r="DT499" s="10" t="str">
        <f>DQ499&amp;"-"&amp;DX499&amp;"-"&amp;DY499&amp;"/"&amp;BA499&amp;"-"&amp;DD499&amp;"-"&amp;DK499</f>
        <v>FCS0112-1-5/1S–MC–119-R1-CN1</v>
      </c>
      <c r="DU499" s="6" t="str">
        <f>IF(DL499="","",DQ499&amp;"-"&amp;DX499&amp;"-"&amp;DY499&amp;"/"&amp;BA499&amp;"-"&amp;DD499&amp;"-"&amp;DL499)</f>
        <v/>
      </c>
      <c r="DV499" s="19">
        <v>1</v>
      </c>
      <c r="DW499" s="20" t="str">
        <f>RIGHT(DQ499,2)</f>
        <v>12</v>
      </c>
      <c r="DX499" s="20">
        <v>1</v>
      </c>
      <c r="DY499" s="21">
        <v>5</v>
      </c>
      <c r="DZ499" s="22" t="s">
        <v>204</v>
      </c>
      <c r="EA499" s="23">
        <v>20</v>
      </c>
      <c r="EB499" s="7">
        <v>4</v>
      </c>
      <c r="EE499" s="9" t="s">
        <v>778</v>
      </c>
      <c r="EF499" s="6" t="s">
        <v>647</v>
      </c>
      <c r="EG499" s="6" t="s">
        <v>647</v>
      </c>
      <c r="EH499" s="6" t="s">
        <v>1040</v>
      </c>
      <c r="EI499" s="6" t="s">
        <v>1039</v>
      </c>
      <c r="EJ499" s="12">
        <v>10</v>
      </c>
      <c r="EK499" s="12"/>
      <c r="EM499" s="12"/>
      <c r="EN499" s="12" t="s">
        <v>1126</v>
      </c>
      <c r="EP499" s="6" t="s">
        <v>1156</v>
      </c>
      <c r="ER499" s="6" t="str">
        <f>"UVOX"&amp;MID(EH499,4,6)</f>
        <v>UVOXY54236</v>
      </c>
      <c r="ET499" s="6" t="str">
        <f t="shared" si="241"/>
        <v>짝수</v>
      </c>
      <c r="EU499" s="12">
        <v>116</v>
      </c>
      <c r="EV499" s="45" t="str">
        <f t="shared" ca="1" si="250"/>
        <v>A</v>
      </c>
      <c r="EW499" s="6">
        <f t="shared" ca="1" si="242"/>
        <v>65</v>
      </c>
      <c r="EZ499" s="6" t="str">
        <f>"UVNXD"&amp;MID(EH499,4,6)&amp;"I"</f>
        <v>UVNXDY54236I</v>
      </c>
      <c r="FO499" s="6"/>
      <c r="FP499" s="11"/>
      <c r="FR499" s="6">
        <v>1</v>
      </c>
      <c r="FS499" s="6" t="str">
        <f t="shared" si="243"/>
        <v/>
      </c>
      <c r="FT499" s="6">
        <f t="shared" si="244"/>
        <v>1</v>
      </c>
      <c r="FU499" s="6" t="str">
        <f t="shared" ca="1" si="251"/>
        <v/>
      </c>
      <c r="FV499" s="6" t="str">
        <f t="shared" ca="1" si="245"/>
        <v/>
      </c>
      <c r="FW499" s="6" t="str">
        <f t="shared" ca="1" si="266"/>
        <v>R1-11</v>
      </c>
      <c r="FX499" s="6" t="str">
        <f t="shared" ca="1" si="267"/>
        <v>R1-12</v>
      </c>
      <c r="FY499" s="6" t="str">
        <f t="shared" ca="1" si="268"/>
        <v>R1-21</v>
      </c>
      <c r="FZ499" s="6" t="str">
        <f t="shared" ca="1" si="269"/>
        <v>R1-22</v>
      </c>
    </row>
    <row r="500" spans="1:182" ht="15.95" customHeight="1">
      <c r="A500" s="6">
        <v>867</v>
      </c>
      <c r="B500" s="6" t="s">
        <v>780</v>
      </c>
      <c r="E500" s="6" t="s">
        <v>1038</v>
      </c>
      <c r="F500" s="6" t="s">
        <v>1790</v>
      </c>
      <c r="G500" s="6" t="s">
        <v>1290</v>
      </c>
      <c r="H500" s="7" t="s">
        <v>1291</v>
      </c>
      <c r="I500" s="7"/>
      <c r="J500" s="6" t="s">
        <v>1199</v>
      </c>
      <c r="K500" s="6" t="s">
        <v>1201</v>
      </c>
      <c r="N500" s="6" t="s">
        <v>1203</v>
      </c>
      <c r="O500" s="6" t="s">
        <v>1205</v>
      </c>
      <c r="R500" s="101" t="s">
        <v>1778</v>
      </c>
      <c r="Y500" s="6" t="s">
        <v>1779</v>
      </c>
      <c r="Z500" s="6">
        <v>13</v>
      </c>
      <c r="AA500" s="6">
        <v>14</v>
      </c>
      <c r="AD500" s="6" t="s">
        <v>1203</v>
      </c>
      <c r="AE500" s="6" t="s">
        <v>1205</v>
      </c>
      <c r="AG500" s="6">
        <v>0</v>
      </c>
      <c r="AY500" s="8" t="s">
        <v>176</v>
      </c>
      <c r="AZ500" s="8" t="s">
        <v>195</v>
      </c>
      <c r="BA500" s="13" t="s">
        <v>1012</v>
      </c>
      <c r="BB500" s="13" t="s">
        <v>200</v>
      </c>
      <c r="BC500" s="13">
        <v>107</v>
      </c>
      <c r="BD500" s="13">
        <v>108</v>
      </c>
      <c r="DC500" s="6" t="s">
        <v>644</v>
      </c>
      <c r="DD500" s="6" t="s">
        <v>187</v>
      </c>
      <c r="DH500" s="6" t="str">
        <f t="shared" si="259"/>
        <v>A19</v>
      </c>
      <c r="DI500" s="6" t="str">
        <f t="shared" si="260"/>
        <v>B19</v>
      </c>
      <c r="DK500" s="6" t="s">
        <v>173</v>
      </c>
      <c r="DL500" s="6" t="str">
        <f t="shared" si="261"/>
        <v/>
      </c>
      <c r="DO500" s="9" t="s">
        <v>170</v>
      </c>
      <c r="DP500" s="6" t="s">
        <v>171</v>
      </c>
      <c r="DQ500" s="6" t="s">
        <v>1013</v>
      </c>
      <c r="DR500" s="6" t="e">
        <f>#REF!&amp;RIGHT(#REF!,3)</f>
        <v>#REF!</v>
      </c>
      <c r="DS500" s="6" t="str">
        <f t="shared" si="262"/>
        <v>AKB331</v>
      </c>
      <c r="DT500" s="10" t="str">
        <f t="shared" si="263"/>
        <v>FCS0112-1-5/1S–MC–119-R1-CN1</v>
      </c>
      <c r="DU500" s="6" t="str">
        <f t="shared" si="264"/>
        <v/>
      </c>
      <c r="DV500" s="19">
        <v>1</v>
      </c>
      <c r="DW500" s="20" t="str">
        <f t="shared" si="265"/>
        <v>12</v>
      </c>
      <c r="DX500" s="20">
        <v>1</v>
      </c>
      <c r="DY500" s="21">
        <v>5</v>
      </c>
      <c r="DZ500" s="22" t="s">
        <v>204</v>
      </c>
      <c r="EA500" s="23">
        <v>19</v>
      </c>
      <c r="EB500" s="7">
        <v>3</v>
      </c>
      <c r="EE500" s="9" t="s">
        <v>778</v>
      </c>
      <c r="EF500" s="6" t="s">
        <v>647</v>
      </c>
      <c r="EG500" s="6" t="s">
        <v>647</v>
      </c>
      <c r="EH500" s="6" t="s">
        <v>1038</v>
      </c>
      <c r="EI500" s="6" t="s">
        <v>1039</v>
      </c>
      <c r="EJ500" s="12">
        <v>10</v>
      </c>
      <c r="EK500" s="12"/>
      <c r="EM500" s="12"/>
      <c r="EN500" s="12" t="s">
        <v>1126</v>
      </c>
      <c r="ET500" s="6" t="str">
        <f t="shared" si="241"/>
        <v>짝수</v>
      </c>
      <c r="EU500" s="12">
        <v>116</v>
      </c>
      <c r="EV500" s="45" t="str">
        <f t="shared" ca="1" si="250"/>
        <v>B</v>
      </c>
      <c r="EW500" s="6">
        <f t="shared" ca="1" si="242"/>
        <v>66</v>
      </c>
      <c r="FO500" s="6"/>
      <c r="FP500" s="11"/>
      <c r="FR500" s="6">
        <v>1</v>
      </c>
      <c r="FS500" s="6" t="str">
        <f t="shared" si="243"/>
        <v/>
      </c>
      <c r="FT500" s="6">
        <f t="shared" si="244"/>
        <v>1</v>
      </c>
      <c r="FU500" s="6" t="str">
        <f t="shared" ca="1" si="251"/>
        <v/>
      </c>
      <c r="FV500" s="6" t="str">
        <f t="shared" ca="1" si="245"/>
        <v/>
      </c>
      <c r="FW500" s="6" t="str">
        <f t="shared" ca="1" si="266"/>
        <v>R1-11</v>
      </c>
      <c r="FX500" s="6" t="str">
        <f t="shared" ca="1" si="267"/>
        <v>R1-12</v>
      </c>
      <c r="FY500" s="6" t="str">
        <f t="shared" ca="1" si="268"/>
        <v>R1-21</v>
      </c>
      <c r="FZ500" s="6" t="str">
        <f t="shared" ca="1" si="269"/>
        <v>R1-22</v>
      </c>
    </row>
    <row r="505" spans="1:182" ht="15.95" customHeight="1">
      <c r="EN505" s="12" t="s">
        <v>1142</v>
      </c>
    </row>
    <row r="719" spans="128:130" ht="15.95" customHeight="1">
      <c r="DX719" s="12"/>
      <c r="DY719" s="12"/>
      <c r="DZ719" s="12"/>
    </row>
  </sheetData>
  <phoneticPr fontId="3" type="noConversion"/>
  <conditionalFormatting sqref="ET3:ET500">
    <cfRule type="containsText" dxfId="6" priority="8" operator="containsText" text="짝수">
      <formula>NOT(ISERROR(SEARCH("짝수",ET3)))</formula>
    </cfRule>
  </conditionalFormatting>
  <conditionalFormatting sqref="ET2">
    <cfRule type="containsText" dxfId="5" priority="7" operator="containsText" text="짝수">
      <formula>NOT(ISERROR(SEARCH("짝수",ET2)))</formula>
    </cfRule>
  </conditionalFormatting>
  <conditionalFormatting sqref="EU9 EU232:EU500">
    <cfRule type="expression" dxfId="4" priority="3">
      <formula>ET9="홀수"</formula>
    </cfRule>
  </conditionalFormatting>
  <conditionalFormatting sqref="EU10:EU17">
    <cfRule type="expression" dxfId="3" priority="2">
      <formula>ET10="홀수"</formula>
    </cfRule>
  </conditionalFormatting>
  <conditionalFormatting sqref="EU18:EU231">
    <cfRule type="expression" dxfId="2" priority="1">
      <formula>ET18="홀수"</formula>
    </cfRule>
  </conditionalFormatting>
  <conditionalFormatting sqref="EU2">
    <cfRule type="expression" dxfId="1" priority="9">
      <formula>#REF!="홀수"</formula>
    </cfRule>
    <cfRule type="expression" dxfId="0" priority="10">
      <formula>$ET$2="홀수"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B1"/>
  <sheetViews>
    <sheetView topLeftCell="AO1" workbookViewId="0">
      <selection activeCell="EF17" sqref="EF17"/>
    </sheetView>
  </sheetViews>
  <sheetFormatPr defaultRowHeight="16.5"/>
  <sheetData>
    <row r="1" spans="1:158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AA405"/>
  <sheetViews>
    <sheetView view="pageBreakPreview" zoomScale="85" zoomScaleNormal="100" zoomScaleSheetLayoutView="85" workbookViewId="0">
      <pane ySplit="2" topLeftCell="A6" activePane="bottomLeft" state="frozen"/>
      <selection activeCell="U14" sqref="U14"/>
      <selection pane="bottomLeft" activeCell="E17" sqref="E17"/>
    </sheetView>
  </sheetViews>
  <sheetFormatPr defaultColWidth="9" defaultRowHeight="16.5"/>
  <cols>
    <col min="1" max="1" width="9" style="49"/>
    <col min="2" max="2" width="14.875" style="49" customWidth="1"/>
    <col min="3" max="3" width="20.625" style="49" hidden="1" customWidth="1"/>
    <col min="4" max="4" width="11.875" style="49" customWidth="1"/>
    <col min="5" max="5" width="11.375" style="49" customWidth="1"/>
    <col min="6" max="6" width="9" style="49" customWidth="1"/>
    <col min="7" max="8" width="5.375" style="49" customWidth="1"/>
    <col min="9" max="10" width="34.625" style="98" customWidth="1"/>
    <col min="11" max="13" width="7.625" style="98" customWidth="1"/>
    <col min="14" max="14" width="5.625" style="98" customWidth="1"/>
    <col min="15" max="15" width="14.375" style="49" customWidth="1"/>
    <col min="16" max="16" width="9" style="49"/>
    <col min="17" max="18" width="5.625" style="49" customWidth="1"/>
    <col min="19" max="19" width="13.875" style="49" customWidth="1"/>
    <col min="20" max="20" width="9" style="49" customWidth="1"/>
    <col min="21" max="22" width="9" style="49"/>
    <col min="23" max="26" width="22" style="49" customWidth="1"/>
    <col min="27" max="16384" width="9" style="49"/>
  </cols>
  <sheetData>
    <row r="1" spans="1:27" ht="22.5" customHeight="1">
      <c r="A1" s="46"/>
      <c r="B1" s="46"/>
      <c r="C1" s="46"/>
      <c r="D1" s="46"/>
      <c r="E1" s="102" t="s">
        <v>1162</v>
      </c>
      <c r="F1" s="102"/>
      <c r="G1" s="102"/>
      <c r="H1" s="102"/>
      <c r="I1" s="103" t="s">
        <v>1163</v>
      </c>
      <c r="J1" s="103"/>
      <c r="K1" s="103"/>
      <c r="L1" s="103"/>
      <c r="M1" s="103"/>
      <c r="N1" s="103"/>
      <c r="O1" s="102" t="s">
        <v>1164</v>
      </c>
      <c r="P1" s="102"/>
      <c r="Q1" s="102"/>
      <c r="R1" s="102"/>
      <c r="S1" s="47" t="s">
        <v>1165</v>
      </c>
      <c r="T1" s="48" t="s">
        <v>1166</v>
      </c>
    </row>
    <row r="2" spans="1:27" ht="45.75" customHeight="1">
      <c r="A2" s="46" t="s">
        <v>1167</v>
      </c>
      <c r="B2" s="50" t="s">
        <v>1168</v>
      </c>
      <c r="C2" s="50" t="s">
        <v>1169</v>
      </c>
      <c r="D2" s="50" t="s">
        <v>1170</v>
      </c>
      <c r="E2" s="51" t="s">
        <v>1171</v>
      </c>
      <c r="F2" s="51" t="s">
        <v>1172</v>
      </c>
      <c r="G2" s="51" t="s">
        <v>1173</v>
      </c>
      <c r="H2" s="51" t="s">
        <v>1174</v>
      </c>
      <c r="I2" s="52" t="s">
        <v>1175</v>
      </c>
      <c r="J2" s="52" t="s">
        <v>1176</v>
      </c>
      <c r="K2" s="52" t="s">
        <v>1177</v>
      </c>
      <c r="L2" s="52" t="s">
        <v>1178</v>
      </c>
      <c r="M2" s="52" t="s">
        <v>1179</v>
      </c>
      <c r="N2" s="52" t="s">
        <v>1180</v>
      </c>
      <c r="O2" s="51" t="s">
        <v>1181</v>
      </c>
      <c r="P2" s="51" t="s">
        <v>1172</v>
      </c>
      <c r="Q2" s="51" t="s">
        <v>1173</v>
      </c>
      <c r="R2" s="51" t="s">
        <v>1174</v>
      </c>
      <c r="S2" s="47"/>
      <c r="T2" s="48"/>
      <c r="U2" s="49">
        <v>1</v>
      </c>
      <c r="V2" s="49">
        <v>2</v>
      </c>
      <c r="W2" s="49">
        <v>3</v>
      </c>
      <c r="X2" s="49">
        <v>4</v>
      </c>
      <c r="Y2" s="49">
        <v>5</v>
      </c>
      <c r="Z2" s="49">
        <v>6</v>
      </c>
      <c r="AA2" s="49">
        <v>7</v>
      </c>
    </row>
    <row r="3" spans="1:27" s="61" customFormat="1" ht="24.95" customHeight="1">
      <c r="A3" s="53">
        <v>1</v>
      </c>
      <c r="B3" s="53" t="s">
        <v>1041</v>
      </c>
      <c r="C3" s="54"/>
      <c r="D3" s="53" t="s">
        <v>1182</v>
      </c>
      <c r="E3" s="55" t="s">
        <v>1183</v>
      </c>
      <c r="F3" s="55" t="s">
        <v>7</v>
      </c>
      <c r="G3" s="55">
        <v>5</v>
      </c>
      <c r="H3" s="55">
        <v>6</v>
      </c>
      <c r="I3" s="56" t="s">
        <v>1184</v>
      </c>
      <c r="J3" s="56" t="s">
        <v>1185</v>
      </c>
      <c r="K3" s="56">
        <f>SUM(U3:V3)</f>
        <v>23</v>
      </c>
      <c r="L3" s="56">
        <v>1</v>
      </c>
      <c r="M3" s="57" t="str">
        <f t="shared" ref="M3:M17" si="0">"BK"&amp;L3*2-1</f>
        <v>BK1</v>
      </c>
      <c r="N3" s="57" t="str">
        <f t="shared" ref="N3:N17" si="1">"BK"&amp;L3*2</f>
        <v>BK2</v>
      </c>
      <c r="O3" s="58" t="s">
        <v>1186</v>
      </c>
      <c r="P3" s="58" t="s">
        <v>200</v>
      </c>
      <c r="Q3" s="58">
        <v>115</v>
      </c>
      <c r="R3" s="59">
        <v>116</v>
      </c>
      <c r="S3" s="53"/>
      <c r="T3" s="60"/>
      <c r="U3" s="61">
        <v>17</v>
      </c>
      <c r="V3" s="61">
        <v>6</v>
      </c>
      <c r="W3" s="49" t="str">
        <f>CONCATENATE(B3,"+/",F3,"-",G3)</f>
        <v>HSAP5101A+/TB1-5</v>
      </c>
      <c r="X3" s="49" t="str">
        <f>CONCATENATE(B3,"-/",F3,"-",H3)</f>
        <v>HSAP5101A-/TB1-6</v>
      </c>
      <c r="Y3" s="49" t="str">
        <f>CONCATENATE(B3,"+/",P3,"-",Q3)</f>
        <v>HSAP5101A+/TB4-115</v>
      </c>
      <c r="Z3" s="49" t="str">
        <f>CONCATENATE(B3,"-/",P3,"-",R3)</f>
        <v>HSAP5101A-/TB4-116</v>
      </c>
    </row>
    <row r="4" spans="1:27" s="61" customFormat="1" ht="24.95" customHeight="1">
      <c r="A4" s="53">
        <v>2</v>
      </c>
      <c r="B4" s="53" t="s">
        <v>1042</v>
      </c>
      <c r="C4" s="54"/>
      <c r="D4" s="53" t="s">
        <v>1182</v>
      </c>
      <c r="E4" s="55" t="s">
        <v>1183</v>
      </c>
      <c r="F4" s="55" t="s">
        <v>7</v>
      </c>
      <c r="G4" s="55">
        <v>7</v>
      </c>
      <c r="H4" s="55">
        <v>8</v>
      </c>
      <c r="I4" s="56" t="s">
        <v>1184</v>
      </c>
      <c r="J4" s="56" t="s">
        <v>1185</v>
      </c>
      <c r="K4" s="56"/>
      <c r="L4" s="56">
        <v>2</v>
      </c>
      <c r="M4" s="57" t="str">
        <f t="shared" si="0"/>
        <v>BK3</v>
      </c>
      <c r="N4" s="57" t="str">
        <f t="shared" si="1"/>
        <v>BK4</v>
      </c>
      <c r="O4" s="58" t="s">
        <v>1186</v>
      </c>
      <c r="P4" s="58" t="s">
        <v>200</v>
      </c>
      <c r="Q4" s="58">
        <v>117</v>
      </c>
      <c r="R4" s="59">
        <v>118</v>
      </c>
      <c r="S4" s="53"/>
      <c r="T4" s="62"/>
      <c r="W4" s="49" t="str">
        <f t="shared" ref="W4:W25" si="2">CONCATENATE(B4,"+/",F4,"-",G4)</f>
        <v>HSAP5101B+/TB1-7</v>
      </c>
      <c r="X4" s="49" t="str">
        <f t="shared" ref="X4:X25" si="3">CONCATENATE(B4,"-/",F4,"-",H4)</f>
        <v>HSAP5101B-/TB1-8</v>
      </c>
      <c r="Y4" s="49" t="str">
        <f t="shared" ref="Y4:Y25" si="4">CONCATENATE(B4,"+/",P4,"-",Q4)</f>
        <v>HSAP5101B+/TB4-117</v>
      </c>
      <c r="Z4" s="49" t="str">
        <f t="shared" ref="Z4:Z25" si="5">CONCATENATE(B4,"-/",P4,"-",R4)</f>
        <v>HSAP5101B-/TB4-118</v>
      </c>
    </row>
    <row r="5" spans="1:27" s="61" customFormat="1" ht="24.95" customHeight="1">
      <c r="A5" s="53">
        <v>3</v>
      </c>
      <c r="B5" s="53" t="s">
        <v>1043</v>
      </c>
      <c r="C5" s="54"/>
      <c r="D5" s="53" t="s">
        <v>1182</v>
      </c>
      <c r="E5" s="55" t="s">
        <v>1183</v>
      </c>
      <c r="F5" s="55" t="s">
        <v>7</v>
      </c>
      <c r="G5" s="55">
        <v>9</v>
      </c>
      <c r="H5" s="55">
        <v>10</v>
      </c>
      <c r="I5" s="56" t="s">
        <v>1184</v>
      </c>
      <c r="J5" s="56" t="s">
        <v>1185</v>
      </c>
      <c r="K5" s="56"/>
      <c r="L5" s="56">
        <v>3</v>
      </c>
      <c r="M5" s="57" t="str">
        <f t="shared" si="0"/>
        <v>BK5</v>
      </c>
      <c r="N5" s="57" t="str">
        <f t="shared" si="1"/>
        <v>BK6</v>
      </c>
      <c r="O5" s="58" t="s">
        <v>1186</v>
      </c>
      <c r="P5" s="58" t="s">
        <v>200</v>
      </c>
      <c r="Q5" s="58">
        <v>119</v>
      </c>
      <c r="R5" s="59">
        <v>120</v>
      </c>
      <c r="S5" s="53"/>
      <c r="T5" s="62"/>
      <c r="W5" s="49" t="str">
        <f t="shared" si="2"/>
        <v>HSAP5101C+/TB1-9</v>
      </c>
      <c r="X5" s="49" t="str">
        <f t="shared" si="3"/>
        <v>HSAP5101C-/TB1-10</v>
      </c>
      <c r="Y5" s="49" t="str">
        <f t="shared" si="4"/>
        <v>HSAP5101C+/TB4-119</v>
      </c>
      <c r="Z5" s="49" t="str">
        <f t="shared" si="5"/>
        <v>HSAP5101C-/TB4-120</v>
      </c>
    </row>
    <row r="6" spans="1:27" s="61" customFormat="1" ht="24.95" customHeight="1">
      <c r="A6" s="53">
        <v>4</v>
      </c>
      <c r="B6" s="53" t="s">
        <v>1044</v>
      </c>
      <c r="C6" s="54"/>
      <c r="D6" s="53" t="s">
        <v>1182</v>
      </c>
      <c r="E6" s="55" t="s">
        <v>1183</v>
      </c>
      <c r="F6" s="55" t="s">
        <v>7</v>
      </c>
      <c r="G6" s="55">
        <v>11</v>
      </c>
      <c r="H6" s="55">
        <v>12</v>
      </c>
      <c r="I6" s="56" t="s">
        <v>1184</v>
      </c>
      <c r="J6" s="56" t="s">
        <v>1185</v>
      </c>
      <c r="K6" s="56"/>
      <c r="L6" s="56">
        <v>4</v>
      </c>
      <c r="M6" s="57" t="str">
        <f t="shared" si="0"/>
        <v>BK7</v>
      </c>
      <c r="N6" s="57" t="str">
        <f t="shared" si="1"/>
        <v>BK8</v>
      </c>
      <c r="O6" s="58" t="s">
        <v>1186</v>
      </c>
      <c r="P6" s="58" t="s">
        <v>200</v>
      </c>
      <c r="Q6" s="58">
        <v>121</v>
      </c>
      <c r="R6" s="59">
        <v>122</v>
      </c>
      <c r="S6" s="53"/>
      <c r="T6" s="62"/>
      <c r="W6" s="49" t="str">
        <f t="shared" si="2"/>
        <v>HSAP5101D+/TB1-11</v>
      </c>
      <c r="X6" s="49" t="str">
        <f t="shared" si="3"/>
        <v>HSAP5101D-/TB1-12</v>
      </c>
      <c r="Y6" s="49" t="str">
        <f t="shared" si="4"/>
        <v>HSAP5101D+/TB4-121</v>
      </c>
      <c r="Z6" s="49" t="str">
        <f t="shared" si="5"/>
        <v>HSAP5101D-/TB4-122</v>
      </c>
    </row>
    <row r="7" spans="1:27" s="61" customFormat="1" ht="24.95" customHeight="1">
      <c r="A7" s="53">
        <v>5</v>
      </c>
      <c r="B7" s="53" t="s">
        <v>1080</v>
      </c>
      <c r="C7" s="54"/>
      <c r="D7" s="53" t="s">
        <v>1182</v>
      </c>
      <c r="E7" s="55" t="s">
        <v>1183</v>
      </c>
      <c r="F7" s="55" t="s">
        <v>7</v>
      </c>
      <c r="G7" s="55">
        <v>29</v>
      </c>
      <c r="H7" s="55">
        <v>30</v>
      </c>
      <c r="I7" s="56" t="s">
        <v>1184</v>
      </c>
      <c r="J7" s="56" t="s">
        <v>1185</v>
      </c>
      <c r="K7" s="56"/>
      <c r="L7" s="56">
        <v>5</v>
      </c>
      <c r="M7" s="57" t="str">
        <f t="shared" si="0"/>
        <v>BK9</v>
      </c>
      <c r="N7" s="57" t="str">
        <f t="shared" si="1"/>
        <v>BK10</v>
      </c>
      <c r="O7" s="58" t="s">
        <v>1186</v>
      </c>
      <c r="P7" s="58" t="s">
        <v>200</v>
      </c>
      <c r="Q7" s="58">
        <v>103</v>
      </c>
      <c r="R7" s="59">
        <v>104</v>
      </c>
      <c r="S7" s="53"/>
      <c r="T7" s="62"/>
      <c r="W7" s="49" t="str">
        <f t="shared" si="2"/>
        <v>HS54004DO+/TB1-29</v>
      </c>
      <c r="X7" s="49" t="str">
        <f t="shared" si="3"/>
        <v>HS54004DO-/TB1-30</v>
      </c>
      <c r="Y7" s="49" t="str">
        <f t="shared" si="4"/>
        <v>HS54004DO+/TB4-103</v>
      </c>
      <c r="Z7" s="49" t="str">
        <f t="shared" si="5"/>
        <v>HS54004DO-/TB4-104</v>
      </c>
    </row>
    <row r="8" spans="1:27" s="61" customFormat="1" ht="24.95" customHeight="1">
      <c r="A8" s="53">
        <v>6</v>
      </c>
      <c r="B8" s="63" t="s">
        <v>1045</v>
      </c>
      <c r="C8" s="54"/>
      <c r="D8" s="53" t="s">
        <v>1182</v>
      </c>
      <c r="E8" s="55" t="s">
        <v>1183</v>
      </c>
      <c r="F8" s="55" t="s">
        <v>7</v>
      </c>
      <c r="G8" s="55">
        <v>13</v>
      </c>
      <c r="H8" s="55">
        <v>14</v>
      </c>
      <c r="I8" s="56" t="s">
        <v>1187</v>
      </c>
      <c r="J8" s="56" t="s">
        <v>1188</v>
      </c>
      <c r="K8" s="56"/>
      <c r="L8" s="56">
        <v>1</v>
      </c>
      <c r="M8" s="58" t="str">
        <f t="shared" si="0"/>
        <v>BK1</v>
      </c>
      <c r="N8" s="58" t="str">
        <f t="shared" si="1"/>
        <v>BK2</v>
      </c>
      <c r="O8" s="58" t="s">
        <v>1186</v>
      </c>
      <c r="P8" s="58" t="s">
        <v>9</v>
      </c>
      <c r="Q8" s="58">
        <v>5</v>
      </c>
      <c r="R8" s="59">
        <v>6</v>
      </c>
      <c r="S8" s="53"/>
      <c r="T8" s="62"/>
      <c r="W8" s="49" t="str">
        <f t="shared" si="2"/>
        <v>HSAP4017+/TB1-13</v>
      </c>
      <c r="X8" s="49" t="str">
        <f t="shared" si="3"/>
        <v>HSAP4017-/TB1-14</v>
      </c>
      <c r="Y8" s="49" t="str">
        <f t="shared" si="4"/>
        <v>HSAP4017+/TB3-5</v>
      </c>
      <c r="Z8" s="49" t="str">
        <f t="shared" si="5"/>
        <v>HSAP4017-/TB3-6</v>
      </c>
    </row>
    <row r="9" spans="1:27" s="61" customFormat="1" ht="24.95" customHeight="1">
      <c r="A9" s="53">
        <v>7</v>
      </c>
      <c r="B9" s="53" t="s">
        <v>1073</v>
      </c>
      <c r="C9" s="54"/>
      <c r="D9" s="53" t="s">
        <v>1182</v>
      </c>
      <c r="E9" s="55" t="s">
        <v>1183</v>
      </c>
      <c r="F9" s="55" t="s">
        <v>7</v>
      </c>
      <c r="G9" s="55">
        <v>15</v>
      </c>
      <c r="H9" s="55">
        <v>16</v>
      </c>
      <c r="I9" s="56" t="s">
        <v>1187</v>
      </c>
      <c r="J9" s="56" t="s">
        <v>1188</v>
      </c>
      <c r="K9" s="56"/>
      <c r="L9" s="56">
        <v>2</v>
      </c>
      <c r="M9" s="57" t="str">
        <f t="shared" si="0"/>
        <v>BK3</v>
      </c>
      <c r="N9" s="57" t="str">
        <f t="shared" si="1"/>
        <v>BK4</v>
      </c>
      <c r="O9" s="58" t="s">
        <v>1186</v>
      </c>
      <c r="P9" s="58" t="s">
        <v>9</v>
      </c>
      <c r="Q9" s="58">
        <v>25</v>
      </c>
      <c r="R9" s="59">
        <v>26</v>
      </c>
      <c r="S9" s="64"/>
      <c r="T9" s="62"/>
      <c r="W9" s="49" t="str">
        <f t="shared" si="2"/>
        <v>HSAY5401F1A+/TB1-15</v>
      </c>
      <c r="X9" s="49" t="str">
        <f t="shared" si="3"/>
        <v>HSAY5401F1A-/TB1-16</v>
      </c>
      <c r="Y9" s="49" t="str">
        <f t="shared" si="4"/>
        <v>HSAY5401F1A+/TB3-25</v>
      </c>
      <c r="Z9" s="49" t="str">
        <f t="shared" si="5"/>
        <v>HSAY5401F1A-/TB3-26</v>
      </c>
    </row>
    <row r="10" spans="1:27" s="61" customFormat="1" ht="24.95" customHeight="1">
      <c r="A10" s="53">
        <v>8</v>
      </c>
      <c r="B10" s="53" t="s">
        <v>1074</v>
      </c>
      <c r="C10" s="54"/>
      <c r="D10" s="53" t="s">
        <v>1182</v>
      </c>
      <c r="E10" s="55" t="s">
        <v>1183</v>
      </c>
      <c r="F10" s="55" t="s">
        <v>7</v>
      </c>
      <c r="G10" s="55">
        <v>17</v>
      </c>
      <c r="H10" s="55">
        <v>18</v>
      </c>
      <c r="I10" s="56" t="s">
        <v>1187</v>
      </c>
      <c r="J10" s="56" t="s">
        <v>1188</v>
      </c>
      <c r="K10" s="56"/>
      <c r="L10" s="56">
        <v>3</v>
      </c>
      <c r="M10" s="57" t="str">
        <f t="shared" si="0"/>
        <v>BK5</v>
      </c>
      <c r="N10" s="57" t="str">
        <f t="shared" si="1"/>
        <v>BK6</v>
      </c>
      <c r="O10" s="58" t="s">
        <v>1186</v>
      </c>
      <c r="P10" s="58" t="s">
        <v>9</v>
      </c>
      <c r="Q10" s="58">
        <v>27</v>
      </c>
      <c r="R10" s="59">
        <v>28</v>
      </c>
      <c r="S10" s="53"/>
      <c r="T10" s="62"/>
      <c r="W10" s="49" t="str">
        <f t="shared" si="2"/>
        <v>HSAY5401F1B+/TB1-17</v>
      </c>
      <c r="X10" s="49" t="str">
        <f t="shared" si="3"/>
        <v>HSAY5401F1B-/TB1-18</v>
      </c>
      <c r="Y10" s="49" t="str">
        <f t="shared" si="4"/>
        <v>HSAY5401F1B+/TB3-27</v>
      </c>
      <c r="Z10" s="49" t="str">
        <f t="shared" si="5"/>
        <v>HSAY5401F1B-/TB3-28</v>
      </c>
    </row>
    <row r="11" spans="1:27" s="61" customFormat="1" ht="24.95" customHeight="1">
      <c r="A11" s="53">
        <v>9</v>
      </c>
      <c r="B11" s="53" t="s">
        <v>1075</v>
      </c>
      <c r="C11" s="54"/>
      <c r="D11" s="53" t="s">
        <v>1182</v>
      </c>
      <c r="E11" s="55" t="s">
        <v>1183</v>
      </c>
      <c r="F11" s="55" t="s">
        <v>7</v>
      </c>
      <c r="G11" s="55">
        <v>19</v>
      </c>
      <c r="H11" s="55">
        <v>20</v>
      </c>
      <c r="I11" s="56" t="s">
        <v>1189</v>
      </c>
      <c r="J11" s="56" t="s">
        <v>1185</v>
      </c>
      <c r="K11" s="56">
        <f>SUM(U11:V11)</f>
        <v>24</v>
      </c>
      <c r="L11" s="56">
        <v>1</v>
      </c>
      <c r="M11" s="57" t="str">
        <f t="shared" si="0"/>
        <v>BK1</v>
      </c>
      <c r="N11" s="57" t="str">
        <f t="shared" si="1"/>
        <v>BK2</v>
      </c>
      <c r="O11" s="58" t="s">
        <v>1190</v>
      </c>
      <c r="P11" s="58" t="s">
        <v>7</v>
      </c>
      <c r="Q11" s="58">
        <v>7</v>
      </c>
      <c r="R11" s="59">
        <v>8</v>
      </c>
      <c r="S11" s="53"/>
      <c r="T11" s="62"/>
      <c r="U11" s="61">
        <v>18</v>
      </c>
      <c r="V11" s="61">
        <v>6</v>
      </c>
      <c r="W11" s="49" t="str">
        <f t="shared" si="2"/>
        <v>HSY54231DO+/TB1-19</v>
      </c>
      <c r="X11" s="49" t="str">
        <f t="shared" si="3"/>
        <v>HSY54231DO-/TB1-20</v>
      </c>
      <c r="Y11" s="49" t="str">
        <f t="shared" si="4"/>
        <v>HSY54231DO+/TB1-7</v>
      </c>
      <c r="Z11" s="49" t="str">
        <f t="shared" si="5"/>
        <v>HSY54231DO-/TB1-8</v>
      </c>
    </row>
    <row r="12" spans="1:27" s="61" customFormat="1" ht="24.95" customHeight="1">
      <c r="A12" s="53">
        <v>10</v>
      </c>
      <c r="B12" s="53" t="s">
        <v>1076</v>
      </c>
      <c r="C12" s="54"/>
      <c r="D12" s="53" t="s">
        <v>1182</v>
      </c>
      <c r="E12" s="55" t="s">
        <v>1183</v>
      </c>
      <c r="F12" s="55" t="s">
        <v>7</v>
      </c>
      <c r="G12" s="55">
        <v>21</v>
      </c>
      <c r="H12" s="55">
        <v>22</v>
      </c>
      <c r="I12" s="56" t="s">
        <v>1189</v>
      </c>
      <c r="J12" s="56" t="s">
        <v>1185</v>
      </c>
      <c r="K12" s="56"/>
      <c r="L12" s="56">
        <v>2</v>
      </c>
      <c r="M12" s="57" t="str">
        <f t="shared" si="0"/>
        <v>BK3</v>
      </c>
      <c r="N12" s="57" t="str">
        <f t="shared" si="1"/>
        <v>BK4</v>
      </c>
      <c r="O12" s="58" t="s">
        <v>1190</v>
      </c>
      <c r="P12" s="58" t="s">
        <v>7</v>
      </c>
      <c r="Q12" s="58">
        <v>9</v>
      </c>
      <c r="R12" s="59">
        <v>10</v>
      </c>
      <c r="S12" s="53"/>
      <c r="T12" s="62"/>
      <c r="W12" s="49" t="str">
        <f t="shared" si="2"/>
        <v>HSY54232DO+/TB1-21</v>
      </c>
      <c r="X12" s="49" t="str">
        <f t="shared" si="3"/>
        <v>HSY54232DO-/TB1-22</v>
      </c>
      <c r="Y12" s="49" t="str">
        <f t="shared" si="4"/>
        <v>HSY54232DO+/TB1-9</v>
      </c>
      <c r="Z12" s="49" t="str">
        <f t="shared" si="5"/>
        <v>HSY54232DO-/TB1-10</v>
      </c>
    </row>
    <row r="13" spans="1:27" s="61" customFormat="1" ht="24.95" customHeight="1">
      <c r="A13" s="53">
        <v>11</v>
      </c>
      <c r="B13" s="53" t="s">
        <v>1077</v>
      </c>
      <c r="C13" s="54"/>
      <c r="D13" s="53" t="s">
        <v>1182</v>
      </c>
      <c r="E13" s="55" t="s">
        <v>1183</v>
      </c>
      <c r="F13" s="55" t="s">
        <v>7</v>
      </c>
      <c r="G13" s="55">
        <v>23</v>
      </c>
      <c r="H13" s="55">
        <v>24</v>
      </c>
      <c r="I13" s="56" t="s">
        <v>1189</v>
      </c>
      <c r="J13" s="56" t="s">
        <v>1185</v>
      </c>
      <c r="K13" s="56"/>
      <c r="L13" s="56">
        <v>1</v>
      </c>
      <c r="M13" s="57" t="str">
        <f t="shared" si="0"/>
        <v>BK1</v>
      </c>
      <c r="N13" s="57" t="str">
        <f t="shared" si="1"/>
        <v>BK2</v>
      </c>
      <c r="O13" s="58" t="s">
        <v>1190</v>
      </c>
      <c r="P13" s="58" t="s">
        <v>7</v>
      </c>
      <c r="Q13" s="58">
        <v>11</v>
      </c>
      <c r="R13" s="59">
        <v>12</v>
      </c>
      <c r="S13" s="53"/>
      <c r="T13" s="62"/>
      <c r="W13" s="49" t="str">
        <f t="shared" si="2"/>
        <v>HSY54234DO+/TB1-23</v>
      </c>
      <c r="X13" s="49" t="str">
        <f t="shared" si="3"/>
        <v>HSY54234DO-/TB1-24</v>
      </c>
      <c r="Y13" s="49" t="str">
        <f t="shared" si="4"/>
        <v>HSY54234DO+/TB1-11</v>
      </c>
      <c r="Z13" s="49" t="str">
        <f t="shared" si="5"/>
        <v>HSY54234DO-/TB1-12</v>
      </c>
    </row>
    <row r="14" spans="1:27" s="61" customFormat="1" ht="24.95" customHeight="1">
      <c r="A14" s="53">
        <v>12</v>
      </c>
      <c r="B14" s="53" t="s">
        <v>1079</v>
      </c>
      <c r="C14" s="54"/>
      <c r="D14" s="53" t="s">
        <v>1182</v>
      </c>
      <c r="E14" s="55" t="s">
        <v>1183</v>
      </c>
      <c r="F14" s="55" t="s">
        <v>7</v>
      </c>
      <c r="G14" s="55">
        <v>27</v>
      </c>
      <c r="H14" s="55">
        <v>28</v>
      </c>
      <c r="I14" s="56" t="s">
        <v>1189</v>
      </c>
      <c r="J14" s="56" t="s">
        <v>1185</v>
      </c>
      <c r="K14" s="56"/>
      <c r="L14" s="56">
        <v>2</v>
      </c>
      <c r="M14" s="57" t="str">
        <f t="shared" si="0"/>
        <v>BK3</v>
      </c>
      <c r="N14" s="57" t="str">
        <f t="shared" si="1"/>
        <v>BK4</v>
      </c>
      <c r="O14" s="58" t="s">
        <v>1190</v>
      </c>
      <c r="P14" s="58" t="s">
        <v>7</v>
      </c>
      <c r="Q14" s="58">
        <v>5</v>
      </c>
      <c r="R14" s="59">
        <v>6</v>
      </c>
      <c r="S14" s="53"/>
      <c r="T14" s="62"/>
      <c r="W14" s="49" t="str">
        <f t="shared" si="2"/>
        <v>HSY54236DO+/TB1-27</v>
      </c>
      <c r="X14" s="49" t="str">
        <f t="shared" si="3"/>
        <v>HSY54236DO-/TB1-28</v>
      </c>
      <c r="Y14" s="49" t="str">
        <f t="shared" si="4"/>
        <v>HSY54236DO+/TB1-5</v>
      </c>
      <c r="Z14" s="49" t="str">
        <f t="shared" si="5"/>
        <v>HSY54236DO-/TB1-6</v>
      </c>
    </row>
    <row r="15" spans="1:27" s="61" customFormat="1" ht="24.95" customHeight="1">
      <c r="A15" s="53">
        <v>13</v>
      </c>
      <c r="B15" s="65" t="s">
        <v>1047</v>
      </c>
      <c r="C15" s="54"/>
      <c r="D15" s="53" t="s">
        <v>1191</v>
      </c>
      <c r="E15" s="55" t="s">
        <v>1183</v>
      </c>
      <c r="F15" s="55" t="s">
        <v>740</v>
      </c>
      <c r="G15" s="55">
        <v>65</v>
      </c>
      <c r="H15" s="55">
        <v>66</v>
      </c>
      <c r="I15" s="56" t="s">
        <v>1192</v>
      </c>
      <c r="J15" s="56" t="s">
        <v>1188</v>
      </c>
      <c r="K15" s="56"/>
      <c r="L15" s="56">
        <v>3</v>
      </c>
      <c r="M15" s="57" t="str">
        <f t="shared" si="0"/>
        <v>BK5</v>
      </c>
      <c r="N15" s="57" t="str">
        <f t="shared" si="1"/>
        <v>BK6</v>
      </c>
      <c r="O15" s="58" t="s">
        <v>1193</v>
      </c>
      <c r="P15" s="58" t="s">
        <v>7</v>
      </c>
      <c r="Q15" s="58">
        <v>77</v>
      </c>
      <c r="R15" s="59">
        <v>78</v>
      </c>
      <c r="S15" s="64"/>
      <c r="T15" s="62"/>
      <c r="W15" s="49" t="str">
        <f t="shared" si="2"/>
        <v>I5303DI+/TB5-65</v>
      </c>
      <c r="X15" s="49" t="str">
        <f t="shared" si="3"/>
        <v>I5303DI-/TB5-66</v>
      </c>
      <c r="Y15" s="49" t="str">
        <f t="shared" si="4"/>
        <v>I5303DI+/TB1-77</v>
      </c>
      <c r="Z15" s="49" t="str">
        <f t="shared" si="5"/>
        <v>I5303DI-/TB1-78</v>
      </c>
    </row>
    <row r="16" spans="1:27" s="61" customFormat="1" ht="24.95" customHeight="1">
      <c r="A16" s="53">
        <v>14</v>
      </c>
      <c r="B16" s="65" t="s">
        <v>1048</v>
      </c>
      <c r="C16" s="54"/>
      <c r="D16" s="53" t="s">
        <v>1191</v>
      </c>
      <c r="E16" s="55" t="s">
        <v>1183</v>
      </c>
      <c r="F16" s="55" t="s">
        <v>740</v>
      </c>
      <c r="G16" s="55">
        <v>67</v>
      </c>
      <c r="H16" s="55">
        <v>68</v>
      </c>
      <c r="I16" s="56" t="s">
        <v>1192</v>
      </c>
      <c r="J16" s="56" t="s">
        <v>1188</v>
      </c>
      <c r="K16" s="56"/>
      <c r="L16" s="56">
        <v>4</v>
      </c>
      <c r="M16" s="57" t="str">
        <f t="shared" si="0"/>
        <v>BK7</v>
      </c>
      <c r="N16" s="57" t="str">
        <f t="shared" si="1"/>
        <v>BK8</v>
      </c>
      <c r="O16" s="58" t="s">
        <v>1193</v>
      </c>
      <c r="P16" s="58" t="s">
        <v>7</v>
      </c>
      <c r="Q16" s="58">
        <v>83</v>
      </c>
      <c r="R16" s="59">
        <v>84</v>
      </c>
      <c r="S16" s="53"/>
      <c r="T16" s="62"/>
      <c r="W16" s="49" t="str">
        <f t="shared" si="2"/>
        <v>IY54015DO+/TB5-67</v>
      </c>
      <c r="X16" s="49" t="str">
        <f t="shared" si="3"/>
        <v>IY54015DO-/TB5-68</v>
      </c>
      <c r="Y16" s="49" t="str">
        <f t="shared" si="4"/>
        <v>IY54015DO+/TB1-83</v>
      </c>
      <c r="Z16" s="49" t="str">
        <f t="shared" si="5"/>
        <v>IY54015DO-/TB1-84</v>
      </c>
    </row>
    <row r="17" spans="1:26" s="61" customFormat="1" ht="24.95" customHeight="1">
      <c r="A17" s="53">
        <v>15</v>
      </c>
      <c r="B17" s="53" t="s">
        <v>1081</v>
      </c>
      <c r="C17" s="54"/>
      <c r="D17" s="53" t="s">
        <v>1191</v>
      </c>
      <c r="E17" s="55" t="s">
        <v>1183</v>
      </c>
      <c r="F17" s="55" t="s">
        <v>740</v>
      </c>
      <c r="G17" s="55">
        <v>79</v>
      </c>
      <c r="H17" s="55">
        <v>80</v>
      </c>
      <c r="I17" s="56" t="s">
        <v>1192</v>
      </c>
      <c r="J17" s="56" t="s">
        <v>1188</v>
      </c>
      <c r="K17" s="56"/>
      <c r="L17" s="56">
        <v>5</v>
      </c>
      <c r="M17" s="57" t="str">
        <f t="shared" si="0"/>
        <v>BK9</v>
      </c>
      <c r="N17" s="57" t="str">
        <f t="shared" si="1"/>
        <v>BK10</v>
      </c>
      <c r="O17" s="58" t="s">
        <v>1193</v>
      </c>
      <c r="P17" s="58" t="s">
        <v>7</v>
      </c>
      <c r="Q17" s="58">
        <v>95</v>
      </c>
      <c r="R17" s="59">
        <v>96</v>
      </c>
      <c r="S17" s="53"/>
      <c r="T17" s="62"/>
      <c r="W17" s="49" t="str">
        <f t="shared" si="2"/>
        <v>FVY54275PC+/TB5-79</v>
      </c>
      <c r="X17" s="49" t="str">
        <f t="shared" si="3"/>
        <v>FVY54275PC-/TB5-80</v>
      </c>
      <c r="Y17" s="49" t="str">
        <f t="shared" si="4"/>
        <v>FVY54275PC+/TB1-95</v>
      </c>
      <c r="Z17" s="49" t="str">
        <f t="shared" si="5"/>
        <v>FVY54275PC-/TB1-96</v>
      </c>
    </row>
    <row r="18" spans="1:26" s="61" customFormat="1" ht="24.95" customHeight="1">
      <c r="A18" s="53">
        <v>16</v>
      </c>
      <c r="B18" s="53" t="s">
        <v>1082</v>
      </c>
      <c r="C18" s="54"/>
      <c r="D18" s="53" t="s">
        <v>1191</v>
      </c>
      <c r="E18" s="55" t="s">
        <v>1183</v>
      </c>
      <c r="F18" s="55" t="s">
        <v>740</v>
      </c>
      <c r="G18" s="55">
        <v>81</v>
      </c>
      <c r="H18" s="55">
        <v>82</v>
      </c>
      <c r="I18" s="56" t="s">
        <v>1192</v>
      </c>
      <c r="J18" s="56" t="s">
        <v>1194</v>
      </c>
      <c r="K18" s="56">
        <f>SUM(U18:V18)</f>
        <v>26</v>
      </c>
      <c r="L18" s="56">
        <v>6</v>
      </c>
      <c r="M18" s="56"/>
      <c r="N18" s="56">
        <v>1</v>
      </c>
      <c r="O18" s="58" t="s">
        <v>1193</v>
      </c>
      <c r="P18" s="58" t="s">
        <v>7</v>
      </c>
      <c r="Q18" s="58">
        <v>97</v>
      </c>
      <c r="R18" s="59">
        <v>98</v>
      </c>
      <c r="S18" s="53"/>
      <c r="T18" s="62"/>
      <c r="U18" s="61">
        <v>20</v>
      </c>
      <c r="V18" s="61">
        <v>6</v>
      </c>
      <c r="W18" s="49" t="str">
        <f t="shared" si="2"/>
        <v>FVY54275LUC+/TB5-81</v>
      </c>
      <c r="X18" s="49" t="str">
        <f t="shared" si="3"/>
        <v>FVY54275LUC-/TB5-82</v>
      </c>
      <c r="Y18" s="49" t="str">
        <f t="shared" si="4"/>
        <v>FVY54275LUC+/TB1-97</v>
      </c>
      <c r="Z18" s="49" t="str">
        <f t="shared" si="5"/>
        <v>FVY54275LUC-/TB1-98</v>
      </c>
    </row>
    <row r="19" spans="1:26" s="61" customFormat="1" ht="24.95" customHeight="1">
      <c r="A19" s="53">
        <v>17</v>
      </c>
      <c r="B19" s="53" t="s">
        <v>1083</v>
      </c>
      <c r="C19" s="54"/>
      <c r="D19" s="53" t="s">
        <v>1191</v>
      </c>
      <c r="E19" s="55" t="s">
        <v>1183</v>
      </c>
      <c r="F19" s="55" t="s">
        <v>740</v>
      </c>
      <c r="G19" s="55">
        <v>83</v>
      </c>
      <c r="H19" s="55">
        <v>84</v>
      </c>
      <c r="I19" s="56" t="s">
        <v>1192</v>
      </c>
      <c r="J19" s="56" t="s">
        <v>1194</v>
      </c>
      <c r="K19" s="56"/>
      <c r="L19" s="56">
        <v>7</v>
      </c>
      <c r="M19" s="56"/>
      <c r="N19" s="56">
        <v>2</v>
      </c>
      <c r="O19" s="58" t="s">
        <v>1193</v>
      </c>
      <c r="P19" s="58" t="s">
        <v>7</v>
      </c>
      <c r="Q19" s="58">
        <v>99</v>
      </c>
      <c r="R19" s="59">
        <v>100</v>
      </c>
      <c r="S19" s="53"/>
      <c r="T19" s="62"/>
      <c r="W19" s="49" t="str">
        <f t="shared" si="2"/>
        <v>FVY54275MP+/TB5-83</v>
      </c>
      <c r="X19" s="49" t="str">
        <f t="shared" si="3"/>
        <v>FVY54275MP-/TB5-84</v>
      </c>
      <c r="Y19" s="49" t="str">
        <f t="shared" si="4"/>
        <v>FVY54275MP+/TB1-99</v>
      </c>
      <c r="Z19" s="49" t="str">
        <f t="shared" si="5"/>
        <v>FVY54275MP-/TB1-100</v>
      </c>
    </row>
    <row r="20" spans="1:26" s="61" customFormat="1" ht="24.95" customHeight="1">
      <c r="A20" s="53">
        <v>18</v>
      </c>
      <c r="B20" s="53" t="s">
        <v>1084</v>
      </c>
      <c r="C20" s="54"/>
      <c r="D20" s="53" t="s">
        <v>1191</v>
      </c>
      <c r="E20" s="55" t="s">
        <v>1183</v>
      </c>
      <c r="F20" s="55" t="s">
        <v>740</v>
      </c>
      <c r="G20" s="55">
        <v>85</v>
      </c>
      <c r="H20" s="55">
        <v>86</v>
      </c>
      <c r="I20" s="56" t="s">
        <v>1192</v>
      </c>
      <c r="J20" s="56" t="s">
        <v>1194</v>
      </c>
      <c r="K20" s="56"/>
      <c r="L20" s="56">
        <v>8</v>
      </c>
      <c r="M20" s="56"/>
      <c r="N20" s="56">
        <v>3</v>
      </c>
      <c r="O20" s="58" t="s">
        <v>1193</v>
      </c>
      <c r="P20" s="58" t="s">
        <v>7</v>
      </c>
      <c r="Q20" s="58">
        <v>101</v>
      </c>
      <c r="R20" s="59">
        <v>102</v>
      </c>
      <c r="S20" s="53"/>
      <c r="T20" s="62"/>
      <c r="W20" s="49" t="str">
        <f t="shared" si="2"/>
        <v>XMRY54267DI+/TB5-85</v>
      </c>
      <c r="X20" s="49" t="str">
        <f t="shared" si="3"/>
        <v>XMRY54267DI-/TB5-86</v>
      </c>
      <c r="Y20" s="49" t="str">
        <f t="shared" si="4"/>
        <v>XMRY54267DI+/TB1-101</v>
      </c>
      <c r="Z20" s="49" t="str">
        <f t="shared" si="5"/>
        <v>XMRY54267DI-/TB1-102</v>
      </c>
    </row>
    <row r="21" spans="1:26" s="61" customFormat="1" ht="24.95" customHeight="1">
      <c r="A21" s="53">
        <v>19</v>
      </c>
      <c r="B21" s="53" t="s">
        <v>1085</v>
      </c>
      <c r="C21" s="54"/>
      <c r="D21" s="53" t="s">
        <v>1191</v>
      </c>
      <c r="E21" s="55" t="s">
        <v>1183</v>
      </c>
      <c r="F21" s="55" t="s">
        <v>740</v>
      </c>
      <c r="G21" s="55">
        <v>87</v>
      </c>
      <c r="H21" s="55">
        <v>88</v>
      </c>
      <c r="I21" s="56" t="s">
        <v>1192</v>
      </c>
      <c r="J21" s="56" t="s">
        <v>1194</v>
      </c>
      <c r="K21" s="56"/>
      <c r="L21" s="56">
        <v>9</v>
      </c>
      <c r="M21" s="56"/>
      <c r="N21" s="56">
        <v>4</v>
      </c>
      <c r="O21" s="58" t="s">
        <v>1193</v>
      </c>
      <c r="P21" s="58" t="s">
        <v>7</v>
      </c>
      <c r="Q21" s="58">
        <v>103</v>
      </c>
      <c r="R21" s="59">
        <v>104</v>
      </c>
      <c r="S21" s="53"/>
      <c r="T21" s="62"/>
      <c r="W21" s="49" t="str">
        <f t="shared" si="2"/>
        <v>FVY54209LUC+/TB5-87</v>
      </c>
      <c r="X21" s="49" t="str">
        <f t="shared" si="3"/>
        <v>FVY54209LUC-/TB5-88</v>
      </c>
      <c r="Y21" s="49" t="str">
        <f t="shared" si="4"/>
        <v>FVY54209LUC+/TB1-103</v>
      </c>
      <c r="Z21" s="49" t="str">
        <f t="shared" si="5"/>
        <v>FVY54209LUC-/TB1-104</v>
      </c>
    </row>
    <row r="22" spans="1:26" s="61" customFormat="1" ht="24.95" customHeight="1">
      <c r="A22" s="53">
        <v>20</v>
      </c>
      <c r="B22" s="53" t="s">
        <v>1086</v>
      </c>
      <c r="C22" s="54"/>
      <c r="D22" s="53" t="s">
        <v>1191</v>
      </c>
      <c r="E22" s="55" t="s">
        <v>1183</v>
      </c>
      <c r="F22" s="55" t="s">
        <v>740</v>
      </c>
      <c r="G22" s="55">
        <v>89</v>
      </c>
      <c r="H22" s="55">
        <v>90</v>
      </c>
      <c r="I22" s="56" t="s">
        <v>1192</v>
      </c>
      <c r="J22" s="56" t="s">
        <v>1194</v>
      </c>
      <c r="K22" s="56"/>
      <c r="L22" s="56">
        <v>5</v>
      </c>
      <c r="M22" s="56"/>
      <c r="N22" s="56">
        <v>5</v>
      </c>
      <c r="O22" s="58" t="s">
        <v>1193</v>
      </c>
      <c r="P22" s="58" t="s">
        <v>7</v>
      </c>
      <c r="Q22" s="58">
        <v>105</v>
      </c>
      <c r="R22" s="59">
        <v>106</v>
      </c>
      <c r="S22" s="53"/>
      <c r="T22" s="62"/>
      <c r="W22" s="49" t="str">
        <f t="shared" si="2"/>
        <v>FVY54209MP+/TB5-89</v>
      </c>
      <c r="X22" s="49" t="str">
        <f t="shared" si="3"/>
        <v>FVY54209MP-/TB5-90</v>
      </c>
      <c r="Y22" s="49" t="str">
        <f t="shared" si="4"/>
        <v>FVY54209MP+/TB1-105</v>
      </c>
      <c r="Z22" s="49" t="str">
        <f t="shared" si="5"/>
        <v>FVY54209MP-/TB1-106</v>
      </c>
    </row>
    <row r="23" spans="1:26" s="61" customFormat="1" ht="24.95" customHeight="1">
      <c r="A23" s="53">
        <v>21</v>
      </c>
      <c r="B23" s="53" t="s">
        <v>1087</v>
      </c>
      <c r="C23" s="54"/>
      <c r="D23" s="53" t="s">
        <v>1191</v>
      </c>
      <c r="E23" s="55" t="s">
        <v>1183</v>
      </c>
      <c r="F23" s="55" t="s">
        <v>740</v>
      </c>
      <c r="G23" s="55">
        <v>91</v>
      </c>
      <c r="H23" s="55">
        <v>92</v>
      </c>
      <c r="I23" s="56" t="s">
        <v>1192</v>
      </c>
      <c r="J23" s="56" t="s">
        <v>1194</v>
      </c>
      <c r="K23" s="56"/>
      <c r="L23" s="56">
        <v>6</v>
      </c>
      <c r="M23" s="56"/>
      <c r="N23" s="56">
        <v>6</v>
      </c>
      <c r="O23" s="58" t="s">
        <v>1193</v>
      </c>
      <c r="P23" s="58" t="s">
        <v>7</v>
      </c>
      <c r="Q23" s="58">
        <v>107</v>
      </c>
      <c r="R23" s="59">
        <v>108</v>
      </c>
      <c r="S23" s="53"/>
      <c r="T23" s="62"/>
      <c r="W23" s="49" t="str">
        <f t="shared" si="2"/>
        <v>FVY54239LUC+/TB5-91</v>
      </c>
      <c r="X23" s="49" t="str">
        <f t="shared" si="3"/>
        <v>FVY54239LUC-/TB5-92</v>
      </c>
      <c r="Y23" s="49" t="str">
        <f t="shared" si="4"/>
        <v>FVY54239LUC+/TB1-107</v>
      </c>
      <c r="Z23" s="49" t="str">
        <f t="shared" si="5"/>
        <v>FVY54239LUC-/TB1-108</v>
      </c>
    </row>
    <row r="24" spans="1:26" s="61" customFormat="1" ht="24.95" customHeight="1">
      <c r="A24" s="53">
        <v>22</v>
      </c>
      <c r="B24" s="53" t="s">
        <v>1088</v>
      </c>
      <c r="C24" s="54"/>
      <c r="D24" s="53" t="s">
        <v>1191</v>
      </c>
      <c r="E24" s="55" t="s">
        <v>1183</v>
      </c>
      <c r="F24" s="55" t="s">
        <v>740</v>
      </c>
      <c r="G24" s="55">
        <v>93</v>
      </c>
      <c r="H24" s="55">
        <v>94</v>
      </c>
      <c r="I24" s="56" t="s">
        <v>1192</v>
      </c>
      <c r="J24" s="56" t="s">
        <v>1194</v>
      </c>
      <c r="K24" s="56"/>
      <c r="L24" s="56">
        <v>7</v>
      </c>
      <c r="M24" s="56"/>
      <c r="N24" s="56">
        <v>7</v>
      </c>
      <c r="O24" s="58" t="s">
        <v>1193</v>
      </c>
      <c r="P24" s="58" t="s">
        <v>7</v>
      </c>
      <c r="Q24" s="58">
        <v>109</v>
      </c>
      <c r="R24" s="59">
        <v>110</v>
      </c>
      <c r="S24" s="53"/>
      <c r="T24" s="62"/>
      <c r="W24" s="49" t="str">
        <f t="shared" si="2"/>
        <v>FVY54239MP+/TB5-93</v>
      </c>
      <c r="X24" s="49" t="str">
        <f t="shared" si="3"/>
        <v>FVY54239MP-/TB5-94</v>
      </c>
      <c r="Y24" s="49" t="str">
        <f t="shared" si="4"/>
        <v>FVY54239MP+/TB1-109</v>
      </c>
      <c r="Z24" s="49" t="str">
        <f t="shared" si="5"/>
        <v>FVY54239MP-/TB1-110</v>
      </c>
    </row>
    <row r="25" spans="1:26" s="61" customFormat="1" ht="24.95" customHeight="1">
      <c r="A25" s="53">
        <v>23</v>
      </c>
      <c r="B25" s="53" t="s">
        <v>1049</v>
      </c>
      <c r="C25" s="54"/>
      <c r="D25" s="53" t="s">
        <v>1191</v>
      </c>
      <c r="E25" s="55" t="s">
        <v>1183</v>
      </c>
      <c r="F25" s="55" t="s">
        <v>740</v>
      </c>
      <c r="G25" s="55">
        <v>109</v>
      </c>
      <c r="H25" s="55">
        <v>110</v>
      </c>
      <c r="I25" s="56" t="s">
        <v>1195</v>
      </c>
      <c r="J25" s="56" t="s">
        <v>1194</v>
      </c>
      <c r="K25" s="56"/>
      <c r="L25" s="56">
        <v>8</v>
      </c>
      <c r="M25" s="56"/>
      <c r="N25" s="56">
        <v>8</v>
      </c>
      <c r="O25" s="58" t="s">
        <v>1196</v>
      </c>
      <c r="P25" s="58" t="s">
        <v>8</v>
      </c>
      <c r="Q25" s="58">
        <v>37</v>
      </c>
      <c r="R25" s="59">
        <v>38</v>
      </c>
      <c r="S25" s="53"/>
      <c r="T25" s="62"/>
      <c r="W25" s="49" t="str">
        <f t="shared" si="2"/>
        <v>I5304DI+/TB5-109</v>
      </c>
      <c r="X25" s="49" t="str">
        <f t="shared" si="3"/>
        <v>I5304DI-/TB5-110</v>
      </c>
      <c r="Y25" s="49" t="str">
        <f t="shared" si="4"/>
        <v>I5304DI+/TB2-37</v>
      </c>
      <c r="Z25" s="49" t="str">
        <f t="shared" si="5"/>
        <v>I5304DI-/TB2-38</v>
      </c>
    </row>
    <row r="26" spans="1:26" s="61" customFormat="1" ht="24.95" customHeight="1">
      <c r="A26" s="53"/>
      <c r="B26" s="53" t="s">
        <v>1078</v>
      </c>
      <c r="C26" s="54"/>
      <c r="D26" s="53" t="s">
        <v>1182</v>
      </c>
      <c r="E26" s="66" t="s">
        <v>1183</v>
      </c>
      <c r="F26" s="66" t="s">
        <v>7</v>
      </c>
      <c r="G26" s="66">
        <v>25</v>
      </c>
      <c r="H26" s="66">
        <v>26</v>
      </c>
      <c r="I26" s="56"/>
      <c r="J26" s="56"/>
      <c r="K26" s="56"/>
      <c r="L26" s="56"/>
      <c r="M26" s="56"/>
      <c r="N26" s="56"/>
      <c r="O26" s="67">
        <v>0</v>
      </c>
      <c r="P26" s="67">
        <v>0</v>
      </c>
      <c r="Q26" s="67">
        <v>0</v>
      </c>
      <c r="R26" s="68">
        <v>0</v>
      </c>
      <c r="S26" s="53"/>
      <c r="T26" s="62"/>
    </row>
    <row r="27" spans="1:26" s="61" customFormat="1" ht="24.95" customHeight="1">
      <c r="A27" s="53"/>
      <c r="B27" s="53"/>
      <c r="C27" s="54"/>
      <c r="D27" s="53"/>
      <c r="E27" s="55"/>
      <c r="F27" s="55"/>
      <c r="G27" s="55"/>
      <c r="H27" s="55"/>
      <c r="I27" s="56"/>
      <c r="J27" s="56"/>
      <c r="K27" s="56"/>
      <c r="L27" s="56"/>
      <c r="M27" s="56"/>
      <c r="N27" s="56"/>
      <c r="O27" s="58"/>
      <c r="P27" s="58"/>
      <c r="Q27" s="58"/>
      <c r="R27" s="59"/>
      <c r="S27" s="53"/>
      <c r="T27" s="62"/>
    </row>
    <row r="28" spans="1:26" s="61" customFormat="1" ht="24.95" customHeight="1">
      <c r="A28" s="53"/>
      <c r="B28" s="53"/>
      <c r="C28" s="54"/>
      <c r="D28" s="53"/>
      <c r="E28" s="55"/>
      <c r="F28" s="55"/>
      <c r="G28" s="55"/>
      <c r="H28" s="55"/>
      <c r="I28" s="56"/>
      <c r="J28" s="56"/>
      <c r="K28" s="56"/>
      <c r="L28" s="56"/>
      <c r="M28" s="56"/>
      <c r="N28" s="56"/>
      <c r="O28" s="58"/>
      <c r="P28" s="58"/>
      <c r="Q28" s="58"/>
      <c r="R28" s="59"/>
      <c r="S28" s="53"/>
      <c r="T28" s="62"/>
    </row>
    <row r="29" spans="1:26" s="61" customFormat="1" ht="24.95" customHeight="1">
      <c r="A29" s="53"/>
      <c r="B29" s="53"/>
      <c r="C29" s="54"/>
      <c r="D29" s="53"/>
      <c r="E29" s="55"/>
      <c r="F29" s="55"/>
      <c r="G29" s="55"/>
      <c r="H29" s="55"/>
      <c r="I29" s="56"/>
      <c r="J29" s="56"/>
      <c r="K29" s="56"/>
      <c r="L29" s="56"/>
      <c r="M29" s="56"/>
      <c r="N29" s="56"/>
      <c r="O29" s="58"/>
      <c r="P29" s="58"/>
      <c r="Q29" s="58"/>
      <c r="R29" s="59"/>
      <c r="S29" s="53"/>
      <c r="T29" s="62"/>
    </row>
    <row r="30" spans="1:26" s="61" customFormat="1" ht="24.95" customHeight="1">
      <c r="A30" s="53"/>
      <c r="B30" s="53"/>
      <c r="C30" s="54"/>
      <c r="D30" s="53"/>
      <c r="E30" s="55"/>
      <c r="F30" s="55"/>
      <c r="G30" s="55"/>
      <c r="H30" s="55"/>
      <c r="I30" s="56"/>
      <c r="J30" s="56"/>
      <c r="K30" s="56"/>
      <c r="L30" s="56"/>
      <c r="M30" s="56"/>
      <c r="N30" s="56"/>
      <c r="O30" s="58"/>
      <c r="P30" s="58"/>
      <c r="Q30" s="58"/>
      <c r="R30" s="59"/>
      <c r="S30" s="53"/>
      <c r="T30" s="62"/>
    </row>
    <row r="31" spans="1:26" s="61" customFormat="1" ht="24.95" customHeight="1">
      <c r="A31" s="53"/>
      <c r="B31" s="53"/>
      <c r="C31" s="54"/>
      <c r="D31" s="53"/>
      <c r="E31" s="55"/>
      <c r="F31" s="55"/>
      <c r="G31" s="55"/>
      <c r="H31" s="55"/>
      <c r="I31" s="56"/>
      <c r="J31" s="56"/>
      <c r="K31" s="56"/>
      <c r="L31" s="56"/>
      <c r="M31" s="56"/>
      <c r="N31" s="56"/>
      <c r="O31" s="58"/>
      <c r="P31" s="58"/>
      <c r="Q31" s="58"/>
      <c r="R31" s="59"/>
      <c r="S31" s="53"/>
      <c r="T31" s="62"/>
    </row>
    <row r="32" spans="1:26" s="61" customFormat="1" ht="24.95" customHeight="1">
      <c r="A32" s="69"/>
      <c r="B32" s="53"/>
      <c r="C32" s="54"/>
      <c r="D32" s="53"/>
      <c r="E32" s="66"/>
      <c r="F32" s="66"/>
      <c r="G32" s="66"/>
      <c r="H32" s="66"/>
      <c r="I32" s="56"/>
      <c r="J32" s="56"/>
      <c r="K32" s="56"/>
      <c r="L32" s="56">
        <v>1</v>
      </c>
      <c r="M32" s="56"/>
      <c r="N32" s="56"/>
      <c r="O32" s="58"/>
      <c r="P32" s="58"/>
      <c r="Q32" s="58"/>
      <c r="R32" s="59"/>
      <c r="S32" s="53"/>
      <c r="T32" s="70"/>
    </row>
    <row r="33" spans="1:20" s="61" customFormat="1" ht="24.95" customHeight="1">
      <c r="A33" s="71"/>
      <c r="B33" s="65"/>
      <c r="C33" s="54"/>
      <c r="D33" s="53"/>
      <c r="E33" s="66"/>
      <c r="F33" s="66"/>
      <c r="G33" s="66"/>
      <c r="H33" s="66"/>
      <c r="I33" s="56"/>
      <c r="J33" s="56"/>
      <c r="K33" s="56"/>
      <c r="L33" s="56">
        <v>2</v>
      </c>
      <c r="M33" s="56"/>
      <c r="N33" s="56"/>
      <c r="O33" s="58"/>
      <c r="P33" s="58"/>
      <c r="Q33" s="58"/>
      <c r="R33" s="59"/>
      <c r="S33" s="53"/>
      <c r="T33" s="70"/>
    </row>
    <row r="34" spans="1:20" s="61" customFormat="1" ht="24.95" customHeight="1">
      <c r="A34" s="69"/>
      <c r="B34" s="53"/>
      <c r="C34" s="54"/>
      <c r="D34" s="53"/>
      <c r="E34" s="66"/>
      <c r="F34" s="66"/>
      <c r="G34" s="66"/>
      <c r="H34" s="66"/>
      <c r="I34" s="56"/>
      <c r="J34" s="56"/>
      <c r="K34" s="72"/>
      <c r="L34" s="72">
        <v>3</v>
      </c>
      <c r="M34" s="72"/>
      <c r="N34" s="56"/>
      <c r="O34" s="58"/>
      <c r="P34" s="58"/>
      <c r="Q34" s="58"/>
      <c r="R34" s="59"/>
      <c r="S34" s="53"/>
      <c r="T34" s="70"/>
    </row>
    <row r="35" spans="1:20" s="61" customFormat="1" ht="24.95" customHeight="1">
      <c r="A35" s="69"/>
      <c r="B35" s="53"/>
      <c r="C35" s="54"/>
      <c r="D35" s="53"/>
      <c r="E35" s="66"/>
      <c r="F35" s="66"/>
      <c r="G35" s="66"/>
      <c r="H35" s="66"/>
      <c r="I35" s="56"/>
      <c r="J35" s="56"/>
      <c r="K35" s="56"/>
      <c r="L35" s="56">
        <v>4</v>
      </c>
      <c r="M35" s="56"/>
      <c r="N35" s="56"/>
      <c r="O35" s="58"/>
      <c r="P35" s="58"/>
      <c r="Q35" s="58"/>
      <c r="R35" s="59"/>
      <c r="S35" s="53"/>
      <c r="T35" s="70"/>
    </row>
    <row r="36" spans="1:20" s="61" customFormat="1" ht="24.95" customHeight="1">
      <c r="A36" s="71"/>
      <c r="B36" s="53"/>
      <c r="C36" s="54"/>
      <c r="D36" s="53"/>
      <c r="E36" s="66"/>
      <c r="F36" s="66"/>
      <c r="G36" s="66"/>
      <c r="H36" s="66"/>
      <c r="I36" s="56"/>
      <c r="J36" s="56"/>
      <c r="K36" s="56"/>
      <c r="L36" s="56">
        <v>5</v>
      </c>
      <c r="M36" s="56"/>
      <c r="N36" s="56"/>
      <c r="O36" s="58"/>
      <c r="P36" s="58"/>
      <c r="Q36" s="58"/>
      <c r="R36" s="59"/>
      <c r="S36" s="53"/>
      <c r="T36" s="70"/>
    </row>
    <row r="37" spans="1:20" s="61" customFormat="1" ht="24.95" customHeight="1">
      <c r="A37" s="69"/>
      <c r="B37" s="53"/>
      <c r="C37" s="54"/>
      <c r="D37" s="53"/>
      <c r="E37" s="66"/>
      <c r="F37" s="66"/>
      <c r="G37" s="66"/>
      <c r="H37" s="66"/>
      <c r="I37" s="56"/>
      <c r="J37" s="56"/>
      <c r="K37" s="56"/>
      <c r="L37" s="56">
        <v>6</v>
      </c>
      <c r="M37" s="56"/>
      <c r="N37" s="56"/>
      <c r="O37" s="58"/>
      <c r="P37" s="58"/>
      <c r="Q37" s="58"/>
      <c r="R37" s="59"/>
      <c r="S37" s="53"/>
      <c r="T37" s="70"/>
    </row>
    <row r="38" spans="1:20" s="61" customFormat="1" ht="24.95" customHeight="1">
      <c r="A38" s="69"/>
      <c r="B38" s="53"/>
      <c r="C38" s="54"/>
      <c r="D38" s="53"/>
      <c r="E38" s="66"/>
      <c r="F38" s="66"/>
      <c r="G38" s="66"/>
      <c r="H38" s="66"/>
      <c r="I38" s="56"/>
      <c r="J38" s="56"/>
      <c r="K38" s="56"/>
      <c r="L38" s="56">
        <v>7</v>
      </c>
      <c r="M38" s="56"/>
      <c r="N38" s="56"/>
      <c r="O38" s="58"/>
      <c r="P38" s="58"/>
      <c r="Q38" s="58"/>
      <c r="R38" s="59"/>
      <c r="S38" s="53"/>
      <c r="T38" s="70"/>
    </row>
    <row r="39" spans="1:20" s="61" customFormat="1" ht="24.95" customHeight="1">
      <c r="A39" s="71"/>
      <c r="B39" s="53"/>
      <c r="C39" s="54"/>
      <c r="D39" s="53"/>
      <c r="E39" s="66"/>
      <c r="F39" s="66"/>
      <c r="G39" s="66"/>
      <c r="H39" s="66"/>
      <c r="I39" s="56"/>
      <c r="J39" s="56"/>
      <c r="K39" s="56"/>
      <c r="L39" s="56"/>
      <c r="M39" s="56"/>
      <c r="N39" s="56"/>
      <c r="O39" s="58"/>
      <c r="P39" s="58"/>
      <c r="Q39" s="58"/>
      <c r="R39" s="59"/>
      <c r="S39" s="53"/>
      <c r="T39" s="70"/>
    </row>
    <row r="40" spans="1:20" s="61" customFormat="1" ht="24.95" customHeight="1">
      <c r="A40" s="69"/>
      <c r="B40" s="53"/>
      <c r="C40" s="54"/>
      <c r="D40" s="53"/>
      <c r="E40" s="66"/>
      <c r="F40" s="66"/>
      <c r="G40" s="66"/>
      <c r="H40" s="66"/>
      <c r="I40" s="56"/>
      <c r="J40" s="56"/>
      <c r="K40" s="56"/>
      <c r="L40" s="56"/>
      <c r="M40" s="56"/>
      <c r="N40" s="56"/>
      <c r="O40" s="58"/>
      <c r="P40" s="58"/>
      <c r="Q40" s="58"/>
      <c r="R40" s="59"/>
      <c r="S40" s="53"/>
      <c r="T40" s="70"/>
    </row>
    <row r="41" spans="1:20" s="61" customFormat="1" ht="24.95" customHeight="1">
      <c r="A41" s="69"/>
      <c r="B41" s="53"/>
      <c r="C41" s="54"/>
      <c r="D41" s="53"/>
      <c r="E41" s="66"/>
      <c r="F41" s="66"/>
      <c r="G41" s="66"/>
      <c r="H41" s="66"/>
      <c r="I41" s="56"/>
      <c r="J41" s="56"/>
      <c r="K41" s="56"/>
      <c r="L41" s="56"/>
      <c r="M41" s="56"/>
      <c r="N41" s="56"/>
      <c r="O41" s="58"/>
      <c r="P41" s="58"/>
      <c r="Q41" s="58"/>
      <c r="R41" s="59"/>
      <c r="S41" s="53"/>
      <c r="T41" s="70"/>
    </row>
    <row r="42" spans="1:20" s="61" customFormat="1" ht="24.95" customHeight="1">
      <c r="A42" s="71"/>
      <c r="B42" s="53"/>
      <c r="C42" s="54"/>
      <c r="D42" s="53"/>
      <c r="E42" s="66"/>
      <c r="F42" s="66"/>
      <c r="G42" s="66"/>
      <c r="H42" s="66"/>
      <c r="I42" s="56"/>
      <c r="J42" s="56"/>
      <c r="K42" s="56"/>
      <c r="L42" s="56"/>
      <c r="M42" s="56"/>
      <c r="N42" s="56"/>
      <c r="O42" s="58"/>
      <c r="P42" s="58"/>
      <c r="Q42" s="58"/>
      <c r="R42" s="59"/>
      <c r="S42" s="53"/>
      <c r="T42" s="70"/>
    </row>
    <row r="43" spans="1:20" s="61" customFormat="1" ht="24.95" customHeight="1">
      <c r="A43" s="69"/>
      <c r="B43" s="53"/>
      <c r="C43" s="54"/>
      <c r="D43" s="53"/>
      <c r="E43" s="66"/>
      <c r="F43" s="66"/>
      <c r="G43" s="66"/>
      <c r="H43" s="66"/>
      <c r="I43" s="56"/>
      <c r="J43" s="56"/>
      <c r="K43" s="56"/>
      <c r="L43" s="56"/>
      <c r="M43" s="56"/>
      <c r="N43" s="56"/>
      <c r="O43" s="58"/>
      <c r="P43" s="58"/>
      <c r="Q43" s="58"/>
      <c r="R43" s="59"/>
      <c r="S43" s="53"/>
      <c r="T43" s="70"/>
    </row>
    <row r="44" spans="1:20" s="61" customFormat="1" ht="24.95" customHeight="1">
      <c r="A44" s="69"/>
      <c r="B44" s="53"/>
      <c r="C44" s="54"/>
      <c r="D44" s="53"/>
      <c r="E44" s="66"/>
      <c r="F44" s="66"/>
      <c r="G44" s="66"/>
      <c r="H44" s="66"/>
      <c r="I44" s="56"/>
      <c r="J44" s="56"/>
      <c r="K44" s="56"/>
      <c r="L44" s="56"/>
      <c r="M44" s="56"/>
      <c r="N44" s="56"/>
      <c r="O44" s="58"/>
      <c r="P44" s="58"/>
      <c r="Q44" s="58"/>
      <c r="R44" s="59"/>
      <c r="S44" s="53"/>
      <c r="T44" s="70"/>
    </row>
    <row r="45" spans="1:20" s="61" customFormat="1" ht="24.95" customHeight="1">
      <c r="A45" s="71"/>
      <c r="B45" s="53"/>
      <c r="C45" s="54"/>
      <c r="D45" s="53"/>
      <c r="E45" s="66"/>
      <c r="F45" s="66"/>
      <c r="G45" s="66"/>
      <c r="H45" s="66"/>
      <c r="I45" s="56"/>
      <c r="J45" s="56"/>
      <c r="K45" s="56"/>
      <c r="L45" s="56"/>
      <c r="M45" s="56"/>
      <c r="N45" s="56"/>
      <c r="O45" s="58"/>
      <c r="P45" s="58"/>
      <c r="Q45" s="58"/>
      <c r="R45" s="59"/>
      <c r="S45" s="53"/>
      <c r="T45" s="70"/>
    </row>
    <row r="46" spans="1:20" s="61" customFormat="1" ht="24.95" customHeight="1">
      <c r="A46" s="69"/>
      <c r="B46" s="53"/>
      <c r="C46" s="54"/>
      <c r="D46" s="53"/>
      <c r="E46" s="66"/>
      <c r="F46" s="66"/>
      <c r="G46" s="66"/>
      <c r="H46" s="66"/>
      <c r="I46" s="56"/>
      <c r="J46" s="56"/>
      <c r="K46" s="56"/>
      <c r="L46" s="56"/>
      <c r="M46" s="56"/>
      <c r="N46" s="56"/>
      <c r="O46" s="58"/>
      <c r="P46" s="58"/>
      <c r="Q46" s="58"/>
      <c r="R46" s="59"/>
      <c r="S46" s="53"/>
      <c r="T46" s="70"/>
    </row>
    <row r="47" spans="1:20" s="61" customFormat="1" ht="24.95" customHeight="1">
      <c r="A47" s="69"/>
      <c r="B47" s="53"/>
      <c r="C47" s="54"/>
      <c r="D47" s="53"/>
      <c r="E47" s="66"/>
      <c r="F47" s="66"/>
      <c r="G47" s="66"/>
      <c r="H47" s="66"/>
      <c r="I47" s="56"/>
      <c r="J47" s="56"/>
      <c r="K47" s="56"/>
      <c r="L47" s="56"/>
      <c r="M47" s="56"/>
      <c r="N47" s="56"/>
      <c r="O47" s="58"/>
      <c r="P47" s="58"/>
      <c r="Q47" s="58"/>
      <c r="R47" s="59"/>
      <c r="S47" s="53"/>
      <c r="T47" s="70"/>
    </row>
    <row r="48" spans="1:20" s="61" customFormat="1" ht="24.95" customHeight="1">
      <c r="A48" s="71"/>
      <c r="B48" s="53"/>
      <c r="C48" s="54"/>
      <c r="D48" s="53"/>
      <c r="E48" s="66"/>
      <c r="F48" s="66"/>
      <c r="G48" s="66"/>
      <c r="H48" s="66"/>
      <c r="I48" s="56"/>
      <c r="J48" s="56"/>
      <c r="K48" s="56"/>
      <c r="L48" s="56"/>
      <c r="M48" s="56"/>
      <c r="N48" s="56"/>
      <c r="O48" s="58"/>
      <c r="P48" s="58"/>
      <c r="Q48" s="58"/>
      <c r="R48" s="59"/>
      <c r="S48" s="53"/>
      <c r="T48" s="70"/>
    </row>
    <row r="49" spans="1:20" s="61" customFormat="1" ht="24.95" customHeight="1">
      <c r="A49" s="69"/>
      <c r="B49" s="53"/>
      <c r="C49" s="54"/>
      <c r="D49" s="53"/>
      <c r="E49" s="66"/>
      <c r="F49" s="66"/>
      <c r="G49" s="66"/>
      <c r="H49" s="66"/>
      <c r="I49" s="56"/>
      <c r="J49" s="56"/>
      <c r="K49" s="56"/>
      <c r="L49" s="56">
        <v>1</v>
      </c>
      <c r="M49" s="56"/>
      <c r="N49" s="56"/>
      <c r="O49" s="58"/>
      <c r="P49" s="58"/>
      <c r="Q49" s="58"/>
      <c r="R49" s="59"/>
      <c r="S49" s="53"/>
      <c r="T49" s="70"/>
    </row>
    <row r="50" spans="1:20" s="61" customFormat="1" ht="24.95" customHeight="1">
      <c r="A50" s="69"/>
      <c r="B50" s="53"/>
      <c r="C50" s="54"/>
      <c r="D50" s="53"/>
      <c r="E50" s="66"/>
      <c r="F50" s="66"/>
      <c r="G50" s="66"/>
      <c r="H50" s="66"/>
      <c r="I50" s="56"/>
      <c r="J50" s="56"/>
      <c r="K50" s="56"/>
      <c r="L50" s="56">
        <v>2</v>
      </c>
      <c r="M50" s="56"/>
      <c r="N50" s="56"/>
      <c r="O50" s="58"/>
      <c r="P50" s="58"/>
      <c r="Q50" s="58"/>
      <c r="R50" s="59"/>
      <c r="S50" s="53"/>
      <c r="T50" s="70"/>
    </row>
    <row r="51" spans="1:20" s="61" customFormat="1" ht="24.95" customHeight="1">
      <c r="A51" s="71"/>
      <c r="B51" s="53"/>
      <c r="C51" s="54"/>
      <c r="D51" s="53"/>
      <c r="E51" s="66"/>
      <c r="F51" s="66"/>
      <c r="G51" s="66"/>
      <c r="H51" s="66"/>
      <c r="I51" s="56"/>
      <c r="J51" s="56"/>
      <c r="K51" s="56"/>
      <c r="L51" s="56">
        <v>3</v>
      </c>
      <c r="M51" s="56"/>
      <c r="N51" s="56"/>
      <c r="O51" s="58"/>
      <c r="P51" s="58"/>
      <c r="Q51" s="58"/>
      <c r="R51" s="59"/>
      <c r="S51" s="53"/>
      <c r="T51" s="70"/>
    </row>
    <row r="52" spans="1:20" s="61" customFormat="1" ht="24.95" customHeight="1">
      <c r="A52" s="69"/>
      <c r="B52" s="53"/>
      <c r="C52" s="54"/>
      <c r="D52" s="53"/>
      <c r="E52" s="66"/>
      <c r="F52" s="66"/>
      <c r="G52" s="66"/>
      <c r="H52" s="66"/>
      <c r="I52" s="56"/>
      <c r="J52" s="56"/>
      <c r="K52" s="56"/>
      <c r="L52" s="56">
        <v>4</v>
      </c>
      <c r="M52" s="56"/>
      <c r="N52" s="56"/>
      <c r="O52" s="58"/>
      <c r="P52" s="58"/>
      <c r="Q52" s="58"/>
      <c r="R52" s="59"/>
      <c r="S52" s="53"/>
      <c r="T52" s="70"/>
    </row>
    <row r="53" spans="1:20" s="61" customFormat="1" ht="24.95" customHeight="1">
      <c r="A53" s="69"/>
      <c r="B53" s="53"/>
      <c r="C53" s="54"/>
      <c r="D53" s="53"/>
      <c r="E53" s="66"/>
      <c r="F53" s="66"/>
      <c r="G53" s="66"/>
      <c r="H53" s="66"/>
      <c r="I53" s="56"/>
      <c r="J53" s="56"/>
      <c r="K53" s="56"/>
      <c r="L53" s="56">
        <v>5</v>
      </c>
      <c r="M53" s="56"/>
      <c r="N53" s="56"/>
      <c r="O53" s="58"/>
      <c r="P53" s="58"/>
      <c r="Q53" s="58"/>
      <c r="R53" s="59"/>
      <c r="S53" s="53"/>
      <c r="T53" s="70"/>
    </row>
    <row r="54" spans="1:20" s="61" customFormat="1" ht="24.95" customHeight="1">
      <c r="A54" s="71"/>
      <c r="B54" s="53"/>
      <c r="C54" s="54"/>
      <c r="D54" s="53"/>
      <c r="E54" s="66"/>
      <c r="F54" s="66"/>
      <c r="G54" s="66"/>
      <c r="H54" s="66"/>
      <c r="I54" s="56"/>
      <c r="J54" s="56"/>
      <c r="K54" s="72"/>
      <c r="L54" s="72">
        <v>6</v>
      </c>
      <c r="M54" s="72"/>
      <c r="N54" s="56"/>
      <c r="O54" s="58"/>
      <c r="P54" s="58"/>
      <c r="Q54" s="58"/>
      <c r="R54" s="59"/>
      <c r="S54" s="53"/>
      <c r="T54" s="70"/>
    </row>
    <row r="55" spans="1:20" s="61" customFormat="1" ht="24.95" customHeight="1">
      <c r="A55" s="69"/>
      <c r="B55" s="53"/>
      <c r="C55" s="54"/>
      <c r="D55" s="53"/>
      <c r="E55" s="66"/>
      <c r="F55" s="66"/>
      <c r="G55" s="66"/>
      <c r="H55" s="66"/>
      <c r="I55" s="56"/>
      <c r="J55" s="56"/>
      <c r="K55" s="56"/>
      <c r="L55" s="56">
        <v>7</v>
      </c>
      <c r="M55" s="56"/>
      <c r="N55" s="56"/>
      <c r="O55" s="58"/>
      <c r="P55" s="58"/>
      <c r="Q55" s="58"/>
      <c r="R55" s="59"/>
      <c r="S55" s="53"/>
      <c r="T55" s="70"/>
    </row>
    <row r="56" spans="1:20" s="61" customFormat="1" ht="28.5" customHeight="1">
      <c r="A56" s="69"/>
      <c r="B56" s="53"/>
      <c r="C56" s="54"/>
      <c r="D56" s="53"/>
      <c r="E56" s="66"/>
      <c r="F56" s="66"/>
      <c r="G56" s="66"/>
      <c r="H56" s="66"/>
      <c r="I56" s="56"/>
      <c r="J56" s="56"/>
      <c r="K56" s="56"/>
      <c r="L56" s="56">
        <v>8</v>
      </c>
      <c r="M56" s="56"/>
      <c r="N56" s="56"/>
      <c r="O56" s="58"/>
      <c r="P56" s="58"/>
      <c r="Q56" s="58"/>
      <c r="R56" s="59"/>
      <c r="S56" s="53"/>
      <c r="T56" s="70"/>
    </row>
    <row r="57" spans="1:20" s="61" customFormat="1" ht="24.95" customHeight="1">
      <c r="A57" s="71"/>
      <c r="B57" s="53"/>
      <c r="C57" s="54"/>
      <c r="D57" s="53"/>
      <c r="E57" s="66"/>
      <c r="F57" s="66"/>
      <c r="G57" s="66"/>
      <c r="H57" s="66"/>
      <c r="I57" s="56"/>
      <c r="J57" s="56"/>
      <c r="K57" s="72"/>
      <c r="L57" s="72"/>
      <c r="M57" s="72"/>
      <c r="N57" s="56"/>
      <c r="O57" s="58"/>
      <c r="P57" s="58"/>
      <c r="Q57" s="58"/>
      <c r="R57" s="59"/>
      <c r="S57" s="53"/>
      <c r="T57" s="70"/>
    </row>
    <row r="58" spans="1:20" s="61" customFormat="1" ht="24.95" customHeight="1">
      <c r="A58" s="69"/>
      <c r="B58" s="53"/>
      <c r="C58" s="54"/>
      <c r="D58" s="53"/>
      <c r="E58" s="66"/>
      <c r="F58" s="66"/>
      <c r="G58" s="66"/>
      <c r="H58" s="66"/>
      <c r="I58" s="56"/>
      <c r="J58" s="56"/>
      <c r="K58" s="56"/>
      <c r="L58" s="56"/>
      <c r="M58" s="56"/>
      <c r="N58" s="56"/>
      <c r="O58" s="58"/>
      <c r="P58" s="58"/>
      <c r="Q58" s="58"/>
      <c r="R58" s="59"/>
      <c r="S58" s="53"/>
      <c r="T58" s="70"/>
    </row>
    <row r="59" spans="1:20" s="61" customFormat="1" ht="24.95" customHeight="1">
      <c r="A59" s="69"/>
      <c r="B59" s="53"/>
      <c r="C59" s="54"/>
      <c r="D59" s="53"/>
      <c r="E59" s="66"/>
      <c r="F59" s="66"/>
      <c r="G59" s="66"/>
      <c r="H59" s="66"/>
      <c r="I59" s="56"/>
      <c r="J59" s="56"/>
      <c r="K59" s="56"/>
      <c r="L59" s="56"/>
      <c r="M59" s="56"/>
      <c r="N59" s="56"/>
      <c r="O59" s="58"/>
      <c r="P59" s="58"/>
      <c r="Q59" s="58"/>
      <c r="R59" s="59"/>
      <c r="S59" s="53"/>
      <c r="T59" s="70"/>
    </row>
    <row r="60" spans="1:20" s="61" customFormat="1" ht="24.95" customHeight="1">
      <c r="A60" s="71"/>
      <c r="B60" s="53"/>
      <c r="C60" s="54"/>
      <c r="D60" s="53"/>
      <c r="E60" s="66"/>
      <c r="F60" s="66"/>
      <c r="G60" s="66"/>
      <c r="H60" s="66"/>
      <c r="I60" s="56"/>
      <c r="J60" s="56"/>
      <c r="K60" s="56"/>
      <c r="L60" s="56"/>
      <c r="M60" s="56"/>
      <c r="N60" s="56"/>
      <c r="O60" s="58"/>
      <c r="P60" s="58"/>
      <c r="Q60" s="58"/>
      <c r="R60" s="59"/>
      <c r="S60" s="53"/>
      <c r="T60" s="70"/>
    </row>
    <row r="61" spans="1:20" s="61" customFormat="1" ht="24.95" customHeight="1">
      <c r="A61" s="69"/>
      <c r="B61" s="73"/>
      <c r="C61" s="74"/>
      <c r="D61" s="73"/>
      <c r="E61" s="66"/>
      <c r="F61" s="66"/>
      <c r="G61" s="66"/>
      <c r="H61" s="66"/>
      <c r="I61" s="75"/>
      <c r="J61" s="75"/>
      <c r="K61" s="75"/>
      <c r="L61" s="75"/>
      <c r="M61" s="75"/>
      <c r="N61" s="75"/>
      <c r="O61" s="58"/>
      <c r="P61" s="58"/>
      <c r="Q61" s="58"/>
      <c r="R61" s="59"/>
      <c r="S61" s="53"/>
      <c r="T61" s="70"/>
    </row>
    <row r="62" spans="1:20" s="61" customFormat="1" ht="24.95" customHeight="1">
      <c r="A62" s="69"/>
      <c r="B62" s="73"/>
      <c r="C62" s="74"/>
      <c r="D62" s="73"/>
      <c r="E62" s="66"/>
      <c r="F62" s="66"/>
      <c r="G62" s="66"/>
      <c r="H62" s="66"/>
      <c r="I62" s="75"/>
      <c r="J62" s="75"/>
      <c r="K62" s="75"/>
      <c r="L62" s="75"/>
      <c r="M62" s="75"/>
      <c r="N62" s="75"/>
      <c r="O62" s="58"/>
      <c r="P62" s="58"/>
      <c r="Q62" s="58"/>
      <c r="R62" s="59"/>
      <c r="S62" s="53"/>
      <c r="T62" s="70"/>
    </row>
    <row r="63" spans="1:20" s="61" customFormat="1" ht="24.95" customHeight="1">
      <c r="A63" s="71"/>
      <c r="B63" s="53"/>
      <c r="C63" s="54"/>
      <c r="D63" s="53"/>
      <c r="E63" s="66"/>
      <c r="F63" s="66"/>
      <c r="G63" s="66"/>
      <c r="H63" s="66"/>
      <c r="I63" s="56"/>
      <c r="J63" s="56"/>
      <c r="K63" s="56"/>
      <c r="L63" s="56"/>
      <c r="M63" s="56"/>
      <c r="N63" s="56"/>
      <c r="O63" s="58"/>
      <c r="P63" s="58"/>
      <c r="Q63" s="58"/>
      <c r="R63" s="59"/>
      <c r="S63" s="53"/>
      <c r="T63" s="70"/>
    </row>
    <row r="64" spans="1:20" s="61" customFormat="1" ht="24.95" customHeight="1">
      <c r="A64" s="69"/>
      <c r="B64" s="53"/>
      <c r="C64" s="54"/>
      <c r="D64" s="53"/>
      <c r="E64" s="66"/>
      <c r="F64" s="66"/>
      <c r="G64" s="66"/>
      <c r="H64" s="66"/>
      <c r="I64" s="56"/>
      <c r="J64" s="56"/>
      <c r="K64" s="56"/>
      <c r="L64" s="56"/>
      <c r="M64" s="56"/>
      <c r="N64" s="56"/>
      <c r="O64" s="58"/>
      <c r="P64" s="58"/>
      <c r="Q64" s="58"/>
      <c r="R64" s="59"/>
      <c r="S64" s="53"/>
      <c r="T64" s="70"/>
    </row>
    <row r="65" spans="1:20" s="61" customFormat="1" ht="24.95" customHeight="1">
      <c r="A65" s="69"/>
      <c r="B65" s="53"/>
      <c r="C65" s="54"/>
      <c r="D65" s="53"/>
      <c r="E65" s="66"/>
      <c r="F65" s="66"/>
      <c r="G65" s="66"/>
      <c r="H65" s="66"/>
      <c r="I65" s="56"/>
      <c r="J65" s="56"/>
      <c r="K65" s="56"/>
      <c r="L65" s="56"/>
      <c r="M65" s="56"/>
      <c r="N65" s="56"/>
      <c r="O65" s="58"/>
      <c r="P65" s="58"/>
      <c r="Q65" s="58"/>
      <c r="R65" s="59"/>
      <c r="S65" s="53"/>
      <c r="T65" s="70"/>
    </row>
    <row r="66" spans="1:20" s="61" customFormat="1" ht="24.95" customHeight="1">
      <c r="A66" s="71"/>
      <c r="B66" s="53"/>
      <c r="C66" s="54"/>
      <c r="D66" s="53"/>
      <c r="E66" s="66"/>
      <c r="F66" s="66"/>
      <c r="G66" s="66"/>
      <c r="H66" s="66"/>
      <c r="I66" s="56"/>
      <c r="J66" s="56"/>
      <c r="K66" s="56"/>
      <c r="L66" s="56"/>
      <c r="M66" s="56"/>
      <c r="N66" s="56"/>
      <c r="O66" s="58"/>
      <c r="P66" s="58"/>
      <c r="Q66" s="58"/>
      <c r="R66" s="59"/>
      <c r="S66" s="53"/>
      <c r="T66" s="70"/>
    </row>
    <row r="67" spans="1:20" s="61" customFormat="1" ht="24.95" customHeight="1">
      <c r="A67" s="69"/>
      <c r="B67" s="53"/>
      <c r="C67" s="54"/>
      <c r="D67" s="53"/>
      <c r="E67" s="66"/>
      <c r="F67" s="66"/>
      <c r="G67" s="66"/>
      <c r="H67" s="66"/>
      <c r="I67" s="56"/>
      <c r="J67" s="56"/>
      <c r="K67" s="56"/>
      <c r="L67" s="56"/>
      <c r="M67" s="56"/>
      <c r="N67" s="56"/>
      <c r="O67" s="58"/>
      <c r="P67" s="58"/>
      <c r="Q67" s="58"/>
      <c r="R67" s="59"/>
      <c r="S67" s="53"/>
      <c r="T67" s="70"/>
    </row>
    <row r="68" spans="1:20" s="61" customFormat="1" ht="24.95" customHeight="1">
      <c r="A68" s="69"/>
      <c r="B68" s="53"/>
      <c r="C68" s="54"/>
      <c r="D68" s="53"/>
      <c r="E68" s="66"/>
      <c r="F68" s="66"/>
      <c r="G68" s="66"/>
      <c r="H68" s="66"/>
      <c r="I68" s="56"/>
      <c r="J68" s="56"/>
      <c r="K68" s="56"/>
      <c r="L68" s="56"/>
      <c r="M68" s="56"/>
      <c r="N68" s="56"/>
      <c r="O68" s="58"/>
      <c r="P68" s="58"/>
      <c r="Q68" s="58"/>
      <c r="R68" s="59"/>
      <c r="S68" s="53"/>
      <c r="T68" s="70"/>
    </row>
    <row r="69" spans="1:20" s="61" customFormat="1" ht="24.95" customHeight="1">
      <c r="A69" s="71"/>
      <c r="B69" s="53"/>
      <c r="C69" s="54"/>
      <c r="D69" s="53"/>
      <c r="E69" s="66"/>
      <c r="F69" s="66"/>
      <c r="G69" s="66"/>
      <c r="H69" s="66"/>
      <c r="I69" s="56"/>
      <c r="J69" s="56"/>
      <c r="K69" s="72"/>
      <c r="L69" s="72"/>
      <c r="M69" s="72"/>
      <c r="N69" s="56"/>
      <c r="O69" s="58"/>
      <c r="P69" s="58"/>
      <c r="Q69" s="58"/>
      <c r="R69" s="59"/>
      <c r="S69" s="53"/>
      <c r="T69" s="70"/>
    </row>
    <row r="70" spans="1:20" s="61" customFormat="1" ht="24.95" customHeight="1">
      <c r="A70" s="69"/>
      <c r="B70" s="53"/>
      <c r="C70" s="54"/>
      <c r="D70" s="53"/>
      <c r="E70" s="66"/>
      <c r="F70" s="66"/>
      <c r="G70" s="66"/>
      <c r="H70" s="66"/>
      <c r="I70" s="56"/>
      <c r="J70" s="56"/>
      <c r="K70" s="56"/>
      <c r="L70" s="56"/>
      <c r="M70" s="56"/>
      <c r="N70" s="56"/>
      <c r="O70" s="58"/>
      <c r="P70" s="58"/>
      <c r="Q70" s="58"/>
      <c r="R70" s="59"/>
      <c r="S70" s="53"/>
      <c r="T70" s="70"/>
    </row>
    <row r="71" spans="1:20" s="61" customFormat="1" ht="24.95" customHeight="1">
      <c r="A71" s="69"/>
      <c r="B71" s="53"/>
      <c r="C71" s="54"/>
      <c r="D71" s="53"/>
      <c r="E71" s="66"/>
      <c r="F71" s="66"/>
      <c r="G71" s="66"/>
      <c r="H71" s="66"/>
      <c r="I71" s="56"/>
      <c r="J71" s="56"/>
      <c r="K71" s="56"/>
      <c r="L71" s="56"/>
      <c r="M71" s="56"/>
      <c r="N71" s="56"/>
      <c r="O71" s="58"/>
      <c r="P71" s="58"/>
      <c r="Q71" s="58"/>
      <c r="R71" s="59"/>
      <c r="S71" s="53"/>
      <c r="T71" s="70"/>
    </row>
    <row r="72" spans="1:20" s="61" customFormat="1" ht="24.95" customHeight="1">
      <c r="A72" s="71"/>
      <c r="B72" s="53"/>
      <c r="C72" s="54"/>
      <c r="D72" s="53"/>
      <c r="E72" s="66"/>
      <c r="F72" s="66"/>
      <c r="G72" s="66"/>
      <c r="H72" s="66"/>
      <c r="I72" s="56"/>
      <c r="J72" s="56"/>
      <c r="K72" s="56"/>
      <c r="L72" s="56"/>
      <c r="M72" s="56"/>
      <c r="N72" s="56"/>
      <c r="O72" s="58"/>
      <c r="P72" s="58"/>
      <c r="Q72" s="58"/>
      <c r="R72" s="59"/>
      <c r="S72" s="53"/>
      <c r="T72" s="70"/>
    </row>
    <row r="73" spans="1:20" s="61" customFormat="1" ht="24.95" customHeight="1">
      <c r="A73" s="69"/>
      <c r="B73" s="53"/>
      <c r="C73" s="54"/>
      <c r="D73" s="53"/>
      <c r="E73" s="66"/>
      <c r="F73" s="66"/>
      <c r="G73" s="66"/>
      <c r="H73" s="66"/>
      <c r="I73" s="56"/>
      <c r="J73" s="56"/>
      <c r="K73" s="56"/>
      <c r="L73" s="56"/>
      <c r="M73" s="56"/>
      <c r="N73" s="56"/>
      <c r="O73" s="58"/>
      <c r="P73" s="58"/>
      <c r="Q73" s="58"/>
      <c r="R73" s="59"/>
      <c r="S73" s="53"/>
      <c r="T73" s="70"/>
    </row>
    <row r="74" spans="1:20" s="61" customFormat="1" ht="24.95" customHeight="1">
      <c r="A74" s="69"/>
      <c r="B74" s="53"/>
      <c r="C74" s="54"/>
      <c r="D74" s="53"/>
      <c r="E74" s="66"/>
      <c r="F74" s="66"/>
      <c r="G74" s="66"/>
      <c r="H74" s="66"/>
      <c r="I74" s="56"/>
      <c r="J74" s="56"/>
      <c r="K74" s="56"/>
      <c r="L74" s="56"/>
      <c r="M74" s="56"/>
      <c r="N74" s="56"/>
      <c r="O74" s="58"/>
      <c r="P74" s="58"/>
      <c r="Q74" s="58"/>
      <c r="R74" s="59"/>
      <c r="S74" s="53"/>
      <c r="T74" s="70"/>
    </row>
    <row r="75" spans="1:20" s="61" customFormat="1" ht="24.95" customHeight="1">
      <c r="A75" s="71"/>
      <c r="B75" s="53"/>
      <c r="C75" s="54"/>
      <c r="D75" s="53"/>
      <c r="E75" s="66"/>
      <c r="F75" s="66"/>
      <c r="G75" s="66"/>
      <c r="H75" s="66"/>
      <c r="I75" s="56"/>
      <c r="J75" s="56"/>
      <c r="K75" s="56"/>
      <c r="L75" s="56"/>
      <c r="M75" s="56"/>
      <c r="N75" s="56"/>
      <c r="O75" s="76"/>
      <c r="P75" s="76"/>
      <c r="Q75" s="76"/>
      <c r="R75" s="77"/>
      <c r="S75" s="53"/>
      <c r="T75" s="70"/>
    </row>
    <row r="76" spans="1:20" s="61" customFormat="1" ht="24.95" customHeight="1">
      <c r="A76" s="69"/>
      <c r="B76" s="53"/>
      <c r="C76" s="54"/>
      <c r="D76" s="53"/>
      <c r="E76" s="66"/>
      <c r="F76" s="66"/>
      <c r="G76" s="66"/>
      <c r="H76" s="66"/>
      <c r="I76" s="56"/>
      <c r="J76" s="56"/>
      <c r="K76" s="56"/>
      <c r="L76" s="56"/>
      <c r="M76" s="56"/>
      <c r="N76" s="56"/>
      <c r="O76" s="58"/>
      <c r="P76" s="58"/>
      <c r="Q76" s="58"/>
      <c r="R76" s="59"/>
      <c r="S76" s="53"/>
      <c r="T76" s="70"/>
    </row>
    <row r="77" spans="1:20" s="61" customFormat="1" ht="24.95" customHeight="1">
      <c r="A77" s="69"/>
      <c r="B77" s="53"/>
      <c r="C77" s="54"/>
      <c r="D77" s="53"/>
      <c r="E77" s="66"/>
      <c r="F77" s="66"/>
      <c r="G77" s="66"/>
      <c r="H77" s="66"/>
      <c r="I77" s="56"/>
      <c r="J77" s="56"/>
      <c r="K77" s="56"/>
      <c r="L77" s="56"/>
      <c r="M77" s="56"/>
      <c r="N77" s="56"/>
      <c r="O77" s="58"/>
      <c r="P77" s="58"/>
      <c r="Q77" s="58"/>
      <c r="R77" s="59"/>
      <c r="S77" s="53"/>
      <c r="T77" s="70"/>
    </row>
    <row r="78" spans="1:20" s="61" customFormat="1" ht="24.95" customHeight="1">
      <c r="A78" s="71"/>
      <c r="B78" s="53"/>
      <c r="C78" s="54"/>
      <c r="D78" s="53"/>
      <c r="E78" s="66"/>
      <c r="F78" s="66"/>
      <c r="G78" s="66"/>
      <c r="H78" s="66"/>
      <c r="I78" s="56"/>
      <c r="J78" s="56"/>
      <c r="K78" s="56"/>
      <c r="L78" s="56"/>
      <c r="M78" s="56"/>
      <c r="N78" s="56"/>
      <c r="O78" s="58"/>
      <c r="P78" s="58"/>
      <c r="Q78" s="58"/>
      <c r="R78" s="59"/>
      <c r="S78" s="53"/>
      <c r="T78" s="70"/>
    </row>
    <row r="79" spans="1:20" s="61" customFormat="1" ht="24.95" customHeight="1">
      <c r="A79" s="69"/>
      <c r="B79" s="53"/>
      <c r="C79" s="54"/>
      <c r="D79" s="53"/>
      <c r="E79" s="66"/>
      <c r="F79" s="66"/>
      <c r="G79" s="66"/>
      <c r="H79" s="66"/>
      <c r="I79" s="56"/>
      <c r="J79" s="56"/>
      <c r="K79" s="56"/>
      <c r="L79" s="56"/>
      <c r="M79" s="56"/>
      <c r="N79" s="56"/>
      <c r="O79" s="76"/>
      <c r="P79" s="76"/>
      <c r="Q79" s="76"/>
      <c r="R79" s="77"/>
      <c r="S79" s="53"/>
      <c r="T79" s="70"/>
    </row>
    <row r="80" spans="1:20" s="61" customFormat="1" ht="24.95" customHeight="1">
      <c r="A80" s="69"/>
      <c r="B80" s="53"/>
      <c r="C80" s="54"/>
      <c r="D80" s="53"/>
      <c r="E80" s="66"/>
      <c r="F80" s="66"/>
      <c r="G80" s="66"/>
      <c r="H80" s="66"/>
      <c r="I80" s="56"/>
      <c r="J80" s="56"/>
      <c r="K80" s="56"/>
      <c r="L80" s="56"/>
      <c r="M80" s="56"/>
      <c r="N80" s="56"/>
      <c r="O80" s="58"/>
      <c r="P80" s="58"/>
      <c r="Q80" s="58"/>
      <c r="R80" s="59"/>
      <c r="S80" s="53"/>
      <c r="T80" s="70"/>
    </row>
    <row r="81" spans="1:20" s="61" customFormat="1" ht="24.95" customHeight="1">
      <c r="A81" s="71"/>
      <c r="B81" s="53"/>
      <c r="C81" s="54"/>
      <c r="D81" s="53"/>
      <c r="E81" s="66"/>
      <c r="F81" s="66"/>
      <c r="G81" s="66"/>
      <c r="H81" s="66"/>
      <c r="I81" s="56"/>
      <c r="J81" s="56"/>
      <c r="K81" s="56"/>
      <c r="L81" s="56"/>
      <c r="M81" s="56"/>
      <c r="N81" s="56"/>
      <c r="O81" s="58"/>
      <c r="P81" s="58"/>
      <c r="Q81" s="58"/>
      <c r="R81" s="59"/>
      <c r="S81" s="53"/>
      <c r="T81" s="70"/>
    </row>
    <row r="82" spans="1:20" s="61" customFormat="1" ht="24.95" customHeight="1">
      <c r="A82" s="69"/>
      <c r="B82" s="53"/>
      <c r="C82" s="54"/>
      <c r="D82" s="53"/>
      <c r="E82" s="66"/>
      <c r="F82" s="66"/>
      <c r="G82" s="66"/>
      <c r="H82" s="66"/>
      <c r="I82" s="56"/>
      <c r="J82" s="56"/>
      <c r="K82" s="56"/>
      <c r="L82" s="56"/>
      <c r="M82" s="56"/>
      <c r="N82" s="56"/>
      <c r="O82" s="58"/>
      <c r="P82" s="58"/>
      <c r="Q82" s="58"/>
      <c r="R82" s="59"/>
      <c r="S82" s="53"/>
      <c r="T82" s="70"/>
    </row>
    <row r="83" spans="1:20" s="61" customFormat="1" ht="24.95" customHeight="1">
      <c r="A83" s="69"/>
      <c r="B83" s="53"/>
      <c r="C83" s="54"/>
      <c r="D83" s="53"/>
      <c r="E83" s="66"/>
      <c r="F83" s="66"/>
      <c r="G83" s="66"/>
      <c r="H83" s="66"/>
      <c r="I83" s="56"/>
      <c r="J83" s="56"/>
      <c r="K83" s="56"/>
      <c r="L83" s="56"/>
      <c r="M83" s="56"/>
      <c r="N83" s="56"/>
      <c r="O83" s="58"/>
      <c r="P83" s="58"/>
      <c r="Q83" s="58"/>
      <c r="R83" s="59"/>
      <c r="S83" s="53"/>
      <c r="T83" s="70"/>
    </row>
    <row r="84" spans="1:20" s="61" customFormat="1" ht="24.95" customHeight="1">
      <c r="A84" s="71"/>
      <c r="B84" s="53"/>
      <c r="C84" s="54"/>
      <c r="D84" s="53"/>
      <c r="E84" s="66"/>
      <c r="F84" s="66"/>
      <c r="G84" s="66"/>
      <c r="H84" s="66"/>
      <c r="I84" s="56"/>
      <c r="J84" s="56"/>
      <c r="K84" s="56"/>
      <c r="L84" s="56"/>
      <c r="M84" s="56"/>
      <c r="N84" s="56"/>
      <c r="O84" s="58"/>
      <c r="P84" s="58"/>
      <c r="Q84" s="58"/>
      <c r="R84" s="59"/>
      <c r="S84" s="53"/>
      <c r="T84" s="70"/>
    </row>
    <row r="85" spans="1:20" s="61" customFormat="1" ht="24.95" customHeight="1">
      <c r="A85" s="69"/>
      <c r="B85" s="53"/>
      <c r="C85" s="54"/>
      <c r="D85" s="53"/>
      <c r="E85" s="66"/>
      <c r="F85" s="66"/>
      <c r="G85" s="66"/>
      <c r="H85" s="66"/>
      <c r="I85" s="56"/>
      <c r="J85" s="56"/>
      <c r="K85" s="56"/>
      <c r="L85" s="56"/>
      <c r="M85" s="56"/>
      <c r="N85" s="56"/>
      <c r="O85" s="76"/>
      <c r="P85" s="76"/>
      <c r="Q85" s="76"/>
      <c r="R85" s="77"/>
      <c r="S85" s="53"/>
      <c r="T85" s="70"/>
    </row>
    <row r="86" spans="1:20" s="61" customFormat="1" ht="24.95" customHeight="1">
      <c r="A86" s="69"/>
      <c r="B86" s="53"/>
      <c r="C86" s="54"/>
      <c r="D86" s="53"/>
      <c r="E86" s="66"/>
      <c r="F86" s="66"/>
      <c r="G86" s="66"/>
      <c r="H86" s="66"/>
      <c r="I86" s="56"/>
      <c r="J86" s="56"/>
      <c r="K86" s="56"/>
      <c r="L86" s="56"/>
      <c r="M86" s="56"/>
      <c r="N86" s="56"/>
      <c r="O86" s="76"/>
      <c r="P86" s="76"/>
      <c r="Q86" s="76"/>
      <c r="R86" s="77"/>
      <c r="S86" s="53"/>
      <c r="T86" s="70"/>
    </row>
    <row r="87" spans="1:20" s="61" customFormat="1" ht="24.95" customHeight="1">
      <c r="A87" s="71"/>
      <c r="B87" s="53"/>
      <c r="C87" s="54"/>
      <c r="D87" s="53"/>
      <c r="E87" s="66"/>
      <c r="F87" s="66"/>
      <c r="G87" s="66"/>
      <c r="H87" s="66"/>
      <c r="I87" s="56"/>
      <c r="J87" s="56"/>
      <c r="K87" s="56"/>
      <c r="L87" s="56"/>
      <c r="M87" s="56"/>
      <c r="N87" s="56"/>
      <c r="O87" s="58"/>
      <c r="P87" s="58"/>
      <c r="Q87" s="58"/>
      <c r="R87" s="59"/>
      <c r="S87" s="53"/>
      <c r="T87" s="70"/>
    </row>
    <row r="88" spans="1:20" s="61" customFormat="1" ht="24.95" customHeight="1">
      <c r="A88" s="69"/>
      <c r="B88" s="53"/>
      <c r="C88" s="54"/>
      <c r="D88" s="53"/>
      <c r="E88" s="66"/>
      <c r="F88" s="66"/>
      <c r="G88" s="66"/>
      <c r="H88" s="66"/>
      <c r="I88" s="56"/>
      <c r="J88" s="56"/>
      <c r="K88" s="56"/>
      <c r="L88" s="56"/>
      <c r="M88" s="56"/>
      <c r="N88" s="56"/>
      <c r="O88" s="58"/>
      <c r="P88" s="58"/>
      <c r="Q88" s="58"/>
      <c r="R88" s="59"/>
      <c r="S88" s="53"/>
      <c r="T88" s="70"/>
    </row>
    <row r="89" spans="1:20" s="61" customFormat="1" ht="24.95" customHeight="1">
      <c r="A89" s="69"/>
      <c r="B89" s="53"/>
      <c r="C89" s="54"/>
      <c r="D89" s="53"/>
      <c r="E89" s="66"/>
      <c r="F89" s="66"/>
      <c r="G89" s="66"/>
      <c r="H89" s="66"/>
      <c r="I89" s="56"/>
      <c r="J89" s="56"/>
      <c r="K89" s="72"/>
      <c r="L89" s="72"/>
      <c r="M89" s="72"/>
      <c r="N89" s="56"/>
      <c r="O89" s="76"/>
      <c r="P89" s="76"/>
      <c r="Q89" s="76"/>
      <c r="R89" s="77"/>
      <c r="S89" s="53"/>
      <c r="T89" s="70"/>
    </row>
    <row r="90" spans="1:20" s="61" customFormat="1" ht="24.95" customHeight="1">
      <c r="A90" s="71"/>
      <c r="B90" s="53"/>
      <c r="C90" s="54"/>
      <c r="D90" s="53"/>
      <c r="E90" s="66"/>
      <c r="F90" s="66"/>
      <c r="G90" s="66"/>
      <c r="H90" s="66"/>
      <c r="I90" s="56"/>
      <c r="J90" s="56"/>
      <c r="K90" s="56"/>
      <c r="L90" s="56"/>
      <c r="M90" s="56"/>
      <c r="N90" s="56"/>
      <c r="O90" s="76"/>
      <c r="P90" s="76"/>
      <c r="Q90" s="76"/>
      <c r="R90" s="77"/>
      <c r="S90" s="53"/>
      <c r="T90" s="70"/>
    </row>
    <row r="91" spans="1:20" s="61" customFormat="1" ht="24.95" customHeight="1">
      <c r="A91" s="69"/>
      <c r="B91" s="53"/>
      <c r="C91" s="54"/>
      <c r="D91" s="53"/>
      <c r="E91" s="66"/>
      <c r="F91" s="66"/>
      <c r="G91" s="66"/>
      <c r="H91" s="66"/>
      <c r="I91" s="56"/>
      <c r="J91" s="56"/>
      <c r="K91" s="56"/>
      <c r="L91" s="56"/>
      <c r="M91" s="56"/>
      <c r="N91" s="56"/>
      <c r="O91" s="58"/>
      <c r="P91" s="58"/>
      <c r="Q91" s="58"/>
      <c r="R91" s="59"/>
      <c r="S91" s="53"/>
      <c r="T91" s="70"/>
    </row>
    <row r="92" spans="1:20" s="61" customFormat="1" ht="24.95" customHeight="1">
      <c r="A92" s="69"/>
      <c r="B92" s="53"/>
      <c r="C92" s="54"/>
      <c r="D92" s="53"/>
      <c r="E92" s="66"/>
      <c r="F92" s="66"/>
      <c r="G92" s="66"/>
      <c r="H92" s="66"/>
      <c r="I92" s="56"/>
      <c r="J92" s="56"/>
      <c r="K92" s="56"/>
      <c r="L92" s="56"/>
      <c r="M92" s="56"/>
      <c r="N92" s="56"/>
      <c r="O92" s="58"/>
      <c r="P92" s="58"/>
      <c r="Q92" s="58"/>
      <c r="R92" s="59"/>
      <c r="S92" s="53"/>
      <c r="T92" s="70"/>
    </row>
    <row r="93" spans="1:20" s="61" customFormat="1" ht="24.95" customHeight="1">
      <c r="A93" s="71"/>
      <c r="B93" s="53"/>
      <c r="C93" s="54"/>
      <c r="D93" s="53"/>
      <c r="E93" s="66"/>
      <c r="F93" s="66"/>
      <c r="G93" s="66"/>
      <c r="H93" s="66"/>
      <c r="I93" s="56"/>
      <c r="J93" s="56"/>
      <c r="K93" s="56"/>
      <c r="L93" s="56"/>
      <c r="M93" s="56"/>
      <c r="N93" s="56"/>
      <c r="O93" s="58"/>
      <c r="P93" s="58"/>
      <c r="Q93" s="58"/>
      <c r="R93" s="59"/>
      <c r="S93" s="53"/>
      <c r="T93" s="70"/>
    </row>
    <row r="94" spans="1:20" s="61" customFormat="1" ht="24.95" customHeight="1">
      <c r="A94" s="69"/>
      <c r="B94" s="53"/>
      <c r="C94" s="54"/>
      <c r="D94" s="53"/>
      <c r="E94" s="66"/>
      <c r="F94" s="66"/>
      <c r="G94" s="66"/>
      <c r="H94" s="66"/>
      <c r="I94" s="56"/>
      <c r="J94" s="56"/>
      <c r="K94" s="56"/>
      <c r="L94" s="56"/>
      <c r="M94" s="56"/>
      <c r="N94" s="56"/>
      <c r="O94" s="58"/>
      <c r="P94" s="58"/>
      <c r="Q94" s="58"/>
      <c r="R94" s="59"/>
      <c r="S94" s="53"/>
      <c r="T94" s="70"/>
    </row>
    <row r="95" spans="1:20" s="61" customFormat="1" ht="24.95" customHeight="1">
      <c r="A95" s="69"/>
      <c r="B95" s="53"/>
      <c r="C95" s="54"/>
      <c r="D95" s="53"/>
      <c r="E95" s="66"/>
      <c r="F95" s="66"/>
      <c r="G95" s="66"/>
      <c r="H95" s="66"/>
      <c r="I95" s="56"/>
      <c r="J95" s="56"/>
      <c r="K95" s="56"/>
      <c r="L95" s="56"/>
      <c r="M95" s="56"/>
      <c r="N95" s="56"/>
      <c r="O95" s="58"/>
      <c r="P95" s="58"/>
      <c r="Q95" s="58"/>
      <c r="R95" s="59"/>
      <c r="S95" s="53"/>
      <c r="T95" s="70"/>
    </row>
    <row r="96" spans="1:20" s="61" customFormat="1" ht="24.95" customHeight="1">
      <c r="A96" s="71"/>
      <c r="B96" s="53"/>
      <c r="C96" s="54"/>
      <c r="D96" s="53"/>
      <c r="E96" s="66"/>
      <c r="F96" s="66"/>
      <c r="G96" s="66"/>
      <c r="H96" s="66"/>
      <c r="I96" s="56"/>
      <c r="J96" s="56"/>
      <c r="K96" s="56"/>
      <c r="L96" s="56"/>
      <c r="M96" s="56"/>
      <c r="N96" s="56"/>
      <c r="O96" s="58"/>
      <c r="P96" s="58"/>
      <c r="Q96" s="58"/>
      <c r="R96" s="59"/>
      <c r="S96" s="53"/>
      <c r="T96" s="70"/>
    </row>
    <row r="97" spans="1:20" s="61" customFormat="1" ht="24.95" customHeight="1">
      <c r="A97" s="69"/>
      <c r="B97" s="53"/>
      <c r="C97" s="54"/>
      <c r="D97" s="53"/>
      <c r="E97" s="66"/>
      <c r="F97" s="66"/>
      <c r="G97" s="66"/>
      <c r="H97" s="66"/>
      <c r="I97" s="56"/>
      <c r="J97" s="56"/>
      <c r="K97" s="56"/>
      <c r="L97" s="56"/>
      <c r="M97" s="56"/>
      <c r="N97" s="56"/>
      <c r="O97" s="76"/>
      <c r="P97" s="76"/>
      <c r="Q97" s="76"/>
      <c r="R97" s="77"/>
      <c r="S97" s="53" t="s">
        <v>1197</v>
      </c>
      <c r="T97" s="70"/>
    </row>
    <row r="98" spans="1:20" s="61" customFormat="1" ht="24.95" customHeight="1">
      <c r="A98" s="69"/>
      <c r="B98" s="53"/>
      <c r="C98" s="54"/>
      <c r="D98" s="53"/>
      <c r="E98" s="66"/>
      <c r="F98" s="66"/>
      <c r="G98" s="66"/>
      <c r="H98" s="66"/>
      <c r="I98" s="56"/>
      <c r="J98" s="56"/>
      <c r="K98" s="56"/>
      <c r="L98" s="56"/>
      <c r="M98" s="56"/>
      <c r="N98" s="56"/>
      <c r="O98" s="76"/>
      <c r="P98" s="76"/>
      <c r="Q98" s="76"/>
      <c r="R98" s="77"/>
      <c r="S98" s="53"/>
      <c r="T98" s="70"/>
    </row>
    <row r="99" spans="1:20" s="61" customFormat="1" ht="24.95" customHeight="1">
      <c r="A99" s="71"/>
      <c r="B99" s="65"/>
      <c r="C99" s="54"/>
      <c r="D99" s="53"/>
      <c r="E99" s="66"/>
      <c r="F99" s="66"/>
      <c r="G99" s="66"/>
      <c r="H99" s="66"/>
      <c r="I99" s="56"/>
      <c r="J99" s="56"/>
      <c r="K99" s="56"/>
      <c r="L99" s="56"/>
      <c r="M99" s="56"/>
      <c r="N99" s="56"/>
      <c r="O99" s="76"/>
      <c r="P99" s="76"/>
      <c r="Q99" s="76"/>
      <c r="R99" s="77"/>
      <c r="S99" s="53"/>
      <c r="T99" s="70"/>
    </row>
    <row r="100" spans="1:20" s="61" customFormat="1" ht="24.95" customHeight="1">
      <c r="A100" s="69"/>
      <c r="B100" s="53"/>
      <c r="C100" s="54"/>
      <c r="D100" s="53"/>
      <c r="E100" s="66"/>
      <c r="F100" s="66"/>
      <c r="G100" s="66"/>
      <c r="H100" s="66"/>
      <c r="I100" s="56"/>
      <c r="J100" s="56"/>
      <c r="K100" s="56"/>
      <c r="L100" s="56"/>
      <c r="M100" s="56"/>
      <c r="N100" s="56"/>
      <c r="O100" s="58"/>
      <c r="P100" s="58"/>
      <c r="Q100" s="58"/>
      <c r="R100" s="59"/>
      <c r="S100" s="53"/>
      <c r="T100" s="70"/>
    </row>
    <row r="101" spans="1:20" s="61" customFormat="1" ht="24.95" customHeight="1">
      <c r="A101" s="69"/>
      <c r="B101" s="53"/>
      <c r="C101" s="54"/>
      <c r="D101" s="53"/>
      <c r="E101" s="66"/>
      <c r="F101" s="66"/>
      <c r="G101" s="66"/>
      <c r="H101" s="66"/>
      <c r="I101" s="56"/>
      <c r="J101" s="56"/>
      <c r="K101" s="56"/>
      <c r="L101" s="56"/>
      <c r="M101" s="56"/>
      <c r="N101" s="56"/>
      <c r="O101" s="58"/>
      <c r="P101" s="58"/>
      <c r="Q101" s="58"/>
      <c r="R101" s="59"/>
      <c r="S101" s="53"/>
      <c r="T101" s="70"/>
    </row>
    <row r="102" spans="1:20" s="61" customFormat="1" ht="24.95" customHeight="1">
      <c r="A102" s="71"/>
      <c r="B102" s="53"/>
      <c r="C102" s="54"/>
      <c r="D102" s="53"/>
      <c r="E102" s="66"/>
      <c r="F102" s="66"/>
      <c r="G102" s="66"/>
      <c r="H102" s="66"/>
      <c r="I102" s="56"/>
      <c r="J102" s="56"/>
      <c r="K102" s="56"/>
      <c r="L102" s="56"/>
      <c r="M102" s="56"/>
      <c r="N102" s="56"/>
      <c r="O102" s="58"/>
      <c r="P102" s="58"/>
      <c r="Q102" s="58"/>
      <c r="R102" s="59"/>
      <c r="S102" s="53"/>
      <c r="T102" s="70"/>
    </row>
    <row r="103" spans="1:20" s="61" customFormat="1" ht="24.95" customHeight="1">
      <c r="A103" s="69"/>
      <c r="B103" s="53"/>
      <c r="C103" s="54"/>
      <c r="D103" s="53"/>
      <c r="E103" s="66"/>
      <c r="F103" s="66"/>
      <c r="G103" s="66"/>
      <c r="H103" s="66"/>
      <c r="I103" s="56"/>
      <c r="J103" s="56"/>
      <c r="K103" s="56"/>
      <c r="L103" s="56"/>
      <c r="M103" s="56"/>
      <c r="N103" s="56"/>
      <c r="O103" s="58"/>
      <c r="P103" s="58"/>
      <c r="Q103" s="58"/>
      <c r="R103" s="59"/>
      <c r="S103" s="53"/>
      <c r="T103" s="70"/>
    </row>
    <row r="104" spans="1:20" s="61" customFormat="1" ht="24.95" customHeight="1">
      <c r="A104" s="69"/>
      <c r="B104" s="53"/>
      <c r="C104" s="54"/>
      <c r="D104" s="53"/>
      <c r="E104" s="66"/>
      <c r="F104" s="66"/>
      <c r="G104" s="66"/>
      <c r="H104" s="66"/>
      <c r="I104" s="56"/>
      <c r="J104" s="56"/>
      <c r="K104" s="56"/>
      <c r="L104" s="56"/>
      <c r="M104" s="56"/>
      <c r="N104" s="56"/>
      <c r="O104" s="58"/>
      <c r="P104" s="58"/>
      <c r="Q104" s="58"/>
      <c r="R104" s="59"/>
      <c r="S104" s="53"/>
      <c r="T104" s="70"/>
    </row>
    <row r="105" spans="1:20" s="61" customFormat="1" ht="24.95" customHeight="1">
      <c r="A105" s="71"/>
      <c r="B105" s="53"/>
      <c r="C105" s="54"/>
      <c r="D105" s="53"/>
      <c r="E105" s="66"/>
      <c r="F105" s="66"/>
      <c r="G105" s="66"/>
      <c r="H105" s="66"/>
      <c r="I105" s="56"/>
      <c r="J105" s="56"/>
      <c r="K105" s="56"/>
      <c r="L105" s="56"/>
      <c r="M105" s="56"/>
      <c r="N105" s="56"/>
      <c r="O105" s="58"/>
      <c r="P105" s="58"/>
      <c r="Q105" s="58"/>
      <c r="R105" s="59"/>
      <c r="S105" s="53"/>
      <c r="T105" s="70"/>
    </row>
    <row r="106" spans="1:20" s="61" customFormat="1" ht="24.95" customHeight="1">
      <c r="A106" s="69"/>
      <c r="B106" s="53"/>
      <c r="C106" s="54"/>
      <c r="D106" s="53"/>
      <c r="E106" s="66"/>
      <c r="F106" s="66"/>
      <c r="G106" s="66"/>
      <c r="H106" s="66"/>
      <c r="I106" s="56"/>
      <c r="J106" s="56"/>
      <c r="K106" s="56"/>
      <c r="L106" s="56"/>
      <c r="M106" s="56"/>
      <c r="N106" s="56"/>
      <c r="O106" s="58"/>
      <c r="P106" s="58"/>
      <c r="Q106" s="58"/>
      <c r="R106" s="59"/>
      <c r="S106" s="53"/>
      <c r="T106" s="70"/>
    </row>
    <row r="107" spans="1:20" s="61" customFormat="1" ht="24.95" customHeight="1">
      <c r="A107" s="69"/>
      <c r="B107" s="53"/>
      <c r="C107" s="54"/>
      <c r="D107" s="53"/>
      <c r="E107" s="66"/>
      <c r="F107" s="66"/>
      <c r="G107" s="66"/>
      <c r="H107" s="66"/>
      <c r="I107" s="56"/>
      <c r="J107" s="56"/>
      <c r="K107" s="56"/>
      <c r="L107" s="56"/>
      <c r="M107" s="56"/>
      <c r="N107" s="56"/>
      <c r="O107" s="58"/>
      <c r="P107" s="58"/>
      <c r="Q107" s="58"/>
      <c r="R107" s="59"/>
      <c r="S107" s="53"/>
      <c r="T107" s="70"/>
    </row>
    <row r="108" spans="1:20" s="61" customFormat="1" ht="24.95" customHeight="1">
      <c r="A108" s="71"/>
      <c r="B108" s="53"/>
      <c r="C108" s="54"/>
      <c r="D108" s="53"/>
      <c r="E108" s="66"/>
      <c r="F108" s="66"/>
      <c r="G108" s="66"/>
      <c r="H108" s="66"/>
      <c r="I108" s="56"/>
      <c r="J108" s="56"/>
      <c r="K108" s="56"/>
      <c r="L108" s="56"/>
      <c r="M108" s="56"/>
      <c r="N108" s="56"/>
      <c r="O108" s="58"/>
      <c r="P108" s="58"/>
      <c r="Q108" s="58"/>
      <c r="R108" s="59"/>
      <c r="S108" s="53"/>
      <c r="T108" s="70"/>
    </row>
    <row r="109" spans="1:20" s="61" customFormat="1" ht="24.95" customHeight="1">
      <c r="A109" s="69"/>
      <c r="B109" s="53"/>
      <c r="C109" s="54"/>
      <c r="D109" s="53"/>
      <c r="E109" s="66"/>
      <c r="F109" s="66"/>
      <c r="G109" s="66"/>
      <c r="H109" s="66"/>
      <c r="I109" s="56"/>
      <c r="J109" s="56"/>
      <c r="K109" s="72"/>
      <c r="L109" s="72"/>
      <c r="M109" s="72"/>
      <c r="N109" s="56"/>
      <c r="O109" s="58"/>
      <c r="P109" s="58"/>
      <c r="Q109" s="58"/>
      <c r="R109" s="59"/>
      <c r="S109" s="53"/>
      <c r="T109" s="70"/>
    </row>
    <row r="110" spans="1:20" s="61" customFormat="1" ht="24.95" customHeight="1">
      <c r="A110" s="69"/>
      <c r="B110" s="53"/>
      <c r="C110" s="54"/>
      <c r="D110" s="53"/>
      <c r="E110" s="66"/>
      <c r="F110" s="66"/>
      <c r="G110" s="66"/>
      <c r="H110" s="66"/>
      <c r="I110" s="56"/>
      <c r="J110" s="56"/>
      <c r="K110" s="56"/>
      <c r="L110" s="56"/>
      <c r="M110" s="56"/>
      <c r="N110" s="56"/>
      <c r="O110" s="58"/>
      <c r="P110" s="58"/>
      <c r="Q110" s="58"/>
      <c r="R110" s="59"/>
      <c r="S110" s="53"/>
      <c r="T110" s="70"/>
    </row>
    <row r="111" spans="1:20" s="61" customFormat="1" ht="24.95" customHeight="1">
      <c r="A111" s="71"/>
      <c r="B111" s="53"/>
      <c r="C111" s="54"/>
      <c r="D111" s="53"/>
      <c r="E111" s="66"/>
      <c r="F111" s="66"/>
      <c r="G111" s="66"/>
      <c r="H111" s="66"/>
      <c r="I111" s="56"/>
      <c r="J111" s="56"/>
      <c r="K111" s="56"/>
      <c r="L111" s="56"/>
      <c r="M111" s="56"/>
      <c r="N111" s="56"/>
      <c r="O111" s="58"/>
      <c r="P111" s="58"/>
      <c r="Q111" s="58"/>
      <c r="R111" s="59"/>
      <c r="S111" s="53"/>
      <c r="T111" s="70"/>
    </row>
    <row r="112" spans="1:20" s="61" customFormat="1" ht="24.95" customHeight="1">
      <c r="A112" s="69"/>
      <c r="B112" s="53"/>
      <c r="C112" s="54"/>
      <c r="D112" s="53"/>
      <c r="E112" s="66"/>
      <c r="F112" s="66"/>
      <c r="G112" s="66"/>
      <c r="H112" s="66"/>
      <c r="I112" s="56"/>
      <c r="J112" s="56"/>
      <c r="K112" s="56"/>
      <c r="L112" s="56"/>
      <c r="M112" s="56"/>
      <c r="N112" s="56"/>
      <c r="O112" s="58"/>
      <c r="P112" s="58"/>
      <c r="Q112" s="58"/>
      <c r="R112" s="59"/>
      <c r="S112" s="53"/>
      <c r="T112" s="70"/>
    </row>
    <row r="113" spans="1:20" s="61" customFormat="1" ht="24.95" customHeight="1">
      <c r="A113" s="69"/>
      <c r="B113" s="53"/>
      <c r="C113" s="54"/>
      <c r="D113" s="53"/>
      <c r="E113" s="66"/>
      <c r="F113" s="66"/>
      <c r="G113" s="66"/>
      <c r="H113" s="66"/>
      <c r="I113" s="56"/>
      <c r="J113" s="56"/>
      <c r="K113" s="56"/>
      <c r="L113" s="56"/>
      <c r="M113" s="56"/>
      <c r="N113" s="56"/>
      <c r="O113" s="58"/>
      <c r="P113" s="58"/>
      <c r="Q113" s="58"/>
      <c r="R113" s="59"/>
      <c r="S113" s="53"/>
      <c r="T113" s="70"/>
    </row>
    <row r="114" spans="1:20" s="61" customFormat="1" ht="24.95" customHeight="1">
      <c r="A114" s="71"/>
      <c r="B114" s="53"/>
      <c r="C114" s="54"/>
      <c r="D114" s="53"/>
      <c r="E114" s="66"/>
      <c r="F114" s="66"/>
      <c r="G114" s="66"/>
      <c r="H114" s="66"/>
      <c r="I114" s="56"/>
      <c r="J114" s="56"/>
      <c r="K114" s="56"/>
      <c r="L114" s="56"/>
      <c r="M114" s="56"/>
      <c r="N114" s="56"/>
      <c r="O114" s="58"/>
      <c r="P114" s="58"/>
      <c r="Q114" s="58"/>
      <c r="R114" s="59"/>
      <c r="S114" s="53"/>
      <c r="T114" s="70"/>
    </row>
    <row r="115" spans="1:20" s="61" customFormat="1" ht="24.95" customHeight="1">
      <c r="A115" s="69"/>
      <c r="B115" s="53"/>
      <c r="C115" s="54"/>
      <c r="D115" s="53"/>
      <c r="E115" s="66"/>
      <c r="F115" s="66"/>
      <c r="G115" s="66"/>
      <c r="H115" s="66"/>
      <c r="I115" s="56"/>
      <c r="J115" s="56"/>
      <c r="K115" s="56"/>
      <c r="L115" s="56"/>
      <c r="M115" s="56"/>
      <c r="N115" s="56"/>
      <c r="O115" s="58"/>
      <c r="P115" s="58"/>
      <c r="Q115" s="58"/>
      <c r="R115" s="59"/>
      <c r="S115" s="53"/>
      <c r="T115" s="70"/>
    </row>
    <row r="116" spans="1:20" s="61" customFormat="1" ht="24.95" customHeight="1">
      <c r="A116" s="69"/>
      <c r="B116" s="53"/>
      <c r="C116" s="54"/>
      <c r="D116" s="53"/>
      <c r="E116" s="66"/>
      <c r="F116" s="66"/>
      <c r="G116" s="66"/>
      <c r="H116" s="66"/>
      <c r="I116" s="56"/>
      <c r="J116" s="56"/>
      <c r="K116" s="56"/>
      <c r="L116" s="56"/>
      <c r="M116" s="56"/>
      <c r="N116" s="56"/>
      <c r="O116" s="58"/>
      <c r="P116" s="58"/>
      <c r="Q116" s="58"/>
      <c r="R116" s="59"/>
      <c r="S116" s="53"/>
      <c r="T116" s="70"/>
    </row>
    <row r="117" spans="1:20" s="61" customFormat="1" ht="24.95" customHeight="1">
      <c r="A117" s="71"/>
      <c r="B117" s="65"/>
      <c r="C117" s="54"/>
      <c r="D117" s="53"/>
      <c r="E117" s="66"/>
      <c r="F117" s="66"/>
      <c r="G117" s="66"/>
      <c r="H117" s="66"/>
      <c r="I117" s="56"/>
      <c r="J117" s="56"/>
      <c r="K117" s="56"/>
      <c r="L117" s="56"/>
      <c r="M117" s="56"/>
      <c r="N117" s="56"/>
      <c r="O117" s="58"/>
      <c r="P117" s="58"/>
      <c r="Q117" s="58"/>
      <c r="R117" s="59"/>
      <c r="S117" s="53"/>
      <c r="T117" s="70"/>
    </row>
    <row r="118" spans="1:20" s="61" customFormat="1" ht="24.95" customHeight="1">
      <c r="A118" s="69"/>
      <c r="B118" s="53"/>
      <c r="C118" s="54"/>
      <c r="D118" s="53"/>
      <c r="E118" s="66"/>
      <c r="F118" s="66"/>
      <c r="G118" s="66"/>
      <c r="H118" s="66"/>
      <c r="I118" s="56"/>
      <c r="J118" s="56"/>
      <c r="K118" s="56"/>
      <c r="L118" s="56"/>
      <c r="M118" s="56"/>
      <c r="N118" s="56"/>
      <c r="O118" s="58"/>
      <c r="P118" s="58"/>
      <c r="Q118" s="58"/>
      <c r="R118" s="59"/>
      <c r="S118" s="53"/>
      <c r="T118" s="70"/>
    </row>
    <row r="119" spans="1:20" s="61" customFormat="1" ht="24.95" customHeight="1">
      <c r="A119" s="69"/>
      <c r="B119" s="73"/>
      <c r="C119" s="74"/>
      <c r="D119" s="73"/>
      <c r="E119" s="66"/>
      <c r="F119" s="66"/>
      <c r="G119" s="66"/>
      <c r="H119" s="66"/>
      <c r="I119" s="75"/>
      <c r="J119" s="75"/>
      <c r="K119" s="75"/>
      <c r="L119" s="75"/>
      <c r="M119" s="75"/>
      <c r="N119" s="75"/>
      <c r="O119" s="58"/>
      <c r="P119" s="58"/>
      <c r="Q119" s="58"/>
      <c r="R119" s="59"/>
      <c r="S119" s="53"/>
      <c r="T119" s="70"/>
    </row>
    <row r="120" spans="1:20" s="61" customFormat="1" ht="24.95" customHeight="1">
      <c r="A120" s="71"/>
      <c r="B120" s="53"/>
      <c r="C120" s="54"/>
      <c r="D120" s="53"/>
      <c r="E120" s="66"/>
      <c r="F120" s="66"/>
      <c r="G120" s="66"/>
      <c r="H120" s="66"/>
      <c r="I120" s="56"/>
      <c r="J120" s="56"/>
      <c r="K120" s="56"/>
      <c r="L120" s="56"/>
      <c r="M120" s="56"/>
      <c r="N120" s="56"/>
      <c r="O120" s="58"/>
      <c r="P120" s="58"/>
      <c r="Q120" s="58"/>
      <c r="R120" s="59"/>
      <c r="S120" s="53"/>
      <c r="T120" s="70"/>
    </row>
    <row r="121" spans="1:20" s="61" customFormat="1" ht="24.95" customHeight="1">
      <c r="A121" s="69"/>
      <c r="B121" s="53"/>
      <c r="C121" s="54"/>
      <c r="D121" s="53"/>
      <c r="E121" s="66"/>
      <c r="F121" s="66"/>
      <c r="G121" s="66"/>
      <c r="H121" s="66"/>
      <c r="I121" s="56"/>
      <c r="J121" s="56"/>
      <c r="K121" s="56"/>
      <c r="L121" s="56"/>
      <c r="M121" s="56"/>
      <c r="N121" s="56"/>
      <c r="O121" s="58"/>
      <c r="P121" s="58"/>
      <c r="Q121" s="58"/>
      <c r="R121" s="59"/>
      <c r="S121" s="53"/>
      <c r="T121" s="70"/>
    </row>
    <row r="122" spans="1:20" s="61" customFormat="1" ht="24.95" customHeight="1">
      <c r="A122" s="69"/>
      <c r="B122" s="65"/>
      <c r="C122" s="54"/>
      <c r="D122" s="53"/>
      <c r="E122" s="66"/>
      <c r="F122" s="66"/>
      <c r="G122" s="66"/>
      <c r="H122" s="66"/>
      <c r="I122" s="56"/>
      <c r="J122" s="56"/>
      <c r="K122" s="56"/>
      <c r="L122" s="56"/>
      <c r="M122" s="56"/>
      <c r="N122" s="56"/>
      <c r="O122" s="58"/>
      <c r="P122" s="58"/>
      <c r="Q122" s="58"/>
      <c r="R122" s="59"/>
      <c r="S122" s="53"/>
      <c r="T122" s="70"/>
    </row>
    <row r="123" spans="1:20" s="61" customFormat="1" ht="24.95" customHeight="1">
      <c r="A123" s="71"/>
      <c r="B123" s="65"/>
      <c r="C123" s="54"/>
      <c r="D123" s="53"/>
      <c r="E123" s="66"/>
      <c r="F123" s="66"/>
      <c r="G123" s="66"/>
      <c r="H123" s="66"/>
      <c r="I123" s="56"/>
      <c r="J123" s="56"/>
      <c r="K123" s="56"/>
      <c r="L123" s="56"/>
      <c r="M123" s="56"/>
      <c r="N123" s="56"/>
      <c r="O123" s="58"/>
      <c r="P123" s="58"/>
      <c r="Q123" s="58"/>
      <c r="R123" s="59"/>
      <c r="S123" s="53"/>
      <c r="T123" s="70"/>
    </row>
    <row r="124" spans="1:20" s="61" customFormat="1" ht="24.95" customHeight="1">
      <c r="A124" s="69"/>
      <c r="B124" s="65"/>
      <c r="C124" s="54"/>
      <c r="D124" s="53"/>
      <c r="E124" s="66"/>
      <c r="F124" s="66"/>
      <c r="G124" s="66"/>
      <c r="H124" s="66"/>
      <c r="I124" s="56"/>
      <c r="J124" s="56"/>
      <c r="K124" s="56"/>
      <c r="L124" s="56"/>
      <c r="M124" s="56"/>
      <c r="N124" s="56"/>
      <c r="O124" s="58"/>
      <c r="P124" s="58"/>
      <c r="Q124" s="58"/>
      <c r="R124" s="59"/>
      <c r="S124" s="53"/>
      <c r="T124" s="70"/>
    </row>
    <row r="125" spans="1:20" s="61" customFormat="1" ht="24.95" customHeight="1">
      <c r="A125" s="69"/>
      <c r="B125" s="53"/>
      <c r="C125" s="53"/>
      <c r="D125" s="78"/>
      <c r="E125" s="66"/>
      <c r="F125" s="66"/>
      <c r="G125" s="66"/>
      <c r="H125" s="66"/>
      <c r="I125" s="56"/>
      <c r="J125" s="56"/>
      <c r="K125" s="72"/>
      <c r="L125" s="72"/>
      <c r="M125" s="72"/>
      <c r="N125" s="56"/>
      <c r="O125" s="58"/>
      <c r="P125" s="58"/>
      <c r="Q125" s="58"/>
      <c r="R125" s="59"/>
      <c r="S125" s="53"/>
      <c r="T125" s="70"/>
    </row>
    <row r="126" spans="1:20" s="61" customFormat="1" ht="24.95" customHeight="1">
      <c r="A126" s="71"/>
      <c r="B126" s="53"/>
      <c r="C126" s="53"/>
      <c r="D126" s="78"/>
      <c r="E126" s="66"/>
      <c r="F126" s="66"/>
      <c r="G126" s="66"/>
      <c r="H126" s="66"/>
      <c r="I126" s="56"/>
      <c r="J126" s="56"/>
      <c r="K126" s="56"/>
      <c r="L126" s="56"/>
      <c r="M126" s="56"/>
      <c r="N126" s="56"/>
      <c r="O126" s="58"/>
      <c r="P126" s="58"/>
      <c r="Q126" s="58"/>
      <c r="R126" s="59"/>
      <c r="S126" s="53"/>
      <c r="T126" s="70"/>
    </row>
    <row r="127" spans="1:20" s="61" customFormat="1" ht="24.95" customHeight="1">
      <c r="A127" s="69"/>
      <c r="B127" s="53"/>
      <c r="C127" s="53"/>
      <c r="D127" s="78"/>
      <c r="E127" s="66"/>
      <c r="F127" s="66"/>
      <c r="G127" s="66"/>
      <c r="H127" s="66"/>
      <c r="I127" s="56"/>
      <c r="J127" s="56"/>
      <c r="K127" s="56"/>
      <c r="L127" s="56"/>
      <c r="M127" s="56"/>
      <c r="N127" s="56"/>
      <c r="O127" s="58"/>
      <c r="P127" s="58"/>
      <c r="Q127" s="58"/>
      <c r="R127" s="59"/>
      <c r="S127" s="53"/>
      <c r="T127" s="70"/>
    </row>
    <row r="128" spans="1:20" s="61" customFormat="1" ht="24.95" customHeight="1">
      <c r="A128" s="69"/>
      <c r="B128" s="53"/>
      <c r="C128" s="53"/>
      <c r="D128" s="78"/>
      <c r="E128" s="66"/>
      <c r="F128" s="66"/>
      <c r="G128" s="66"/>
      <c r="H128" s="66"/>
      <c r="I128" s="56"/>
      <c r="J128" s="56"/>
      <c r="K128" s="56"/>
      <c r="L128" s="56"/>
      <c r="M128" s="56"/>
      <c r="N128" s="56"/>
      <c r="O128" s="58"/>
      <c r="P128" s="58"/>
      <c r="Q128" s="58"/>
      <c r="R128" s="59"/>
      <c r="S128" s="53"/>
      <c r="T128" s="70"/>
    </row>
    <row r="129" spans="1:20" s="61" customFormat="1" ht="24.95" customHeight="1">
      <c r="A129" s="71"/>
      <c r="B129" s="53"/>
      <c r="C129" s="54"/>
      <c r="D129" s="53"/>
      <c r="E129" s="66"/>
      <c r="F129" s="66"/>
      <c r="G129" s="66"/>
      <c r="H129" s="66"/>
      <c r="I129" s="56"/>
      <c r="J129" s="56"/>
      <c r="K129" s="56"/>
      <c r="L129" s="56"/>
      <c r="M129" s="56"/>
      <c r="N129" s="56"/>
      <c r="O129" s="58"/>
      <c r="P129" s="58"/>
      <c r="Q129" s="58"/>
      <c r="R129" s="59"/>
      <c r="S129" s="53"/>
      <c r="T129" s="70"/>
    </row>
    <row r="130" spans="1:20" s="61" customFormat="1" ht="24.95" customHeight="1">
      <c r="A130" s="69"/>
      <c r="B130" s="53"/>
      <c r="C130" s="54"/>
      <c r="D130" s="53"/>
      <c r="E130" s="66"/>
      <c r="F130" s="66"/>
      <c r="G130" s="66"/>
      <c r="H130" s="66"/>
      <c r="I130" s="56"/>
      <c r="J130" s="56"/>
      <c r="K130" s="56"/>
      <c r="L130" s="56"/>
      <c r="M130" s="56"/>
      <c r="N130" s="56"/>
      <c r="O130" s="58"/>
      <c r="P130" s="58"/>
      <c r="Q130" s="58"/>
      <c r="R130" s="59"/>
      <c r="S130" s="53"/>
      <c r="T130" s="70"/>
    </row>
    <row r="131" spans="1:20" s="61" customFormat="1" ht="24.95" customHeight="1">
      <c r="A131" s="69"/>
      <c r="B131" s="53"/>
      <c r="C131" s="54"/>
      <c r="D131" s="53"/>
      <c r="E131" s="66"/>
      <c r="F131" s="66"/>
      <c r="G131" s="66"/>
      <c r="H131" s="66"/>
      <c r="I131" s="56"/>
      <c r="J131" s="56"/>
      <c r="K131" s="72"/>
      <c r="L131" s="72"/>
      <c r="M131" s="72"/>
      <c r="N131" s="56"/>
      <c r="O131" s="58"/>
      <c r="P131" s="58"/>
      <c r="Q131" s="58"/>
      <c r="R131" s="59"/>
      <c r="S131" s="53"/>
      <c r="T131" s="70"/>
    </row>
    <row r="132" spans="1:20" s="61" customFormat="1" ht="24.95" customHeight="1">
      <c r="A132" s="71"/>
      <c r="B132" s="53"/>
      <c r="C132" s="54"/>
      <c r="D132" s="53"/>
      <c r="E132" s="66"/>
      <c r="F132" s="66"/>
      <c r="G132" s="66"/>
      <c r="H132" s="66"/>
      <c r="I132" s="56"/>
      <c r="J132" s="56"/>
      <c r="K132" s="56"/>
      <c r="L132" s="56"/>
      <c r="M132" s="56"/>
      <c r="N132" s="56"/>
      <c r="O132" s="58"/>
      <c r="P132" s="58"/>
      <c r="Q132" s="58"/>
      <c r="R132" s="59"/>
      <c r="S132" s="53"/>
      <c r="T132" s="70"/>
    </row>
    <row r="133" spans="1:20" s="61" customFormat="1" ht="24.95" customHeight="1">
      <c r="A133" s="69"/>
      <c r="B133" s="53"/>
      <c r="C133" s="54"/>
      <c r="D133" s="53"/>
      <c r="E133" s="66"/>
      <c r="F133" s="66"/>
      <c r="G133" s="66"/>
      <c r="H133" s="66"/>
      <c r="I133" s="56"/>
      <c r="J133" s="56"/>
      <c r="K133" s="56"/>
      <c r="L133" s="56"/>
      <c r="M133" s="56"/>
      <c r="N133" s="56"/>
      <c r="O133" s="58"/>
      <c r="P133" s="58"/>
      <c r="Q133" s="58"/>
      <c r="R133" s="59"/>
      <c r="S133" s="53"/>
      <c r="T133" s="70"/>
    </row>
    <row r="134" spans="1:20" s="61" customFormat="1" ht="24.95" customHeight="1">
      <c r="A134" s="69"/>
      <c r="B134" s="53"/>
      <c r="C134" s="54"/>
      <c r="D134" s="53"/>
      <c r="E134" s="66"/>
      <c r="F134" s="66"/>
      <c r="G134" s="66"/>
      <c r="H134" s="66"/>
      <c r="I134" s="56"/>
      <c r="J134" s="56"/>
      <c r="K134" s="56"/>
      <c r="L134" s="56"/>
      <c r="M134" s="56"/>
      <c r="N134" s="56"/>
      <c r="O134" s="58"/>
      <c r="P134" s="58"/>
      <c r="Q134" s="58"/>
      <c r="R134" s="59"/>
      <c r="S134" s="53"/>
      <c r="T134" s="70"/>
    </row>
    <row r="135" spans="1:20" s="61" customFormat="1" ht="24.95" customHeight="1">
      <c r="A135" s="71"/>
      <c r="B135" s="53"/>
      <c r="C135" s="54"/>
      <c r="D135" s="53"/>
      <c r="E135" s="66"/>
      <c r="F135" s="66"/>
      <c r="G135" s="66"/>
      <c r="H135" s="66"/>
      <c r="I135" s="56"/>
      <c r="J135" s="56"/>
      <c r="K135" s="56"/>
      <c r="L135" s="56"/>
      <c r="M135" s="56"/>
      <c r="N135" s="56"/>
      <c r="O135" s="58"/>
      <c r="P135" s="58"/>
      <c r="Q135" s="58"/>
      <c r="R135" s="59"/>
      <c r="S135" s="53"/>
      <c r="T135" s="70"/>
    </row>
    <row r="136" spans="1:20" s="61" customFormat="1" ht="24.95" customHeight="1">
      <c r="A136" s="69"/>
      <c r="B136" s="53"/>
      <c r="C136" s="54"/>
      <c r="D136" s="53"/>
      <c r="E136" s="66"/>
      <c r="F136" s="66"/>
      <c r="G136" s="66"/>
      <c r="H136" s="66"/>
      <c r="I136" s="56"/>
      <c r="J136" s="56"/>
      <c r="K136" s="56"/>
      <c r="L136" s="56"/>
      <c r="M136" s="56"/>
      <c r="N136" s="56"/>
      <c r="O136" s="58"/>
      <c r="P136" s="58"/>
      <c r="Q136" s="58"/>
      <c r="R136" s="59"/>
      <c r="S136" s="53"/>
      <c r="T136" s="70"/>
    </row>
    <row r="137" spans="1:20" s="61" customFormat="1" ht="24.95" customHeight="1">
      <c r="A137" s="69"/>
      <c r="B137" s="53"/>
      <c r="C137" s="54"/>
      <c r="D137" s="53"/>
      <c r="E137" s="66"/>
      <c r="F137" s="66"/>
      <c r="G137" s="66"/>
      <c r="H137" s="66"/>
      <c r="I137" s="56"/>
      <c r="J137" s="56"/>
      <c r="K137" s="56"/>
      <c r="L137" s="56"/>
      <c r="M137" s="56"/>
      <c r="N137" s="56"/>
      <c r="O137" s="58"/>
      <c r="P137" s="58"/>
      <c r="Q137" s="58"/>
      <c r="R137" s="59"/>
      <c r="S137" s="53"/>
      <c r="T137" s="70"/>
    </row>
    <row r="138" spans="1:20" s="61" customFormat="1" ht="24.95" customHeight="1">
      <c r="A138" s="71"/>
      <c r="B138" s="53"/>
      <c r="C138" s="54"/>
      <c r="D138" s="53"/>
      <c r="E138" s="66"/>
      <c r="F138" s="66"/>
      <c r="G138" s="66"/>
      <c r="H138" s="66"/>
      <c r="I138" s="56"/>
      <c r="J138" s="56"/>
      <c r="K138" s="56"/>
      <c r="L138" s="56"/>
      <c r="M138" s="56"/>
      <c r="N138" s="56"/>
      <c r="O138" s="58"/>
      <c r="P138" s="58"/>
      <c r="Q138" s="58"/>
      <c r="R138" s="59"/>
      <c r="S138" s="53"/>
      <c r="T138" s="70"/>
    </row>
    <row r="139" spans="1:20" s="61" customFormat="1" ht="24.95" customHeight="1">
      <c r="A139" s="69"/>
      <c r="B139" s="53"/>
      <c r="C139" s="54"/>
      <c r="D139" s="53"/>
      <c r="E139" s="66"/>
      <c r="F139" s="66"/>
      <c r="G139" s="66"/>
      <c r="H139" s="66"/>
      <c r="I139" s="56"/>
      <c r="J139" s="56"/>
      <c r="K139" s="56"/>
      <c r="L139" s="56"/>
      <c r="M139" s="56"/>
      <c r="N139" s="56"/>
      <c r="O139" s="58"/>
      <c r="P139" s="58"/>
      <c r="Q139" s="58"/>
      <c r="R139" s="59"/>
      <c r="S139" s="53"/>
      <c r="T139" s="70"/>
    </row>
    <row r="140" spans="1:20" s="61" customFormat="1" ht="24.95" customHeight="1">
      <c r="A140" s="69"/>
      <c r="B140" s="53"/>
      <c r="C140" s="54"/>
      <c r="D140" s="53"/>
      <c r="E140" s="66"/>
      <c r="F140" s="66"/>
      <c r="G140" s="66"/>
      <c r="H140" s="66"/>
      <c r="I140" s="56"/>
      <c r="J140" s="56"/>
      <c r="K140" s="56"/>
      <c r="L140" s="56"/>
      <c r="M140" s="56"/>
      <c r="N140" s="56"/>
      <c r="O140" s="58"/>
      <c r="P140" s="58"/>
      <c r="Q140" s="58"/>
      <c r="R140" s="59"/>
      <c r="S140" s="53"/>
      <c r="T140" s="70"/>
    </row>
    <row r="141" spans="1:20" s="61" customFormat="1" ht="24.95" customHeight="1">
      <c r="A141" s="71"/>
      <c r="B141" s="53"/>
      <c r="C141" s="54"/>
      <c r="D141" s="53"/>
      <c r="E141" s="66"/>
      <c r="F141" s="66"/>
      <c r="G141" s="66"/>
      <c r="H141" s="66"/>
      <c r="I141" s="56"/>
      <c r="J141" s="56"/>
      <c r="K141" s="56"/>
      <c r="L141" s="56"/>
      <c r="M141" s="56"/>
      <c r="N141" s="56"/>
      <c r="O141" s="58"/>
      <c r="P141" s="58"/>
      <c r="Q141" s="58"/>
      <c r="R141" s="59"/>
      <c r="S141" s="53"/>
      <c r="T141" s="70"/>
    </row>
    <row r="142" spans="1:20" s="61" customFormat="1" ht="24.95" customHeight="1">
      <c r="A142" s="69"/>
      <c r="B142" s="53"/>
      <c r="C142" s="54"/>
      <c r="D142" s="53"/>
      <c r="E142" s="66"/>
      <c r="F142" s="66"/>
      <c r="G142" s="66"/>
      <c r="H142" s="66"/>
      <c r="I142" s="56"/>
      <c r="J142" s="56"/>
      <c r="K142" s="56"/>
      <c r="L142" s="56"/>
      <c r="M142" s="56"/>
      <c r="N142" s="56"/>
      <c r="O142" s="58"/>
      <c r="P142" s="58"/>
      <c r="Q142" s="58"/>
      <c r="R142" s="59"/>
      <c r="S142" s="53"/>
      <c r="T142" s="70"/>
    </row>
    <row r="143" spans="1:20" s="61" customFormat="1" ht="24.95" customHeight="1">
      <c r="A143" s="69"/>
      <c r="B143" s="53"/>
      <c r="C143" s="54"/>
      <c r="D143" s="53"/>
      <c r="E143" s="66"/>
      <c r="F143" s="66"/>
      <c r="G143" s="66"/>
      <c r="H143" s="66"/>
      <c r="I143" s="56"/>
      <c r="J143" s="56"/>
      <c r="K143" s="56"/>
      <c r="L143" s="56"/>
      <c r="M143" s="56"/>
      <c r="N143" s="56"/>
      <c r="O143" s="58"/>
      <c r="P143" s="58"/>
      <c r="Q143" s="58"/>
      <c r="R143" s="59"/>
      <c r="S143" s="53"/>
      <c r="T143" s="70"/>
    </row>
    <row r="144" spans="1:20" s="61" customFormat="1" ht="24.95" customHeight="1">
      <c r="A144" s="71"/>
      <c r="B144" s="53"/>
      <c r="C144" s="54"/>
      <c r="D144" s="53"/>
      <c r="E144" s="66"/>
      <c r="F144" s="66"/>
      <c r="G144" s="66"/>
      <c r="H144" s="66"/>
      <c r="I144" s="56"/>
      <c r="J144" s="56"/>
      <c r="K144" s="56"/>
      <c r="L144" s="56"/>
      <c r="M144" s="56"/>
      <c r="N144" s="56"/>
      <c r="O144" s="58"/>
      <c r="P144" s="58"/>
      <c r="Q144" s="58"/>
      <c r="R144" s="59"/>
      <c r="S144" s="53"/>
      <c r="T144" s="70"/>
    </row>
    <row r="145" spans="1:20" s="61" customFormat="1" ht="24.95" customHeight="1">
      <c r="A145" s="69"/>
      <c r="B145" s="53"/>
      <c r="C145" s="54"/>
      <c r="D145" s="53"/>
      <c r="E145" s="66"/>
      <c r="F145" s="66"/>
      <c r="G145" s="66"/>
      <c r="H145" s="66"/>
      <c r="I145" s="56"/>
      <c r="J145" s="56"/>
      <c r="K145" s="56"/>
      <c r="L145" s="56"/>
      <c r="M145" s="56"/>
      <c r="N145" s="56"/>
      <c r="O145" s="58"/>
      <c r="P145" s="58"/>
      <c r="Q145" s="58"/>
      <c r="R145" s="59"/>
      <c r="S145" s="53"/>
      <c r="T145" s="70"/>
    </row>
    <row r="146" spans="1:20" s="61" customFormat="1" ht="21" customHeight="1">
      <c r="A146" s="69"/>
      <c r="B146" s="53"/>
      <c r="C146" s="54"/>
      <c r="D146" s="53"/>
      <c r="E146" s="66"/>
      <c r="F146" s="66"/>
      <c r="G146" s="66"/>
      <c r="H146" s="66"/>
      <c r="I146" s="56"/>
      <c r="J146" s="56"/>
      <c r="K146" s="56"/>
      <c r="L146" s="56"/>
      <c r="M146" s="56"/>
      <c r="N146" s="56"/>
      <c r="O146" s="58"/>
      <c r="P146" s="58"/>
      <c r="Q146" s="58"/>
      <c r="R146" s="59"/>
      <c r="S146" s="53"/>
      <c r="T146" s="70"/>
    </row>
    <row r="147" spans="1:20" s="61" customFormat="1" ht="21" customHeight="1">
      <c r="A147" s="71"/>
      <c r="B147" s="53"/>
      <c r="C147" s="54"/>
      <c r="D147" s="53"/>
      <c r="E147" s="66"/>
      <c r="F147" s="66"/>
      <c r="G147" s="66"/>
      <c r="H147" s="66"/>
      <c r="I147" s="56"/>
      <c r="J147" s="56"/>
      <c r="K147" s="56"/>
      <c r="L147" s="56"/>
      <c r="M147" s="56"/>
      <c r="N147" s="56"/>
      <c r="O147" s="58"/>
      <c r="P147" s="58"/>
      <c r="Q147" s="58"/>
      <c r="R147" s="59"/>
      <c r="S147" s="53"/>
      <c r="T147" s="70"/>
    </row>
    <row r="148" spans="1:20" s="61" customFormat="1" ht="24.95" customHeight="1">
      <c r="A148" s="69"/>
      <c r="B148" s="53"/>
      <c r="C148" s="54"/>
      <c r="D148" s="53"/>
      <c r="E148" s="66"/>
      <c r="F148" s="66"/>
      <c r="G148" s="66"/>
      <c r="H148" s="66"/>
      <c r="I148" s="56"/>
      <c r="J148" s="56"/>
      <c r="K148" s="72"/>
      <c r="L148" s="72"/>
      <c r="M148" s="72"/>
      <c r="N148" s="56"/>
      <c r="O148" s="58"/>
      <c r="P148" s="58"/>
      <c r="Q148" s="58"/>
      <c r="R148" s="59"/>
      <c r="S148" s="53"/>
      <c r="T148" s="70"/>
    </row>
    <row r="149" spans="1:20" s="61" customFormat="1" ht="24.95" customHeight="1">
      <c r="A149" s="69"/>
      <c r="B149" s="53"/>
      <c r="C149" s="54"/>
      <c r="D149" s="53"/>
      <c r="E149" s="66"/>
      <c r="F149" s="66"/>
      <c r="G149" s="66"/>
      <c r="H149" s="66"/>
      <c r="I149" s="56"/>
      <c r="J149" s="56"/>
      <c r="K149" s="56"/>
      <c r="L149" s="56"/>
      <c r="M149" s="56"/>
      <c r="N149" s="56"/>
      <c r="O149" s="58"/>
      <c r="P149" s="58"/>
      <c r="Q149" s="58"/>
      <c r="R149" s="59"/>
      <c r="S149" s="53"/>
      <c r="T149" s="70"/>
    </row>
    <row r="150" spans="1:20" s="61" customFormat="1" ht="24.95" customHeight="1">
      <c r="A150" s="71"/>
      <c r="B150" s="53"/>
      <c r="C150" s="54"/>
      <c r="D150" s="53"/>
      <c r="E150" s="66"/>
      <c r="F150" s="66"/>
      <c r="G150" s="66"/>
      <c r="H150" s="66"/>
      <c r="I150" s="56"/>
      <c r="J150" s="56"/>
      <c r="K150" s="56"/>
      <c r="L150" s="56"/>
      <c r="M150" s="56"/>
      <c r="N150" s="56"/>
      <c r="O150" s="58"/>
      <c r="P150" s="58"/>
      <c r="Q150" s="58"/>
      <c r="R150" s="59"/>
      <c r="S150" s="53"/>
      <c r="T150" s="70"/>
    </row>
    <row r="151" spans="1:20" s="61" customFormat="1" ht="24.95" customHeight="1">
      <c r="A151" s="69"/>
      <c r="B151" s="53"/>
      <c r="C151" s="54"/>
      <c r="D151" s="53"/>
      <c r="E151" s="66"/>
      <c r="F151" s="66"/>
      <c r="G151" s="66"/>
      <c r="H151" s="66"/>
      <c r="I151" s="56"/>
      <c r="J151" s="56"/>
      <c r="K151" s="56"/>
      <c r="L151" s="56"/>
      <c r="M151" s="56"/>
      <c r="N151" s="56"/>
      <c r="O151" s="58"/>
      <c r="P151" s="58"/>
      <c r="Q151" s="58"/>
      <c r="R151" s="59"/>
      <c r="S151" s="53"/>
      <c r="T151" s="70"/>
    </row>
    <row r="152" spans="1:20" s="61" customFormat="1" ht="24.95" customHeight="1">
      <c r="A152" s="69"/>
      <c r="B152" s="53"/>
      <c r="C152" s="54"/>
      <c r="D152" s="53"/>
      <c r="E152" s="66"/>
      <c r="F152" s="66"/>
      <c r="G152" s="66"/>
      <c r="H152" s="66"/>
      <c r="I152" s="56"/>
      <c r="J152" s="56"/>
      <c r="K152" s="56"/>
      <c r="L152" s="56"/>
      <c r="M152" s="56"/>
      <c r="N152" s="56"/>
      <c r="O152" s="58"/>
      <c r="P152" s="58"/>
      <c r="Q152" s="58"/>
      <c r="R152" s="59"/>
      <c r="S152" s="53"/>
      <c r="T152" s="70"/>
    </row>
    <row r="153" spans="1:20" s="61" customFormat="1" ht="24.95" customHeight="1">
      <c r="A153" s="71"/>
      <c r="B153" s="53"/>
      <c r="C153" s="54"/>
      <c r="D153" s="53"/>
      <c r="E153" s="66"/>
      <c r="F153" s="66"/>
      <c r="G153" s="66"/>
      <c r="H153" s="66"/>
      <c r="I153" s="56"/>
      <c r="J153" s="56"/>
      <c r="K153" s="56"/>
      <c r="L153" s="56"/>
      <c r="M153" s="56"/>
      <c r="N153" s="56"/>
      <c r="O153" s="58"/>
      <c r="P153" s="58"/>
      <c r="Q153" s="58"/>
      <c r="R153" s="59"/>
      <c r="S153" s="53"/>
      <c r="T153" s="70"/>
    </row>
    <row r="154" spans="1:20" s="61" customFormat="1" ht="24.95" customHeight="1">
      <c r="A154" s="69"/>
      <c r="B154" s="53"/>
      <c r="C154" s="54"/>
      <c r="D154" s="53"/>
      <c r="E154" s="66"/>
      <c r="F154" s="66"/>
      <c r="G154" s="66"/>
      <c r="H154" s="66"/>
      <c r="I154" s="56"/>
      <c r="J154" s="56"/>
      <c r="K154" s="72"/>
      <c r="L154" s="72"/>
      <c r="M154" s="72"/>
      <c r="N154" s="56"/>
      <c r="O154" s="58"/>
      <c r="P154" s="58"/>
      <c r="Q154" s="58"/>
      <c r="R154" s="59"/>
      <c r="S154" s="53"/>
      <c r="T154" s="70"/>
    </row>
    <row r="155" spans="1:20" s="61" customFormat="1" ht="24.95" customHeight="1">
      <c r="A155" s="69"/>
      <c r="B155" s="53"/>
      <c r="C155" s="54"/>
      <c r="D155" s="53"/>
      <c r="E155" s="66"/>
      <c r="F155" s="66"/>
      <c r="G155" s="66"/>
      <c r="H155" s="66"/>
      <c r="I155" s="56"/>
      <c r="J155" s="56"/>
      <c r="K155" s="56"/>
      <c r="L155" s="56"/>
      <c r="M155" s="56"/>
      <c r="N155" s="56"/>
      <c r="O155" s="58"/>
      <c r="P155" s="58"/>
      <c r="Q155" s="58"/>
      <c r="R155" s="59"/>
      <c r="S155" s="53"/>
      <c r="T155" s="70"/>
    </row>
    <row r="156" spans="1:20" s="61" customFormat="1" ht="24.95" customHeight="1">
      <c r="A156" s="71"/>
      <c r="B156" s="53"/>
      <c r="C156" s="54"/>
      <c r="D156" s="53"/>
      <c r="E156" s="66"/>
      <c r="F156" s="66"/>
      <c r="G156" s="66"/>
      <c r="H156" s="66"/>
      <c r="I156" s="56"/>
      <c r="J156" s="56"/>
      <c r="K156" s="56"/>
      <c r="L156" s="56"/>
      <c r="M156" s="56"/>
      <c r="N156" s="56"/>
      <c r="O156" s="58"/>
      <c r="P156" s="58"/>
      <c r="Q156" s="58"/>
      <c r="R156" s="59"/>
      <c r="S156" s="53"/>
      <c r="T156" s="70"/>
    </row>
    <row r="157" spans="1:20" s="61" customFormat="1" ht="24.95" customHeight="1">
      <c r="A157" s="69"/>
      <c r="B157" s="53"/>
      <c r="C157" s="53"/>
      <c r="D157" s="53"/>
      <c r="E157" s="66"/>
      <c r="F157" s="66"/>
      <c r="G157" s="66"/>
      <c r="H157" s="66"/>
      <c r="I157" s="56"/>
      <c r="J157" s="56"/>
      <c r="K157" s="56"/>
      <c r="L157" s="56"/>
      <c r="M157" s="56"/>
      <c r="N157" s="56"/>
      <c r="O157" s="58"/>
      <c r="P157" s="58"/>
      <c r="Q157" s="58"/>
      <c r="R157" s="59"/>
      <c r="S157" s="53"/>
      <c r="T157" s="70"/>
    </row>
    <row r="158" spans="1:20" s="61" customFormat="1" ht="24.95" customHeight="1">
      <c r="A158" s="69"/>
      <c r="B158" s="53"/>
      <c r="C158" s="53"/>
      <c r="D158" s="78"/>
      <c r="E158" s="66"/>
      <c r="F158" s="66"/>
      <c r="G158" s="66"/>
      <c r="H158" s="66"/>
      <c r="I158" s="56"/>
      <c r="J158" s="56"/>
      <c r="K158" s="56"/>
      <c r="L158" s="56"/>
      <c r="M158" s="56"/>
      <c r="N158" s="56"/>
      <c r="O158" s="58"/>
      <c r="P158" s="58"/>
      <c r="Q158" s="58"/>
      <c r="R158" s="59"/>
      <c r="S158" s="53"/>
      <c r="T158" s="70"/>
    </row>
    <row r="159" spans="1:20" s="61" customFormat="1" ht="24.95" customHeight="1">
      <c r="A159" s="71"/>
      <c r="B159" s="53"/>
      <c r="C159" s="54"/>
      <c r="D159" s="53"/>
      <c r="E159" s="66"/>
      <c r="F159" s="66"/>
      <c r="G159" s="66"/>
      <c r="H159" s="66"/>
      <c r="I159" s="56"/>
      <c r="J159" s="56"/>
      <c r="K159" s="56"/>
      <c r="L159" s="56"/>
      <c r="M159" s="56"/>
      <c r="N159" s="56"/>
      <c r="O159" s="58"/>
      <c r="P159" s="58"/>
      <c r="Q159" s="58"/>
      <c r="R159" s="59"/>
      <c r="S159" s="53"/>
      <c r="T159" s="70"/>
    </row>
    <row r="160" spans="1:20" s="61" customFormat="1" ht="24.95" customHeight="1">
      <c r="A160" s="69"/>
      <c r="B160" s="53"/>
      <c r="C160" s="54"/>
      <c r="D160" s="53"/>
      <c r="E160" s="66"/>
      <c r="F160" s="66"/>
      <c r="G160" s="66"/>
      <c r="H160" s="66"/>
      <c r="I160" s="56"/>
      <c r="J160" s="56"/>
      <c r="K160" s="56"/>
      <c r="L160" s="56"/>
      <c r="M160" s="56"/>
      <c r="N160" s="56"/>
      <c r="O160" s="58"/>
      <c r="P160" s="58"/>
      <c r="Q160" s="58"/>
      <c r="R160" s="59"/>
      <c r="S160" s="53"/>
      <c r="T160" s="70"/>
    </row>
    <row r="161" spans="1:20" s="61" customFormat="1" ht="24.95" customHeight="1">
      <c r="A161" s="69"/>
      <c r="B161" s="53"/>
      <c r="C161" s="54"/>
      <c r="D161" s="53"/>
      <c r="E161" s="66"/>
      <c r="F161" s="66"/>
      <c r="G161" s="66"/>
      <c r="H161" s="66"/>
      <c r="I161" s="56"/>
      <c r="J161" s="56"/>
      <c r="K161" s="56"/>
      <c r="L161" s="56"/>
      <c r="M161" s="56"/>
      <c r="N161" s="56"/>
      <c r="O161" s="58"/>
      <c r="P161" s="58"/>
      <c r="Q161" s="58"/>
      <c r="R161" s="59"/>
      <c r="S161" s="53"/>
      <c r="T161" s="70"/>
    </row>
    <row r="162" spans="1:20" s="61" customFormat="1" ht="24.95" customHeight="1">
      <c r="A162" s="71"/>
      <c r="B162" s="53"/>
      <c r="C162" s="54"/>
      <c r="D162" s="53"/>
      <c r="E162" s="66"/>
      <c r="F162" s="66"/>
      <c r="G162" s="66"/>
      <c r="H162" s="66"/>
      <c r="I162" s="56"/>
      <c r="J162" s="56"/>
      <c r="K162" s="56"/>
      <c r="L162" s="56"/>
      <c r="M162" s="56"/>
      <c r="N162" s="56"/>
      <c r="O162" s="58"/>
      <c r="P162" s="58"/>
      <c r="Q162" s="58"/>
      <c r="R162" s="59"/>
      <c r="S162" s="53"/>
      <c r="T162" s="70"/>
    </row>
    <row r="163" spans="1:20" s="61" customFormat="1" ht="24.95" customHeight="1">
      <c r="A163" s="69"/>
      <c r="B163" s="53"/>
      <c r="C163" s="54"/>
      <c r="D163" s="53"/>
      <c r="E163" s="66"/>
      <c r="F163" s="66"/>
      <c r="G163" s="66"/>
      <c r="H163" s="66"/>
      <c r="I163" s="56"/>
      <c r="J163" s="56"/>
      <c r="K163" s="56"/>
      <c r="L163" s="56"/>
      <c r="M163" s="56"/>
      <c r="N163" s="56"/>
      <c r="O163" s="58"/>
      <c r="P163" s="58"/>
      <c r="Q163" s="58"/>
      <c r="R163" s="59"/>
      <c r="S163" s="53"/>
      <c r="T163" s="70"/>
    </row>
    <row r="164" spans="1:20" s="61" customFormat="1" ht="24.95" customHeight="1">
      <c r="A164" s="69"/>
      <c r="B164" s="53"/>
      <c r="C164" s="54"/>
      <c r="D164" s="53"/>
      <c r="E164" s="66"/>
      <c r="F164" s="66"/>
      <c r="G164" s="66"/>
      <c r="H164" s="66"/>
      <c r="I164" s="56"/>
      <c r="J164" s="56"/>
      <c r="K164" s="56"/>
      <c r="L164" s="56"/>
      <c r="M164" s="56"/>
      <c r="N164" s="56"/>
      <c r="O164" s="58"/>
      <c r="P164" s="58"/>
      <c r="Q164" s="58"/>
      <c r="R164" s="59"/>
      <c r="S164" s="53"/>
      <c r="T164" s="70"/>
    </row>
    <row r="165" spans="1:20" s="61" customFormat="1" ht="24.95" customHeight="1">
      <c r="A165" s="71"/>
      <c r="B165" s="53"/>
      <c r="C165" s="54"/>
      <c r="D165" s="53"/>
      <c r="E165" s="66"/>
      <c r="F165" s="66"/>
      <c r="G165" s="66"/>
      <c r="H165" s="66"/>
      <c r="I165" s="56"/>
      <c r="J165" s="56"/>
      <c r="K165" s="56"/>
      <c r="L165" s="56"/>
      <c r="M165" s="56"/>
      <c r="N165" s="56"/>
      <c r="O165" s="58"/>
      <c r="P165" s="58"/>
      <c r="Q165" s="58"/>
      <c r="R165" s="59"/>
      <c r="S165" s="53"/>
      <c r="T165" s="70"/>
    </row>
    <row r="166" spans="1:20" s="61" customFormat="1" ht="24.95" customHeight="1">
      <c r="A166" s="69"/>
      <c r="B166" s="53"/>
      <c r="C166" s="54"/>
      <c r="D166" s="53"/>
      <c r="E166" s="66"/>
      <c r="F166" s="66"/>
      <c r="G166" s="66"/>
      <c r="H166" s="66"/>
      <c r="I166" s="56"/>
      <c r="J166" s="56"/>
      <c r="K166" s="56"/>
      <c r="L166" s="56"/>
      <c r="M166" s="56"/>
      <c r="N166" s="56"/>
      <c r="O166" s="58"/>
      <c r="P166" s="58"/>
      <c r="Q166" s="58"/>
      <c r="R166" s="59"/>
      <c r="S166" s="53"/>
      <c r="T166" s="70"/>
    </row>
    <row r="167" spans="1:20" s="61" customFormat="1" ht="24.95" customHeight="1">
      <c r="A167" s="69"/>
      <c r="B167" s="53"/>
      <c r="C167" s="54"/>
      <c r="D167" s="53"/>
      <c r="E167" s="66"/>
      <c r="F167" s="66"/>
      <c r="G167" s="66"/>
      <c r="H167" s="66"/>
      <c r="I167" s="56"/>
      <c r="J167" s="56"/>
      <c r="K167" s="56"/>
      <c r="L167" s="56"/>
      <c r="M167" s="56"/>
      <c r="N167" s="56"/>
      <c r="O167" s="58"/>
      <c r="P167" s="58"/>
      <c r="Q167" s="58"/>
      <c r="R167" s="59"/>
      <c r="S167" s="53"/>
      <c r="T167" s="70"/>
    </row>
    <row r="168" spans="1:20" s="61" customFormat="1" ht="24.95" customHeight="1">
      <c r="A168" s="71"/>
      <c r="B168" s="53"/>
      <c r="C168" s="54"/>
      <c r="D168" s="53"/>
      <c r="E168" s="66"/>
      <c r="F168" s="66"/>
      <c r="G168" s="66"/>
      <c r="H168" s="66"/>
      <c r="I168" s="56"/>
      <c r="J168" s="56"/>
      <c r="K168" s="56"/>
      <c r="L168" s="56"/>
      <c r="M168" s="56"/>
      <c r="N168" s="56"/>
      <c r="O168" s="58"/>
      <c r="P168" s="58"/>
      <c r="Q168" s="58"/>
      <c r="R168" s="59"/>
      <c r="S168" s="53"/>
      <c r="T168" s="70"/>
    </row>
    <row r="169" spans="1:20" s="61" customFormat="1" ht="24.95" customHeight="1">
      <c r="A169" s="69"/>
      <c r="B169" s="53"/>
      <c r="C169" s="54"/>
      <c r="D169" s="53"/>
      <c r="E169" s="66"/>
      <c r="F169" s="66"/>
      <c r="G169" s="66"/>
      <c r="H169" s="66"/>
      <c r="I169" s="56"/>
      <c r="J169" s="56"/>
      <c r="K169" s="56"/>
      <c r="L169" s="56"/>
      <c r="M169" s="56"/>
      <c r="N169" s="56"/>
      <c r="O169" s="58"/>
      <c r="P169" s="58"/>
      <c r="Q169" s="58"/>
      <c r="R169" s="59"/>
      <c r="S169" s="53"/>
      <c r="T169" s="70"/>
    </row>
    <row r="170" spans="1:20" s="61" customFormat="1" ht="24.95" customHeight="1">
      <c r="A170" s="69"/>
      <c r="B170" s="53"/>
      <c r="C170" s="54"/>
      <c r="D170" s="53"/>
      <c r="E170" s="66"/>
      <c r="F170" s="66"/>
      <c r="G170" s="66"/>
      <c r="H170" s="66"/>
      <c r="I170" s="56"/>
      <c r="J170" s="56"/>
      <c r="K170" s="56"/>
      <c r="L170" s="56"/>
      <c r="M170" s="56"/>
      <c r="N170" s="56"/>
      <c r="O170" s="58"/>
      <c r="P170" s="58"/>
      <c r="Q170" s="58"/>
      <c r="R170" s="59"/>
      <c r="S170" s="53"/>
      <c r="T170" s="70"/>
    </row>
    <row r="171" spans="1:20" s="61" customFormat="1" ht="24.95" customHeight="1">
      <c r="A171" s="71"/>
      <c r="B171" s="53"/>
      <c r="C171" s="54"/>
      <c r="D171" s="53"/>
      <c r="E171" s="66"/>
      <c r="F171" s="66"/>
      <c r="G171" s="66"/>
      <c r="H171" s="66"/>
      <c r="I171" s="56"/>
      <c r="J171" s="56"/>
      <c r="K171" s="56"/>
      <c r="L171" s="56"/>
      <c r="M171" s="56"/>
      <c r="N171" s="56"/>
      <c r="O171" s="58"/>
      <c r="P171" s="58"/>
      <c r="Q171" s="58"/>
      <c r="R171" s="59"/>
      <c r="S171" s="53"/>
      <c r="T171" s="70"/>
    </row>
    <row r="172" spans="1:20" s="61" customFormat="1" ht="24.95" customHeight="1">
      <c r="A172" s="69"/>
      <c r="B172" s="53"/>
      <c r="C172" s="54"/>
      <c r="D172" s="53"/>
      <c r="E172" s="66"/>
      <c r="F172" s="66"/>
      <c r="G172" s="66"/>
      <c r="H172" s="66"/>
      <c r="I172" s="56"/>
      <c r="J172" s="56"/>
      <c r="K172" s="56"/>
      <c r="L172" s="56"/>
      <c r="M172" s="56"/>
      <c r="N172" s="56"/>
      <c r="O172" s="58"/>
      <c r="P172" s="58"/>
      <c r="Q172" s="58"/>
      <c r="R172" s="59"/>
      <c r="S172" s="53"/>
      <c r="T172" s="70"/>
    </row>
    <row r="173" spans="1:20" s="61" customFormat="1" ht="24.95" customHeight="1">
      <c r="A173" s="69"/>
      <c r="B173" s="53"/>
      <c r="C173" s="54"/>
      <c r="D173" s="53"/>
      <c r="E173" s="66"/>
      <c r="F173" s="66"/>
      <c r="G173" s="66"/>
      <c r="H173" s="66"/>
      <c r="I173" s="56"/>
      <c r="J173" s="56"/>
      <c r="K173" s="72"/>
      <c r="L173" s="72"/>
      <c r="M173" s="72"/>
      <c r="N173" s="56"/>
      <c r="O173" s="58"/>
      <c r="P173" s="58"/>
      <c r="Q173" s="58"/>
      <c r="R173" s="59"/>
      <c r="S173" s="53"/>
      <c r="T173" s="70"/>
    </row>
    <row r="174" spans="1:20" s="61" customFormat="1" ht="24.95" customHeight="1">
      <c r="A174" s="71"/>
      <c r="B174" s="53"/>
      <c r="C174" s="54"/>
      <c r="D174" s="53"/>
      <c r="E174" s="66"/>
      <c r="F174" s="66"/>
      <c r="G174" s="66"/>
      <c r="H174" s="66"/>
      <c r="I174" s="56"/>
      <c r="J174" s="56"/>
      <c r="K174" s="56"/>
      <c r="L174" s="56"/>
      <c r="M174" s="56"/>
      <c r="N174" s="56"/>
      <c r="O174" s="58"/>
      <c r="P174" s="58"/>
      <c r="Q174" s="58"/>
      <c r="R174" s="59"/>
      <c r="S174" s="53"/>
      <c r="T174" s="70"/>
    </row>
    <row r="175" spans="1:20" s="61" customFormat="1" ht="24.95" customHeight="1">
      <c r="A175" s="69"/>
      <c r="B175" s="53"/>
      <c r="C175" s="54"/>
      <c r="D175" s="53"/>
      <c r="E175" s="66"/>
      <c r="F175" s="66"/>
      <c r="G175" s="66"/>
      <c r="H175" s="66"/>
      <c r="I175" s="56"/>
      <c r="J175" s="56"/>
      <c r="K175" s="56"/>
      <c r="L175" s="56"/>
      <c r="M175" s="56"/>
      <c r="N175" s="56"/>
      <c r="O175" s="58"/>
      <c r="P175" s="58"/>
      <c r="Q175" s="58"/>
      <c r="R175" s="59"/>
      <c r="S175" s="53"/>
      <c r="T175" s="70"/>
    </row>
    <row r="176" spans="1:20" s="61" customFormat="1" ht="24.95" customHeight="1">
      <c r="A176" s="69"/>
      <c r="B176" s="53"/>
      <c r="C176" s="54"/>
      <c r="D176" s="53"/>
      <c r="E176" s="66"/>
      <c r="F176" s="66"/>
      <c r="G176" s="66"/>
      <c r="H176" s="66"/>
      <c r="I176" s="56"/>
      <c r="J176" s="56"/>
      <c r="K176" s="72"/>
      <c r="L176" s="72"/>
      <c r="M176" s="72"/>
      <c r="N176" s="56"/>
      <c r="O176" s="58"/>
      <c r="P176" s="58"/>
      <c r="Q176" s="58"/>
      <c r="R176" s="59"/>
      <c r="S176" s="53"/>
      <c r="T176" s="70"/>
    </row>
    <row r="177" spans="1:20" s="61" customFormat="1" ht="24.95" customHeight="1">
      <c r="A177" s="71"/>
      <c r="B177" s="53"/>
      <c r="C177" s="54"/>
      <c r="D177" s="53"/>
      <c r="E177" s="66"/>
      <c r="F177" s="66"/>
      <c r="G177" s="66"/>
      <c r="H177" s="66"/>
      <c r="I177" s="56"/>
      <c r="J177" s="56"/>
      <c r="K177" s="56"/>
      <c r="L177" s="56"/>
      <c r="M177" s="56"/>
      <c r="N177" s="56"/>
      <c r="O177" s="58"/>
      <c r="P177" s="58"/>
      <c r="Q177" s="58"/>
      <c r="R177" s="59"/>
      <c r="S177" s="53"/>
      <c r="T177" s="70"/>
    </row>
    <row r="178" spans="1:20" s="61" customFormat="1" ht="24.95" customHeight="1">
      <c r="A178" s="69"/>
      <c r="B178" s="53"/>
      <c r="C178" s="54"/>
      <c r="D178" s="53"/>
      <c r="E178" s="66"/>
      <c r="F178" s="66"/>
      <c r="G178" s="66"/>
      <c r="H178" s="66"/>
      <c r="I178" s="56"/>
      <c r="J178" s="56"/>
      <c r="K178" s="56"/>
      <c r="L178" s="56"/>
      <c r="M178" s="56"/>
      <c r="N178" s="56"/>
      <c r="O178" s="58"/>
      <c r="P178" s="58"/>
      <c r="Q178" s="58"/>
      <c r="R178" s="59"/>
      <c r="S178" s="53"/>
      <c r="T178" s="70"/>
    </row>
    <row r="179" spans="1:20" s="61" customFormat="1" ht="24.95" customHeight="1">
      <c r="A179" s="69"/>
      <c r="B179" s="53"/>
      <c r="C179" s="54"/>
      <c r="D179" s="53"/>
      <c r="E179" s="66"/>
      <c r="F179" s="66"/>
      <c r="G179" s="66"/>
      <c r="H179" s="66"/>
      <c r="I179" s="56"/>
      <c r="J179" s="56"/>
      <c r="K179" s="56"/>
      <c r="L179" s="56"/>
      <c r="M179" s="56"/>
      <c r="N179" s="56"/>
      <c r="O179" s="58"/>
      <c r="P179" s="58"/>
      <c r="Q179" s="58"/>
      <c r="R179" s="59"/>
      <c r="S179" s="53"/>
      <c r="T179" s="70"/>
    </row>
    <row r="180" spans="1:20" s="61" customFormat="1" ht="24.95" customHeight="1">
      <c r="A180" s="71"/>
      <c r="B180" s="53"/>
      <c r="C180" s="54"/>
      <c r="D180" s="53"/>
      <c r="E180" s="66"/>
      <c r="F180" s="66"/>
      <c r="G180" s="66"/>
      <c r="H180" s="66"/>
      <c r="I180" s="56"/>
      <c r="J180" s="56"/>
      <c r="K180" s="72"/>
      <c r="L180" s="72"/>
      <c r="M180" s="72"/>
      <c r="N180" s="56"/>
      <c r="O180" s="58"/>
      <c r="P180" s="58"/>
      <c r="Q180" s="58"/>
      <c r="R180" s="59"/>
      <c r="S180" s="53"/>
      <c r="T180" s="70"/>
    </row>
    <row r="181" spans="1:20" s="61" customFormat="1" ht="24.95" customHeight="1">
      <c r="A181" s="69"/>
      <c r="B181" s="53"/>
      <c r="C181" s="54"/>
      <c r="D181" s="53"/>
      <c r="E181" s="66"/>
      <c r="F181" s="66"/>
      <c r="G181" s="66"/>
      <c r="H181" s="66"/>
      <c r="I181" s="56"/>
      <c r="J181" s="56"/>
      <c r="K181" s="56"/>
      <c r="L181" s="56"/>
      <c r="M181" s="56"/>
      <c r="N181" s="56"/>
      <c r="O181" s="58"/>
      <c r="P181" s="58"/>
      <c r="Q181" s="58"/>
      <c r="R181" s="59"/>
      <c r="S181" s="53"/>
      <c r="T181" s="70"/>
    </row>
    <row r="182" spans="1:20" s="61" customFormat="1" ht="24.95" customHeight="1">
      <c r="A182" s="69"/>
      <c r="B182" s="73"/>
      <c r="C182" s="74"/>
      <c r="D182" s="73"/>
      <c r="E182" s="66"/>
      <c r="F182" s="66"/>
      <c r="G182" s="66"/>
      <c r="H182" s="66"/>
      <c r="I182" s="75"/>
      <c r="J182" s="75"/>
      <c r="K182" s="75"/>
      <c r="L182" s="75"/>
      <c r="M182" s="75"/>
      <c r="N182" s="56"/>
      <c r="O182" s="58"/>
      <c r="P182" s="58"/>
      <c r="Q182" s="58"/>
      <c r="R182" s="59"/>
      <c r="S182" s="53"/>
      <c r="T182" s="70"/>
    </row>
    <row r="183" spans="1:20" s="61" customFormat="1" ht="24.95" customHeight="1">
      <c r="A183" s="71"/>
      <c r="B183" s="73"/>
      <c r="C183" s="74"/>
      <c r="D183" s="73"/>
      <c r="E183" s="66"/>
      <c r="F183" s="66"/>
      <c r="G183" s="66"/>
      <c r="H183" s="66"/>
      <c r="I183" s="75"/>
      <c r="J183" s="75"/>
      <c r="K183" s="75"/>
      <c r="L183" s="75"/>
      <c r="M183" s="75"/>
      <c r="N183" s="56"/>
      <c r="O183" s="58"/>
      <c r="P183" s="58"/>
      <c r="Q183" s="58"/>
      <c r="R183" s="59"/>
      <c r="S183" s="53"/>
      <c r="T183" s="70"/>
    </row>
    <row r="184" spans="1:20" s="61" customFormat="1" ht="24.95" customHeight="1">
      <c r="A184" s="69"/>
      <c r="B184" s="53"/>
      <c r="C184" s="53"/>
      <c r="D184" s="53"/>
      <c r="E184" s="66"/>
      <c r="F184" s="66"/>
      <c r="G184" s="66"/>
      <c r="H184" s="66"/>
      <c r="I184" s="56"/>
      <c r="J184" s="56"/>
      <c r="K184" s="56"/>
      <c r="L184" s="56"/>
      <c r="M184" s="56"/>
      <c r="N184" s="56"/>
      <c r="O184" s="58"/>
      <c r="P184" s="58"/>
      <c r="Q184" s="58"/>
      <c r="R184" s="59"/>
      <c r="S184" s="53"/>
      <c r="T184" s="70"/>
    </row>
    <row r="185" spans="1:20" s="61" customFormat="1" ht="24.95" customHeight="1">
      <c r="A185" s="69"/>
      <c r="B185" s="53"/>
      <c r="C185" s="53"/>
      <c r="D185" s="53"/>
      <c r="E185" s="66"/>
      <c r="F185" s="66"/>
      <c r="G185" s="66"/>
      <c r="H185" s="66"/>
      <c r="I185" s="56"/>
      <c r="J185" s="56"/>
      <c r="K185" s="56"/>
      <c r="L185" s="56"/>
      <c r="M185" s="56"/>
      <c r="N185" s="56"/>
      <c r="O185" s="76"/>
      <c r="P185" s="76"/>
      <c r="Q185" s="76"/>
      <c r="R185" s="77"/>
      <c r="S185" s="53"/>
      <c r="T185" s="70"/>
    </row>
    <row r="186" spans="1:20" s="61" customFormat="1" ht="24.95" customHeight="1">
      <c r="A186" s="71"/>
      <c r="B186" s="53"/>
      <c r="C186" s="53"/>
      <c r="D186" s="53"/>
      <c r="E186" s="66"/>
      <c r="F186" s="66"/>
      <c r="G186" s="66"/>
      <c r="H186" s="66"/>
      <c r="I186" s="56"/>
      <c r="J186" s="56"/>
      <c r="K186" s="72"/>
      <c r="L186" s="72"/>
      <c r="M186" s="72"/>
      <c r="N186" s="56"/>
      <c r="O186" s="58"/>
      <c r="P186" s="58"/>
      <c r="Q186" s="58"/>
      <c r="R186" s="59"/>
      <c r="S186" s="53"/>
      <c r="T186" s="70"/>
    </row>
    <row r="187" spans="1:20" s="61" customFormat="1" ht="24.95" customHeight="1">
      <c r="A187" s="69"/>
      <c r="B187" s="53"/>
      <c r="C187" s="53"/>
      <c r="D187" s="53"/>
      <c r="E187" s="66"/>
      <c r="F187" s="66"/>
      <c r="G187" s="66"/>
      <c r="H187" s="66"/>
      <c r="I187" s="56"/>
      <c r="J187" s="56"/>
      <c r="K187" s="56"/>
      <c r="L187" s="56"/>
      <c r="M187" s="56"/>
      <c r="N187" s="56"/>
      <c r="O187" s="58"/>
      <c r="P187" s="58"/>
      <c r="Q187" s="58"/>
      <c r="R187" s="59"/>
      <c r="S187" s="53"/>
      <c r="T187" s="70"/>
    </row>
    <row r="188" spans="1:20" s="61" customFormat="1" ht="24.95" customHeight="1">
      <c r="A188" s="69"/>
      <c r="B188" s="53"/>
      <c r="C188" s="54"/>
      <c r="D188" s="53"/>
      <c r="E188" s="66"/>
      <c r="F188" s="66"/>
      <c r="G188" s="66"/>
      <c r="H188" s="66"/>
      <c r="I188" s="56"/>
      <c r="J188" s="56"/>
      <c r="K188" s="56"/>
      <c r="L188" s="56"/>
      <c r="M188" s="56"/>
      <c r="N188" s="56"/>
      <c r="O188" s="76"/>
      <c r="P188" s="76"/>
      <c r="Q188" s="76"/>
      <c r="R188" s="77"/>
      <c r="S188" s="53"/>
      <c r="T188" s="70"/>
    </row>
    <row r="189" spans="1:20" s="61" customFormat="1" ht="24.95" customHeight="1">
      <c r="A189" s="71"/>
      <c r="B189" s="53"/>
      <c r="C189" s="53"/>
      <c r="D189" s="53"/>
      <c r="E189" s="66"/>
      <c r="F189" s="66"/>
      <c r="G189" s="66"/>
      <c r="H189" s="66"/>
      <c r="I189" s="56"/>
      <c r="J189" s="56"/>
      <c r="K189" s="56"/>
      <c r="L189" s="56"/>
      <c r="M189" s="56"/>
      <c r="N189" s="56"/>
      <c r="O189" s="58"/>
      <c r="P189" s="58"/>
      <c r="Q189" s="58"/>
      <c r="R189" s="59"/>
      <c r="S189" s="53"/>
      <c r="T189" s="70"/>
    </row>
    <row r="190" spans="1:20" s="61" customFormat="1" ht="24.95" customHeight="1">
      <c r="A190" s="69"/>
      <c r="B190" s="53"/>
      <c r="C190" s="53"/>
      <c r="D190" s="53"/>
      <c r="E190" s="53"/>
      <c r="F190" s="53"/>
      <c r="G190" s="53"/>
      <c r="H190" s="53"/>
      <c r="I190" s="56"/>
      <c r="J190" s="56"/>
      <c r="K190" s="56"/>
      <c r="L190" s="56"/>
      <c r="M190" s="56"/>
      <c r="N190" s="56"/>
      <c r="O190" s="53"/>
      <c r="P190" s="53"/>
      <c r="Q190" s="53"/>
      <c r="R190" s="53"/>
      <c r="S190" s="53"/>
      <c r="T190" s="70"/>
    </row>
    <row r="191" spans="1:20" s="61" customFormat="1" ht="24.95" customHeight="1">
      <c r="A191" s="69"/>
      <c r="B191" s="53"/>
      <c r="C191" s="53"/>
      <c r="D191" s="78"/>
      <c r="E191" s="53"/>
      <c r="F191" s="53"/>
      <c r="G191" s="53"/>
      <c r="H191" s="53"/>
      <c r="I191" s="56"/>
      <c r="J191" s="56"/>
      <c r="K191" s="56"/>
      <c r="L191" s="56"/>
      <c r="M191" s="56"/>
      <c r="N191" s="56"/>
      <c r="O191" s="53"/>
      <c r="P191" s="53"/>
      <c r="Q191" s="53"/>
      <c r="R191" s="53"/>
      <c r="S191" s="53"/>
      <c r="T191" s="70"/>
    </row>
    <row r="192" spans="1:20" s="61" customFormat="1" ht="24.95" customHeight="1">
      <c r="A192" s="69"/>
      <c r="B192" s="53"/>
      <c r="C192" s="53"/>
      <c r="D192" s="78"/>
      <c r="E192" s="53"/>
      <c r="F192" s="53"/>
      <c r="G192" s="53"/>
      <c r="H192" s="53"/>
      <c r="I192" s="56"/>
      <c r="J192" s="56"/>
      <c r="K192" s="56"/>
      <c r="L192" s="56"/>
      <c r="M192" s="56"/>
      <c r="N192" s="56"/>
      <c r="O192" s="53"/>
      <c r="P192" s="53"/>
      <c r="Q192" s="53"/>
      <c r="R192" s="53"/>
      <c r="S192" s="53"/>
      <c r="T192" s="70"/>
    </row>
    <row r="193" spans="1:20" s="61" customFormat="1" ht="24.95" customHeight="1">
      <c r="A193" s="69"/>
      <c r="B193" s="53"/>
      <c r="C193" s="53"/>
      <c r="D193" s="78"/>
      <c r="E193" s="53"/>
      <c r="F193" s="53"/>
      <c r="G193" s="53"/>
      <c r="H193" s="53"/>
      <c r="I193" s="56"/>
      <c r="J193" s="56"/>
      <c r="K193" s="56"/>
      <c r="L193" s="56"/>
      <c r="M193" s="56"/>
      <c r="N193" s="56"/>
      <c r="O193" s="53"/>
      <c r="P193" s="53"/>
      <c r="Q193" s="53"/>
      <c r="R193" s="53"/>
      <c r="S193" s="53"/>
      <c r="T193" s="70"/>
    </row>
    <row r="194" spans="1:20" s="61" customFormat="1" ht="24.95" customHeight="1">
      <c r="A194" s="69"/>
      <c r="B194" s="53"/>
      <c r="C194" s="53"/>
      <c r="D194" s="78"/>
      <c r="E194" s="53"/>
      <c r="F194" s="53"/>
      <c r="G194" s="53"/>
      <c r="H194" s="53"/>
      <c r="I194" s="56"/>
      <c r="J194" s="56"/>
      <c r="K194" s="56"/>
      <c r="L194" s="56"/>
      <c r="M194" s="56"/>
      <c r="N194" s="56"/>
      <c r="O194" s="53"/>
      <c r="P194" s="53"/>
      <c r="Q194" s="53"/>
      <c r="R194" s="53"/>
      <c r="S194" s="53"/>
      <c r="T194" s="70"/>
    </row>
    <row r="195" spans="1:20" s="61" customFormat="1" ht="24.95" customHeight="1">
      <c r="A195" s="69"/>
      <c r="B195" s="53"/>
      <c r="C195" s="53"/>
      <c r="D195" s="78"/>
      <c r="E195" s="53"/>
      <c r="F195" s="53"/>
      <c r="G195" s="53"/>
      <c r="H195" s="53"/>
      <c r="I195" s="56"/>
      <c r="J195" s="56"/>
      <c r="K195" s="56"/>
      <c r="L195" s="56"/>
      <c r="M195" s="56"/>
      <c r="N195" s="56"/>
      <c r="O195" s="53"/>
      <c r="P195" s="53"/>
      <c r="Q195" s="53"/>
      <c r="R195" s="53"/>
      <c r="S195" s="53"/>
      <c r="T195" s="70"/>
    </row>
    <row r="196" spans="1:20" s="61" customFormat="1" ht="24.95" customHeight="1">
      <c r="A196" s="69"/>
      <c r="B196" s="46"/>
      <c r="C196" s="46"/>
      <c r="D196" s="78"/>
      <c r="E196" s="46"/>
      <c r="F196" s="46"/>
      <c r="G196" s="46"/>
      <c r="H196" s="46"/>
      <c r="I196" s="56"/>
      <c r="J196" s="79"/>
      <c r="K196" s="79"/>
      <c r="L196" s="79"/>
      <c r="M196" s="79"/>
      <c r="N196" s="79"/>
      <c r="O196" s="53"/>
      <c r="P196" s="53"/>
      <c r="Q196" s="53"/>
      <c r="R196" s="53"/>
      <c r="S196" s="46"/>
      <c r="T196" s="80"/>
    </row>
    <row r="197" spans="1:20" s="61" customFormat="1" ht="24.95" customHeight="1">
      <c r="A197" s="69"/>
      <c r="B197" s="73"/>
      <c r="C197" s="73"/>
      <c r="D197" s="73"/>
      <c r="E197" s="81"/>
      <c r="F197" s="73"/>
      <c r="G197" s="73"/>
      <c r="H197" s="73"/>
      <c r="I197" s="75"/>
      <c r="J197" s="75"/>
      <c r="K197" s="75"/>
      <c r="L197" s="75"/>
      <c r="M197" s="75"/>
      <c r="N197" s="75"/>
      <c r="O197" s="73"/>
      <c r="P197" s="73"/>
      <c r="Q197" s="73"/>
      <c r="R197" s="73"/>
      <c r="S197" s="73"/>
      <c r="T197" s="82"/>
    </row>
    <row r="198" spans="1:20" s="61" customFormat="1" ht="24.95" customHeight="1">
      <c r="A198" s="69"/>
      <c r="B198" s="53"/>
      <c r="C198" s="54"/>
      <c r="D198" s="53"/>
      <c r="E198" s="55"/>
      <c r="F198" s="83"/>
      <c r="G198" s="55"/>
      <c r="H198" s="55"/>
      <c r="I198" s="56"/>
      <c r="J198" s="56"/>
      <c r="K198" s="56"/>
      <c r="L198" s="56"/>
      <c r="M198" s="56"/>
      <c r="N198" s="56"/>
      <c r="O198" s="58"/>
      <c r="P198" s="58"/>
      <c r="Q198" s="58"/>
      <c r="R198" s="59"/>
      <c r="S198" s="53"/>
      <c r="T198" s="70"/>
    </row>
    <row r="199" spans="1:20" s="61" customFormat="1" ht="24.95" customHeight="1">
      <c r="A199" s="69"/>
      <c r="B199" s="53"/>
      <c r="C199" s="54"/>
      <c r="D199" s="53"/>
      <c r="E199" s="55"/>
      <c r="F199" s="83"/>
      <c r="G199" s="55"/>
      <c r="H199" s="55"/>
      <c r="I199" s="56"/>
      <c r="J199" s="56"/>
      <c r="K199" s="56"/>
      <c r="L199" s="56"/>
      <c r="M199" s="56"/>
      <c r="N199" s="56"/>
      <c r="O199" s="58"/>
      <c r="P199" s="58"/>
      <c r="Q199" s="58"/>
      <c r="R199" s="59"/>
      <c r="S199" s="53"/>
      <c r="T199" s="70"/>
    </row>
    <row r="200" spans="1:20" s="61" customFormat="1" ht="24.95" customHeight="1">
      <c r="A200" s="69"/>
      <c r="B200" s="53"/>
      <c r="C200" s="54"/>
      <c r="D200" s="53"/>
      <c r="E200" s="55"/>
      <c r="F200" s="83"/>
      <c r="G200" s="55"/>
      <c r="H200" s="55"/>
      <c r="I200" s="56"/>
      <c r="J200" s="56"/>
      <c r="K200" s="56"/>
      <c r="L200" s="56"/>
      <c r="M200" s="56"/>
      <c r="N200" s="56"/>
      <c r="O200" s="58"/>
      <c r="P200" s="58"/>
      <c r="Q200" s="58"/>
      <c r="R200" s="59"/>
      <c r="S200" s="53"/>
      <c r="T200" s="70"/>
    </row>
    <row r="201" spans="1:20" s="61" customFormat="1" ht="24.95" customHeight="1">
      <c r="A201" s="69"/>
      <c r="B201" s="53"/>
      <c r="C201" s="54"/>
      <c r="D201" s="53"/>
      <c r="E201" s="55"/>
      <c r="F201" s="83"/>
      <c r="G201" s="55"/>
      <c r="H201" s="55"/>
      <c r="I201" s="56"/>
      <c r="J201" s="56"/>
      <c r="K201" s="56"/>
      <c r="L201" s="56"/>
      <c r="M201" s="56"/>
      <c r="N201" s="56"/>
      <c r="O201" s="58"/>
      <c r="P201" s="58"/>
      <c r="Q201" s="58"/>
      <c r="R201" s="59"/>
      <c r="S201" s="53"/>
      <c r="T201" s="70"/>
    </row>
    <row r="202" spans="1:20" s="61" customFormat="1" ht="24.95" customHeight="1">
      <c r="A202" s="69"/>
      <c r="B202" s="53"/>
      <c r="C202" s="54"/>
      <c r="D202" s="53"/>
      <c r="E202" s="55"/>
      <c r="F202" s="83"/>
      <c r="G202" s="55"/>
      <c r="H202" s="55"/>
      <c r="I202" s="56"/>
      <c r="J202" s="56"/>
      <c r="K202" s="56"/>
      <c r="L202" s="56"/>
      <c r="M202" s="56"/>
      <c r="N202" s="56"/>
      <c r="O202" s="58"/>
      <c r="P202" s="58"/>
      <c r="Q202" s="58"/>
      <c r="R202" s="59"/>
      <c r="S202" s="53"/>
      <c r="T202" s="70"/>
    </row>
    <row r="203" spans="1:20" s="61" customFormat="1" ht="24.95" customHeight="1">
      <c r="A203" s="69"/>
      <c r="B203" s="53"/>
      <c r="C203" s="54"/>
      <c r="D203" s="53"/>
      <c r="E203" s="55"/>
      <c r="F203" s="83"/>
      <c r="G203" s="55"/>
      <c r="H203" s="55"/>
      <c r="I203" s="56"/>
      <c r="J203" s="56"/>
      <c r="K203" s="56"/>
      <c r="L203" s="56"/>
      <c r="M203" s="56"/>
      <c r="N203" s="56"/>
      <c r="O203" s="58"/>
      <c r="P203" s="58"/>
      <c r="Q203" s="58"/>
      <c r="R203" s="59"/>
      <c r="S203" s="53"/>
      <c r="T203" s="70"/>
    </row>
    <row r="204" spans="1:20" s="61" customFormat="1" ht="24.95" customHeight="1">
      <c r="A204" s="69"/>
      <c r="B204" s="53"/>
      <c r="C204" s="54"/>
      <c r="D204" s="53"/>
      <c r="E204" s="55"/>
      <c r="F204" s="83"/>
      <c r="G204" s="55"/>
      <c r="H204" s="55"/>
      <c r="I204" s="56"/>
      <c r="J204" s="56"/>
      <c r="K204" s="56"/>
      <c r="L204" s="56"/>
      <c r="M204" s="56"/>
      <c r="N204" s="56"/>
      <c r="O204" s="58"/>
      <c r="P204" s="58"/>
      <c r="Q204" s="58"/>
      <c r="R204" s="59"/>
      <c r="S204" s="53"/>
      <c r="T204" s="70"/>
    </row>
    <row r="205" spans="1:20" s="61" customFormat="1" ht="24.95" customHeight="1">
      <c r="A205" s="69"/>
      <c r="B205" s="53"/>
      <c r="C205" s="54"/>
      <c r="D205" s="53"/>
      <c r="E205" s="55"/>
      <c r="F205" s="83"/>
      <c r="G205" s="55"/>
      <c r="H205" s="55"/>
      <c r="I205" s="56"/>
      <c r="J205" s="56"/>
      <c r="K205" s="56"/>
      <c r="L205" s="56"/>
      <c r="M205" s="56"/>
      <c r="N205" s="56"/>
      <c r="O205" s="58"/>
      <c r="P205" s="58"/>
      <c r="Q205" s="58"/>
      <c r="R205" s="59"/>
      <c r="S205" s="53"/>
      <c r="T205" s="70"/>
    </row>
    <row r="206" spans="1:20" s="61" customFormat="1" ht="24.95" customHeight="1">
      <c r="A206" s="69"/>
      <c r="B206" s="53"/>
      <c r="C206" s="54"/>
      <c r="D206" s="53"/>
      <c r="E206" s="55"/>
      <c r="F206" s="83"/>
      <c r="G206" s="55"/>
      <c r="H206" s="55"/>
      <c r="I206" s="56"/>
      <c r="J206" s="56"/>
      <c r="K206" s="72"/>
      <c r="L206" s="72"/>
      <c r="M206" s="72"/>
      <c r="N206" s="56"/>
      <c r="O206" s="58"/>
      <c r="P206" s="58"/>
      <c r="Q206" s="58"/>
      <c r="R206" s="59"/>
      <c r="S206" s="53"/>
      <c r="T206" s="70"/>
    </row>
    <row r="207" spans="1:20" s="61" customFormat="1" ht="24.95" customHeight="1">
      <c r="A207" s="69"/>
      <c r="B207" s="53"/>
      <c r="C207" s="54"/>
      <c r="D207" s="53"/>
      <c r="E207" s="55"/>
      <c r="F207" s="83"/>
      <c r="G207" s="55"/>
      <c r="H207" s="55"/>
      <c r="I207" s="56"/>
      <c r="J207" s="56"/>
      <c r="K207" s="56"/>
      <c r="L207" s="56"/>
      <c r="M207" s="56"/>
      <c r="N207" s="56"/>
      <c r="O207" s="58"/>
      <c r="P207" s="58"/>
      <c r="Q207" s="58"/>
      <c r="R207" s="59"/>
      <c r="S207" s="53"/>
      <c r="T207" s="70"/>
    </row>
    <row r="208" spans="1:20" s="61" customFormat="1" ht="24.95" customHeight="1">
      <c r="A208" s="69"/>
      <c r="B208" s="53"/>
      <c r="C208" s="54"/>
      <c r="D208" s="53"/>
      <c r="E208" s="55"/>
      <c r="F208" s="83"/>
      <c r="G208" s="55"/>
      <c r="H208" s="55"/>
      <c r="I208" s="56"/>
      <c r="J208" s="56"/>
      <c r="K208" s="56"/>
      <c r="L208" s="56"/>
      <c r="M208" s="56"/>
      <c r="N208" s="56"/>
      <c r="O208" s="58"/>
      <c r="P208" s="58"/>
      <c r="Q208" s="58"/>
      <c r="R208" s="59"/>
      <c r="S208" s="53"/>
      <c r="T208" s="70"/>
    </row>
    <row r="209" spans="1:20" s="61" customFormat="1" ht="24.95" customHeight="1">
      <c r="A209" s="69"/>
      <c r="B209" s="53"/>
      <c r="C209" s="54"/>
      <c r="D209" s="53"/>
      <c r="E209" s="55"/>
      <c r="F209" s="83"/>
      <c r="G209" s="55"/>
      <c r="H209" s="55"/>
      <c r="I209" s="56"/>
      <c r="J209" s="56"/>
      <c r="K209" s="72"/>
      <c r="L209" s="72"/>
      <c r="M209" s="72"/>
      <c r="N209" s="56"/>
      <c r="O209" s="58"/>
      <c r="P209" s="58"/>
      <c r="Q209" s="58"/>
      <c r="R209" s="59"/>
      <c r="S209" s="53"/>
      <c r="T209" s="70"/>
    </row>
    <row r="210" spans="1:20" s="61" customFormat="1" ht="24.95" customHeight="1">
      <c r="A210" s="69"/>
      <c r="B210" s="53"/>
      <c r="C210" s="54"/>
      <c r="D210" s="53"/>
      <c r="E210" s="55"/>
      <c r="F210" s="83"/>
      <c r="G210" s="55"/>
      <c r="H210" s="55"/>
      <c r="I210" s="56"/>
      <c r="J210" s="56"/>
      <c r="K210" s="56"/>
      <c r="L210" s="56"/>
      <c r="M210" s="56"/>
      <c r="N210" s="56"/>
      <c r="O210" s="58"/>
      <c r="P210" s="58"/>
      <c r="Q210" s="58"/>
      <c r="R210" s="59"/>
      <c r="S210" s="53"/>
      <c r="T210" s="70"/>
    </row>
    <row r="211" spans="1:20" s="61" customFormat="1" ht="24.95" customHeight="1">
      <c r="A211" s="69"/>
      <c r="B211" s="53"/>
      <c r="C211" s="54"/>
      <c r="D211" s="53"/>
      <c r="E211" s="55"/>
      <c r="F211" s="83"/>
      <c r="G211" s="55"/>
      <c r="H211" s="55"/>
      <c r="I211" s="56"/>
      <c r="J211" s="56"/>
      <c r="K211" s="56"/>
      <c r="L211" s="56"/>
      <c r="M211" s="56"/>
      <c r="N211" s="56"/>
      <c r="O211" s="58"/>
      <c r="P211" s="58"/>
      <c r="Q211" s="58"/>
      <c r="R211" s="59"/>
      <c r="S211" s="53"/>
      <c r="T211" s="70"/>
    </row>
    <row r="212" spans="1:20" s="61" customFormat="1" ht="24.95" customHeight="1">
      <c r="A212" s="69"/>
      <c r="B212" s="53"/>
      <c r="C212" s="54"/>
      <c r="D212" s="53"/>
      <c r="E212" s="55"/>
      <c r="F212" s="83"/>
      <c r="G212" s="55"/>
      <c r="H212" s="55"/>
      <c r="I212" s="56"/>
      <c r="J212" s="56"/>
      <c r="K212" s="56"/>
      <c r="L212" s="56"/>
      <c r="M212" s="56"/>
      <c r="N212" s="56"/>
      <c r="O212" s="58"/>
      <c r="P212" s="58"/>
      <c r="Q212" s="58"/>
      <c r="R212" s="59"/>
      <c r="S212" s="53"/>
      <c r="T212" s="70"/>
    </row>
    <row r="213" spans="1:20" s="61" customFormat="1" ht="24.95" customHeight="1">
      <c r="A213" s="69"/>
      <c r="B213" s="53"/>
      <c r="C213" s="54"/>
      <c r="D213" s="53"/>
      <c r="E213" s="55"/>
      <c r="F213" s="83"/>
      <c r="G213" s="55"/>
      <c r="H213" s="55"/>
      <c r="I213" s="56"/>
      <c r="J213" s="56"/>
      <c r="K213" s="56"/>
      <c r="L213" s="56"/>
      <c r="M213" s="56"/>
      <c r="N213" s="56"/>
      <c r="O213" s="58"/>
      <c r="P213" s="58"/>
      <c r="Q213" s="58"/>
      <c r="R213" s="59"/>
      <c r="S213" s="53"/>
      <c r="T213" s="70"/>
    </row>
    <row r="214" spans="1:20" s="61" customFormat="1" ht="24.95" customHeight="1">
      <c r="A214" s="69"/>
      <c r="B214" s="53"/>
      <c r="C214" s="54"/>
      <c r="D214" s="53"/>
      <c r="E214" s="55"/>
      <c r="F214" s="83"/>
      <c r="G214" s="55"/>
      <c r="H214" s="55"/>
      <c r="I214" s="56"/>
      <c r="J214" s="56"/>
      <c r="K214" s="56"/>
      <c r="L214" s="56"/>
      <c r="M214" s="56"/>
      <c r="N214" s="56"/>
      <c r="O214" s="58"/>
      <c r="P214" s="58"/>
      <c r="Q214" s="58"/>
      <c r="R214" s="59"/>
      <c r="S214" s="53"/>
      <c r="T214" s="70"/>
    </row>
    <row r="215" spans="1:20" s="61" customFormat="1" ht="24.95" customHeight="1">
      <c r="A215" s="69"/>
      <c r="B215" s="53"/>
      <c r="C215" s="54"/>
      <c r="D215" s="53"/>
      <c r="E215" s="55"/>
      <c r="F215" s="83"/>
      <c r="G215" s="55"/>
      <c r="H215" s="55"/>
      <c r="I215" s="56"/>
      <c r="J215" s="56"/>
      <c r="K215" s="56"/>
      <c r="L215" s="56"/>
      <c r="M215" s="56"/>
      <c r="N215" s="56"/>
      <c r="O215" s="58"/>
      <c r="P215" s="58"/>
      <c r="Q215" s="58"/>
      <c r="R215" s="59"/>
      <c r="S215" s="53"/>
      <c r="T215" s="70"/>
    </row>
    <row r="216" spans="1:20" s="61" customFormat="1" ht="24.95" customHeight="1">
      <c r="A216" s="69"/>
      <c r="B216" s="53"/>
      <c r="C216" s="54"/>
      <c r="D216" s="53"/>
      <c r="E216" s="55"/>
      <c r="F216" s="83"/>
      <c r="G216" s="55"/>
      <c r="H216" s="55"/>
      <c r="I216" s="56"/>
      <c r="J216" s="56"/>
      <c r="K216" s="56"/>
      <c r="L216" s="56"/>
      <c r="M216" s="56"/>
      <c r="N216" s="56"/>
      <c r="O216" s="58"/>
      <c r="P216" s="58"/>
      <c r="Q216" s="58"/>
      <c r="R216" s="59"/>
      <c r="S216" s="53"/>
      <c r="T216" s="70"/>
    </row>
    <row r="217" spans="1:20" s="61" customFormat="1" ht="24.95" customHeight="1">
      <c r="A217" s="69"/>
      <c r="B217" s="53"/>
      <c r="C217" s="54"/>
      <c r="D217" s="53"/>
      <c r="E217" s="55"/>
      <c r="F217" s="83"/>
      <c r="G217" s="55"/>
      <c r="H217" s="55"/>
      <c r="I217" s="56"/>
      <c r="J217" s="56"/>
      <c r="K217" s="72"/>
      <c r="L217" s="72"/>
      <c r="M217" s="72"/>
      <c r="N217" s="56"/>
      <c r="O217" s="58"/>
      <c r="P217" s="58"/>
      <c r="Q217" s="58"/>
      <c r="R217" s="59"/>
      <c r="S217" s="53"/>
      <c r="T217" s="70"/>
    </row>
    <row r="218" spans="1:20" s="61" customFormat="1" ht="24.95" customHeight="1">
      <c r="A218" s="69"/>
      <c r="B218" s="53"/>
      <c r="C218" s="54"/>
      <c r="D218" s="53"/>
      <c r="E218" s="55"/>
      <c r="F218" s="83"/>
      <c r="G218" s="55"/>
      <c r="H218" s="55"/>
      <c r="I218" s="56"/>
      <c r="J218" s="56"/>
      <c r="K218" s="56"/>
      <c r="L218" s="56"/>
      <c r="M218" s="56"/>
      <c r="N218" s="56"/>
      <c r="O218" s="58"/>
      <c r="P218" s="58"/>
      <c r="Q218" s="58"/>
      <c r="R218" s="59"/>
      <c r="S218" s="53"/>
      <c r="T218" s="70"/>
    </row>
    <row r="219" spans="1:20" s="61" customFormat="1" ht="24.95" customHeight="1">
      <c r="A219" s="69"/>
      <c r="B219" s="53"/>
      <c r="C219" s="54"/>
      <c r="D219" s="53"/>
      <c r="E219" s="55"/>
      <c r="F219" s="83"/>
      <c r="G219" s="55"/>
      <c r="H219" s="55"/>
      <c r="I219" s="56"/>
      <c r="J219" s="56"/>
      <c r="K219" s="56"/>
      <c r="L219" s="56"/>
      <c r="M219" s="56"/>
      <c r="N219" s="56"/>
      <c r="O219" s="58"/>
      <c r="P219" s="58"/>
      <c r="Q219" s="58"/>
      <c r="R219" s="59"/>
      <c r="S219" s="53"/>
      <c r="T219" s="70"/>
    </row>
    <row r="220" spans="1:20" s="61" customFormat="1" ht="24.95" customHeight="1">
      <c r="A220" s="69"/>
      <c r="B220" s="53"/>
      <c r="C220" s="53"/>
      <c r="D220" s="53"/>
      <c r="E220" s="53"/>
      <c r="F220" s="53"/>
      <c r="G220" s="53"/>
      <c r="H220" s="53"/>
      <c r="I220" s="56"/>
      <c r="J220" s="56"/>
      <c r="K220" s="56"/>
      <c r="L220" s="56"/>
      <c r="M220" s="56"/>
      <c r="N220" s="56"/>
      <c r="O220" s="53"/>
      <c r="P220" s="53"/>
      <c r="Q220" s="53"/>
      <c r="R220" s="53"/>
      <c r="S220" s="53"/>
      <c r="T220" s="70"/>
    </row>
    <row r="221" spans="1:20" s="61" customFormat="1" ht="24.95" customHeight="1">
      <c r="A221" s="69"/>
      <c r="B221" s="53"/>
      <c r="C221" s="53"/>
      <c r="D221" s="78"/>
      <c r="E221" s="53"/>
      <c r="F221" s="53"/>
      <c r="G221" s="53"/>
      <c r="H221" s="53"/>
      <c r="I221" s="56"/>
      <c r="J221" s="56"/>
      <c r="K221" s="56"/>
      <c r="L221" s="56"/>
      <c r="M221" s="56"/>
      <c r="N221" s="56"/>
      <c r="O221" s="53"/>
      <c r="P221" s="53"/>
      <c r="Q221" s="53"/>
      <c r="R221" s="53"/>
      <c r="S221" s="53"/>
      <c r="T221" s="70"/>
    </row>
    <row r="222" spans="1:20" s="61" customFormat="1" ht="24.95" customHeight="1">
      <c r="A222" s="69"/>
      <c r="B222" s="53"/>
      <c r="C222" s="53"/>
      <c r="D222" s="78"/>
      <c r="E222" s="53"/>
      <c r="F222" s="53"/>
      <c r="G222" s="53"/>
      <c r="H222" s="53"/>
      <c r="I222" s="56"/>
      <c r="J222" s="56"/>
      <c r="K222" s="56"/>
      <c r="L222" s="56"/>
      <c r="M222" s="56"/>
      <c r="N222" s="56"/>
      <c r="O222" s="53"/>
      <c r="P222" s="53"/>
      <c r="Q222" s="53"/>
      <c r="R222" s="53"/>
      <c r="S222" s="53"/>
      <c r="T222" s="70"/>
    </row>
    <row r="223" spans="1:20" s="61" customFormat="1" ht="24.95" customHeight="1">
      <c r="A223" s="69"/>
      <c r="B223" s="53"/>
      <c r="C223" s="53"/>
      <c r="D223" s="78"/>
      <c r="E223" s="53"/>
      <c r="F223" s="53"/>
      <c r="G223" s="53"/>
      <c r="H223" s="53"/>
      <c r="I223" s="56"/>
      <c r="J223" s="56"/>
      <c r="K223" s="56"/>
      <c r="L223" s="56"/>
      <c r="M223" s="56"/>
      <c r="N223" s="56"/>
      <c r="O223" s="53"/>
      <c r="P223" s="53"/>
      <c r="Q223" s="53"/>
      <c r="R223" s="53"/>
      <c r="S223" s="53"/>
      <c r="T223" s="70"/>
    </row>
    <row r="224" spans="1:20" s="61" customFormat="1" ht="24.95" customHeight="1">
      <c r="A224" s="69"/>
      <c r="B224" s="53"/>
      <c r="C224" s="53"/>
      <c r="D224" s="78"/>
      <c r="E224" s="53"/>
      <c r="F224" s="53"/>
      <c r="G224" s="53"/>
      <c r="H224" s="53"/>
      <c r="I224" s="56"/>
      <c r="J224" s="56"/>
      <c r="K224" s="56"/>
      <c r="L224" s="56"/>
      <c r="M224" s="56"/>
      <c r="N224" s="56"/>
      <c r="O224" s="53"/>
      <c r="P224" s="53"/>
      <c r="Q224" s="53"/>
      <c r="R224" s="53"/>
      <c r="S224" s="53"/>
      <c r="T224" s="70"/>
    </row>
    <row r="225" spans="1:20" s="61" customFormat="1" ht="24.95" customHeight="1">
      <c r="A225" s="69"/>
      <c r="B225" s="53"/>
      <c r="C225" s="54"/>
      <c r="D225" s="53"/>
      <c r="E225" s="55"/>
      <c r="F225" s="83"/>
      <c r="G225" s="55"/>
      <c r="H225" s="55"/>
      <c r="I225" s="56"/>
      <c r="J225" s="56"/>
      <c r="K225" s="56"/>
      <c r="L225" s="56"/>
      <c r="M225" s="56"/>
      <c r="N225" s="56"/>
      <c r="O225" s="58"/>
      <c r="P225" s="58"/>
      <c r="Q225" s="58"/>
      <c r="R225" s="59"/>
      <c r="S225" s="53"/>
      <c r="T225" s="70"/>
    </row>
    <row r="226" spans="1:20" s="61" customFormat="1" ht="24.95" customHeight="1">
      <c r="A226" s="69"/>
      <c r="B226" s="53"/>
      <c r="C226" s="54"/>
      <c r="D226" s="53"/>
      <c r="E226" s="55"/>
      <c r="F226" s="83"/>
      <c r="G226" s="55"/>
      <c r="H226" s="55"/>
      <c r="I226" s="56"/>
      <c r="J226" s="56"/>
      <c r="K226" s="56"/>
      <c r="L226" s="56"/>
      <c r="M226" s="56"/>
      <c r="N226" s="56"/>
      <c r="O226" s="58"/>
      <c r="P226" s="58"/>
      <c r="Q226" s="58"/>
      <c r="R226" s="59"/>
      <c r="S226" s="53"/>
      <c r="T226" s="70"/>
    </row>
    <row r="227" spans="1:20" s="61" customFormat="1" ht="24.95" customHeight="1">
      <c r="A227" s="69"/>
      <c r="B227" s="53"/>
      <c r="C227" s="54"/>
      <c r="D227" s="53"/>
      <c r="E227" s="55"/>
      <c r="F227" s="83"/>
      <c r="G227" s="55"/>
      <c r="H227" s="55"/>
      <c r="I227" s="56"/>
      <c r="J227" s="56"/>
      <c r="K227" s="56"/>
      <c r="L227" s="56"/>
      <c r="M227" s="56"/>
      <c r="N227" s="56"/>
      <c r="O227" s="58"/>
      <c r="P227" s="58"/>
      <c r="Q227" s="58"/>
      <c r="R227" s="59"/>
      <c r="S227" s="53"/>
      <c r="T227" s="70"/>
    </row>
    <row r="228" spans="1:20" s="61" customFormat="1" ht="24.95" customHeight="1">
      <c r="A228" s="69"/>
      <c r="B228" s="53"/>
      <c r="C228" s="54"/>
      <c r="D228" s="53"/>
      <c r="E228" s="55"/>
      <c r="F228" s="83"/>
      <c r="G228" s="55"/>
      <c r="H228" s="55"/>
      <c r="I228" s="56"/>
      <c r="J228" s="56"/>
      <c r="K228" s="56"/>
      <c r="L228" s="56"/>
      <c r="M228" s="56"/>
      <c r="N228" s="56"/>
      <c r="O228" s="58"/>
      <c r="P228" s="58"/>
      <c r="Q228" s="58"/>
      <c r="R228" s="59"/>
      <c r="S228" s="53"/>
      <c r="T228" s="70"/>
    </row>
    <row r="229" spans="1:20" s="61" customFormat="1" ht="24.95" customHeight="1">
      <c r="A229" s="69"/>
      <c r="B229" s="53"/>
      <c r="C229" s="54"/>
      <c r="D229" s="53"/>
      <c r="E229" s="55"/>
      <c r="F229" s="83"/>
      <c r="G229" s="55"/>
      <c r="H229" s="55"/>
      <c r="I229" s="56"/>
      <c r="J229" s="56"/>
      <c r="K229" s="56"/>
      <c r="L229" s="56"/>
      <c r="M229" s="56"/>
      <c r="N229" s="56"/>
      <c r="O229" s="58"/>
      <c r="P229" s="58"/>
      <c r="Q229" s="58"/>
      <c r="R229" s="59"/>
      <c r="S229" s="53"/>
      <c r="T229" s="70"/>
    </row>
    <row r="230" spans="1:20" s="61" customFormat="1" ht="24.95" customHeight="1">
      <c r="A230" s="69"/>
      <c r="B230" s="53"/>
      <c r="C230" s="54"/>
      <c r="D230" s="53"/>
      <c r="E230" s="55"/>
      <c r="F230" s="83"/>
      <c r="G230" s="55"/>
      <c r="H230" s="55"/>
      <c r="I230" s="56"/>
      <c r="J230" s="56"/>
      <c r="K230" s="56"/>
      <c r="L230" s="56"/>
      <c r="M230" s="56"/>
      <c r="N230" s="56"/>
      <c r="O230" s="58"/>
      <c r="P230" s="58"/>
      <c r="Q230" s="58"/>
      <c r="R230" s="59"/>
      <c r="S230" s="53"/>
      <c r="T230" s="70"/>
    </row>
    <row r="231" spans="1:20" s="61" customFormat="1" ht="24.95" customHeight="1">
      <c r="A231" s="69"/>
      <c r="B231" s="53"/>
      <c r="C231" s="54"/>
      <c r="D231" s="53"/>
      <c r="E231" s="55"/>
      <c r="F231" s="83"/>
      <c r="G231" s="55"/>
      <c r="H231" s="55"/>
      <c r="I231" s="56"/>
      <c r="J231" s="56"/>
      <c r="K231" s="56"/>
      <c r="L231" s="56"/>
      <c r="M231" s="56"/>
      <c r="N231" s="56"/>
      <c r="O231" s="58"/>
      <c r="P231" s="58"/>
      <c r="Q231" s="58"/>
      <c r="R231" s="59"/>
      <c r="S231" s="53"/>
      <c r="T231" s="70"/>
    </row>
    <row r="232" spans="1:20" s="61" customFormat="1" ht="24.95" customHeight="1">
      <c r="A232" s="69"/>
      <c r="B232" s="53"/>
      <c r="C232" s="54"/>
      <c r="D232" s="53"/>
      <c r="E232" s="55"/>
      <c r="F232" s="83"/>
      <c r="G232" s="55"/>
      <c r="H232" s="55"/>
      <c r="I232" s="56"/>
      <c r="J232" s="56"/>
      <c r="K232" s="56"/>
      <c r="L232" s="56"/>
      <c r="M232" s="56"/>
      <c r="N232" s="56"/>
      <c r="O232" s="58"/>
      <c r="P232" s="58"/>
      <c r="Q232" s="58"/>
      <c r="R232" s="59"/>
      <c r="S232" s="53"/>
      <c r="T232" s="70"/>
    </row>
    <row r="233" spans="1:20" s="61" customFormat="1" ht="24.95" customHeight="1">
      <c r="A233" s="69"/>
      <c r="B233" s="53"/>
      <c r="C233" s="53"/>
      <c r="D233" s="78"/>
      <c r="E233" s="53"/>
      <c r="F233" s="53"/>
      <c r="G233" s="53"/>
      <c r="H233" s="53"/>
      <c r="I233" s="56"/>
      <c r="J233" s="56"/>
      <c r="K233" s="56"/>
      <c r="L233" s="56"/>
      <c r="M233" s="56"/>
      <c r="N233" s="56"/>
      <c r="O233" s="53"/>
      <c r="P233" s="53"/>
      <c r="Q233" s="53"/>
      <c r="R233" s="53"/>
      <c r="S233" s="53"/>
      <c r="T233" s="70"/>
    </row>
    <row r="234" spans="1:20" s="61" customFormat="1" ht="24.95" customHeight="1">
      <c r="A234" s="69"/>
      <c r="B234" s="53"/>
      <c r="C234" s="53"/>
      <c r="D234" s="78"/>
      <c r="E234" s="53"/>
      <c r="F234" s="53"/>
      <c r="G234" s="53"/>
      <c r="H234" s="53"/>
      <c r="I234" s="56"/>
      <c r="J234" s="56"/>
      <c r="K234" s="56"/>
      <c r="L234" s="56"/>
      <c r="M234" s="56"/>
      <c r="N234" s="56"/>
      <c r="O234" s="53"/>
      <c r="P234" s="53"/>
      <c r="Q234" s="53"/>
      <c r="R234" s="53"/>
      <c r="S234" s="53"/>
      <c r="T234" s="70"/>
    </row>
    <row r="235" spans="1:20" s="61" customFormat="1" ht="24.95" customHeight="1">
      <c r="A235" s="69"/>
      <c r="B235" s="53"/>
      <c r="C235" s="54"/>
      <c r="D235" s="53"/>
      <c r="E235" s="53"/>
      <c r="F235" s="84"/>
      <c r="G235" s="84"/>
      <c r="H235" s="84"/>
      <c r="I235" s="56"/>
      <c r="J235" s="56"/>
      <c r="K235" s="56"/>
      <c r="L235" s="56"/>
      <c r="M235" s="56"/>
      <c r="N235" s="56"/>
      <c r="O235" s="58"/>
      <c r="P235" s="58"/>
      <c r="Q235" s="58"/>
      <c r="R235" s="59"/>
      <c r="S235" s="53"/>
      <c r="T235" s="70"/>
    </row>
    <row r="236" spans="1:20" s="61" customFormat="1" ht="24.95" customHeight="1">
      <c r="A236" s="69"/>
      <c r="B236" s="53"/>
      <c r="C236" s="54"/>
      <c r="D236" s="53"/>
      <c r="E236" s="53"/>
      <c r="F236" s="84"/>
      <c r="G236" s="84"/>
      <c r="H236" s="84"/>
      <c r="I236" s="56"/>
      <c r="J236" s="56"/>
      <c r="K236" s="56"/>
      <c r="L236" s="56"/>
      <c r="M236" s="56"/>
      <c r="N236" s="56"/>
      <c r="O236" s="58"/>
      <c r="P236" s="58"/>
      <c r="Q236" s="58"/>
      <c r="R236" s="59"/>
      <c r="S236" s="53"/>
      <c r="T236" s="70"/>
    </row>
    <row r="237" spans="1:20" s="61" customFormat="1" ht="24.95" customHeight="1">
      <c r="A237" s="69"/>
      <c r="B237" s="53"/>
      <c r="C237" s="54"/>
      <c r="D237" s="53"/>
      <c r="E237" s="53"/>
      <c r="F237" s="84"/>
      <c r="G237" s="84"/>
      <c r="H237" s="84"/>
      <c r="I237" s="56"/>
      <c r="J237" s="56"/>
      <c r="K237" s="72"/>
      <c r="L237" s="72"/>
      <c r="M237" s="72"/>
      <c r="N237" s="56"/>
      <c r="O237" s="58"/>
      <c r="P237" s="58"/>
      <c r="Q237" s="58"/>
      <c r="R237" s="59"/>
      <c r="S237" s="53"/>
      <c r="T237" s="70"/>
    </row>
    <row r="238" spans="1:20" s="61" customFormat="1" ht="24.95" customHeight="1">
      <c r="A238" s="69"/>
      <c r="B238" s="53"/>
      <c r="C238" s="54"/>
      <c r="D238" s="53"/>
      <c r="E238" s="53"/>
      <c r="F238" s="84"/>
      <c r="G238" s="84"/>
      <c r="H238" s="84"/>
      <c r="I238" s="56"/>
      <c r="J238" s="56"/>
      <c r="K238" s="56"/>
      <c r="L238" s="56"/>
      <c r="M238" s="56"/>
      <c r="N238" s="56"/>
      <c r="O238" s="58"/>
      <c r="P238" s="58"/>
      <c r="Q238" s="58"/>
      <c r="R238" s="59"/>
      <c r="S238" s="53"/>
      <c r="T238" s="70"/>
    </row>
    <row r="239" spans="1:20" s="61" customFormat="1" ht="24.95" customHeight="1">
      <c r="A239" s="69"/>
      <c r="B239" s="53"/>
      <c r="C239" s="54"/>
      <c r="D239" s="53"/>
      <c r="E239" s="53"/>
      <c r="F239" s="84"/>
      <c r="G239" s="84"/>
      <c r="H239" s="84"/>
      <c r="I239" s="56"/>
      <c r="J239" s="56"/>
      <c r="K239" s="56"/>
      <c r="L239" s="56"/>
      <c r="M239" s="56"/>
      <c r="N239" s="56"/>
      <c r="O239" s="58"/>
      <c r="P239" s="58"/>
      <c r="Q239" s="58"/>
      <c r="R239" s="59"/>
      <c r="S239" s="56"/>
      <c r="T239" s="70"/>
    </row>
    <row r="240" spans="1:20" s="61" customFormat="1" ht="24.95" customHeight="1">
      <c r="A240" s="69"/>
      <c r="B240" s="53"/>
      <c r="C240" s="74"/>
      <c r="D240" s="73"/>
      <c r="E240" s="73"/>
      <c r="F240" s="85"/>
      <c r="G240" s="85"/>
      <c r="H240" s="85"/>
      <c r="I240" s="75"/>
      <c r="J240" s="75"/>
      <c r="K240" s="75"/>
      <c r="L240" s="75"/>
      <c r="M240" s="75"/>
      <c r="N240" s="56"/>
      <c r="O240" s="58"/>
      <c r="P240" s="58"/>
      <c r="Q240" s="58"/>
      <c r="R240" s="59"/>
      <c r="S240" s="56"/>
      <c r="T240" s="70"/>
    </row>
    <row r="241" spans="1:20" s="61" customFormat="1" ht="24.95" customHeight="1">
      <c r="A241" s="69"/>
      <c r="B241" s="53"/>
      <c r="C241" s="54"/>
      <c r="D241" s="53"/>
      <c r="E241" s="53"/>
      <c r="F241" s="84"/>
      <c r="G241" s="84"/>
      <c r="H241" s="84"/>
      <c r="I241" s="56"/>
      <c r="J241" s="56"/>
      <c r="K241" s="56"/>
      <c r="L241" s="56"/>
      <c r="M241" s="56"/>
      <c r="N241" s="56"/>
      <c r="O241" s="58"/>
      <c r="P241" s="58"/>
      <c r="Q241" s="58"/>
      <c r="R241" s="59"/>
      <c r="S241" s="53"/>
      <c r="T241" s="70"/>
    </row>
    <row r="242" spans="1:20" s="61" customFormat="1" ht="24.95" customHeight="1">
      <c r="A242" s="69"/>
      <c r="B242" s="53"/>
      <c r="C242" s="54"/>
      <c r="D242" s="53"/>
      <c r="E242" s="53"/>
      <c r="F242" s="84"/>
      <c r="G242" s="84"/>
      <c r="H242" s="84"/>
      <c r="I242" s="56"/>
      <c r="J242" s="56"/>
      <c r="K242" s="56"/>
      <c r="L242" s="56"/>
      <c r="M242" s="56"/>
      <c r="N242" s="56"/>
      <c r="O242" s="58"/>
      <c r="P242" s="58"/>
      <c r="Q242" s="58"/>
      <c r="R242" s="59"/>
      <c r="S242" s="53"/>
      <c r="T242" s="70"/>
    </row>
    <row r="243" spans="1:20" s="61" customFormat="1" ht="24.95" customHeight="1">
      <c r="A243" s="69"/>
      <c r="B243" s="53"/>
      <c r="C243" s="54"/>
      <c r="D243" s="53"/>
      <c r="E243" s="53"/>
      <c r="F243" s="84"/>
      <c r="G243" s="84"/>
      <c r="H243" s="84"/>
      <c r="I243" s="56"/>
      <c r="J243" s="56"/>
      <c r="K243" s="56"/>
      <c r="L243" s="56"/>
      <c r="M243" s="56"/>
      <c r="N243" s="56"/>
      <c r="O243" s="58"/>
      <c r="P243" s="58"/>
      <c r="Q243" s="58"/>
      <c r="R243" s="59"/>
      <c r="S243" s="53"/>
      <c r="T243" s="70"/>
    </row>
    <row r="244" spans="1:20" s="61" customFormat="1" ht="24.95" customHeight="1">
      <c r="A244" s="69"/>
      <c r="B244" s="53"/>
      <c r="C244" s="54"/>
      <c r="D244" s="53"/>
      <c r="E244" s="53"/>
      <c r="F244" s="84"/>
      <c r="G244" s="84"/>
      <c r="H244" s="84"/>
      <c r="I244" s="56"/>
      <c r="J244" s="56"/>
      <c r="K244" s="56"/>
      <c r="L244" s="56"/>
      <c r="M244" s="56"/>
      <c r="N244" s="56"/>
      <c r="O244" s="58"/>
      <c r="P244" s="58"/>
      <c r="Q244" s="58"/>
      <c r="R244" s="59"/>
      <c r="S244" s="53"/>
      <c r="T244" s="70"/>
    </row>
    <row r="245" spans="1:20" s="61" customFormat="1" ht="24.95" customHeight="1">
      <c r="A245" s="69"/>
      <c r="B245" s="53"/>
      <c r="C245" s="54"/>
      <c r="D245" s="53"/>
      <c r="E245" s="53"/>
      <c r="F245" s="84"/>
      <c r="G245" s="84"/>
      <c r="H245" s="84"/>
      <c r="I245" s="56"/>
      <c r="J245" s="56"/>
      <c r="K245" s="56"/>
      <c r="L245" s="56"/>
      <c r="M245" s="56"/>
      <c r="N245" s="56"/>
      <c r="O245" s="58"/>
      <c r="P245" s="58"/>
      <c r="Q245" s="58"/>
      <c r="R245" s="59"/>
      <c r="S245" s="53"/>
      <c r="T245" s="70"/>
    </row>
    <row r="246" spans="1:20" s="61" customFormat="1" ht="24.95" customHeight="1">
      <c r="A246" s="69"/>
      <c r="B246" s="53"/>
      <c r="C246" s="54"/>
      <c r="D246" s="53"/>
      <c r="E246" s="53"/>
      <c r="F246" s="84"/>
      <c r="G246" s="84"/>
      <c r="H246" s="84"/>
      <c r="I246" s="56"/>
      <c r="J246" s="56"/>
      <c r="K246" s="72"/>
      <c r="L246" s="72"/>
      <c r="M246" s="72"/>
      <c r="N246" s="56"/>
      <c r="O246" s="58"/>
      <c r="P246" s="58"/>
      <c r="Q246" s="58"/>
      <c r="R246" s="59"/>
      <c r="S246" s="53"/>
      <c r="T246" s="70"/>
    </row>
    <row r="247" spans="1:20" s="61" customFormat="1" ht="24.95" customHeight="1">
      <c r="A247" s="69"/>
      <c r="B247" s="53"/>
      <c r="C247" s="54"/>
      <c r="D247" s="53"/>
      <c r="E247" s="53"/>
      <c r="F247" s="84"/>
      <c r="G247" s="84"/>
      <c r="H247" s="84"/>
      <c r="I247" s="56"/>
      <c r="J247" s="56"/>
      <c r="K247" s="56"/>
      <c r="L247" s="56"/>
      <c r="M247" s="56"/>
      <c r="N247" s="56"/>
      <c r="O247" s="58"/>
      <c r="P247" s="58"/>
      <c r="Q247" s="58"/>
      <c r="R247" s="59"/>
      <c r="S247" s="53"/>
      <c r="T247" s="70"/>
    </row>
    <row r="248" spans="1:20" s="61" customFormat="1" ht="24.95" customHeight="1">
      <c r="A248" s="69"/>
      <c r="B248" s="53"/>
      <c r="C248" s="54"/>
      <c r="D248" s="53"/>
      <c r="E248" s="53"/>
      <c r="F248" s="84"/>
      <c r="G248" s="84"/>
      <c r="H248" s="84"/>
      <c r="I248" s="56"/>
      <c r="J248" s="56"/>
      <c r="K248" s="56"/>
      <c r="L248" s="56"/>
      <c r="M248" s="56"/>
      <c r="N248" s="56"/>
      <c r="O248" s="58"/>
      <c r="P248" s="58"/>
      <c r="Q248" s="58"/>
      <c r="R248" s="59"/>
      <c r="S248" s="53"/>
      <c r="T248" s="70"/>
    </row>
    <row r="249" spans="1:20" s="61" customFormat="1" ht="24.95" customHeight="1">
      <c r="A249" s="69"/>
      <c r="B249" s="53"/>
      <c r="C249" s="54"/>
      <c r="D249" s="53"/>
      <c r="E249" s="53"/>
      <c r="F249" s="84"/>
      <c r="G249" s="84"/>
      <c r="H249" s="84"/>
      <c r="I249" s="56"/>
      <c r="J249" s="56"/>
      <c r="K249" s="56"/>
      <c r="L249" s="56"/>
      <c r="M249" s="56"/>
      <c r="N249" s="56"/>
      <c r="O249" s="59"/>
      <c r="P249" s="58"/>
      <c r="Q249" s="58"/>
      <c r="R249" s="59"/>
      <c r="S249" s="53"/>
      <c r="T249" s="70"/>
    </row>
    <row r="250" spans="1:20" s="61" customFormat="1" ht="24.95" customHeight="1">
      <c r="A250" s="69"/>
      <c r="B250" s="53"/>
      <c r="C250" s="54"/>
      <c r="D250" s="53"/>
      <c r="E250" s="53"/>
      <c r="F250" s="84"/>
      <c r="G250" s="84"/>
      <c r="H250" s="84"/>
      <c r="I250" s="56"/>
      <c r="J250" s="56"/>
      <c r="K250" s="56"/>
      <c r="L250" s="56"/>
      <c r="M250" s="56"/>
      <c r="N250" s="56"/>
      <c r="O250" s="59"/>
      <c r="P250" s="58"/>
      <c r="Q250" s="58"/>
      <c r="R250" s="59"/>
      <c r="S250" s="53"/>
      <c r="T250" s="70"/>
    </row>
    <row r="251" spans="1:20" s="61" customFormat="1" ht="24.95" customHeight="1">
      <c r="A251" s="69"/>
      <c r="B251" s="53"/>
      <c r="C251" s="54"/>
      <c r="D251" s="53"/>
      <c r="E251" s="53"/>
      <c r="F251" s="84"/>
      <c r="G251" s="84"/>
      <c r="H251" s="84"/>
      <c r="I251" s="56"/>
      <c r="J251" s="56"/>
      <c r="K251" s="56"/>
      <c r="L251" s="56"/>
      <c r="M251" s="56"/>
      <c r="N251" s="56"/>
      <c r="O251" s="59"/>
      <c r="P251" s="58"/>
      <c r="Q251" s="58"/>
      <c r="R251" s="59"/>
      <c r="S251" s="53"/>
      <c r="T251" s="70"/>
    </row>
    <row r="252" spans="1:20" s="61" customFormat="1" ht="24.95" customHeight="1">
      <c r="A252" s="69"/>
      <c r="B252" s="53"/>
      <c r="C252" s="54"/>
      <c r="D252" s="53"/>
      <c r="E252" s="53"/>
      <c r="F252" s="84"/>
      <c r="G252" s="84"/>
      <c r="H252" s="84"/>
      <c r="I252" s="56"/>
      <c r="J252" s="56"/>
      <c r="K252" s="56"/>
      <c r="L252" s="56"/>
      <c r="M252" s="56"/>
      <c r="N252" s="56"/>
      <c r="O252" s="59"/>
      <c r="P252" s="58"/>
      <c r="Q252" s="58"/>
      <c r="R252" s="59"/>
      <c r="S252" s="53"/>
      <c r="T252" s="70"/>
    </row>
    <row r="253" spans="1:20" s="61" customFormat="1" ht="24.95" customHeight="1">
      <c r="A253" s="69"/>
      <c r="B253" s="53"/>
      <c r="C253" s="54"/>
      <c r="D253" s="53"/>
      <c r="E253" s="53"/>
      <c r="F253" s="84"/>
      <c r="G253" s="84"/>
      <c r="H253" s="84"/>
      <c r="I253" s="56"/>
      <c r="J253" s="56"/>
      <c r="K253" s="56"/>
      <c r="L253" s="56"/>
      <c r="M253" s="56"/>
      <c r="N253" s="56"/>
      <c r="O253" s="59"/>
      <c r="P253" s="58"/>
      <c r="Q253" s="58"/>
      <c r="R253" s="59"/>
      <c r="S253" s="53"/>
      <c r="T253" s="70"/>
    </row>
    <row r="254" spans="1:20" s="61" customFormat="1" ht="24.95" customHeight="1">
      <c r="A254" s="69"/>
      <c r="B254" s="53"/>
      <c r="C254" s="54"/>
      <c r="D254" s="53"/>
      <c r="E254" s="53"/>
      <c r="F254" s="84"/>
      <c r="G254" s="84"/>
      <c r="H254" s="84"/>
      <c r="I254" s="56"/>
      <c r="J254" s="56"/>
      <c r="K254" s="56"/>
      <c r="L254" s="56"/>
      <c r="M254" s="56"/>
      <c r="N254" s="56"/>
      <c r="O254" s="59"/>
      <c r="P254" s="58"/>
      <c r="Q254" s="58"/>
      <c r="R254" s="59"/>
      <c r="S254" s="53"/>
      <c r="T254" s="70"/>
    </row>
    <row r="255" spans="1:20" s="61" customFormat="1" ht="24.95" customHeight="1">
      <c r="A255" s="69"/>
      <c r="B255" s="53"/>
      <c r="C255" s="54"/>
      <c r="D255" s="53"/>
      <c r="E255" s="53"/>
      <c r="F255" s="84"/>
      <c r="G255" s="84"/>
      <c r="H255" s="84"/>
      <c r="I255" s="56"/>
      <c r="J255" s="56"/>
      <c r="K255" s="56"/>
      <c r="L255" s="56"/>
      <c r="M255" s="56"/>
      <c r="N255" s="56"/>
      <c r="O255" s="59"/>
      <c r="P255" s="58"/>
      <c r="Q255" s="58"/>
      <c r="R255" s="59"/>
      <c r="S255" s="53"/>
      <c r="T255" s="70"/>
    </row>
    <row r="256" spans="1:20" s="61" customFormat="1" ht="24.95" customHeight="1">
      <c r="A256" s="69"/>
      <c r="B256" s="53"/>
      <c r="C256" s="54"/>
      <c r="D256" s="53"/>
      <c r="E256" s="53"/>
      <c r="F256" s="84"/>
      <c r="G256" s="84"/>
      <c r="H256" s="84"/>
      <c r="I256" s="56"/>
      <c r="J256" s="56"/>
      <c r="K256" s="56"/>
      <c r="L256" s="56"/>
      <c r="M256" s="56"/>
      <c r="N256" s="56"/>
      <c r="O256" s="59"/>
      <c r="P256" s="58"/>
      <c r="Q256" s="58"/>
      <c r="R256" s="59"/>
      <c r="S256" s="53"/>
      <c r="T256" s="70"/>
    </row>
    <row r="257" spans="1:20" s="61" customFormat="1" ht="24.95" customHeight="1">
      <c r="A257" s="69"/>
      <c r="B257" s="53"/>
      <c r="C257" s="54"/>
      <c r="D257" s="53"/>
      <c r="E257" s="53"/>
      <c r="F257" s="84"/>
      <c r="G257" s="84"/>
      <c r="H257" s="84"/>
      <c r="I257" s="56"/>
      <c r="J257" s="56"/>
      <c r="K257" s="56"/>
      <c r="L257" s="56"/>
      <c r="M257" s="56"/>
      <c r="N257" s="56"/>
      <c r="O257" s="59"/>
      <c r="P257" s="58"/>
      <c r="Q257" s="58"/>
      <c r="R257" s="59"/>
      <c r="S257" s="53"/>
      <c r="T257" s="70"/>
    </row>
    <row r="258" spans="1:20" s="61" customFormat="1" ht="24.95" customHeight="1">
      <c r="A258" s="69"/>
      <c r="B258" s="53"/>
      <c r="C258" s="54"/>
      <c r="D258" s="53"/>
      <c r="E258" s="53"/>
      <c r="F258" s="84"/>
      <c r="G258" s="84"/>
      <c r="H258" s="84"/>
      <c r="I258" s="56"/>
      <c r="J258" s="56"/>
      <c r="K258" s="56"/>
      <c r="L258" s="56"/>
      <c r="M258" s="56"/>
      <c r="N258" s="56"/>
      <c r="O258" s="59"/>
      <c r="P258" s="58"/>
      <c r="Q258" s="58"/>
      <c r="R258" s="59"/>
      <c r="S258" s="53"/>
      <c r="T258" s="70"/>
    </row>
    <row r="259" spans="1:20" s="61" customFormat="1" ht="24.95" customHeight="1">
      <c r="A259" s="69"/>
      <c r="B259" s="53"/>
      <c r="C259" s="54"/>
      <c r="D259" s="53"/>
      <c r="E259" s="53"/>
      <c r="F259" s="84"/>
      <c r="G259" s="84"/>
      <c r="H259" s="84"/>
      <c r="I259" s="56"/>
      <c r="J259" s="56"/>
      <c r="K259" s="56"/>
      <c r="L259" s="56"/>
      <c r="M259" s="56"/>
      <c r="N259" s="56"/>
      <c r="O259" s="59"/>
      <c r="P259" s="58"/>
      <c r="Q259" s="58"/>
      <c r="R259" s="59"/>
      <c r="S259" s="53"/>
      <c r="T259" s="70"/>
    </row>
    <row r="260" spans="1:20" s="61" customFormat="1" ht="24.95" customHeight="1">
      <c r="A260" s="69"/>
      <c r="B260" s="53"/>
      <c r="C260" s="54"/>
      <c r="D260" s="53"/>
      <c r="E260" s="53"/>
      <c r="F260" s="84"/>
      <c r="G260" s="84"/>
      <c r="H260" s="84"/>
      <c r="I260" s="56"/>
      <c r="J260" s="56"/>
      <c r="K260" s="56"/>
      <c r="L260" s="56"/>
      <c r="M260" s="56"/>
      <c r="N260" s="56"/>
      <c r="O260" s="59"/>
      <c r="P260" s="58"/>
      <c r="Q260" s="58"/>
      <c r="R260" s="59"/>
      <c r="S260" s="53"/>
      <c r="T260" s="70"/>
    </row>
    <row r="261" spans="1:20" s="61" customFormat="1" ht="24.95" customHeight="1">
      <c r="A261" s="69"/>
      <c r="B261" s="53"/>
      <c r="C261" s="54"/>
      <c r="D261" s="53"/>
      <c r="E261" s="53"/>
      <c r="F261" s="84"/>
      <c r="G261" s="84"/>
      <c r="H261" s="84"/>
      <c r="I261" s="56"/>
      <c r="J261" s="56"/>
      <c r="K261" s="56"/>
      <c r="L261" s="56"/>
      <c r="M261" s="56"/>
      <c r="N261" s="56"/>
      <c r="O261" s="59"/>
      <c r="P261" s="58"/>
      <c r="Q261" s="58"/>
      <c r="R261" s="59"/>
      <c r="S261" s="53"/>
      <c r="T261" s="70"/>
    </row>
    <row r="262" spans="1:20" s="61" customFormat="1" ht="24.95" customHeight="1">
      <c r="A262" s="69"/>
      <c r="B262" s="53"/>
      <c r="C262" s="54"/>
      <c r="D262" s="53"/>
      <c r="E262" s="53"/>
      <c r="F262" s="84"/>
      <c r="G262" s="84"/>
      <c r="H262" s="84"/>
      <c r="I262" s="56"/>
      <c r="J262" s="56"/>
      <c r="K262" s="56"/>
      <c r="L262" s="56"/>
      <c r="M262" s="56"/>
      <c r="N262" s="56"/>
      <c r="O262" s="59"/>
      <c r="P262" s="58"/>
      <c r="Q262" s="58"/>
      <c r="R262" s="59"/>
      <c r="S262" s="53"/>
      <c r="T262" s="70"/>
    </row>
    <row r="263" spans="1:20" s="61" customFormat="1" ht="24.95" customHeight="1">
      <c r="A263" s="69"/>
      <c r="B263" s="53"/>
      <c r="C263" s="54"/>
      <c r="D263" s="53"/>
      <c r="E263" s="53"/>
      <c r="F263" s="84"/>
      <c r="G263" s="84"/>
      <c r="H263" s="84"/>
      <c r="I263" s="56"/>
      <c r="J263" s="56"/>
      <c r="K263" s="56"/>
      <c r="L263" s="56"/>
      <c r="M263" s="56"/>
      <c r="N263" s="56"/>
      <c r="O263" s="59"/>
      <c r="P263" s="58"/>
      <c r="Q263" s="58"/>
      <c r="R263" s="59"/>
      <c r="S263" s="53"/>
      <c r="T263" s="70"/>
    </row>
    <row r="264" spans="1:20" s="61" customFormat="1" ht="24.95" customHeight="1">
      <c r="A264" s="69"/>
      <c r="B264" s="46"/>
      <c r="C264" s="46"/>
      <c r="D264" s="46"/>
      <c r="E264" s="46"/>
      <c r="F264" s="46"/>
      <c r="G264" s="46"/>
      <c r="H264" s="46"/>
      <c r="I264" s="79"/>
      <c r="J264" s="79"/>
      <c r="K264" s="79"/>
      <c r="L264" s="79"/>
      <c r="M264" s="79"/>
      <c r="N264" s="79"/>
      <c r="O264" s="53"/>
      <c r="P264" s="53"/>
      <c r="Q264" s="53"/>
      <c r="R264" s="53"/>
      <c r="S264" s="46"/>
      <c r="T264" s="80"/>
    </row>
    <row r="265" spans="1:20" s="61" customFormat="1" ht="24.95" customHeight="1">
      <c r="A265" s="69"/>
      <c r="B265" s="46"/>
      <c r="C265" s="46"/>
      <c r="D265" s="46"/>
      <c r="E265" s="46"/>
      <c r="F265" s="46"/>
      <c r="G265" s="46"/>
      <c r="H265" s="46"/>
      <c r="I265" s="79"/>
      <c r="J265" s="79"/>
      <c r="K265" s="79"/>
      <c r="L265" s="79"/>
      <c r="M265" s="79"/>
      <c r="N265" s="79"/>
      <c r="O265" s="53"/>
      <c r="P265" s="53"/>
      <c r="Q265" s="53"/>
      <c r="R265" s="53"/>
      <c r="S265" s="46"/>
      <c r="T265" s="80"/>
    </row>
    <row r="266" spans="1:20" s="61" customFormat="1" ht="24.95" customHeight="1">
      <c r="A266" s="69"/>
      <c r="B266" s="53"/>
      <c r="C266" s="54"/>
      <c r="D266" s="53"/>
      <c r="E266" s="53"/>
      <c r="F266" s="84"/>
      <c r="G266" s="84"/>
      <c r="H266" s="84"/>
      <c r="I266" s="56"/>
      <c r="J266" s="56"/>
      <c r="K266" s="72"/>
      <c r="L266" s="72"/>
      <c r="M266" s="72"/>
      <c r="N266" s="56"/>
      <c r="O266" s="59"/>
      <c r="P266" s="58"/>
      <c r="Q266" s="58"/>
      <c r="R266" s="59"/>
      <c r="S266" s="53"/>
      <c r="T266" s="70"/>
    </row>
    <row r="267" spans="1:20" s="61" customFormat="1" ht="24.95" customHeight="1">
      <c r="A267" s="69"/>
      <c r="B267" s="53"/>
      <c r="C267" s="54"/>
      <c r="D267" s="53"/>
      <c r="E267" s="53"/>
      <c r="F267" s="84"/>
      <c r="G267" s="84"/>
      <c r="H267" s="84"/>
      <c r="I267" s="56"/>
      <c r="J267" s="56"/>
      <c r="K267" s="56"/>
      <c r="L267" s="56"/>
      <c r="M267" s="56"/>
      <c r="N267" s="56"/>
      <c r="O267" s="59"/>
      <c r="P267" s="58"/>
      <c r="Q267" s="58"/>
      <c r="R267" s="59"/>
      <c r="S267" s="53"/>
      <c r="T267" s="70"/>
    </row>
    <row r="268" spans="1:20" s="61" customFormat="1" ht="24.95" customHeight="1">
      <c r="A268" s="69"/>
      <c r="B268" s="53"/>
      <c r="C268" s="54"/>
      <c r="D268" s="53"/>
      <c r="E268" s="53"/>
      <c r="F268" s="84"/>
      <c r="G268" s="84"/>
      <c r="H268" s="84"/>
      <c r="I268" s="56"/>
      <c r="J268" s="56"/>
      <c r="K268" s="56"/>
      <c r="L268" s="56"/>
      <c r="M268" s="56"/>
      <c r="N268" s="56"/>
      <c r="O268" s="59"/>
      <c r="P268" s="58"/>
      <c r="Q268" s="58"/>
      <c r="R268" s="59"/>
      <c r="S268" s="53"/>
      <c r="T268" s="70"/>
    </row>
    <row r="269" spans="1:20" s="61" customFormat="1" ht="24.95" customHeight="1">
      <c r="A269" s="69"/>
      <c r="B269" s="53"/>
      <c r="C269" s="54"/>
      <c r="D269" s="53"/>
      <c r="E269" s="53"/>
      <c r="F269" s="84"/>
      <c r="G269" s="84"/>
      <c r="H269" s="84"/>
      <c r="I269" s="56"/>
      <c r="J269" s="56"/>
      <c r="K269" s="72"/>
      <c r="L269" s="72"/>
      <c r="M269" s="72"/>
      <c r="N269" s="56"/>
      <c r="O269" s="59"/>
      <c r="P269" s="58"/>
      <c r="Q269" s="58"/>
      <c r="R269" s="59"/>
      <c r="S269" s="53"/>
      <c r="T269" s="70"/>
    </row>
    <row r="270" spans="1:20" s="61" customFormat="1" ht="24.95" customHeight="1">
      <c r="A270" s="69"/>
      <c r="B270" s="53"/>
      <c r="C270" s="54"/>
      <c r="D270" s="53"/>
      <c r="E270" s="53"/>
      <c r="F270" s="84"/>
      <c r="G270" s="84"/>
      <c r="H270" s="84"/>
      <c r="I270" s="56"/>
      <c r="J270" s="56"/>
      <c r="K270" s="56"/>
      <c r="L270" s="56"/>
      <c r="M270" s="56"/>
      <c r="N270" s="56"/>
      <c r="O270" s="59"/>
      <c r="P270" s="58"/>
      <c r="Q270" s="58"/>
      <c r="R270" s="59"/>
      <c r="S270" s="53"/>
      <c r="T270" s="70"/>
    </row>
    <row r="271" spans="1:20" s="61" customFormat="1" ht="24.95" customHeight="1">
      <c r="A271" s="69"/>
      <c r="B271" s="53"/>
      <c r="C271" s="54"/>
      <c r="D271" s="53"/>
      <c r="E271" s="53"/>
      <c r="F271" s="53"/>
      <c r="G271" s="53"/>
      <c r="H271" s="53"/>
      <c r="I271" s="56"/>
      <c r="J271" s="56"/>
      <c r="K271" s="56"/>
      <c r="L271" s="56"/>
      <c r="M271" s="56"/>
      <c r="N271" s="56"/>
      <c r="O271" s="53"/>
      <c r="P271" s="53"/>
      <c r="Q271" s="53"/>
      <c r="R271" s="53"/>
      <c r="S271" s="53"/>
      <c r="T271" s="70"/>
    </row>
    <row r="272" spans="1:20" s="61" customFormat="1" ht="24.95" customHeight="1">
      <c r="A272" s="69"/>
      <c r="B272" s="53"/>
      <c r="C272" s="54"/>
      <c r="D272" s="53"/>
      <c r="E272" s="53"/>
      <c r="F272" s="53"/>
      <c r="G272" s="53"/>
      <c r="H272" s="53"/>
      <c r="I272" s="56"/>
      <c r="J272" s="56"/>
      <c r="K272" s="56"/>
      <c r="L272" s="56"/>
      <c r="M272" s="56"/>
      <c r="N272" s="56"/>
      <c r="O272" s="53"/>
      <c r="P272" s="53"/>
      <c r="Q272" s="53"/>
      <c r="R272" s="53"/>
      <c r="S272" s="53"/>
      <c r="T272" s="70"/>
    </row>
    <row r="273" spans="1:20" s="61" customFormat="1" ht="24.95" customHeight="1">
      <c r="A273" s="69"/>
      <c r="B273" s="53"/>
      <c r="C273" s="54"/>
      <c r="D273" s="53"/>
      <c r="E273" s="53"/>
      <c r="F273" s="53"/>
      <c r="G273" s="53"/>
      <c r="H273" s="53"/>
      <c r="I273" s="56"/>
      <c r="J273" s="56"/>
      <c r="K273" s="56"/>
      <c r="L273" s="56"/>
      <c r="M273" s="56"/>
      <c r="N273" s="56"/>
      <c r="O273" s="53"/>
      <c r="P273" s="53"/>
      <c r="Q273" s="53"/>
      <c r="R273" s="53"/>
      <c r="S273" s="53"/>
      <c r="T273" s="70"/>
    </row>
    <row r="274" spans="1:20" s="61" customFormat="1" ht="24.95" customHeight="1">
      <c r="A274" s="69"/>
      <c r="B274" s="53"/>
      <c r="C274" s="54"/>
      <c r="D274" s="53"/>
      <c r="E274" s="53"/>
      <c r="F274" s="53"/>
      <c r="G274" s="53"/>
      <c r="H274" s="53"/>
      <c r="I274" s="56"/>
      <c r="J274" s="56"/>
      <c r="K274" s="56"/>
      <c r="L274" s="56"/>
      <c r="M274" s="56"/>
      <c r="N274" s="56"/>
      <c r="O274" s="53"/>
      <c r="P274" s="53"/>
      <c r="Q274" s="53"/>
      <c r="R274" s="53"/>
      <c r="S274" s="53"/>
      <c r="T274" s="70"/>
    </row>
    <row r="275" spans="1:20" s="61" customFormat="1" ht="24.95" customHeight="1">
      <c r="A275" s="69"/>
      <c r="B275" s="53"/>
      <c r="C275" s="54"/>
      <c r="D275" s="53"/>
      <c r="E275" s="53"/>
      <c r="F275" s="53"/>
      <c r="G275" s="53"/>
      <c r="H275" s="53"/>
      <c r="I275" s="56"/>
      <c r="J275" s="56"/>
      <c r="K275" s="56"/>
      <c r="L275" s="56"/>
      <c r="M275" s="56"/>
      <c r="N275" s="56"/>
      <c r="O275" s="53"/>
      <c r="P275" s="53"/>
      <c r="Q275" s="53"/>
      <c r="R275" s="53"/>
      <c r="S275" s="53"/>
      <c r="T275" s="70"/>
    </row>
    <row r="276" spans="1:20" s="61" customFormat="1" ht="24.95" customHeight="1">
      <c r="A276" s="69"/>
      <c r="B276" s="53"/>
      <c r="C276" s="54"/>
      <c r="D276" s="53"/>
      <c r="E276" s="53"/>
      <c r="F276" s="53"/>
      <c r="G276" s="53"/>
      <c r="H276" s="53"/>
      <c r="I276" s="56"/>
      <c r="J276" s="56"/>
      <c r="K276" s="56"/>
      <c r="L276" s="56"/>
      <c r="M276" s="56"/>
      <c r="N276" s="56"/>
      <c r="O276" s="53"/>
      <c r="P276" s="53"/>
      <c r="Q276" s="53"/>
      <c r="R276" s="53"/>
      <c r="S276" s="53"/>
      <c r="T276" s="70"/>
    </row>
    <row r="277" spans="1:20" s="61" customFormat="1" ht="24.95" customHeight="1">
      <c r="A277" s="69"/>
      <c r="B277" s="53"/>
      <c r="C277" s="54"/>
      <c r="D277" s="53"/>
      <c r="E277" s="53"/>
      <c r="F277" s="53"/>
      <c r="G277" s="53"/>
      <c r="H277" s="53"/>
      <c r="I277" s="56"/>
      <c r="J277" s="56"/>
      <c r="K277" s="56"/>
      <c r="L277" s="56"/>
      <c r="M277" s="56"/>
      <c r="N277" s="56"/>
      <c r="O277" s="53"/>
      <c r="P277" s="53"/>
      <c r="Q277" s="53"/>
      <c r="R277" s="53"/>
      <c r="S277" s="53"/>
      <c r="T277" s="70"/>
    </row>
    <row r="278" spans="1:20" s="61" customFormat="1" ht="24.95" customHeight="1">
      <c r="A278" s="69"/>
      <c r="B278" s="53"/>
      <c r="C278" s="54"/>
      <c r="D278" s="53"/>
      <c r="E278" s="53"/>
      <c r="F278" s="53"/>
      <c r="G278" s="53"/>
      <c r="H278" s="53"/>
      <c r="I278" s="56"/>
      <c r="J278" s="56"/>
      <c r="K278" s="56"/>
      <c r="L278" s="56"/>
      <c r="M278" s="56"/>
      <c r="N278" s="56"/>
      <c r="O278" s="53"/>
      <c r="P278" s="53"/>
      <c r="Q278" s="53"/>
      <c r="R278" s="53"/>
      <c r="S278" s="53"/>
      <c r="T278" s="70"/>
    </row>
    <row r="279" spans="1:20" s="61" customFormat="1" ht="24.95" customHeight="1">
      <c r="A279" s="69"/>
      <c r="B279" s="53"/>
      <c r="C279" s="54"/>
      <c r="D279" s="53"/>
      <c r="E279" s="53"/>
      <c r="F279" s="53"/>
      <c r="G279" s="53"/>
      <c r="H279" s="53"/>
      <c r="I279" s="56"/>
      <c r="J279" s="56"/>
      <c r="K279" s="56"/>
      <c r="L279" s="56"/>
      <c r="M279" s="56"/>
      <c r="N279" s="56"/>
      <c r="O279" s="53"/>
      <c r="P279" s="53"/>
      <c r="Q279" s="53"/>
      <c r="R279" s="53"/>
      <c r="S279" s="53"/>
      <c r="T279" s="70"/>
    </row>
    <row r="280" spans="1:20" s="61" customFormat="1" ht="24.95" customHeight="1">
      <c r="A280" s="69"/>
      <c r="B280" s="53"/>
      <c r="C280" s="54"/>
      <c r="D280" s="53"/>
      <c r="E280" s="53"/>
      <c r="F280" s="53"/>
      <c r="G280" s="53"/>
      <c r="H280" s="53"/>
      <c r="I280" s="56"/>
      <c r="J280" s="56"/>
      <c r="K280" s="56"/>
      <c r="L280" s="56"/>
      <c r="M280" s="56"/>
      <c r="N280" s="56"/>
      <c r="O280" s="53"/>
      <c r="P280" s="53"/>
      <c r="Q280" s="53"/>
      <c r="R280" s="53"/>
      <c r="S280" s="53"/>
      <c r="T280" s="70"/>
    </row>
    <row r="281" spans="1:20" s="61" customFormat="1" ht="20.100000000000001" customHeight="1">
      <c r="A281" s="69"/>
      <c r="B281" s="53"/>
      <c r="C281" s="54"/>
      <c r="D281" s="53"/>
      <c r="E281" s="53"/>
      <c r="F281" s="53"/>
      <c r="G281" s="53"/>
      <c r="H281" s="53"/>
      <c r="I281" s="56"/>
      <c r="J281" s="56"/>
      <c r="K281" s="56"/>
      <c r="L281" s="56"/>
      <c r="M281" s="56"/>
      <c r="N281" s="56"/>
      <c r="O281" s="53"/>
      <c r="P281" s="53"/>
      <c r="Q281" s="53"/>
      <c r="R281" s="53"/>
      <c r="S281" s="53"/>
      <c r="T281" s="70"/>
    </row>
    <row r="282" spans="1:20" s="61" customFormat="1" ht="24.95" customHeight="1">
      <c r="A282" s="69"/>
      <c r="B282" s="53"/>
      <c r="C282" s="54"/>
      <c r="D282" s="53"/>
      <c r="E282" s="53"/>
      <c r="F282" s="53"/>
      <c r="G282" s="53"/>
      <c r="H282" s="53"/>
      <c r="I282" s="56"/>
      <c r="J282" s="56"/>
      <c r="K282" s="56"/>
      <c r="L282" s="56"/>
      <c r="M282" s="56"/>
      <c r="N282" s="56"/>
      <c r="O282" s="53"/>
      <c r="P282" s="53"/>
      <c r="Q282" s="53"/>
      <c r="R282" s="53"/>
      <c r="S282" s="53"/>
      <c r="T282" s="70"/>
    </row>
    <row r="283" spans="1:20" s="61" customFormat="1" ht="24.95" customHeight="1">
      <c r="A283" s="69"/>
      <c r="B283" s="53"/>
      <c r="C283" s="54"/>
      <c r="D283" s="53"/>
      <c r="E283" s="53"/>
      <c r="F283" s="53"/>
      <c r="G283" s="53"/>
      <c r="H283" s="53"/>
      <c r="I283" s="56"/>
      <c r="J283" s="56"/>
      <c r="K283" s="56"/>
      <c r="L283" s="56"/>
      <c r="M283" s="56"/>
      <c r="N283" s="56"/>
      <c r="O283" s="53"/>
      <c r="P283" s="53"/>
      <c r="Q283" s="53"/>
      <c r="R283" s="53"/>
      <c r="S283" s="53"/>
      <c r="T283" s="70"/>
    </row>
    <row r="284" spans="1:20" s="61" customFormat="1" ht="24.95" customHeight="1">
      <c r="A284" s="69"/>
      <c r="B284" s="53"/>
      <c r="C284" s="54"/>
      <c r="D284" s="53"/>
      <c r="E284" s="53"/>
      <c r="F284" s="53"/>
      <c r="G284" s="53"/>
      <c r="H284" s="53"/>
      <c r="I284" s="56"/>
      <c r="J284" s="56"/>
      <c r="K284" s="56"/>
      <c r="L284" s="56"/>
      <c r="M284" s="56"/>
      <c r="N284" s="56"/>
      <c r="O284" s="53"/>
      <c r="P284" s="53"/>
      <c r="Q284" s="53"/>
      <c r="R284" s="53"/>
      <c r="S284" s="53"/>
      <c r="T284" s="70"/>
    </row>
    <row r="285" spans="1:20" s="61" customFormat="1" ht="24.95" customHeight="1">
      <c r="A285" s="69"/>
      <c r="B285" s="53"/>
      <c r="C285" s="54"/>
      <c r="D285" s="53"/>
      <c r="E285" s="53"/>
      <c r="F285" s="53"/>
      <c r="G285" s="53"/>
      <c r="H285" s="53"/>
      <c r="I285" s="56"/>
      <c r="J285" s="56"/>
      <c r="K285" s="56"/>
      <c r="L285" s="56"/>
      <c r="M285" s="56"/>
      <c r="N285" s="56"/>
      <c r="O285" s="53"/>
      <c r="P285" s="53"/>
      <c r="Q285" s="53"/>
      <c r="R285" s="53"/>
      <c r="S285" s="53"/>
      <c r="T285" s="70"/>
    </row>
    <row r="286" spans="1:20" s="61" customFormat="1" ht="24.95" customHeight="1">
      <c r="A286" s="69"/>
      <c r="B286" s="53"/>
      <c r="C286" s="54"/>
      <c r="D286" s="53"/>
      <c r="E286" s="53"/>
      <c r="F286" s="53"/>
      <c r="G286" s="53"/>
      <c r="H286" s="53"/>
      <c r="I286" s="56"/>
      <c r="J286" s="56"/>
      <c r="K286" s="56"/>
      <c r="L286" s="56"/>
      <c r="M286" s="56"/>
      <c r="N286" s="56"/>
      <c r="O286" s="53"/>
      <c r="P286" s="53"/>
      <c r="Q286" s="53"/>
      <c r="R286" s="53"/>
      <c r="S286" s="53"/>
      <c r="T286" s="70"/>
    </row>
    <row r="287" spans="1:20" s="61" customFormat="1" ht="24.95" customHeight="1">
      <c r="A287" s="69"/>
      <c r="B287" s="53"/>
      <c r="C287" s="54"/>
      <c r="D287" s="53"/>
      <c r="E287" s="53"/>
      <c r="F287" s="53"/>
      <c r="G287" s="53"/>
      <c r="H287" s="53"/>
      <c r="I287" s="56"/>
      <c r="J287" s="56"/>
      <c r="K287" s="72"/>
      <c r="L287" s="72"/>
      <c r="M287" s="72"/>
      <c r="N287" s="56"/>
      <c r="O287" s="53"/>
      <c r="P287" s="53"/>
      <c r="Q287" s="53"/>
      <c r="R287" s="53"/>
      <c r="S287" s="53"/>
      <c r="T287" s="70"/>
    </row>
    <row r="288" spans="1:20" s="61" customFormat="1" ht="24.95" customHeight="1">
      <c r="A288" s="69"/>
      <c r="B288" s="53"/>
      <c r="C288" s="54"/>
      <c r="D288" s="53"/>
      <c r="E288" s="53"/>
      <c r="F288" s="53"/>
      <c r="G288" s="53"/>
      <c r="H288" s="53"/>
      <c r="I288" s="56"/>
      <c r="J288" s="56"/>
      <c r="K288" s="56"/>
      <c r="L288" s="56"/>
      <c r="M288" s="56"/>
      <c r="N288" s="56"/>
      <c r="O288" s="53"/>
      <c r="P288" s="53"/>
      <c r="Q288" s="53"/>
      <c r="R288" s="53"/>
      <c r="S288" s="53"/>
      <c r="T288" s="70"/>
    </row>
    <row r="289" spans="1:20" s="61" customFormat="1" ht="24.95" customHeight="1">
      <c r="A289" s="69"/>
      <c r="B289" s="53"/>
      <c r="C289" s="54"/>
      <c r="D289" s="53"/>
      <c r="E289" s="53"/>
      <c r="F289" s="53"/>
      <c r="G289" s="53"/>
      <c r="H289" s="53"/>
      <c r="I289" s="56"/>
      <c r="J289" s="56"/>
      <c r="K289" s="56"/>
      <c r="L289" s="56"/>
      <c r="M289" s="56"/>
      <c r="N289" s="56"/>
      <c r="O289" s="53"/>
      <c r="P289" s="53"/>
      <c r="Q289" s="53"/>
      <c r="R289" s="53"/>
      <c r="S289" s="53"/>
      <c r="T289" s="70"/>
    </row>
    <row r="290" spans="1:20" s="61" customFormat="1" ht="24.95" customHeight="1">
      <c r="A290" s="69"/>
      <c r="B290" s="53"/>
      <c r="C290" s="54"/>
      <c r="D290" s="53"/>
      <c r="E290" s="53"/>
      <c r="F290" s="53"/>
      <c r="G290" s="53"/>
      <c r="H290" s="53"/>
      <c r="I290" s="56"/>
      <c r="J290" s="56"/>
      <c r="K290" s="56"/>
      <c r="L290" s="56"/>
      <c r="M290" s="56"/>
      <c r="N290" s="56"/>
      <c r="O290" s="53"/>
      <c r="P290" s="53"/>
      <c r="Q290" s="53"/>
      <c r="R290" s="53"/>
      <c r="S290" s="53"/>
      <c r="T290" s="70"/>
    </row>
    <row r="291" spans="1:20" s="61" customFormat="1" ht="24.95" customHeight="1">
      <c r="A291" s="69"/>
      <c r="B291" s="86"/>
      <c r="C291" s="54"/>
      <c r="D291" s="53"/>
      <c r="E291" s="53"/>
      <c r="F291" s="53"/>
      <c r="G291" s="53"/>
      <c r="H291" s="53"/>
      <c r="I291" s="56"/>
      <c r="J291" s="56"/>
      <c r="K291" s="72"/>
      <c r="L291" s="72"/>
      <c r="M291" s="72"/>
      <c r="N291" s="56"/>
      <c r="O291" s="53"/>
      <c r="P291" s="53"/>
      <c r="Q291" s="53"/>
      <c r="R291" s="53"/>
      <c r="S291" s="53"/>
      <c r="T291" s="70"/>
    </row>
    <row r="292" spans="1:20" s="61" customFormat="1" ht="24.95" customHeight="1">
      <c r="A292" s="69"/>
      <c r="B292" s="86"/>
      <c r="C292" s="54"/>
      <c r="D292" s="53"/>
      <c r="E292" s="53"/>
      <c r="F292" s="53"/>
      <c r="G292" s="53"/>
      <c r="H292" s="53"/>
      <c r="I292" s="56"/>
      <c r="J292" s="56"/>
      <c r="K292" s="56"/>
      <c r="L292" s="56"/>
      <c r="M292" s="56"/>
      <c r="N292" s="56"/>
      <c r="O292" s="53"/>
      <c r="P292" s="53"/>
      <c r="Q292" s="53"/>
      <c r="R292" s="53"/>
      <c r="S292" s="53"/>
      <c r="T292" s="70"/>
    </row>
    <row r="293" spans="1:20" s="61" customFormat="1" ht="24.95" customHeight="1">
      <c r="A293" s="69"/>
      <c r="B293" s="86"/>
      <c r="C293" s="54"/>
      <c r="D293" s="53"/>
      <c r="E293" s="53"/>
      <c r="F293" s="53"/>
      <c r="G293" s="53"/>
      <c r="H293" s="53"/>
      <c r="I293" s="56"/>
      <c r="J293" s="56"/>
      <c r="K293" s="56"/>
      <c r="L293" s="56"/>
      <c r="M293" s="56"/>
      <c r="N293" s="56"/>
      <c r="O293" s="53"/>
      <c r="P293" s="53"/>
      <c r="Q293" s="53"/>
      <c r="R293" s="53"/>
      <c r="S293" s="53"/>
      <c r="T293" s="70"/>
    </row>
    <row r="294" spans="1:20" s="61" customFormat="1" ht="24.95" customHeight="1">
      <c r="A294" s="69"/>
      <c r="B294" s="86"/>
      <c r="C294" s="54"/>
      <c r="D294" s="53"/>
      <c r="E294" s="53"/>
      <c r="F294" s="53"/>
      <c r="G294" s="53"/>
      <c r="H294" s="53"/>
      <c r="I294" s="56"/>
      <c r="J294" s="56"/>
      <c r="K294" s="56"/>
      <c r="L294" s="56"/>
      <c r="M294" s="56"/>
      <c r="N294" s="56"/>
      <c r="O294" s="53"/>
      <c r="P294" s="53"/>
      <c r="Q294" s="53"/>
      <c r="R294" s="53"/>
      <c r="S294" s="53"/>
      <c r="T294" s="70"/>
    </row>
    <row r="295" spans="1:20" s="61" customFormat="1" ht="24.95" customHeight="1">
      <c r="A295" s="69"/>
      <c r="B295" s="53"/>
      <c r="C295" s="54"/>
      <c r="D295" s="53"/>
      <c r="E295" s="53"/>
      <c r="F295" s="53"/>
      <c r="G295" s="53"/>
      <c r="H295" s="53"/>
      <c r="I295" s="56"/>
      <c r="J295" s="56"/>
      <c r="K295" s="56"/>
      <c r="L295" s="56"/>
      <c r="M295" s="56"/>
      <c r="N295" s="56"/>
      <c r="O295" s="53"/>
      <c r="P295" s="53"/>
      <c r="Q295" s="53"/>
      <c r="R295" s="53"/>
      <c r="S295" s="53"/>
      <c r="T295" s="70"/>
    </row>
    <row r="296" spans="1:20" s="61" customFormat="1" ht="24.95" customHeight="1">
      <c r="A296" s="69"/>
      <c r="B296" s="53"/>
      <c r="C296" s="54"/>
      <c r="D296" s="53"/>
      <c r="E296" s="53"/>
      <c r="F296" s="53"/>
      <c r="G296" s="53"/>
      <c r="H296" s="53"/>
      <c r="I296" s="56"/>
      <c r="J296" s="56"/>
      <c r="K296" s="56"/>
      <c r="L296" s="56"/>
      <c r="M296" s="56"/>
      <c r="N296" s="56"/>
      <c r="O296" s="53"/>
      <c r="P296" s="53"/>
      <c r="Q296" s="53"/>
      <c r="R296" s="53"/>
      <c r="S296" s="53"/>
      <c r="T296" s="70"/>
    </row>
    <row r="297" spans="1:20" s="61" customFormat="1" ht="24.95" customHeight="1">
      <c r="A297" s="69"/>
      <c r="B297" s="53"/>
      <c r="C297" s="54"/>
      <c r="D297" s="53"/>
      <c r="E297" s="53"/>
      <c r="F297" s="53"/>
      <c r="G297" s="53"/>
      <c r="H297" s="53"/>
      <c r="I297" s="56"/>
      <c r="J297" s="56"/>
      <c r="K297" s="56"/>
      <c r="L297" s="56"/>
      <c r="M297" s="56"/>
      <c r="N297" s="56"/>
      <c r="O297" s="53"/>
      <c r="P297" s="53"/>
      <c r="Q297" s="53"/>
      <c r="R297" s="53"/>
      <c r="S297" s="53"/>
      <c r="T297" s="70"/>
    </row>
    <row r="298" spans="1:20" s="61" customFormat="1" ht="24.95" customHeight="1">
      <c r="A298" s="69"/>
      <c r="B298" s="53"/>
      <c r="C298" s="54"/>
      <c r="D298" s="53"/>
      <c r="E298" s="53"/>
      <c r="F298" s="53"/>
      <c r="G298" s="53"/>
      <c r="H298" s="53"/>
      <c r="I298" s="56"/>
      <c r="J298" s="56"/>
      <c r="K298" s="56"/>
      <c r="L298" s="56"/>
      <c r="M298" s="56"/>
      <c r="N298" s="56"/>
      <c r="O298" s="53"/>
      <c r="P298" s="53"/>
      <c r="Q298" s="53"/>
      <c r="R298" s="53"/>
      <c r="S298" s="53"/>
      <c r="T298" s="70"/>
    </row>
    <row r="299" spans="1:20" s="61" customFormat="1" ht="24.95" customHeight="1">
      <c r="A299" s="69"/>
      <c r="B299" s="53"/>
      <c r="C299" s="54"/>
      <c r="D299" s="53"/>
      <c r="E299" s="53"/>
      <c r="F299" s="53"/>
      <c r="G299" s="53"/>
      <c r="H299" s="53"/>
      <c r="I299" s="56"/>
      <c r="J299" s="56"/>
      <c r="K299" s="56"/>
      <c r="L299" s="56"/>
      <c r="M299" s="56"/>
      <c r="N299" s="56"/>
      <c r="O299" s="53"/>
      <c r="P299" s="53"/>
      <c r="Q299" s="53"/>
      <c r="R299" s="53"/>
      <c r="S299" s="53"/>
      <c r="T299" s="70"/>
    </row>
    <row r="300" spans="1:20" s="61" customFormat="1" ht="24.95" customHeight="1">
      <c r="A300" s="69"/>
      <c r="B300" s="86"/>
      <c r="C300" s="54"/>
      <c r="D300" s="53"/>
      <c r="E300" s="53"/>
      <c r="F300" s="53"/>
      <c r="G300" s="53"/>
      <c r="H300" s="53"/>
      <c r="I300" s="56"/>
      <c r="J300" s="56"/>
      <c r="K300" s="56"/>
      <c r="L300" s="56"/>
      <c r="M300" s="56"/>
      <c r="N300" s="56"/>
      <c r="O300" s="53"/>
      <c r="P300" s="53"/>
      <c r="Q300" s="53"/>
      <c r="R300" s="53"/>
      <c r="S300" s="53"/>
      <c r="T300" s="70"/>
    </row>
    <row r="301" spans="1:20" s="61" customFormat="1" ht="24.95" customHeight="1">
      <c r="A301" s="69"/>
      <c r="B301" s="86"/>
      <c r="C301" s="54"/>
      <c r="D301" s="53"/>
      <c r="E301" s="53"/>
      <c r="F301" s="53"/>
      <c r="G301" s="53"/>
      <c r="H301" s="53"/>
      <c r="I301" s="56"/>
      <c r="J301" s="56"/>
      <c r="K301" s="56"/>
      <c r="L301" s="56"/>
      <c r="M301" s="56"/>
      <c r="N301" s="56"/>
      <c r="O301" s="53"/>
      <c r="P301" s="53"/>
      <c r="Q301" s="53"/>
      <c r="R301" s="53"/>
      <c r="S301" s="53"/>
      <c r="T301" s="70"/>
    </row>
    <row r="302" spans="1:20" s="61" customFormat="1" ht="24.95" customHeight="1">
      <c r="A302" s="69"/>
      <c r="B302" s="86"/>
      <c r="C302" s="54"/>
      <c r="D302" s="53"/>
      <c r="E302" s="53"/>
      <c r="F302" s="53"/>
      <c r="G302" s="53"/>
      <c r="H302" s="53"/>
      <c r="I302" s="56"/>
      <c r="J302" s="56"/>
      <c r="K302" s="56"/>
      <c r="L302" s="56"/>
      <c r="M302" s="56"/>
      <c r="N302" s="56"/>
      <c r="O302" s="53"/>
      <c r="P302" s="53"/>
      <c r="Q302" s="53"/>
      <c r="R302" s="53"/>
      <c r="S302" s="53"/>
      <c r="T302" s="70"/>
    </row>
    <row r="303" spans="1:20" s="61" customFormat="1" ht="24.95" customHeight="1">
      <c r="A303" s="87"/>
      <c r="B303" s="86"/>
      <c r="C303" s="54"/>
      <c r="D303" s="53"/>
      <c r="E303" s="53"/>
      <c r="F303" s="53"/>
      <c r="G303" s="53"/>
      <c r="H303" s="53"/>
      <c r="I303" s="56"/>
      <c r="J303" s="56"/>
      <c r="K303" s="56"/>
      <c r="L303" s="56"/>
      <c r="M303" s="56"/>
      <c r="N303" s="56"/>
      <c r="O303" s="53"/>
      <c r="P303" s="53"/>
      <c r="Q303" s="53"/>
      <c r="R303" s="53"/>
      <c r="S303" s="53"/>
      <c r="T303" s="70"/>
    </row>
    <row r="304" spans="1:20" s="61" customFormat="1" ht="24.95" customHeight="1">
      <c r="A304" s="87"/>
      <c r="B304" s="86"/>
      <c r="C304" s="54"/>
      <c r="D304" s="53"/>
      <c r="E304" s="53"/>
      <c r="F304" s="53"/>
      <c r="G304" s="53"/>
      <c r="H304" s="53"/>
      <c r="I304" s="56"/>
      <c r="J304" s="56"/>
      <c r="K304" s="56"/>
      <c r="L304" s="56"/>
      <c r="M304" s="56"/>
      <c r="N304" s="56"/>
      <c r="O304" s="53"/>
      <c r="P304" s="53"/>
      <c r="Q304" s="53"/>
      <c r="R304" s="53"/>
      <c r="S304" s="53"/>
      <c r="T304" s="70"/>
    </row>
    <row r="305" spans="1:20" s="61" customFormat="1" ht="24.95" customHeight="1">
      <c r="A305" s="87"/>
      <c r="B305" s="53"/>
      <c r="C305" s="54"/>
      <c r="D305" s="53"/>
      <c r="E305" s="53"/>
      <c r="F305" s="53"/>
      <c r="G305" s="53"/>
      <c r="H305" s="53"/>
      <c r="I305" s="56"/>
      <c r="J305" s="56"/>
      <c r="K305" s="56"/>
      <c r="L305" s="56"/>
      <c r="M305" s="56"/>
      <c r="N305" s="56"/>
      <c r="O305" s="53"/>
      <c r="P305" s="53"/>
      <c r="Q305" s="53"/>
      <c r="R305" s="53"/>
      <c r="S305" s="53"/>
      <c r="T305" s="70"/>
    </row>
    <row r="306" spans="1:20" s="61" customFormat="1" ht="24.95" customHeight="1">
      <c r="A306" s="87"/>
      <c r="B306" s="53"/>
      <c r="C306" s="54"/>
      <c r="D306" s="53"/>
      <c r="E306" s="53"/>
      <c r="F306" s="53"/>
      <c r="G306" s="53"/>
      <c r="H306" s="53"/>
      <c r="I306" s="56"/>
      <c r="J306" s="56"/>
      <c r="K306" s="56"/>
      <c r="L306" s="56"/>
      <c r="M306" s="56"/>
      <c r="N306" s="56"/>
      <c r="O306" s="53"/>
      <c r="P306" s="53"/>
      <c r="Q306" s="53"/>
      <c r="R306" s="53"/>
      <c r="S306" s="53"/>
      <c r="T306" s="70"/>
    </row>
    <row r="307" spans="1:20" s="61" customFormat="1" ht="24.95" customHeight="1">
      <c r="A307" s="87"/>
      <c r="B307" s="53"/>
      <c r="C307" s="54"/>
      <c r="D307" s="53"/>
      <c r="E307" s="53"/>
      <c r="F307" s="53"/>
      <c r="G307" s="53"/>
      <c r="H307" s="53"/>
      <c r="I307" s="56"/>
      <c r="J307" s="56"/>
      <c r="K307" s="56"/>
      <c r="L307" s="56"/>
      <c r="M307" s="56"/>
      <c r="N307" s="56"/>
      <c r="O307" s="53"/>
      <c r="P307" s="53"/>
      <c r="Q307" s="53"/>
      <c r="R307" s="53"/>
      <c r="S307" s="53"/>
      <c r="T307" s="70"/>
    </row>
    <row r="308" spans="1:20" s="61" customFormat="1" ht="24.95" customHeight="1">
      <c r="A308" s="87"/>
      <c r="B308" s="53"/>
      <c r="C308" s="54"/>
      <c r="D308" s="53"/>
      <c r="E308" s="53"/>
      <c r="F308" s="53"/>
      <c r="G308" s="53"/>
      <c r="H308" s="53"/>
      <c r="I308" s="56"/>
      <c r="J308" s="56"/>
      <c r="K308" s="56"/>
      <c r="L308" s="56"/>
      <c r="M308" s="56"/>
      <c r="N308" s="56"/>
      <c r="O308" s="53"/>
      <c r="P308" s="53"/>
      <c r="Q308" s="53"/>
      <c r="R308" s="53"/>
      <c r="S308" s="53"/>
      <c r="T308" s="70"/>
    </row>
    <row r="309" spans="1:20" s="61" customFormat="1" ht="24.95" customHeight="1">
      <c r="A309" s="87"/>
      <c r="B309" s="53"/>
      <c r="C309" s="54"/>
      <c r="D309" s="53"/>
      <c r="E309" s="53"/>
      <c r="F309" s="53"/>
      <c r="G309" s="53"/>
      <c r="H309" s="53"/>
      <c r="I309" s="56"/>
      <c r="J309" s="56"/>
      <c r="K309" s="56"/>
      <c r="L309" s="56"/>
      <c r="M309" s="56"/>
      <c r="N309" s="56"/>
      <c r="O309" s="53"/>
      <c r="P309" s="53"/>
      <c r="Q309" s="53"/>
      <c r="R309" s="53"/>
      <c r="S309" s="53"/>
      <c r="T309" s="70"/>
    </row>
    <row r="310" spans="1:20" s="61" customFormat="1" ht="24.95" customHeight="1">
      <c r="A310" s="87"/>
      <c r="B310" s="53"/>
      <c r="C310" s="54"/>
      <c r="D310" s="53"/>
      <c r="E310" s="53"/>
      <c r="F310" s="53"/>
      <c r="G310" s="53"/>
      <c r="H310" s="53"/>
      <c r="I310" s="56"/>
      <c r="J310" s="56"/>
      <c r="K310" s="56"/>
      <c r="L310" s="56"/>
      <c r="M310" s="56"/>
      <c r="N310" s="56"/>
      <c r="O310" s="53"/>
      <c r="P310" s="53"/>
      <c r="Q310" s="53"/>
      <c r="R310" s="53"/>
      <c r="S310" s="53"/>
      <c r="T310" s="70"/>
    </row>
    <row r="311" spans="1:20" s="61" customFormat="1" ht="24.95" customHeight="1">
      <c r="A311" s="87"/>
      <c r="B311" s="86"/>
      <c r="C311" s="54"/>
      <c r="D311" s="53"/>
      <c r="E311" s="53"/>
      <c r="F311" s="53"/>
      <c r="G311" s="53"/>
      <c r="H311" s="53"/>
      <c r="I311" s="56"/>
      <c r="J311" s="56"/>
      <c r="K311" s="72"/>
      <c r="L311" s="72"/>
      <c r="M311" s="72"/>
      <c r="N311" s="56"/>
      <c r="O311" s="53"/>
      <c r="P311" s="53"/>
      <c r="Q311" s="53"/>
      <c r="R311" s="53"/>
      <c r="S311" s="53"/>
      <c r="T311" s="70"/>
    </row>
    <row r="312" spans="1:20" s="61" customFormat="1" ht="24.95" customHeight="1">
      <c r="A312" s="87"/>
      <c r="B312" s="86"/>
      <c r="C312" s="54"/>
      <c r="D312" s="53"/>
      <c r="E312" s="53"/>
      <c r="F312" s="53"/>
      <c r="G312" s="53"/>
      <c r="H312" s="53"/>
      <c r="I312" s="56"/>
      <c r="J312" s="56"/>
      <c r="K312" s="56"/>
      <c r="L312" s="56"/>
      <c r="M312" s="56"/>
      <c r="N312" s="56"/>
      <c r="O312" s="53"/>
      <c r="P312" s="53"/>
      <c r="Q312" s="53"/>
      <c r="R312" s="53"/>
      <c r="S312" s="53"/>
      <c r="T312" s="70"/>
    </row>
    <row r="313" spans="1:20" s="61" customFormat="1" ht="24.95" customHeight="1">
      <c r="A313" s="87"/>
      <c r="B313" s="86"/>
      <c r="C313" s="54"/>
      <c r="D313" s="53"/>
      <c r="E313" s="53"/>
      <c r="F313" s="53"/>
      <c r="G313" s="53"/>
      <c r="H313" s="53"/>
      <c r="I313" s="56"/>
      <c r="J313" s="56"/>
      <c r="K313" s="72"/>
      <c r="L313" s="72"/>
      <c r="M313" s="72"/>
      <c r="N313" s="56"/>
      <c r="O313" s="53"/>
      <c r="P313" s="53"/>
      <c r="Q313" s="53"/>
      <c r="R313" s="53"/>
      <c r="S313" s="53"/>
      <c r="T313" s="70"/>
    </row>
    <row r="314" spans="1:20" s="61" customFormat="1" ht="24.95" customHeight="1">
      <c r="A314" s="87"/>
      <c r="B314" s="86"/>
      <c r="C314" s="54"/>
      <c r="D314" s="53"/>
      <c r="E314" s="53"/>
      <c r="F314" s="53"/>
      <c r="G314" s="53"/>
      <c r="H314" s="53"/>
      <c r="I314" s="56"/>
      <c r="J314" s="56"/>
      <c r="K314" s="56"/>
      <c r="L314" s="56"/>
      <c r="M314" s="56"/>
      <c r="N314" s="56"/>
      <c r="O314" s="53"/>
      <c r="P314" s="53"/>
      <c r="Q314" s="53"/>
      <c r="R314" s="53"/>
      <c r="S314" s="53"/>
      <c r="T314" s="70"/>
    </row>
    <row r="315" spans="1:20" s="61" customFormat="1" ht="24.95" customHeight="1">
      <c r="A315" s="87"/>
      <c r="B315" s="65"/>
      <c r="C315" s="54"/>
      <c r="D315" s="53"/>
      <c r="E315" s="53"/>
      <c r="F315" s="53"/>
      <c r="G315" s="53"/>
      <c r="H315" s="53"/>
      <c r="I315" s="56"/>
      <c r="J315" s="56"/>
      <c r="K315" s="56"/>
      <c r="L315" s="56"/>
      <c r="M315" s="56"/>
      <c r="N315" s="56"/>
      <c r="O315" s="53"/>
      <c r="P315" s="53"/>
      <c r="Q315" s="53"/>
      <c r="R315" s="53"/>
      <c r="S315" s="53"/>
      <c r="T315" s="70"/>
    </row>
    <row r="316" spans="1:20" s="61" customFormat="1" ht="24.95" customHeight="1">
      <c r="A316" s="87"/>
      <c r="B316" s="53"/>
      <c r="C316" s="54"/>
      <c r="D316" s="53"/>
      <c r="E316" s="53"/>
      <c r="F316" s="53"/>
      <c r="G316" s="53"/>
      <c r="H316" s="53"/>
      <c r="I316" s="56"/>
      <c r="J316" s="56"/>
      <c r="K316" s="56"/>
      <c r="L316" s="56"/>
      <c r="M316" s="56"/>
      <c r="N316" s="56"/>
      <c r="O316" s="53"/>
      <c r="P316" s="53"/>
      <c r="Q316" s="53"/>
      <c r="R316" s="53"/>
      <c r="S316" s="53"/>
      <c r="T316" s="70"/>
    </row>
    <row r="317" spans="1:20" s="61" customFormat="1" ht="24.95" customHeight="1">
      <c r="A317" s="87"/>
      <c r="B317" s="53"/>
      <c r="C317" s="54"/>
      <c r="D317" s="53"/>
      <c r="E317" s="53"/>
      <c r="F317" s="53"/>
      <c r="G317" s="53"/>
      <c r="H317" s="53"/>
      <c r="I317" s="56"/>
      <c r="J317" s="56"/>
      <c r="K317" s="56"/>
      <c r="L317" s="56"/>
      <c r="M317" s="56"/>
      <c r="N317" s="56"/>
      <c r="O317" s="53"/>
      <c r="P317" s="53"/>
      <c r="Q317" s="53"/>
      <c r="R317" s="53"/>
      <c r="S317" s="53"/>
      <c r="T317" s="70"/>
    </row>
    <row r="318" spans="1:20" s="61" customFormat="1" ht="24.95" customHeight="1">
      <c r="A318" s="87"/>
      <c r="B318" s="53"/>
      <c r="C318" s="54"/>
      <c r="D318" s="53"/>
      <c r="E318" s="53"/>
      <c r="F318" s="53"/>
      <c r="G318" s="53"/>
      <c r="H318" s="53"/>
      <c r="I318" s="56"/>
      <c r="J318" s="56"/>
      <c r="K318" s="56"/>
      <c r="L318" s="56"/>
      <c r="M318" s="56"/>
      <c r="N318" s="56"/>
      <c r="O318" s="53"/>
      <c r="P318" s="53"/>
      <c r="Q318" s="53"/>
      <c r="R318" s="53"/>
      <c r="S318" s="53"/>
      <c r="T318" s="70"/>
    </row>
    <row r="319" spans="1:20" s="61" customFormat="1" ht="24.95" customHeight="1">
      <c r="A319" s="87"/>
      <c r="B319" s="53"/>
      <c r="C319" s="54"/>
      <c r="D319" s="53"/>
      <c r="E319" s="53"/>
      <c r="F319" s="53"/>
      <c r="G319" s="53"/>
      <c r="H319" s="53"/>
      <c r="I319" s="56"/>
      <c r="J319" s="56"/>
      <c r="K319" s="56"/>
      <c r="L319" s="56"/>
      <c r="M319" s="56"/>
      <c r="N319" s="56"/>
      <c r="O319" s="53"/>
      <c r="P319" s="53"/>
      <c r="Q319" s="53"/>
      <c r="R319" s="53"/>
      <c r="S319" s="53"/>
      <c r="T319" s="70"/>
    </row>
    <row r="320" spans="1:20" s="61" customFormat="1" ht="24.95" customHeight="1">
      <c r="A320" s="87"/>
      <c r="B320" s="53"/>
      <c r="C320" s="54"/>
      <c r="D320" s="53"/>
      <c r="E320" s="53"/>
      <c r="F320" s="53"/>
      <c r="G320" s="53"/>
      <c r="H320" s="53"/>
      <c r="I320" s="56"/>
      <c r="J320" s="56"/>
      <c r="K320" s="56"/>
      <c r="L320" s="56"/>
      <c r="M320" s="56"/>
      <c r="N320" s="56"/>
      <c r="O320" s="53"/>
      <c r="P320" s="53"/>
      <c r="Q320" s="53"/>
      <c r="R320" s="53"/>
      <c r="S320" s="53"/>
      <c r="T320" s="70"/>
    </row>
    <row r="321" spans="1:20" s="61" customFormat="1" ht="24.95" customHeight="1">
      <c r="A321" s="87"/>
      <c r="B321" s="53"/>
      <c r="C321" s="54"/>
      <c r="D321" s="53"/>
      <c r="E321" s="53"/>
      <c r="F321" s="53"/>
      <c r="G321" s="53"/>
      <c r="H321" s="53"/>
      <c r="I321" s="56"/>
      <c r="J321" s="56"/>
      <c r="K321" s="56"/>
      <c r="L321" s="56"/>
      <c r="M321" s="56"/>
      <c r="N321" s="56"/>
      <c r="O321" s="53"/>
      <c r="P321" s="53"/>
      <c r="Q321" s="53"/>
      <c r="R321" s="53"/>
      <c r="S321" s="53"/>
      <c r="T321" s="70"/>
    </row>
    <row r="322" spans="1:20" s="61" customFormat="1" ht="24.95" customHeight="1">
      <c r="A322" s="87"/>
      <c r="B322" s="53"/>
      <c r="C322" s="54"/>
      <c r="D322" s="53"/>
      <c r="E322" s="53"/>
      <c r="F322" s="53"/>
      <c r="G322" s="53"/>
      <c r="H322" s="53"/>
      <c r="I322" s="56"/>
      <c r="J322" s="56"/>
      <c r="K322" s="56"/>
      <c r="L322" s="56"/>
      <c r="M322" s="56"/>
      <c r="N322" s="56"/>
      <c r="O322" s="53"/>
      <c r="P322" s="53"/>
      <c r="Q322" s="53"/>
      <c r="R322" s="53"/>
      <c r="S322" s="53"/>
      <c r="T322" s="70"/>
    </row>
    <row r="323" spans="1:20" s="61" customFormat="1" ht="24.95" customHeight="1">
      <c r="A323" s="87"/>
      <c r="B323" s="88"/>
      <c r="C323" s="89"/>
      <c r="D323" s="88"/>
      <c r="E323" s="88"/>
      <c r="F323" s="88"/>
      <c r="G323" s="88"/>
      <c r="H323" s="88"/>
      <c r="I323" s="90"/>
      <c r="J323" s="90"/>
      <c r="K323" s="90"/>
      <c r="L323" s="90"/>
      <c r="M323" s="90"/>
      <c r="N323" s="90"/>
      <c r="O323" s="88"/>
      <c r="P323" s="88"/>
      <c r="Q323" s="88"/>
      <c r="R323" s="88"/>
      <c r="S323" s="88"/>
      <c r="T323" s="88"/>
    </row>
    <row r="324" spans="1:20" s="61" customFormat="1" ht="24.95" customHeight="1">
      <c r="A324" s="87"/>
      <c r="B324" s="88"/>
      <c r="C324" s="89"/>
      <c r="D324" s="88"/>
      <c r="E324" s="88"/>
      <c r="F324" s="88"/>
      <c r="G324" s="88"/>
      <c r="H324" s="88"/>
      <c r="I324" s="90"/>
      <c r="J324" s="90"/>
      <c r="K324" s="90"/>
      <c r="L324" s="90"/>
      <c r="M324" s="90"/>
      <c r="N324" s="90"/>
      <c r="O324" s="88"/>
      <c r="P324" s="88"/>
      <c r="Q324" s="88"/>
      <c r="R324" s="88"/>
      <c r="S324" s="88"/>
      <c r="T324" s="88"/>
    </row>
    <row r="325" spans="1:20" s="61" customFormat="1" ht="24.95" customHeight="1">
      <c r="A325" s="87"/>
      <c r="B325" s="88"/>
      <c r="C325" s="89"/>
      <c r="D325" s="88"/>
      <c r="E325" s="88"/>
      <c r="F325" s="88"/>
      <c r="G325" s="88"/>
      <c r="H325" s="88"/>
      <c r="I325" s="90"/>
      <c r="J325" s="90"/>
      <c r="K325" s="90"/>
      <c r="L325" s="90"/>
      <c r="M325" s="90"/>
      <c r="N325" s="90"/>
      <c r="O325" s="88"/>
      <c r="P325" s="88"/>
      <c r="Q325" s="88"/>
      <c r="R325" s="88"/>
      <c r="S325" s="88"/>
      <c r="T325" s="88"/>
    </row>
    <row r="326" spans="1:20" s="61" customFormat="1" ht="24.95" customHeight="1">
      <c r="A326" s="87"/>
      <c r="B326" s="88"/>
      <c r="C326" s="89"/>
      <c r="D326" s="88"/>
      <c r="E326" s="88"/>
      <c r="F326" s="88"/>
      <c r="G326" s="88"/>
      <c r="H326" s="88"/>
      <c r="I326" s="90"/>
      <c r="J326" s="90"/>
      <c r="K326" s="90"/>
      <c r="L326" s="90"/>
      <c r="M326" s="90"/>
      <c r="N326" s="90"/>
      <c r="O326" s="88"/>
      <c r="P326" s="88"/>
      <c r="Q326" s="88"/>
      <c r="R326" s="88"/>
      <c r="S326" s="88"/>
      <c r="T326" s="88"/>
    </row>
    <row r="327" spans="1:20" s="61" customFormat="1" ht="24.95" customHeight="1">
      <c r="A327" s="87"/>
      <c r="B327" s="88"/>
      <c r="C327" s="89"/>
      <c r="D327" s="88"/>
      <c r="E327" s="88"/>
      <c r="F327" s="88"/>
      <c r="G327" s="88"/>
      <c r="H327" s="88"/>
      <c r="I327" s="90"/>
      <c r="J327" s="90"/>
      <c r="K327" s="90"/>
      <c r="L327" s="90"/>
      <c r="M327" s="90"/>
      <c r="N327" s="90"/>
      <c r="O327" s="88"/>
      <c r="P327" s="88"/>
      <c r="Q327" s="88"/>
      <c r="R327" s="88"/>
      <c r="S327" s="88"/>
      <c r="T327" s="88"/>
    </row>
    <row r="328" spans="1:20" s="61" customFormat="1" ht="24.95" customHeight="1">
      <c r="A328" s="87"/>
      <c r="B328" s="88"/>
      <c r="C328" s="89"/>
      <c r="D328" s="88"/>
      <c r="E328" s="88"/>
      <c r="F328" s="88"/>
      <c r="G328" s="88"/>
      <c r="H328" s="88"/>
      <c r="I328" s="90"/>
      <c r="J328" s="90"/>
      <c r="K328" s="90"/>
      <c r="L328" s="90"/>
      <c r="M328" s="90"/>
      <c r="N328" s="90"/>
      <c r="O328" s="88"/>
      <c r="P328" s="88"/>
      <c r="Q328" s="88"/>
      <c r="R328" s="88"/>
      <c r="S328" s="88"/>
      <c r="T328" s="88"/>
    </row>
    <row r="329" spans="1:20" s="61" customFormat="1" ht="24.95" customHeight="1">
      <c r="A329" s="87"/>
      <c r="B329" s="88"/>
      <c r="C329" s="89"/>
      <c r="D329" s="88"/>
      <c r="E329" s="88"/>
      <c r="F329" s="88"/>
      <c r="G329" s="88"/>
      <c r="H329" s="88"/>
      <c r="I329" s="90"/>
      <c r="J329" s="90"/>
      <c r="K329" s="90"/>
      <c r="L329" s="90"/>
      <c r="M329" s="90"/>
      <c r="N329" s="90"/>
      <c r="O329" s="88"/>
      <c r="P329" s="88"/>
      <c r="Q329" s="88"/>
      <c r="R329" s="88"/>
      <c r="S329" s="88"/>
      <c r="T329" s="88"/>
    </row>
    <row r="330" spans="1:20" s="61" customFormat="1" ht="24.95" customHeight="1">
      <c r="A330" s="87"/>
      <c r="B330" s="88"/>
      <c r="C330" s="89"/>
      <c r="D330" s="88"/>
      <c r="E330" s="88"/>
      <c r="F330" s="88"/>
      <c r="G330" s="88"/>
      <c r="H330" s="88"/>
      <c r="I330" s="90"/>
      <c r="J330" s="90"/>
      <c r="K330" s="90"/>
      <c r="L330" s="90"/>
      <c r="M330" s="90"/>
      <c r="N330" s="90"/>
      <c r="O330" s="88"/>
      <c r="P330" s="88"/>
      <c r="Q330" s="88"/>
      <c r="R330" s="88"/>
      <c r="S330" s="88"/>
      <c r="T330" s="88"/>
    </row>
    <row r="331" spans="1:20" s="61" customFormat="1" ht="24.95" customHeight="1">
      <c r="A331" s="87"/>
      <c r="B331" s="53"/>
      <c r="C331" s="89"/>
      <c r="D331" s="88"/>
      <c r="E331" s="88"/>
      <c r="F331" s="88"/>
      <c r="G331" s="88"/>
      <c r="H331" s="88"/>
      <c r="I331" s="90"/>
      <c r="J331" s="90"/>
      <c r="K331" s="90"/>
      <c r="L331" s="90"/>
      <c r="M331" s="90"/>
      <c r="N331" s="90"/>
      <c r="O331" s="88"/>
      <c r="P331" s="88"/>
      <c r="Q331" s="88"/>
      <c r="R331" s="88"/>
      <c r="S331" s="88"/>
      <c r="T331" s="88"/>
    </row>
    <row r="332" spans="1:20" s="61" customFormat="1" ht="24.95" customHeight="1">
      <c r="A332" s="87"/>
      <c r="B332" s="88"/>
      <c r="C332" s="89"/>
      <c r="D332" s="88"/>
      <c r="E332" s="88"/>
      <c r="F332" s="88"/>
      <c r="G332" s="88"/>
      <c r="H332" s="88"/>
      <c r="I332" s="90"/>
      <c r="J332" s="90"/>
      <c r="K332" s="90"/>
      <c r="L332" s="90"/>
      <c r="M332" s="90"/>
      <c r="N332" s="90"/>
      <c r="O332" s="88"/>
      <c r="P332" s="88"/>
      <c r="Q332" s="88"/>
      <c r="R332" s="88"/>
      <c r="S332" s="88"/>
      <c r="T332" s="88"/>
    </row>
    <row r="333" spans="1:20" s="61" customFormat="1" ht="24.95" customHeight="1">
      <c r="A333" s="87"/>
      <c r="B333" s="91"/>
      <c r="C333" s="91"/>
      <c r="D333" s="92"/>
      <c r="E333" s="91"/>
      <c r="F333" s="91"/>
      <c r="G333" s="91"/>
      <c r="H333" s="91"/>
      <c r="I333" s="93"/>
      <c r="J333" s="93"/>
      <c r="K333" s="93"/>
      <c r="L333" s="93"/>
      <c r="M333" s="93"/>
      <c r="N333" s="93"/>
      <c r="O333" s="88"/>
      <c r="P333" s="88"/>
      <c r="Q333" s="88"/>
      <c r="R333" s="88"/>
      <c r="S333" s="91"/>
      <c r="T333" s="91"/>
    </row>
    <row r="334" spans="1:20" s="61" customFormat="1" ht="24.95" customHeight="1">
      <c r="A334" s="87"/>
      <c r="B334" s="94"/>
      <c r="C334" s="89"/>
      <c r="D334" s="88"/>
      <c r="E334" s="88"/>
      <c r="F334" s="88"/>
      <c r="G334" s="88"/>
      <c r="H334" s="88"/>
      <c r="I334" s="90"/>
      <c r="J334" s="90"/>
      <c r="K334" s="90"/>
      <c r="L334" s="90"/>
      <c r="M334" s="90"/>
      <c r="N334" s="90"/>
      <c r="O334" s="88"/>
      <c r="P334" s="88"/>
      <c r="Q334" s="88"/>
      <c r="R334" s="88"/>
      <c r="S334" s="88"/>
      <c r="T334" s="88"/>
    </row>
    <row r="335" spans="1:20" s="61" customFormat="1" ht="24.95" customHeight="1">
      <c r="A335" s="87"/>
      <c r="B335" s="53"/>
      <c r="C335" s="89"/>
      <c r="D335" s="88"/>
      <c r="E335" s="88"/>
      <c r="F335" s="88"/>
      <c r="G335" s="88"/>
      <c r="H335" s="88"/>
      <c r="I335" s="90"/>
      <c r="J335" s="90"/>
      <c r="K335" s="90"/>
      <c r="L335" s="90"/>
      <c r="M335" s="90"/>
      <c r="N335" s="90"/>
      <c r="O335" s="88"/>
      <c r="P335" s="88"/>
      <c r="Q335" s="88"/>
      <c r="R335" s="88"/>
      <c r="S335" s="88"/>
      <c r="T335" s="88"/>
    </row>
    <row r="336" spans="1:20" s="61" customFormat="1" ht="24.95" customHeight="1">
      <c r="A336" s="87"/>
      <c r="B336" s="53"/>
      <c r="C336" s="89"/>
      <c r="D336" s="88"/>
      <c r="E336" s="88"/>
      <c r="F336" s="88"/>
      <c r="G336" s="88"/>
      <c r="H336" s="88"/>
      <c r="I336" s="90"/>
      <c r="J336" s="90"/>
      <c r="K336" s="90"/>
      <c r="L336" s="90"/>
      <c r="M336" s="90"/>
      <c r="N336" s="90"/>
      <c r="O336" s="88"/>
      <c r="P336" s="88"/>
      <c r="Q336" s="88"/>
      <c r="R336" s="88"/>
      <c r="S336" s="88"/>
      <c r="T336" s="88"/>
    </row>
    <row r="337" spans="1:20" s="61" customFormat="1" ht="24.95" customHeight="1">
      <c r="A337" s="87"/>
      <c r="B337" s="94"/>
      <c r="C337" s="89"/>
      <c r="D337" s="88"/>
      <c r="E337" s="88"/>
      <c r="F337" s="88"/>
      <c r="G337" s="88"/>
      <c r="H337" s="88"/>
      <c r="I337" s="90"/>
      <c r="J337" s="90"/>
      <c r="K337" s="90"/>
      <c r="L337" s="90"/>
      <c r="M337" s="90"/>
      <c r="N337" s="90"/>
      <c r="O337" s="88"/>
      <c r="P337" s="88"/>
      <c r="Q337" s="88"/>
      <c r="R337" s="88"/>
      <c r="S337" s="88"/>
      <c r="T337" s="88"/>
    </row>
    <row r="338" spans="1:20" s="61" customFormat="1" ht="24.95" customHeight="1">
      <c r="A338" s="87"/>
      <c r="B338" s="53"/>
      <c r="C338" s="89"/>
      <c r="D338" s="88"/>
      <c r="E338" s="88"/>
      <c r="F338" s="88"/>
      <c r="G338" s="88"/>
      <c r="H338" s="88"/>
      <c r="I338" s="90"/>
      <c r="J338" s="90"/>
      <c r="K338" s="90"/>
      <c r="L338" s="90"/>
      <c r="M338" s="90"/>
      <c r="N338" s="90"/>
      <c r="O338" s="88"/>
      <c r="P338" s="88"/>
      <c r="Q338" s="88"/>
      <c r="R338" s="88"/>
      <c r="S338" s="88"/>
      <c r="T338" s="88"/>
    </row>
    <row r="339" spans="1:20" s="61" customFormat="1" ht="24.95" customHeight="1">
      <c r="A339" s="87"/>
      <c r="B339" s="53"/>
      <c r="C339" s="89"/>
      <c r="D339" s="88"/>
      <c r="E339" s="88"/>
      <c r="F339" s="88"/>
      <c r="G339" s="88"/>
      <c r="H339" s="88"/>
      <c r="I339" s="90"/>
      <c r="J339" s="90"/>
      <c r="K339" s="90"/>
      <c r="L339" s="90"/>
      <c r="M339" s="90"/>
      <c r="N339" s="90"/>
      <c r="O339" s="88"/>
      <c r="P339" s="88"/>
      <c r="Q339" s="88"/>
      <c r="R339" s="88"/>
      <c r="S339" s="88"/>
      <c r="T339" s="88"/>
    </row>
    <row r="340" spans="1:20" ht="24.95" customHeight="1">
      <c r="A340" s="87"/>
      <c r="B340" s="53"/>
      <c r="C340" s="89"/>
      <c r="D340" s="88"/>
      <c r="E340" s="88"/>
      <c r="F340" s="88"/>
      <c r="G340" s="88"/>
      <c r="H340" s="88"/>
      <c r="I340" s="90"/>
      <c r="J340" s="90"/>
      <c r="K340" s="90"/>
      <c r="L340" s="90"/>
      <c r="M340" s="90"/>
      <c r="N340" s="90"/>
      <c r="O340" s="88"/>
      <c r="P340" s="88"/>
      <c r="Q340" s="88"/>
      <c r="R340" s="88"/>
      <c r="S340" s="88"/>
      <c r="T340" s="88"/>
    </row>
    <row r="341" spans="1:20" ht="24.95" customHeight="1">
      <c r="A341" s="87"/>
      <c r="B341" s="53"/>
      <c r="C341" s="89"/>
      <c r="D341" s="88"/>
      <c r="E341" s="88"/>
      <c r="F341" s="88"/>
      <c r="G341" s="88"/>
      <c r="H341" s="88"/>
      <c r="I341" s="90"/>
      <c r="J341" s="90"/>
      <c r="K341" s="90"/>
      <c r="L341" s="90"/>
      <c r="M341" s="90"/>
      <c r="N341" s="90"/>
      <c r="O341" s="88"/>
      <c r="P341" s="88"/>
      <c r="Q341" s="88"/>
      <c r="R341" s="88"/>
      <c r="S341" s="88"/>
      <c r="T341" s="88"/>
    </row>
    <row r="342" spans="1:20" ht="24.95" customHeight="1">
      <c r="A342" s="87"/>
      <c r="B342" s="91"/>
      <c r="C342" s="91"/>
      <c r="D342" s="91"/>
      <c r="E342" s="91"/>
      <c r="F342" s="91"/>
      <c r="G342" s="91"/>
      <c r="H342" s="91"/>
      <c r="I342" s="93"/>
      <c r="J342" s="93"/>
      <c r="K342" s="93"/>
      <c r="L342" s="93"/>
      <c r="M342" s="93"/>
      <c r="N342" s="93"/>
      <c r="O342" s="88"/>
      <c r="P342" s="88"/>
      <c r="Q342" s="88"/>
      <c r="R342" s="88"/>
      <c r="S342" s="91"/>
      <c r="T342" s="91"/>
    </row>
    <row r="343" spans="1:20" ht="24.95" customHeight="1">
      <c r="A343" s="87"/>
      <c r="B343" s="91"/>
      <c r="C343" s="91"/>
      <c r="D343" s="91"/>
      <c r="E343" s="91"/>
      <c r="F343" s="91"/>
      <c r="G343" s="91"/>
      <c r="H343" s="91"/>
      <c r="I343" s="93"/>
      <c r="J343" s="93"/>
      <c r="K343" s="93"/>
      <c r="L343" s="93"/>
      <c r="M343" s="93"/>
      <c r="N343" s="93"/>
      <c r="O343" s="88"/>
      <c r="P343" s="88"/>
      <c r="Q343" s="88"/>
      <c r="R343" s="88"/>
      <c r="S343" s="91"/>
      <c r="T343" s="91"/>
    </row>
    <row r="344" spans="1:20" ht="24.95" customHeight="1">
      <c r="A344" s="87"/>
      <c r="B344" s="95"/>
      <c r="C344" s="96"/>
      <c r="D344" s="95"/>
      <c r="E344" s="95"/>
      <c r="F344" s="95"/>
      <c r="G344" s="95"/>
      <c r="H344" s="95"/>
      <c r="I344" s="97"/>
      <c r="J344" s="97"/>
      <c r="K344" s="97"/>
      <c r="L344" s="97"/>
      <c r="M344" s="97"/>
      <c r="N344" s="90"/>
      <c r="O344" s="88"/>
      <c r="P344" s="88"/>
      <c r="Q344" s="88"/>
      <c r="R344" s="88"/>
      <c r="S344" s="88"/>
      <c r="T344" s="88"/>
    </row>
    <row r="345" spans="1:20" ht="24.95" customHeight="1">
      <c r="A345" s="87"/>
      <c r="B345" s="95"/>
      <c r="C345" s="96"/>
      <c r="D345" s="95"/>
      <c r="E345" s="95"/>
      <c r="F345" s="95"/>
      <c r="G345" s="95"/>
      <c r="H345" s="95"/>
      <c r="I345" s="97"/>
      <c r="J345" s="97"/>
      <c r="K345" s="97"/>
      <c r="L345" s="97"/>
      <c r="M345" s="97"/>
      <c r="N345" s="90"/>
      <c r="O345" s="88"/>
      <c r="P345" s="88"/>
      <c r="Q345" s="88"/>
      <c r="R345" s="88"/>
      <c r="S345" s="88"/>
      <c r="T345" s="88"/>
    </row>
    <row r="346" spans="1:20" ht="24.95" customHeight="1">
      <c r="A346" s="87"/>
    </row>
    <row r="347" spans="1:20" ht="24.95" customHeight="1"/>
    <row r="348" spans="1:20" ht="24.95" customHeight="1"/>
    <row r="349" spans="1:20" ht="24.95" customHeight="1"/>
    <row r="350" spans="1:20" ht="24.95" customHeight="1"/>
    <row r="351" spans="1:20" ht="24.95" customHeight="1"/>
    <row r="352" spans="1:20" ht="24.95" customHeight="1"/>
    <row r="353" s="98" customFormat="1" ht="24.95" customHeight="1"/>
    <row r="354" s="98" customFormat="1" ht="24.95" customHeight="1"/>
    <row r="355" s="98" customFormat="1" ht="24.95" customHeight="1"/>
    <row r="356" s="98" customFormat="1" ht="24.95" customHeight="1"/>
    <row r="357" s="98" customFormat="1" ht="24.95" customHeight="1"/>
    <row r="358" s="98" customFormat="1" ht="24.95" customHeight="1"/>
    <row r="359" s="98" customFormat="1" ht="24.95" customHeight="1"/>
    <row r="360" s="98" customFormat="1" ht="24.95" customHeight="1"/>
    <row r="361" s="98" customFormat="1" ht="24.95" customHeight="1"/>
    <row r="362" s="98" customFormat="1" ht="24.95" customHeight="1"/>
    <row r="363" s="98" customFormat="1" ht="24.95" customHeight="1"/>
    <row r="364" s="98" customFormat="1" ht="24.95" customHeight="1"/>
    <row r="365" s="98" customFormat="1" ht="24.95" customHeight="1"/>
    <row r="366" s="98" customFormat="1" ht="24.95" customHeight="1"/>
    <row r="367" s="98" customFormat="1" ht="24.95" customHeight="1"/>
    <row r="368" s="98" customFormat="1" ht="24.95" customHeight="1"/>
    <row r="369" ht="24.95" customHeight="1"/>
    <row r="370" ht="24.95" customHeight="1"/>
    <row r="371" ht="24.95" customHeight="1"/>
    <row r="372" ht="24.95" customHeight="1"/>
    <row r="373" ht="24.95" customHeight="1"/>
    <row r="374" ht="24.95" customHeight="1"/>
    <row r="375" ht="24.95" customHeight="1"/>
    <row r="376" ht="24.95" customHeight="1"/>
    <row r="377" ht="24.95" customHeight="1"/>
    <row r="378" ht="24.95" customHeight="1"/>
    <row r="379" ht="24.95" customHeight="1"/>
    <row r="380" ht="24.95" customHeight="1"/>
    <row r="381" ht="24.95" customHeight="1"/>
    <row r="382" ht="24.95" customHeight="1"/>
    <row r="383" ht="24.95" customHeight="1"/>
    <row r="384" ht="24.95" customHeight="1"/>
    <row r="385" ht="24.95" customHeight="1"/>
    <row r="386" ht="24.95" customHeight="1"/>
    <row r="387" ht="24.95" customHeight="1"/>
    <row r="388" ht="24.95" customHeight="1"/>
    <row r="389" ht="24.95" customHeight="1"/>
    <row r="390" ht="24.95" customHeight="1"/>
    <row r="391" ht="24.95" customHeight="1"/>
    <row r="392" ht="24.95" customHeight="1"/>
    <row r="393" ht="24.95" customHeight="1"/>
    <row r="394" ht="24.95" customHeight="1"/>
    <row r="395" ht="24.95" customHeight="1"/>
    <row r="396" ht="24.95" customHeight="1"/>
    <row r="397" ht="24.95" customHeight="1"/>
    <row r="398" ht="24.95" customHeight="1"/>
    <row r="399" ht="24.95" customHeight="1"/>
    <row r="400" ht="24.95" customHeight="1"/>
    <row r="401" ht="24.95" customHeight="1"/>
    <row r="402" ht="24.95" customHeight="1"/>
    <row r="403" ht="24.95" customHeight="1"/>
    <row r="404" ht="24.95" customHeight="1"/>
    <row r="405" ht="24.95" customHeight="1"/>
  </sheetData>
  <autoFilter ref="A2:AA26"/>
  <mergeCells count="3">
    <mergeCell ref="E1:H1"/>
    <mergeCell ref="I1:N1"/>
    <mergeCell ref="O1:R1"/>
  </mergeCells>
  <phoneticPr fontId="3" type="noConversion"/>
  <pageMargins left="0.23622047244094491" right="0.23622047244094491" top="0.74803149606299213" bottom="0.74803149606299213" header="0.31496062992125984" footer="0.31496062992125984"/>
  <pageSetup paperSize="9" scale="61" fitToHeight="0" orientation="landscape" r:id="rId1"/>
  <headerFooter>
    <oddFooter>&amp;L&amp;A&amp;C&amp;P/&amp;N&amp;R&amp;D</oddFooter>
  </headerFooter>
  <rowBreaks count="1" manualBreakCount="1">
    <brk id="156" max="1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UT</vt:lpstr>
      <vt:lpstr>Sheet1</vt:lpstr>
      <vt:lpstr>DCS to ESD(UTIL_161204)</vt:lpstr>
      <vt:lpstr>'DCS to ESD(UTIL_161204)'!Print_Area</vt:lpstr>
      <vt:lpstr>'DCS to ESD(UTIL_161204)'!Print_Titles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JUNG.K.H</dc:creator>
  <cp:lastModifiedBy>Windows 사용자</cp:lastModifiedBy>
  <dcterms:created xsi:type="dcterms:W3CDTF">2016-04-01T12:48:02Z</dcterms:created>
  <dcterms:modified xsi:type="dcterms:W3CDTF">2017-06-26T03:30:46Z</dcterms:modified>
</cp:coreProperties>
</file>