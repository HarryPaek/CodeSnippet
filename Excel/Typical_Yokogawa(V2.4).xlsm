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trlProps/ctrlProp2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회사업무\프로젝트\61.요꼬가와\20170917\"/>
    </mc:Choice>
  </mc:AlternateContent>
  <bookViews>
    <workbookView xWindow="-15" yWindow="-15" windowWidth="19170" windowHeight="6225" tabRatio="675" activeTab="8"/>
  </bookViews>
  <sheets>
    <sheet name="Data1" sheetId="18" r:id="rId1"/>
    <sheet name="Data2" sheetId="19" r:id="rId2"/>
    <sheet name="Data3" sheetId="20" r:id="rId3"/>
    <sheet name="ColumnLetter" sheetId="21" r:id="rId4"/>
    <sheet name="Wiring@Template" sheetId="22" r:id="rId5"/>
    <sheet name="TotalLoop@Template" sheetId="23" r:id="rId6"/>
    <sheet name="Project properties" sheetId="28" r:id="rId7"/>
    <sheet name="PANEL@LAYOUT" sheetId="27" r:id="rId8"/>
    <sheet name="실행 버튼" sheetId="24" r:id="rId9"/>
    <sheet name="wksHidden_ESG_Typical_Params" sheetId="2" state="veryHidden" r:id="rId10"/>
    <sheet name="wksHidden_ESG_Rules_Calculation" sheetId="3" state="veryHidden" r:id="rId11"/>
  </sheets>
  <functionGroups builtInGroupCount="18"/>
  <definedNames>
    <definedName name="_xlnm._FilterDatabase" localSheetId="4" hidden="1">'Wiring@Template'!$A$1:$GX$45</definedName>
  </definedNames>
  <calcPr calcId="152511"/>
</workbook>
</file>

<file path=xl/calcChain.xml><?xml version="1.0" encoding="utf-8"?>
<calcChain xmlns="http://schemas.openxmlformats.org/spreadsheetml/2006/main">
  <c r="I5" i="28" l="1"/>
  <c r="H5" i="28"/>
  <c r="I4" i="28"/>
  <c r="H4" i="28"/>
  <c r="I3" i="28"/>
  <c r="H3" i="28"/>
  <c r="N50" i="21" l="1"/>
  <c r="Q50" i="21" s="1"/>
  <c r="H50" i="21"/>
  <c r="K50" i="21" s="1"/>
  <c r="L50" i="21" s="1"/>
  <c r="E50" i="21"/>
  <c r="F50" i="21" s="1"/>
  <c r="C50" i="21"/>
  <c r="H49" i="21"/>
  <c r="F49" i="21"/>
  <c r="E49" i="21"/>
  <c r="C49" i="21"/>
  <c r="K48" i="21"/>
  <c r="F48" i="21"/>
  <c r="E48" i="21"/>
  <c r="H48" i="21" s="1"/>
  <c r="I48" i="21" s="1"/>
  <c r="C48" i="21"/>
  <c r="I47" i="21"/>
  <c r="F47" i="21"/>
  <c r="E47" i="21"/>
  <c r="H47" i="21" s="1"/>
  <c r="K47" i="21" s="1"/>
  <c r="C47" i="21"/>
  <c r="E46" i="21"/>
  <c r="F46" i="21" s="1"/>
  <c r="C46" i="21"/>
  <c r="N45" i="21"/>
  <c r="L45" i="21"/>
  <c r="I45" i="21"/>
  <c r="H45" i="21"/>
  <c r="K45" i="21" s="1"/>
  <c r="F45" i="21"/>
  <c r="E45" i="21"/>
  <c r="C45" i="21"/>
  <c r="E44" i="21"/>
  <c r="H44" i="21" s="1"/>
  <c r="C44" i="21"/>
  <c r="F43" i="21"/>
  <c r="E43" i="21"/>
  <c r="H43" i="21" s="1"/>
  <c r="C43" i="21"/>
  <c r="E42" i="21"/>
  <c r="C42" i="21"/>
  <c r="L41" i="21"/>
  <c r="I41" i="21"/>
  <c r="H41" i="21"/>
  <c r="K41" i="21" s="1"/>
  <c r="N41" i="21" s="1"/>
  <c r="F41" i="21"/>
  <c r="E41" i="21"/>
  <c r="C41" i="21"/>
  <c r="E40" i="21"/>
  <c r="C40" i="21"/>
  <c r="E39" i="21"/>
  <c r="C39" i="21"/>
  <c r="K38" i="21"/>
  <c r="I38" i="21"/>
  <c r="H38" i="21"/>
  <c r="E38" i="21"/>
  <c r="F38" i="21" s="1"/>
  <c r="C38" i="21"/>
  <c r="I37" i="21"/>
  <c r="H37" i="21"/>
  <c r="K37" i="21" s="1"/>
  <c r="F37" i="21"/>
  <c r="E37" i="21"/>
  <c r="C37" i="21"/>
  <c r="K36" i="21"/>
  <c r="H36" i="21"/>
  <c r="I36" i="21" s="1"/>
  <c r="F36" i="21"/>
  <c r="E36" i="21"/>
  <c r="C36" i="21"/>
  <c r="K35" i="21"/>
  <c r="I35" i="21"/>
  <c r="F35" i="21"/>
  <c r="E35" i="21"/>
  <c r="H35" i="21" s="1"/>
  <c r="C35" i="21"/>
  <c r="I34" i="21"/>
  <c r="H34" i="21"/>
  <c r="K34" i="21" s="1"/>
  <c r="E34" i="21"/>
  <c r="F34" i="21" s="1"/>
  <c r="C34" i="21"/>
  <c r="H33" i="21"/>
  <c r="F33" i="21"/>
  <c r="E33" i="21"/>
  <c r="C33" i="21"/>
  <c r="H32" i="21"/>
  <c r="F32" i="21"/>
  <c r="E32" i="21"/>
  <c r="C32" i="21"/>
  <c r="I31" i="21"/>
  <c r="F31" i="21"/>
  <c r="E31" i="21"/>
  <c r="H31" i="21" s="1"/>
  <c r="K31" i="21" s="1"/>
  <c r="C31" i="21"/>
  <c r="H30" i="21"/>
  <c r="E30" i="21"/>
  <c r="F30" i="21" s="1"/>
  <c r="C30" i="21"/>
  <c r="N29" i="21"/>
  <c r="L29" i="21"/>
  <c r="I29" i="21"/>
  <c r="H29" i="21"/>
  <c r="K29" i="21" s="1"/>
  <c r="F29" i="21"/>
  <c r="E29" i="21"/>
  <c r="C29" i="21"/>
  <c r="F28" i="21"/>
  <c r="E28" i="21"/>
  <c r="H28" i="21" s="1"/>
  <c r="C28" i="21"/>
  <c r="E27" i="21"/>
  <c r="H27" i="21" s="1"/>
  <c r="C27" i="21"/>
  <c r="E26" i="21"/>
  <c r="C26" i="21"/>
  <c r="H25" i="21"/>
  <c r="K25" i="21" s="1"/>
  <c r="E25" i="21"/>
  <c r="F25" i="21" s="1"/>
  <c r="C25" i="21"/>
  <c r="H24" i="21"/>
  <c r="F24" i="21"/>
  <c r="E24" i="21"/>
  <c r="C24" i="21"/>
  <c r="H23" i="21"/>
  <c r="F23" i="21"/>
  <c r="E23" i="21"/>
  <c r="C23" i="21"/>
  <c r="I22" i="21"/>
  <c r="F22" i="21"/>
  <c r="E22" i="21"/>
  <c r="H22" i="21" s="1"/>
  <c r="K22" i="21" s="1"/>
  <c r="C22" i="21"/>
  <c r="E21" i="21"/>
  <c r="F21" i="21" s="1"/>
  <c r="C21" i="21"/>
  <c r="N20" i="21"/>
  <c r="L20" i="21"/>
  <c r="H20" i="21"/>
  <c r="K20" i="21" s="1"/>
  <c r="F20" i="21"/>
  <c r="E20" i="21"/>
  <c r="C20" i="21"/>
  <c r="F19" i="21"/>
  <c r="E19" i="21"/>
  <c r="H19" i="21" s="1"/>
  <c r="C19" i="21"/>
  <c r="E18" i="21"/>
  <c r="H18" i="21" s="1"/>
  <c r="C18" i="21"/>
  <c r="E17" i="21"/>
  <c r="C17" i="21"/>
  <c r="N16" i="21"/>
  <c r="Q16" i="21" s="1"/>
  <c r="R16" i="21" s="1"/>
  <c r="I16" i="21"/>
  <c r="H16" i="21"/>
  <c r="K16" i="21" s="1"/>
  <c r="L16" i="21" s="1"/>
  <c r="E16" i="21"/>
  <c r="F16" i="21" s="1"/>
  <c r="C16" i="21"/>
  <c r="H15" i="21"/>
  <c r="F15" i="21"/>
  <c r="E15" i="21"/>
  <c r="C15" i="21"/>
  <c r="E14" i="21"/>
  <c r="H14" i="21" s="1"/>
  <c r="I14" i="21" s="1"/>
  <c r="C14" i="21"/>
  <c r="E13" i="21"/>
  <c r="C13" i="21"/>
  <c r="H12" i="21"/>
  <c r="K12" i="21" s="1"/>
  <c r="L12" i="21" s="1"/>
  <c r="E12" i="21"/>
  <c r="F12" i="21" s="1"/>
  <c r="C12" i="21"/>
  <c r="H11" i="21"/>
  <c r="F11" i="21"/>
  <c r="E11" i="21"/>
  <c r="C11" i="21"/>
  <c r="K10" i="21"/>
  <c r="N10" i="21" s="1"/>
  <c r="O10" i="21" s="1"/>
  <c r="E10" i="21"/>
  <c r="H10" i="21" s="1"/>
  <c r="I10" i="21" s="1"/>
  <c r="C10" i="21"/>
  <c r="E9" i="21"/>
  <c r="C9" i="21"/>
  <c r="N8" i="21"/>
  <c r="Q8" i="21" s="1"/>
  <c r="R8" i="21" s="1"/>
  <c r="I8" i="21"/>
  <c r="H8" i="21"/>
  <c r="K8" i="21" s="1"/>
  <c r="L8" i="21" s="1"/>
  <c r="E8" i="21"/>
  <c r="F8" i="21" s="1"/>
  <c r="C8" i="21"/>
  <c r="H7" i="21"/>
  <c r="F7" i="21"/>
  <c r="E7" i="21"/>
  <c r="C7" i="21"/>
  <c r="E6" i="21"/>
  <c r="H6" i="21" s="1"/>
  <c r="I6" i="21" s="1"/>
  <c r="C6" i="21"/>
  <c r="E5" i="21"/>
  <c r="C5" i="21"/>
  <c r="H4" i="21"/>
  <c r="K4" i="21" s="1"/>
  <c r="L4" i="21" s="1"/>
  <c r="E4" i="21"/>
  <c r="F4" i="21" s="1"/>
  <c r="C4" i="21"/>
  <c r="H3" i="21"/>
  <c r="F3" i="21"/>
  <c r="E3" i="21"/>
  <c r="C3" i="21"/>
  <c r="K2" i="21"/>
  <c r="N2" i="21" s="1"/>
  <c r="O2" i="21" s="1"/>
  <c r="E2" i="21"/>
  <c r="H2" i="21" s="1"/>
  <c r="I2" i="21" s="1"/>
  <c r="C2" i="21"/>
  <c r="E1" i="21"/>
  <c r="C1" i="21"/>
  <c r="H13" i="21" l="1"/>
  <c r="F13" i="21"/>
  <c r="K27" i="21"/>
  <c r="I27" i="21"/>
  <c r="F27" i="21"/>
  <c r="K18" i="21"/>
  <c r="I18" i="21"/>
  <c r="F14" i="21"/>
  <c r="F18" i="21"/>
  <c r="N22" i="21"/>
  <c r="L22" i="21"/>
  <c r="H1" i="21"/>
  <c r="F1" i="21"/>
  <c r="H9" i="21"/>
  <c r="F9" i="21"/>
  <c r="N25" i="21"/>
  <c r="L25" i="21"/>
  <c r="K33" i="21"/>
  <c r="I33" i="21"/>
  <c r="N35" i="21"/>
  <c r="L35" i="21"/>
  <c r="H5" i="21"/>
  <c r="F5" i="21"/>
  <c r="K30" i="21"/>
  <c r="I30" i="21"/>
  <c r="I32" i="21"/>
  <c r="K32" i="21"/>
  <c r="L2" i="21"/>
  <c r="K3" i="21"/>
  <c r="I3" i="21"/>
  <c r="F6" i="21"/>
  <c r="L10" i="21"/>
  <c r="K11" i="21"/>
  <c r="I11" i="21"/>
  <c r="L38" i="21"/>
  <c r="N38" i="21"/>
  <c r="Q2" i="21"/>
  <c r="I4" i="21"/>
  <c r="K6" i="21"/>
  <c r="O8" i="21"/>
  <c r="Q10" i="21"/>
  <c r="I12" i="21"/>
  <c r="K14" i="21"/>
  <c r="O16" i="21"/>
  <c r="F17" i="21"/>
  <c r="H17" i="21"/>
  <c r="Q20" i="21"/>
  <c r="O20" i="21"/>
  <c r="F2" i="21"/>
  <c r="N4" i="21"/>
  <c r="K7" i="21"/>
  <c r="I7" i="21"/>
  <c r="T8" i="21"/>
  <c r="F10" i="21"/>
  <c r="N12" i="21"/>
  <c r="K15" i="21"/>
  <c r="I15" i="21"/>
  <c r="T16" i="21"/>
  <c r="I19" i="21"/>
  <c r="K19" i="21"/>
  <c r="H21" i="21"/>
  <c r="I23" i="21"/>
  <c r="K23" i="21"/>
  <c r="K24" i="21"/>
  <c r="I24" i="21"/>
  <c r="I25" i="21"/>
  <c r="F26" i="21"/>
  <c r="H26" i="21"/>
  <c r="N36" i="21"/>
  <c r="L36" i="21"/>
  <c r="H39" i="21"/>
  <c r="F39" i="21"/>
  <c r="F42" i="21"/>
  <c r="H42" i="21"/>
  <c r="N47" i="21"/>
  <c r="L47" i="21"/>
  <c r="N31" i="21"/>
  <c r="L31" i="21"/>
  <c r="H40" i="21"/>
  <c r="F40" i="21"/>
  <c r="Q41" i="21"/>
  <c r="O41" i="21"/>
  <c r="K43" i="21"/>
  <c r="I43" i="21"/>
  <c r="F44" i="21"/>
  <c r="H46" i="21"/>
  <c r="N48" i="21"/>
  <c r="L48" i="21"/>
  <c r="R50" i="21"/>
  <c r="T50" i="21"/>
  <c r="I44" i="21"/>
  <c r="K44" i="21"/>
  <c r="Q45" i="21"/>
  <c r="O45" i="21"/>
  <c r="I20" i="21"/>
  <c r="I28" i="21"/>
  <c r="K28" i="21"/>
  <c r="Q29" i="21"/>
  <c r="O29" i="21"/>
  <c r="L34" i="21"/>
  <c r="N34" i="21"/>
  <c r="N37" i="21"/>
  <c r="L37" i="21"/>
  <c r="O50" i="21"/>
  <c r="K49" i="21"/>
  <c r="I49" i="21"/>
  <c r="I50" i="21"/>
  <c r="N43" i="21" l="1"/>
  <c r="L43" i="21"/>
  <c r="O47" i="21"/>
  <c r="Q47" i="21"/>
  <c r="Q12" i="21"/>
  <c r="O12" i="21"/>
  <c r="N7" i="21"/>
  <c r="L7" i="21"/>
  <c r="R20" i="21"/>
  <c r="T20" i="21"/>
  <c r="N14" i="21"/>
  <c r="L14" i="21"/>
  <c r="N6" i="21"/>
  <c r="L6" i="21"/>
  <c r="L32" i="21"/>
  <c r="N32" i="21"/>
  <c r="N27" i="21"/>
  <c r="L27" i="21"/>
  <c r="L44" i="21"/>
  <c r="N44" i="21"/>
  <c r="L30" i="21"/>
  <c r="N30" i="21"/>
  <c r="O35" i="21"/>
  <c r="Q35" i="21"/>
  <c r="Q25" i="21"/>
  <c r="O25" i="21"/>
  <c r="I1" i="21"/>
  <c r="K1" i="21"/>
  <c r="O48" i="21"/>
  <c r="Q48" i="21"/>
  <c r="I40" i="21"/>
  <c r="K40" i="21"/>
  <c r="I39" i="21"/>
  <c r="K39" i="21"/>
  <c r="L23" i="21"/>
  <c r="N23" i="21"/>
  <c r="Q37" i="21"/>
  <c r="O37" i="21"/>
  <c r="R29" i="21"/>
  <c r="T29" i="21"/>
  <c r="W50" i="21"/>
  <c r="X50" i="21" s="1"/>
  <c r="U50" i="21"/>
  <c r="K46" i="21"/>
  <c r="I46" i="21"/>
  <c r="I42" i="21"/>
  <c r="K42" i="21"/>
  <c r="W16" i="21"/>
  <c r="X16" i="21" s="1"/>
  <c r="U16" i="21"/>
  <c r="Q4" i="21"/>
  <c r="O4" i="21"/>
  <c r="I17" i="21"/>
  <c r="K17" i="21"/>
  <c r="K5" i="21"/>
  <c r="I5" i="21"/>
  <c r="L33" i="21"/>
  <c r="N33" i="21"/>
  <c r="I9" i="21"/>
  <c r="K9" i="21"/>
  <c r="O22" i="21"/>
  <c r="Q22" i="21"/>
  <c r="N18" i="21"/>
  <c r="L18" i="21"/>
  <c r="K26" i="21"/>
  <c r="I26" i="21"/>
  <c r="L24" i="21"/>
  <c r="N24" i="21"/>
  <c r="N19" i="21"/>
  <c r="L19" i="21"/>
  <c r="L15" i="21"/>
  <c r="N15" i="21"/>
  <c r="O38" i="21"/>
  <c r="Q38" i="21"/>
  <c r="L49" i="21"/>
  <c r="N49" i="21"/>
  <c r="Q34" i="21"/>
  <c r="O34" i="21"/>
  <c r="N28" i="21"/>
  <c r="L28" i="21"/>
  <c r="R45" i="21"/>
  <c r="T45" i="21"/>
  <c r="R41" i="21"/>
  <c r="T41" i="21"/>
  <c r="Q31" i="21"/>
  <c r="O31" i="21"/>
  <c r="O36" i="21"/>
  <c r="Q36" i="21"/>
  <c r="K21" i="21"/>
  <c r="I21" i="21"/>
  <c r="W8" i="21"/>
  <c r="X8" i="21" s="1"/>
  <c r="U8" i="21"/>
  <c r="T10" i="21"/>
  <c r="R10" i="21"/>
  <c r="T2" i="21"/>
  <c r="R2" i="21"/>
  <c r="N11" i="21"/>
  <c r="L11" i="21"/>
  <c r="N3" i="21"/>
  <c r="L3" i="21"/>
  <c r="K13" i="21"/>
  <c r="I13" i="21"/>
  <c r="W45" i="21" l="1"/>
  <c r="X45" i="21" s="1"/>
  <c r="U45" i="21"/>
  <c r="T22" i="21"/>
  <c r="R22" i="21"/>
  <c r="Q33" i="21"/>
  <c r="O33" i="21"/>
  <c r="L17" i="21"/>
  <c r="N17" i="21"/>
  <c r="W29" i="21"/>
  <c r="X29" i="21" s="1"/>
  <c r="U29" i="21"/>
  <c r="N40" i="21"/>
  <c r="L40" i="21"/>
  <c r="T35" i="21"/>
  <c r="R35" i="21"/>
  <c r="O44" i="21"/>
  <c r="Q44" i="21"/>
  <c r="O32" i="21"/>
  <c r="Q32" i="21"/>
  <c r="R34" i="21"/>
  <c r="T34" i="21"/>
  <c r="O19" i="21"/>
  <c r="Q19" i="21"/>
  <c r="L26" i="21"/>
  <c r="N26" i="21"/>
  <c r="L46" i="21"/>
  <c r="N46" i="21"/>
  <c r="O14" i="21"/>
  <c r="Q14" i="21"/>
  <c r="Q7" i="21"/>
  <c r="O7" i="21"/>
  <c r="N1" i="21"/>
  <c r="L1" i="21"/>
  <c r="U10" i="21"/>
  <c r="W10" i="21"/>
  <c r="X10" i="21" s="1"/>
  <c r="T31" i="21"/>
  <c r="R31" i="21"/>
  <c r="T36" i="21"/>
  <c r="R36" i="21"/>
  <c r="W41" i="21"/>
  <c r="X41" i="21" s="1"/>
  <c r="U41" i="21"/>
  <c r="Q49" i="21"/>
  <c r="O49" i="21"/>
  <c r="Q15" i="21"/>
  <c r="O15" i="21"/>
  <c r="Q24" i="21"/>
  <c r="O24" i="21"/>
  <c r="N9" i="21"/>
  <c r="L9" i="21"/>
  <c r="L42" i="21"/>
  <c r="N42" i="21"/>
  <c r="N39" i="21"/>
  <c r="L39" i="21"/>
  <c r="T48" i="21"/>
  <c r="R48" i="21"/>
  <c r="Q30" i="21"/>
  <c r="O30" i="21"/>
  <c r="W20" i="21"/>
  <c r="X20" i="21" s="1"/>
  <c r="U20" i="21"/>
  <c r="R38" i="21"/>
  <c r="T38" i="21"/>
  <c r="O23" i="21"/>
  <c r="Q23" i="21"/>
  <c r="T47" i="21"/>
  <c r="R47" i="21"/>
  <c r="N13" i="21"/>
  <c r="L13" i="21"/>
  <c r="Q11" i="21"/>
  <c r="O11" i="21"/>
  <c r="L21" i="21"/>
  <c r="N21" i="21"/>
  <c r="Q3" i="21"/>
  <c r="O3" i="21"/>
  <c r="U2" i="21"/>
  <c r="W2" i="21"/>
  <c r="X2" i="21" s="1"/>
  <c r="O28" i="21"/>
  <c r="Q28" i="21"/>
  <c r="Q18" i="21"/>
  <c r="O18" i="21"/>
  <c r="N5" i="21"/>
  <c r="L5" i="21"/>
  <c r="R4" i="21"/>
  <c r="T4" i="21"/>
  <c r="T37" i="21"/>
  <c r="R37" i="21"/>
  <c r="R25" i="21"/>
  <c r="T25" i="21"/>
  <c r="Q27" i="21"/>
  <c r="O27" i="21"/>
  <c r="O6" i="21"/>
  <c r="Q6" i="21"/>
  <c r="R12" i="21"/>
  <c r="T12" i="21"/>
  <c r="Q43" i="21"/>
  <c r="O43" i="21"/>
  <c r="T14" i="21" l="1"/>
  <c r="R14" i="21"/>
  <c r="O26" i="21"/>
  <c r="Q26" i="21"/>
  <c r="U34" i="21"/>
  <c r="W34" i="21"/>
  <c r="X34" i="21" s="1"/>
  <c r="R44" i="21"/>
  <c r="T44" i="21"/>
  <c r="Q17" i="21"/>
  <c r="O17" i="21"/>
  <c r="T27" i="21"/>
  <c r="R27" i="21"/>
  <c r="W37" i="21"/>
  <c r="X37" i="21" s="1"/>
  <c r="U37" i="21"/>
  <c r="O5" i="21"/>
  <c r="Q5" i="21"/>
  <c r="T3" i="21"/>
  <c r="R3" i="21"/>
  <c r="T11" i="21"/>
  <c r="R11" i="21"/>
  <c r="U47" i="21"/>
  <c r="W47" i="21"/>
  <c r="X47" i="21" s="1"/>
  <c r="R30" i="21"/>
  <c r="T30" i="21"/>
  <c r="Q39" i="21"/>
  <c r="O39" i="21"/>
  <c r="O9" i="21"/>
  <c r="Q9" i="21"/>
  <c r="T15" i="21"/>
  <c r="R15" i="21"/>
  <c r="U31" i="21"/>
  <c r="W31" i="21"/>
  <c r="X31" i="21" s="1"/>
  <c r="O1" i="21"/>
  <c r="Q1" i="21"/>
  <c r="O40" i="21"/>
  <c r="Q40" i="21"/>
  <c r="U22" i="21"/>
  <c r="W22" i="21"/>
  <c r="X22" i="21" s="1"/>
  <c r="W12" i="21"/>
  <c r="X12" i="21" s="1"/>
  <c r="U12" i="21"/>
  <c r="R28" i="21"/>
  <c r="T28" i="21"/>
  <c r="W38" i="21"/>
  <c r="X38" i="21" s="1"/>
  <c r="U38" i="21"/>
  <c r="T6" i="21"/>
  <c r="R6" i="21"/>
  <c r="W25" i="21"/>
  <c r="X25" i="21" s="1"/>
  <c r="U25" i="21"/>
  <c r="W4" i="21"/>
  <c r="X4" i="21" s="1"/>
  <c r="U4" i="21"/>
  <c r="Q21" i="21"/>
  <c r="O21" i="21"/>
  <c r="T23" i="21"/>
  <c r="R23" i="21"/>
  <c r="Q42" i="21"/>
  <c r="O42" i="21"/>
  <c r="Q46" i="21"/>
  <c r="O46" i="21"/>
  <c r="R19" i="21"/>
  <c r="T19" i="21"/>
  <c r="T32" i="21"/>
  <c r="R32" i="21"/>
  <c r="T43" i="21"/>
  <c r="R43" i="21"/>
  <c r="T18" i="21"/>
  <c r="R18" i="21"/>
  <c r="O13" i="21"/>
  <c r="Q13" i="21"/>
  <c r="U48" i="21"/>
  <c r="W48" i="21"/>
  <c r="X48" i="21" s="1"/>
  <c r="T24" i="21"/>
  <c r="R24" i="21"/>
  <c r="T49" i="21"/>
  <c r="R49" i="21"/>
  <c r="U36" i="21"/>
  <c r="W36" i="21"/>
  <c r="X36" i="21" s="1"/>
  <c r="T7" i="21"/>
  <c r="R7" i="21"/>
  <c r="W35" i="21"/>
  <c r="X35" i="21" s="1"/>
  <c r="U35" i="21"/>
  <c r="T33" i="21"/>
  <c r="R33" i="21"/>
  <c r="T13" i="21" l="1"/>
  <c r="R13" i="21"/>
  <c r="R40" i="21"/>
  <c r="T40" i="21"/>
  <c r="T5" i="21"/>
  <c r="R5" i="21"/>
  <c r="U44" i="21"/>
  <c r="W44" i="21"/>
  <c r="X44" i="21" s="1"/>
  <c r="W24" i="21"/>
  <c r="X24" i="21" s="1"/>
  <c r="U24" i="21"/>
  <c r="W43" i="21"/>
  <c r="X43" i="21" s="1"/>
  <c r="U43" i="21"/>
  <c r="R42" i="21"/>
  <c r="T42" i="21"/>
  <c r="R21" i="21"/>
  <c r="T21" i="21"/>
  <c r="W11" i="21"/>
  <c r="X11" i="21" s="1"/>
  <c r="U11" i="21"/>
  <c r="W27" i="21"/>
  <c r="X27" i="21" s="1"/>
  <c r="U27" i="21"/>
  <c r="U28" i="21"/>
  <c r="W28" i="21"/>
  <c r="X28" i="21" s="1"/>
  <c r="T1" i="21"/>
  <c r="R1" i="21"/>
  <c r="U19" i="21"/>
  <c r="W19" i="21"/>
  <c r="X19" i="21" s="1"/>
  <c r="T9" i="21"/>
  <c r="R9" i="21"/>
  <c r="U30" i="21"/>
  <c r="W30" i="21"/>
  <c r="X30" i="21" s="1"/>
  <c r="R26" i="21"/>
  <c r="T26" i="21"/>
  <c r="W33" i="21"/>
  <c r="X33" i="21" s="1"/>
  <c r="U33" i="21"/>
  <c r="W7" i="21"/>
  <c r="X7" i="21" s="1"/>
  <c r="U7" i="21"/>
  <c r="W49" i="21"/>
  <c r="X49" i="21" s="1"/>
  <c r="U49" i="21"/>
  <c r="U18" i="21"/>
  <c r="W18" i="21"/>
  <c r="X18" i="21" s="1"/>
  <c r="U32" i="21"/>
  <c r="W32" i="21"/>
  <c r="X32" i="21" s="1"/>
  <c r="R46" i="21"/>
  <c r="T46" i="21"/>
  <c r="U23" i="21"/>
  <c r="W23" i="21"/>
  <c r="X23" i="21" s="1"/>
  <c r="U6" i="21"/>
  <c r="W6" i="21"/>
  <c r="X6" i="21" s="1"/>
  <c r="W15" i="21"/>
  <c r="X15" i="21" s="1"/>
  <c r="U15" i="21"/>
  <c r="T39" i="21"/>
  <c r="R39" i="21"/>
  <c r="W3" i="21"/>
  <c r="X3" i="21" s="1"/>
  <c r="U3" i="21"/>
  <c r="R17" i="21"/>
  <c r="T17" i="21"/>
  <c r="U14" i="21"/>
  <c r="W14" i="21"/>
  <c r="X14" i="21" s="1"/>
  <c r="W26" i="21" l="1"/>
  <c r="X26" i="21" s="1"/>
  <c r="U26" i="21"/>
  <c r="W21" i="21"/>
  <c r="X21" i="21" s="1"/>
  <c r="U21" i="21"/>
  <c r="U40" i="21"/>
  <c r="W40" i="21"/>
  <c r="X40" i="21" s="1"/>
  <c r="W39" i="21"/>
  <c r="X39" i="21" s="1"/>
  <c r="U39" i="21"/>
  <c r="U9" i="21"/>
  <c r="W9" i="21"/>
  <c r="X9" i="21" s="1"/>
  <c r="U1" i="21"/>
  <c r="W1" i="21"/>
  <c r="X1" i="21" s="1"/>
  <c r="U46" i="21"/>
  <c r="W46" i="21"/>
  <c r="X46" i="21" s="1"/>
  <c r="W42" i="21"/>
  <c r="X42" i="21" s="1"/>
  <c r="U42" i="21"/>
  <c r="W17" i="21"/>
  <c r="X17" i="21" s="1"/>
  <c r="U17" i="21"/>
  <c r="W5" i="21"/>
  <c r="X5" i="21" s="1"/>
  <c r="U5" i="21"/>
  <c r="W13" i="21"/>
  <c r="X13" i="21" s="1"/>
  <c r="U13" i="21"/>
</calcChain>
</file>

<file path=xl/comments1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2.xml><?xml version="1.0" encoding="utf-8"?>
<comments xmlns="http://schemas.openxmlformats.org/spreadsheetml/2006/main">
  <authors>
    <author>IT-Service</author>
    <author>Administrator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AB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AQ1" authorId="2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BG1" authorId="2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CE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3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O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4.xml><?xml version="1.0" encoding="utf-8"?>
<comments xmlns="http://schemas.openxmlformats.org/spreadsheetml/2006/main">
  <authors>
    <author>Eplan Software &amp; Service</author>
  </authors>
  <commentList>
    <comment ref="B2" authorId="0" shapeId="0">
      <text>
        <r>
          <rPr>
            <b/>
            <sz val="8"/>
            <color indexed="81"/>
            <rFont val="Tahoma"/>
            <family val="2"/>
            <charset val="238"/>
          </rPr>
          <t>Eplan Software &amp; Service: Typical file uses this macro directory to locate macro files.</t>
        </r>
        <r>
          <rPr>
            <sz val="8"/>
            <color indexed="81"/>
            <rFont val="Tahoma"/>
            <family val="2"/>
            <charset val="23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<sst xmlns="http://schemas.openxmlformats.org/spreadsheetml/2006/main" count="1842" uniqueCount="1214">
  <si>
    <t>Macros directory</t>
  </si>
  <si>
    <t>Functional assignment</t>
  </si>
  <si>
    <t>Higher-level function</t>
  </si>
  <si>
    <t>Mounting location</t>
  </si>
  <si>
    <t>Higher-level function number</t>
  </si>
  <si>
    <t>User-defined</t>
  </si>
  <si>
    <t>Page name</t>
  </si>
  <si>
    <t>Variant</t>
  </si>
  <si>
    <t>D:\workspace\EECONE\Data\TestData\Macros</t>
  </si>
  <si>
    <t>TYPE</t>
    <phoneticPr fontId="9" type="noConversion"/>
  </si>
  <si>
    <t>NO</t>
    <phoneticPr fontId="9" type="noConversion"/>
  </si>
  <si>
    <t>PANEL</t>
    <phoneticPr fontId="9" type="noConversion"/>
  </si>
  <si>
    <t>MODEL</t>
    <phoneticPr fontId="9" type="noConversion"/>
  </si>
  <si>
    <t>제조업체</t>
    <phoneticPr fontId="9" type="noConversion"/>
  </si>
  <si>
    <t>AUX Type (Macro)</t>
    <phoneticPr fontId="9" type="noConversion"/>
  </si>
  <si>
    <t>HIS Type (Macro)</t>
    <phoneticPr fontId="9" type="noConversion"/>
  </si>
  <si>
    <t>MOU</t>
    <phoneticPr fontId="9" type="noConversion"/>
  </si>
  <si>
    <t>YRTL-8820-00</t>
    <phoneticPr fontId="9" type="noConversion"/>
  </si>
  <si>
    <t>RITTAL</t>
    <phoneticPr fontId="9" type="noConversion"/>
  </si>
  <si>
    <t>AUTO_GEN_CABINET\AUX001</t>
    <phoneticPr fontId="9" type="noConversion"/>
  </si>
  <si>
    <t>AUTO_GEN_CABINET\HIS63</t>
    <phoneticPr fontId="9" type="noConversion"/>
  </si>
  <si>
    <t>YRTL-8820-BD</t>
  </si>
  <si>
    <t>AUTO_GEN_CABINET\AUX002</t>
  </si>
  <si>
    <t>AUTO_GEN_CABINET\HIS64</t>
    <phoneticPr fontId="9" type="noConversion"/>
  </si>
  <si>
    <t>YRTL-8820-BD/GD</t>
  </si>
  <si>
    <t>AUTO_GEN_CABINET\AUX003</t>
  </si>
  <si>
    <t>YRTL-8820-BD4D</t>
  </si>
  <si>
    <t>RITTAL</t>
    <phoneticPr fontId="9" type="noConversion"/>
  </si>
  <si>
    <t>AUTO_GEN_CABINET\AUX004</t>
  </si>
  <si>
    <t>YRTL-8820-PD</t>
  </si>
  <si>
    <t>YRTL-8820-RK</t>
  </si>
  <si>
    <t>YRTL-8820-RK/GD</t>
  </si>
  <si>
    <t>YRTL-8820-RK4D</t>
  </si>
  <si>
    <t>NEW</t>
    <phoneticPr fontId="9" type="noConversion"/>
  </si>
  <si>
    <t>R_FCS_800W</t>
  </si>
  <si>
    <t>R_IRP_800W</t>
  </si>
  <si>
    <t>R_MPA_800W</t>
  </si>
  <si>
    <t>R_MPD_800W</t>
  </si>
  <si>
    <t>R_NWP_800W</t>
  </si>
  <si>
    <t>R_PDP_800W</t>
  </si>
  <si>
    <t>LOCAL</t>
    <phoneticPr fontId="9" type="noConversion"/>
  </si>
  <si>
    <t>Y_FCS_600W</t>
  </si>
  <si>
    <t>YOKOGAWA</t>
    <phoneticPr fontId="9" type="noConversion"/>
  </si>
  <si>
    <t>Y_FCS_800W</t>
  </si>
  <si>
    <t>Y_IRP_1200W</t>
  </si>
  <si>
    <t>Y_IRP_800W</t>
  </si>
  <si>
    <t>Y_MPA_1200W</t>
  </si>
  <si>
    <t>Y_MPA_800W</t>
  </si>
  <si>
    <t>Y_MPD_1200W</t>
  </si>
  <si>
    <t>Y_MPD_800W</t>
  </si>
  <si>
    <t>YOKOGAWA</t>
    <phoneticPr fontId="9" type="noConversion"/>
  </si>
  <si>
    <t>Y_NWP_800W</t>
  </si>
  <si>
    <t>Y_PDP_800W</t>
  </si>
  <si>
    <t>CONSOLE</t>
    <phoneticPr fontId="9" type="noConversion"/>
  </si>
  <si>
    <t>AUX_600W</t>
    <phoneticPr fontId="9" type="noConversion"/>
  </si>
  <si>
    <t>AUX_600_A</t>
    <phoneticPr fontId="9" type="noConversion"/>
  </si>
  <si>
    <t>YOKOGAWA</t>
    <phoneticPr fontId="9" type="noConversion"/>
  </si>
  <si>
    <t>AUX_600_B</t>
    <phoneticPr fontId="9" type="noConversion"/>
  </si>
  <si>
    <t>AUX_600_1F</t>
    <phoneticPr fontId="9" type="noConversion"/>
  </si>
  <si>
    <t>YOKOGAWA</t>
    <phoneticPr fontId="9" type="noConversion"/>
  </si>
  <si>
    <t>HIS_550_OPEN_1F_E_OPKB</t>
  </si>
  <si>
    <t>HIS_550_OPEN_1F_NE_OPKB</t>
  </si>
  <si>
    <t>HIS_550_OPEN_2F_E_OPKB</t>
  </si>
  <si>
    <t>HIS_550_OPEN_2F_NE_OPKB</t>
  </si>
  <si>
    <t>HIS_600_ENCLOSED_1F</t>
  </si>
  <si>
    <t>HIS_600_ENCLOSED_2F</t>
  </si>
  <si>
    <t>HIS_600_OPEN_1F_E_OPKB</t>
    <phoneticPr fontId="9" type="noConversion"/>
  </si>
  <si>
    <t>HIS_600_OPEN_1F_NE_OPKB</t>
  </si>
  <si>
    <t>HIS_600_OPEN_2F_E_OPKB</t>
  </si>
  <si>
    <t>HIS_600_OPEN_2F_NE_OPKB</t>
  </si>
  <si>
    <t>AUTO_GEN_CABINET\MPD</t>
    <phoneticPr fontId="9" type="noConversion"/>
  </si>
  <si>
    <t>PANEL_LAYOUT</t>
    <phoneticPr fontId="9" type="noConversion"/>
  </si>
  <si>
    <t>PANEL</t>
    <phoneticPr fontId="9" type="noConversion"/>
  </si>
  <si>
    <t>MP_DIO</t>
    <phoneticPr fontId="9" type="noConversion"/>
  </si>
  <si>
    <t>YRTL-8820-00</t>
    <phoneticPr fontId="9" type="noConversion"/>
  </si>
  <si>
    <t>AUTO_GEN_CABINET\IRP</t>
    <phoneticPr fontId="9" type="noConversion"/>
  </si>
  <si>
    <t>IRP</t>
    <phoneticPr fontId="9" type="noConversion"/>
  </si>
  <si>
    <t>YRTL-8820-BD4D</t>
    <phoneticPr fontId="9" type="noConversion"/>
  </si>
  <si>
    <t>AUTO_GEN_CABINET\NWP</t>
    <phoneticPr fontId="9" type="noConversion"/>
  </si>
  <si>
    <t>PANEL_LAYOUT</t>
    <phoneticPr fontId="9" type="noConversion"/>
  </si>
  <si>
    <t>NWP</t>
    <phoneticPr fontId="9" type="noConversion"/>
  </si>
  <si>
    <t>YRTL-8820-BD</t>
    <phoneticPr fontId="9" type="noConversion"/>
  </si>
  <si>
    <t>AUTO_GEN_CABINET\PDP</t>
    <phoneticPr fontId="9" type="noConversion"/>
  </si>
  <si>
    <t>PANEL_LAYOUT</t>
    <phoneticPr fontId="9" type="noConversion"/>
  </si>
  <si>
    <t>PDP</t>
    <phoneticPr fontId="9" type="noConversion"/>
  </si>
  <si>
    <t>AUTO_GEN_CABINET\PRINT</t>
    <phoneticPr fontId="9" type="noConversion"/>
  </si>
  <si>
    <t>PRINT</t>
    <phoneticPr fontId="9" type="noConversion"/>
  </si>
  <si>
    <t>HIS_600_ENCLOSED_1F</t>
    <phoneticPr fontId="9" type="noConversion"/>
  </si>
  <si>
    <t>AUTO_GEN_CABINET\AUX001</t>
    <phoneticPr fontId="9" type="noConversion"/>
  </si>
  <si>
    <t>AUX</t>
    <phoneticPr fontId="9" type="noConversion"/>
  </si>
  <si>
    <t>AUX001</t>
    <phoneticPr fontId="9" type="noConversion"/>
  </si>
  <si>
    <t>AUX_600W</t>
    <phoneticPr fontId="9" type="noConversion"/>
  </si>
  <si>
    <t>AUTO_GEN_CABINET\AUX001</t>
  </si>
  <si>
    <t>PANEL_LAYOUT</t>
  </si>
  <si>
    <t>PANEL</t>
  </si>
  <si>
    <t>AUX</t>
  </si>
  <si>
    <t>AUX002</t>
    <phoneticPr fontId="9" type="noConversion"/>
  </si>
  <si>
    <t>YRTL-8820-00</t>
  </si>
  <si>
    <t>AREA1</t>
    <phoneticPr fontId="9" type="noConversion"/>
  </si>
  <si>
    <t>AREA2</t>
    <phoneticPr fontId="9" type="noConversion"/>
  </si>
  <si>
    <t>AREA3</t>
    <phoneticPr fontId="9" type="noConversion"/>
  </si>
  <si>
    <t>AREA4</t>
    <phoneticPr fontId="9" type="noConversion"/>
  </si>
  <si>
    <t>AREA5</t>
    <phoneticPr fontId="9" type="noConversion"/>
  </si>
  <si>
    <t>변수</t>
    <phoneticPr fontId="9" type="noConversion"/>
  </si>
  <si>
    <t>PID TAG</t>
    <phoneticPr fontId="9" type="noConversion"/>
  </si>
  <si>
    <t>PID MACRO</t>
    <phoneticPr fontId="9" type="noConversion"/>
  </si>
  <si>
    <t>조건 IF</t>
    <phoneticPr fontId="9" type="noConversion"/>
  </si>
  <si>
    <t>PID MACRO</t>
    <phoneticPr fontId="9" type="noConversion"/>
  </si>
  <si>
    <t>T/B + RELAY</t>
    <phoneticPr fontId="9" type="noConversion"/>
  </si>
  <si>
    <t>MACRO</t>
    <phoneticPr fontId="9" type="noConversion"/>
  </si>
  <si>
    <t>MACRO</t>
    <phoneticPr fontId="9" type="noConversion"/>
  </si>
  <si>
    <t>BOARD</t>
    <phoneticPr fontId="9" type="noConversion"/>
  </si>
  <si>
    <t xml:space="preserve">FCS </t>
    <phoneticPr fontId="9" type="noConversion"/>
  </si>
  <si>
    <t>CONSOLE</t>
    <phoneticPr fontId="9" type="noConversion"/>
  </si>
  <si>
    <t>IO/LOOP TYPE</t>
    <phoneticPr fontId="9" type="noConversion"/>
  </si>
  <si>
    <t>Simple/Complex</t>
    <phoneticPr fontId="9" type="noConversion"/>
  </si>
  <si>
    <t>TYPE</t>
    <phoneticPr fontId="9" type="noConversion"/>
  </si>
  <si>
    <t>TAG TYPE</t>
    <phoneticPr fontId="9" type="noConversion"/>
  </si>
  <si>
    <t>DESCRIPTION</t>
    <phoneticPr fontId="9" type="noConversion"/>
  </si>
  <si>
    <t>AO</t>
    <phoneticPr fontId="9" type="noConversion"/>
  </si>
  <si>
    <t>*Y</t>
    <phoneticPr fontId="9" type="noConversion"/>
  </si>
  <si>
    <t>AREA1\VALVE1</t>
    <phoneticPr fontId="9" type="noConversion"/>
  </si>
  <si>
    <t xml:space="preserve">TB3 </t>
    <phoneticPr fontId="9" type="noConversion"/>
  </si>
  <si>
    <t>No. 있을 경우</t>
    <phoneticPr fontId="9" type="noConversion"/>
  </si>
  <si>
    <t>AREA1\VALVE2</t>
    <phoneticPr fontId="9" type="noConversion"/>
  </si>
  <si>
    <t>TB</t>
    <phoneticPr fontId="9" type="noConversion"/>
  </si>
  <si>
    <t>AREA2\TB1</t>
    <phoneticPr fontId="9" type="noConversion"/>
  </si>
  <si>
    <t>TB1-3</t>
    <phoneticPr fontId="9" type="noConversion"/>
  </si>
  <si>
    <t>AREA2\TB1-1</t>
    <phoneticPr fontId="9" type="noConversion"/>
  </si>
  <si>
    <t>CN</t>
    <phoneticPr fontId="9" type="noConversion"/>
  </si>
  <si>
    <t>AREA2\TBA1</t>
    <phoneticPr fontId="9" type="noConversion"/>
  </si>
  <si>
    <t xml:space="preserve">TB1-3 </t>
    <phoneticPr fontId="9" type="noConversion"/>
  </si>
  <si>
    <t>No. 있을 경우</t>
    <phoneticPr fontId="9" type="noConversion"/>
  </si>
  <si>
    <t>AREA2\TBA1-1</t>
    <phoneticPr fontId="9" type="noConversion"/>
  </si>
  <si>
    <t>CN</t>
    <phoneticPr fontId="9" type="noConversion"/>
  </si>
  <si>
    <t>AREA3\SYSTEM1</t>
    <phoneticPr fontId="9" type="noConversion"/>
  </si>
  <si>
    <t>AREA4\</t>
    <phoneticPr fontId="9" type="noConversion"/>
  </si>
  <si>
    <t>AREA5\DCS_TAG_AA01</t>
  </si>
  <si>
    <t>A</t>
  </si>
  <si>
    <t>AREA1\VALVE1</t>
  </si>
  <si>
    <t>VALVE1</t>
  </si>
  <si>
    <t>AI</t>
    <phoneticPr fontId="9" type="noConversion"/>
  </si>
  <si>
    <t>*T</t>
    <phoneticPr fontId="9" type="noConversion"/>
  </si>
  <si>
    <t>AREA1\TRANSMITTER</t>
    <phoneticPr fontId="9" type="noConversion"/>
  </si>
  <si>
    <t>TB</t>
    <phoneticPr fontId="9" type="noConversion"/>
  </si>
  <si>
    <t>AREA2\TB2</t>
    <phoneticPr fontId="9" type="noConversion"/>
  </si>
  <si>
    <t>TB2-3</t>
    <phoneticPr fontId="9" type="noConversion"/>
  </si>
  <si>
    <t>AREA2\TB2-1</t>
    <phoneticPr fontId="9" type="noConversion"/>
  </si>
  <si>
    <t>AREA2\TBA2</t>
    <phoneticPr fontId="9" type="noConversion"/>
  </si>
  <si>
    <t xml:space="preserve">TB2-3 </t>
    <phoneticPr fontId="9" type="noConversion"/>
  </si>
  <si>
    <t>AREA2\TBA2-1</t>
    <phoneticPr fontId="9" type="noConversion"/>
  </si>
  <si>
    <t>AREA3\SYSTEM2</t>
    <phoneticPr fontId="9" type="noConversion"/>
  </si>
  <si>
    <t>AREA5\DCS_TAG_AA02</t>
  </si>
  <si>
    <t>B</t>
  </si>
  <si>
    <t>AREA1\VALVE2</t>
  </si>
  <si>
    <t>VALVE2</t>
  </si>
  <si>
    <t>TE</t>
    <phoneticPr fontId="9" type="noConversion"/>
  </si>
  <si>
    <t>AREA1\RTD</t>
    <phoneticPr fontId="9" type="noConversion"/>
  </si>
  <si>
    <t>RTD</t>
    <phoneticPr fontId="9" type="noConversion"/>
  </si>
  <si>
    <t>R</t>
    <phoneticPr fontId="9" type="noConversion"/>
  </si>
  <si>
    <t>AREA2\RY</t>
    <phoneticPr fontId="9" type="noConversion"/>
  </si>
  <si>
    <t>AREA2\TBA3</t>
    <phoneticPr fontId="9" type="noConversion"/>
  </si>
  <si>
    <t>AREA5\DCS_TAG_AA03</t>
  </si>
  <si>
    <t>C</t>
  </si>
  <si>
    <t>AREA1\TRANSMITTER</t>
  </si>
  <si>
    <t>TRANSMITTER</t>
  </si>
  <si>
    <t>DI</t>
    <phoneticPr fontId="9" type="noConversion"/>
  </si>
  <si>
    <t>PB</t>
    <phoneticPr fontId="9" type="noConversion"/>
  </si>
  <si>
    <t>AREA1\PB</t>
    <phoneticPr fontId="9" type="noConversion"/>
  </si>
  <si>
    <t>Push button</t>
    <phoneticPr fontId="9" type="noConversion"/>
  </si>
  <si>
    <t>V</t>
    <phoneticPr fontId="9" type="noConversion"/>
  </si>
  <si>
    <t>AREA2\RY1</t>
    <phoneticPr fontId="9" type="noConversion"/>
  </si>
  <si>
    <t>AREA2\TBA4</t>
    <phoneticPr fontId="9" type="noConversion"/>
  </si>
  <si>
    <t>AREA5\DCS_TAG_AA04</t>
  </si>
  <si>
    <t>D</t>
  </si>
  <si>
    <t>AREA1\RTD</t>
  </si>
  <si>
    <t>RTD</t>
  </si>
  <si>
    <t>DI</t>
    <phoneticPr fontId="9" type="noConversion"/>
  </si>
  <si>
    <t>S</t>
    <phoneticPr fontId="9" type="noConversion"/>
  </si>
  <si>
    <t>AREA1\LS</t>
    <phoneticPr fontId="9" type="noConversion"/>
  </si>
  <si>
    <t>Limit/Hand switch</t>
    <phoneticPr fontId="9" type="noConversion"/>
  </si>
  <si>
    <t>AREA2\TBA5</t>
    <phoneticPr fontId="9" type="noConversion"/>
  </si>
  <si>
    <t>AREA5\DCS_TAG_AA05</t>
  </si>
  <si>
    <t>E</t>
  </si>
  <si>
    <t>AREA1\PB</t>
  </si>
  <si>
    <t>PB</t>
  </si>
  <si>
    <t>PS</t>
    <phoneticPr fontId="9" type="noConversion"/>
  </si>
  <si>
    <t>AREA1\LS</t>
    <phoneticPr fontId="9" type="noConversion"/>
  </si>
  <si>
    <t>proximity switch</t>
    <phoneticPr fontId="9" type="noConversion"/>
  </si>
  <si>
    <t>AREA5\DCS_TAG_AA06</t>
  </si>
  <si>
    <t>F</t>
  </si>
  <si>
    <t>AREA1\LS</t>
  </si>
  <si>
    <t>LS</t>
  </si>
  <si>
    <t>DO</t>
    <phoneticPr fontId="9" type="noConversion"/>
  </si>
  <si>
    <t>G</t>
    <phoneticPr fontId="9" type="noConversion"/>
  </si>
  <si>
    <t>AREA1\MOTOR</t>
    <phoneticPr fontId="9" type="noConversion"/>
  </si>
  <si>
    <t>MOTOR</t>
  </si>
  <si>
    <t>AREA5\DCS_TAG_AA07</t>
  </si>
  <si>
    <t>G</t>
  </si>
  <si>
    <t>AREA1\MOTOR</t>
  </si>
  <si>
    <t>DO</t>
    <phoneticPr fontId="9" type="noConversion"/>
  </si>
  <si>
    <t>M</t>
    <phoneticPr fontId="9" type="noConversion"/>
  </si>
  <si>
    <t>AREA5\DCS_TAG_AA08</t>
  </si>
  <si>
    <t>H</t>
  </si>
  <si>
    <t>AREA1\SOL_VALVE</t>
  </si>
  <si>
    <t>SOL_VALVE</t>
  </si>
  <si>
    <t>P</t>
    <phoneticPr fontId="9" type="noConversion"/>
  </si>
  <si>
    <t>PUMP</t>
  </si>
  <si>
    <t>AREA5\DCS_TAG_AA09</t>
  </si>
  <si>
    <t>I</t>
  </si>
  <si>
    <t>AREA1\ANN</t>
  </si>
  <si>
    <t>ANN</t>
  </si>
  <si>
    <t>RY</t>
    <phoneticPr fontId="9" type="noConversion"/>
  </si>
  <si>
    <t>AREA1\SOL_VALVE</t>
    <phoneticPr fontId="9" type="noConversion"/>
  </si>
  <si>
    <t>SOL VALVE</t>
  </si>
  <si>
    <t>AREA5\DCS_TAG_AA10</t>
  </si>
  <si>
    <t>J</t>
  </si>
  <si>
    <t>AREA1\ON_OFF_VALVE</t>
  </si>
  <si>
    <t>ON/OFF VALVE</t>
  </si>
  <si>
    <t>SY</t>
    <phoneticPr fontId="9" type="noConversion"/>
  </si>
  <si>
    <t>AREA1\ANN</t>
    <phoneticPr fontId="9" type="noConversion"/>
  </si>
  <si>
    <t>Ann</t>
    <phoneticPr fontId="9" type="noConversion"/>
  </si>
  <si>
    <t>AREA5\DCS_TAG_AB01</t>
  </si>
  <si>
    <t>K</t>
  </si>
  <si>
    <t>AREA1\LAMP</t>
  </si>
  <si>
    <t>LAMP</t>
  </si>
  <si>
    <t>UV</t>
    <phoneticPr fontId="9" type="noConversion"/>
  </si>
  <si>
    <t>AREA5\DCS_TAG_AB02</t>
  </si>
  <si>
    <t>L</t>
  </si>
  <si>
    <t>AREA1/HORN</t>
  </si>
  <si>
    <t>HORN</t>
  </si>
  <si>
    <t>YB</t>
    <phoneticPr fontId="9" type="noConversion"/>
  </si>
  <si>
    <t>AREA1\ON_OFF_VALVE</t>
    <phoneticPr fontId="9" type="noConversion"/>
  </si>
  <si>
    <t>AREA5\DCS_TAG_AB03</t>
  </si>
  <si>
    <t>M</t>
  </si>
  <si>
    <t>AREA1\MOTOR_VALVE</t>
  </si>
  <si>
    <t>MOTOR VALVE</t>
  </si>
  <si>
    <t>L</t>
    <phoneticPr fontId="9" type="noConversion"/>
  </si>
  <si>
    <t>AREA1\LAMP</t>
    <phoneticPr fontId="9" type="noConversion"/>
  </si>
  <si>
    <t>AREA5\DCS_TAG_AB04</t>
  </si>
  <si>
    <t>N</t>
  </si>
  <si>
    <t>AREA1\IND</t>
  </si>
  <si>
    <t>INDIGATOR</t>
  </si>
  <si>
    <t>AH</t>
    <phoneticPr fontId="9" type="noConversion"/>
  </si>
  <si>
    <t>AREA1/HORN</t>
    <phoneticPr fontId="9" type="noConversion"/>
  </si>
  <si>
    <t>AIR HORN</t>
  </si>
  <si>
    <t>AREA5\DCS_TAG_AB05</t>
  </si>
  <si>
    <t>O</t>
  </si>
  <si>
    <t>AREA1\JB</t>
  </si>
  <si>
    <t>JUNCTION BOX1</t>
  </si>
  <si>
    <t>MHS</t>
    <phoneticPr fontId="9" type="noConversion"/>
  </si>
  <si>
    <t>AREA1\MOTOR_VALVE</t>
    <phoneticPr fontId="9" type="noConversion"/>
  </si>
  <si>
    <t>MOTOR CONTROL VALVE</t>
  </si>
  <si>
    <t>AREA5\DCS_TAG_AB06</t>
  </si>
  <si>
    <t>P</t>
  </si>
  <si>
    <t>AREA1\JB1</t>
  </si>
  <si>
    <t>JUNCTION BOX2</t>
  </si>
  <si>
    <t>XY</t>
    <phoneticPr fontId="9" type="noConversion"/>
  </si>
  <si>
    <t>AREA1\SOL_VALVE</t>
    <phoneticPr fontId="9" type="noConversion"/>
  </si>
  <si>
    <t>AREA5\DCS_TAG_AB07</t>
  </si>
  <si>
    <t>Q</t>
  </si>
  <si>
    <t>AREA1\FJB</t>
  </si>
  <si>
    <t>FJB</t>
  </si>
  <si>
    <t>V</t>
    <phoneticPr fontId="9" type="noConversion"/>
  </si>
  <si>
    <t>AREA5\DCS_TAG_AB08</t>
  </si>
  <si>
    <t>R</t>
  </si>
  <si>
    <t>AREA1\LP1</t>
  </si>
  <si>
    <t>LOCAL PANEL1</t>
  </si>
  <si>
    <t>TV</t>
    <phoneticPr fontId="9" type="noConversion"/>
  </si>
  <si>
    <t>AREA5\DCS_TAG_AB09</t>
  </si>
  <si>
    <t>S</t>
  </si>
  <si>
    <t>AREA1\LP2</t>
  </si>
  <si>
    <t>LOCAL PANEL2</t>
  </si>
  <si>
    <t>FV</t>
    <phoneticPr fontId="9" type="noConversion"/>
  </si>
  <si>
    <t>AREA5\DCS_TAG_AB10</t>
  </si>
  <si>
    <t>T</t>
  </si>
  <si>
    <t>AREA1\ESD</t>
  </si>
  <si>
    <t>ESD와 연결 POINT</t>
  </si>
  <si>
    <t>PV</t>
    <phoneticPr fontId="9" type="noConversion"/>
  </si>
  <si>
    <t>AREA5\DCS_TAG_AC01</t>
  </si>
  <si>
    <t>U</t>
  </si>
  <si>
    <t>AREA1\ESD1</t>
  </si>
  <si>
    <t>SPARE2</t>
  </si>
  <si>
    <t>IN</t>
    <phoneticPr fontId="9" type="noConversion"/>
  </si>
  <si>
    <t>AREA1\IND</t>
    <phoneticPr fontId="9" type="noConversion"/>
  </si>
  <si>
    <t>Indigator</t>
    <phoneticPr fontId="9" type="noConversion"/>
  </si>
  <si>
    <t>AREA5\DCS_TAG_AC02</t>
  </si>
  <si>
    <t>V</t>
  </si>
  <si>
    <t>AREA1\CONSOLE</t>
  </si>
  <si>
    <t>SPARE3</t>
  </si>
  <si>
    <t>AO</t>
    <phoneticPr fontId="9" type="noConversion"/>
  </si>
  <si>
    <t>IN</t>
    <phoneticPr fontId="9" type="noConversion"/>
  </si>
  <si>
    <t>AREA5\DCS_TAG_AC03</t>
  </si>
  <si>
    <t>W</t>
  </si>
  <si>
    <t>AREA1\Nothing</t>
  </si>
  <si>
    <t>SPARE4</t>
  </si>
  <si>
    <t>AREA1\JB</t>
    <phoneticPr fontId="9" type="noConversion"/>
  </si>
  <si>
    <t xml:space="preserve">TB3 </t>
    <phoneticPr fontId="9" type="noConversion"/>
  </si>
  <si>
    <t>AREA1\JB1</t>
    <phoneticPr fontId="9" type="noConversion"/>
  </si>
  <si>
    <t>Junction Box</t>
    <phoneticPr fontId="9" type="noConversion"/>
  </si>
  <si>
    <t>AREA5\DCS_TAG_AC04</t>
  </si>
  <si>
    <t>X</t>
  </si>
  <si>
    <t>AREA1\PID_TAG_X</t>
  </si>
  <si>
    <t>SPARE5</t>
  </si>
  <si>
    <t>F</t>
    <phoneticPr fontId="9" type="noConversion"/>
  </si>
  <si>
    <t>AREA1\FJB</t>
    <phoneticPr fontId="9" type="noConversion"/>
  </si>
  <si>
    <t>F/F</t>
    <phoneticPr fontId="9" type="noConversion"/>
  </si>
  <si>
    <t>AREA5\DCS_TAG_AC05</t>
  </si>
  <si>
    <t>Y</t>
  </si>
  <si>
    <t>AREA1\PID_TAG_Y</t>
  </si>
  <si>
    <t>SPARE6</t>
  </si>
  <si>
    <t>LP</t>
    <phoneticPr fontId="9" type="noConversion"/>
  </si>
  <si>
    <t>AREA1\LP1</t>
    <phoneticPr fontId="9" type="noConversion"/>
  </si>
  <si>
    <t xml:space="preserve">TB3 </t>
    <phoneticPr fontId="9" type="noConversion"/>
  </si>
  <si>
    <t>No. 있을 경우</t>
    <phoneticPr fontId="9" type="noConversion"/>
  </si>
  <si>
    <t>AREA1\LP2</t>
    <phoneticPr fontId="9" type="noConversion"/>
  </si>
  <si>
    <r>
      <t>Local Panel(</t>
    </r>
    <r>
      <rPr>
        <sz val="10"/>
        <rFont val="돋움"/>
        <family val="3"/>
        <charset val="129"/>
      </rPr>
      <t>그래픽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없고</t>
    </r>
    <r>
      <rPr>
        <sz val="10"/>
        <rFont val="Arial"/>
        <family val="2"/>
      </rPr>
      <t xml:space="preserve"> Location1 </t>
    </r>
    <r>
      <rPr>
        <sz val="10"/>
        <rFont val="돋움"/>
        <family val="3"/>
        <charset val="129"/>
      </rPr>
      <t>정보만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표시</t>
    </r>
    <r>
      <rPr>
        <sz val="10"/>
        <rFont val="Arial"/>
        <family val="2"/>
      </rPr>
      <t>)</t>
    </r>
    <phoneticPr fontId="9" type="noConversion"/>
  </si>
  <si>
    <t>AREA5\DCS_TAG_AC06</t>
  </si>
  <si>
    <t>Z</t>
  </si>
  <si>
    <t>AREA1\PID_TAG_Z</t>
  </si>
  <si>
    <t>SPARE7</t>
  </si>
  <si>
    <t>PLC</t>
    <phoneticPr fontId="9" type="noConversion"/>
  </si>
  <si>
    <t>AREA1\LP2</t>
    <phoneticPr fontId="9" type="noConversion"/>
  </si>
  <si>
    <r>
      <t>PLC Panel(</t>
    </r>
    <r>
      <rPr>
        <sz val="10"/>
        <rFont val="돋움"/>
        <family val="3"/>
        <charset val="129"/>
      </rPr>
      <t>그래픽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없고</t>
    </r>
    <r>
      <rPr>
        <sz val="10"/>
        <rFont val="Arial"/>
        <family val="2"/>
      </rPr>
      <t xml:space="preserve"> Location1 </t>
    </r>
    <r>
      <rPr>
        <sz val="10"/>
        <rFont val="돋움"/>
        <family val="3"/>
        <charset val="129"/>
      </rPr>
      <t>정보만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표시</t>
    </r>
    <r>
      <rPr>
        <sz val="10"/>
        <rFont val="Arial"/>
        <family val="2"/>
      </rPr>
      <t>)</t>
    </r>
    <phoneticPr fontId="9" type="noConversion"/>
  </si>
  <si>
    <t>AREA5\DCS_TAG_AC07</t>
  </si>
  <si>
    <t>AA</t>
  </si>
  <si>
    <t>AREA1\PID_TAG_AA</t>
  </si>
  <si>
    <t>SPARE8</t>
  </si>
  <si>
    <t>GA</t>
    <phoneticPr fontId="9" type="noConversion"/>
  </si>
  <si>
    <t>Spare1</t>
    <phoneticPr fontId="9" type="noConversion"/>
  </si>
  <si>
    <t>AREA5\DCS_TAG_AC08</t>
  </si>
  <si>
    <t>AB</t>
  </si>
  <si>
    <t>AREA1\PID_TAG_AB</t>
  </si>
  <si>
    <t>SPARE9</t>
  </si>
  <si>
    <t>AT</t>
    <phoneticPr fontId="9" type="noConversion"/>
  </si>
  <si>
    <t>Spare2</t>
  </si>
  <si>
    <t>AREA5\DCS_TAG_AC09</t>
  </si>
  <si>
    <t>AC</t>
  </si>
  <si>
    <t>AREA1\PID_TAG_AC</t>
  </si>
  <si>
    <t>SPARE10</t>
  </si>
  <si>
    <t>XA</t>
    <phoneticPr fontId="9" type="noConversion"/>
  </si>
  <si>
    <t>AREA1\ANN</t>
    <phoneticPr fontId="9" type="noConversion"/>
  </si>
  <si>
    <t>Spare3</t>
  </si>
  <si>
    <t xml:space="preserve">RIVISION </t>
    <phoneticPr fontId="9" type="noConversion"/>
  </si>
  <si>
    <t>AREA5\DCS_TAG_AC10</t>
  </si>
  <si>
    <t>AD</t>
  </si>
  <si>
    <t>AREA1\PID_TAG_AD</t>
  </si>
  <si>
    <t>SPARE11</t>
  </si>
  <si>
    <t>AI</t>
    <phoneticPr fontId="9" type="noConversion"/>
  </si>
  <si>
    <t>Spare4</t>
  </si>
  <si>
    <t>영역</t>
    <phoneticPr fontId="9" type="noConversion"/>
  </si>
  <si>
    <t>조건(부품 번호)</t>
    <phoneticPr fontId="9" type="noConversion"/>
  </si>
  <si>
    <t>MACRO</t>
    <phoneticPr fontId="9" type="noConversion"/>
  </si>
  <si>
    <t>AREA5\DCS_TAG_AD01</t>
  </si>
  <si>
    <t>AE</t>
  </si>
  <si>
    <t>AREA1\PID_TAG_AE</t>
  </si>
  <si>
    <t>SPARE12</t>
  </si>
  <si>
    <t>AO</t>
    <phoneticPr fontId="9" type="noConversion"/>
  </si>
  <si>
    <t>Spare5</t>
  </si>
  <si>
    <t>AREA1-1</t>
  </si>
  <si>
    <t>REV</t>
    <phoneticPr fontId="9" type="noConversion"/>
  </si>
  <si>
    <t>CLOUD\AREA1-1</t>
  </si>
  <si>
    <t>AREA5\DCS_TAG_AD02</t>
  </si>
  <si>
    <t>AF</t>
  </si>
  <si>
    <t>AREA1\PID_TAG_AF</t>
  </si>
  <si>
    <t>SPARE13</t>
  </si>
  <si>
    <t>PANEL Comp. No</t>
    <phoneticPr fontId="9" type="noConversion"/>
  </si>
  <si>
    <t>AREA1</t>
    <phoneticPr fontId="9" type="noConversion"/>
  </si>
  <si>
    <t>AREA1\PL_BOX1</t>
    <phoneticPr fontId="9" type="noConversion"/>
  </si>
  <si>
    <t>AREA1-2</t>
  </si>
  <si>
    <t>REV</t>
    <phoneticPr fontId="9" type="noConversion"/>
  </si>
  <si>
    <t>CLOUD\AREA1-2</t>
  </si>
  <si>
    <t>AREA5\DCS_TAG_AD03</t>
  </si>
  <si>
    <t>AG</t>
  </si>
  <si>
    <t>AREA1\PID_TAG_AG</t>
  </si>
  <si>
    <t>SPARE14</t>
  </si>
  <si>
    <t>AREA2</t>
    <phoneticPr fontId="9" type="noConversion"/>
  </si>
  <si>
    <t>AREA2\PL_BOX2</t>
    <phoneticPr fontId="9" type="noConversion"/>
  </si>
  <si>
    <t>AREA2-1</t>
  </si>
  <si>
    <t>CLOUD\AREA2-1</t>
  </si>
  <si>
    <t>AREA5\DCS_TAG_AD04</t>
  </si>
  <si>
    <t>AH</t>
  </si>
  <si>
    <t>AREA1\PID_TAG_AH</t>
  </si>
  <si>
    <t>SPARE15</t>
  </si>
  <si>
    <t>AREA3</t>
    <phoneticPr fontId="9" type="noConversion"/>
  </si>
  <si>
    <t>AREA2\PL_BOX3</t>
    <phoneticPr fontId="9" type="noConversion"/>
  </si>
  <si>
    <t>AREA2-2</t>
  </si>
  <si>
    <t>CLOUD\AREA2-2</t>
  </si>
  <si>
    <t>AREA5\DCS_TAG_AD05</t>
  </si>
  <si>
    <t>AI</t>
  </si>
  <si>
    <t>AREA1\PID_TAG_AI</t>
  </si>
  <si>
    <t>SPARE16</t>
  </si>
  <si>
    <t>AREA2-3</t>
  </si>
  <si>
    <t>CLOUD\AREA2-3</t>
  </si>
  <si>
    <t>AREA5\DCS_TAG_AD06</t>
  </si>
  <si>
    <t>AJ</t>
  </si>
  <si>
    <t>AREA1\PID_TAG_AJ</t>
  </si>
  <si>
    <t>SPARE17</t>
  </si>
  <si>
    <t>AREA2-4</t>
  </si>
  <si>
    <t>CLOUD\AREA2-4</t>
  </si>
  <si>
    <t>AREA5\DCS_TAG_AD07</t>
  </si>
  <si>
    <t>AK</t>
  </si>
  <si>
    <t>AREA1\PID_TAG_AK</t>
  </si>
  <si>
    <t>SPARE18</t>
  </si>
  <si>
    <t>AREA2-5</t>
  </si>
  <si>
    <t>CLOUD\AREA2-5</t>
  </si>
  <si>
    <t>AREA5\DCS_TAG_AD08</t>
  </si>
  <si>
    <t>AL</t>
  </si>
  <si>
    <t>AREA1\PID_TAG_AL</t>
  </si>
  <si>
    <t>SPARE19</t>
  </si>
  <si>
    <t>AREA2-6</t>
  </si>
  <si>
    <t>CLOUD\AREA2-6</t>
  </si>
  <si>
    <t>AREA5\DCS_TAG_AD09</t>
  </si>
  <si>
    <t>AM</t>
  </si>
  <si>
    <t>AREA1\PID_TAG_AM</t>
  </si>
  <si>
    <t>SPARE20</t>
  </si>
  <si>
    <t>AREA3-1</t>
  </si>
  <si>
    <t>CLOUD\AREA3-1</t>
  </si>
  <si>
    <t>AREA5\DCS_TAG_AD10</t>
  </si>
  <si>
    <t>AN</t>
  </si>
  <si>
    <t>AREA1\PID_TAG_AN</t>
  </si>
  <si>
    <t>SPARE21</t>
  </si>
  <si>
    <t>AREA3-2</t>
  </si>
  <si>
    <t>CLOUD\AREA3-2</t>
  </si>
  <si>
    <t>AREA5\DCS_TAG_BA01</t>
  </si>
  <si>
    <t>AO</t>
  </si>
  <si>
    <t>AREA1\PID_TAG_AO</t>
  </si>
  <si>
    <t>SPARE22</t>
  </si>
  <si>
    <t>AREA4-1</t>
  </si>
  <si>
    <t>CLOUD\AREA4-1</t>
  </si>
  <si>
    <t>AREA5\DCS_TAG_BA02</t>
  </si>
  <si>
    <t>AP</t>
  </si>
  <si>
    <t>AREA1\PID_TAG_AP</t>
  </si>
  <si>
    <t>SPARE23</t>
  </si>
  <si>
    <t>AREA4-2</t>
  </si>
  <si>
    <t>CLOUD\AREA4-2</t>
  </si>
  <si>
    <t>AREA5\DCS_TAG_BA03</t>
  </si>
  <si>
    <t>AQ</t>
  </si>
  <si>
    <t>AREA1\PID_TAG_AQ</t>
  </si>
  <si>
    <t>SPARE24</t>
  </si>
  <si>
    <t>SPARE1</t>
  </si>
  <si>
    <t>CLOUD\SPARE1</t>
  </si>
  <si>
    <t>AREA5\DCS_TAG_BA04</t>
  </si>
  <si>
    <t>CLOUD\SPARE2</t>
  </si>
  <si>
    <t>AREA5\DCS_TAG_BA05</t>
  </si>
  <si>
    <t>CLOUD\SPARE3</t>
  </si>
  <si>
    <t>AREA5\DCS_TAG_BA06</t>
  </si>
  <si>
    <t>CLOUD\SPARE4</t>
  </si>
  <si>
    <t>AREA5\DCS_TAG_BA07</t>
  </si>
  <si>
    <t>CLOUD\SPARE5</t>
  </si>
  <si>
    <t>AREA5\DCS_TAG_BA08</t>
  </si>
  <si>
    <t>AREA5\DCS_TAG_BA09</t>
  </si>
  <si>
    <t>AREA5\DCS_TAG_BA10</t>
  </si>
  <si>
    <t>AREA5\DCS_TAG_BA11</t>
  </si>
  <si>
    <t>AREA5\DCS_TAG_BA12</t>
  </si>
  <si>
    <t>AREA5\DCS_TAG_BA13</t>
  </si>
  <si>
    <t>AREA5\DCS_TAG_BA14</t>
  </si>
  <si>
    <t>AREA5\DCS_TAG_BB01</t>
  </si>
  <si>
    <t>AREA5\DCS_TAG_BB02</t>
  </si>
  <si>
    <t>AREA5\DCS_TAG_BB03</t>
  </si>
  <si>
    <t>AREA5\DCS_TAG_BB04</t>
  </si>
  <si>
    <t>AREA5\DCS_TAG_BB05</t>
  </si>
  <si>
    <t>AREA5\DCS_TAG_BB06</t>
  </si>
  <si>
    <t>AREA5\DCS_TAG_BB07</t>
  </si>
  <si>
    <t>AREA5\DCS_TAG_BB08</t>
  </si>
  <si>
    <t>AREA5\DCS_TAG_BB09</t>
  </si>
  <si>
    <t>AREA5\DCS_TAG_BB10</t>
  </si>
  <si>
    <t>AREA5\DCS_TAG_BC01</t>
  </si>
  <si>
    <t>AREA5\DCS_TAG_BC02</t>
  </si>
  <si>
    <t>AREA5\DCS_TAG_BC03</t>
  </si>
  <si>
    <t>AREA5\DCS_TAG_BC04</t>
  </si>
  <si>
    <t>AREA5\DCS_TAG_BC05</t>
  </si>
  <si>
    <t>AREA5\DCS_TAG_BC06</t>
  </si>
  <si>
    <t>AREA5\DCS_TAG_BC07</t>
  </si>
  <si>
    <t>AREA5\DCS_TAG_BC08</t>
  </si>
  <si>
    <t>AREA5\DCS_TAG_BC09</t>
  </si>
  <si>
    <t>AREA5\DCS_TAG_BC10</t>
  </si>
  <si>
    <t>AREA5\DCS_TAG_BD01</t>
  </si>
  <si>
    <t>AREA5\DCS_TAG_BD02</t>
  </si>
  <si>
    <t>AREA5\DCS_TAG_BD03</t>
  </si>
  <si>
    <t>AREA5\DCS_TAG_BD04</t>
  </si>
  <si>
    <t>AREA5\DCS_TAG_BD05</t>
  </si>
  <si>
    <t>AREA5\DCS_TAG_BD06</t>
  </si>
  <si>
    <t>AREA5\DCS_TAG_BD07</t>
  </si>
  <si>
    <t>AREA5\DCS_TAG_BD08</t>
  </si>
  <si>
    <t>AREA5\DCS_TAG_BD09</t>
  </si>
  <si>
    <t>AREA5\DCS_TAG_BD10</t>
  </si>
  <si>
    <t>AREA5\DCS_TAG_IN01</t>
  </si>
  <si>
    <t>AREA5\DCS_TAG_IN02</t>
  </si>
  <si>
    <t>AREA5\DCS_TAG_IN03</t>
  </si>
  <si>
    <t>AREA5\DCS_TAG_IN04</t>
  </si>
  <si>
    <t>AREA5\DCS_TAG_IN05</t>
  </si>
  <si>
    <t>AREA5\DCS_TAG_IN06</t>
  </si>
  <si>
    <t>AREA5\DCS_TAG_IN07</t>
  </si>
  <si>
    <t>AREA5\DCS_TAG_IN08</t>
  </si>
  <si>
    <t>AREA5\DCS_TAG_IN09</t>
  </si>
  <si>
    <t>AREA5\DCS_TAG_IN10</t>
  </si>
  <si>
    <t>AREA5\DCS_TAG_CO01</t>
  </si>
  <si>
    <t>AREA5\DCS_TAG_CO02</t>
  </si>
  <si>
    <t>WIRING DIAGRAM</t>
    <phoneticPr fontId="9" type="noConversion"/>
  </si>
  <si>
    <t>AREA1</t>
    <phoneticPr fontId="9" type="noConversion"/>
  </si>
  <si>
    <t>AREA2</t>
    <phoneticPr fontId="9" type="noConversion"/>
  </si>
  <si>
    <t>AREA3</t>
    <phoneticPr fontId="9" type="noConversion"/>
  </si>
  <si>
    <t>REVISION</t>
    <phoneticPr fontId="9" type="noConversion"/>
  </si>
  <si>
    <t>PID TAG</t>
    <phoneticPr fontId="9" type="noConversion"/>
  </si>
  <si>
    <t>TB3</t>
    <phoneticPr fontId="9" type="noConversion"/>
  </si>
  <si>
    <t>J/B</t>
    <phoneticPr fontId="9" type="noConversion"/>
  </si>
  <si>
    <t>TB3</t>
    <phoneticPr fontId="9" type="noConversion"/>
  </si>
  <si>
    <t>TYPE</t>
    <phoneticPr fontId="9" type="noConversion"/>
  </si>
  <si>
    <t>1TB</t>
    <phoneticPr fontId="9" type="noConversion"/>
  </si>
  <si>
    <t>MACRO</t>
    <phoneticPr fontId="9" type="noConversion"/>
  </si>
  <si>
    <t>2TB</t>
    <phoneticPr fontId="9" type="noConversion"/>
  </si>
  <si>
    <t>TB3</t>
    <phoneticPr fontId="9" type="noConversion"/>
  </si>
  <si>
    <t>3TB</t>
    <phoneticPr fontId="9" type="noConversion"/>
  </si>
  <si>
    <t>TBA</t>
    <phoneticPr fontId="9" type="noConversion"/>
  </si>
  <si>
    <t>CN NO</t>
    <phoneticPr fontId="9" type="noConversion"/>
  </si>
  <si>
    <t>BOARD</t>
    <phoneticPr fontId="9" type="noConversion"/>
  </si>
  <si>
    <t>TBD(3)</t>
    <phoneticPr fontId="9" type="noConversion"/>
  </si>
  <si>
    <t>SLOT</t>
    <phoneticPr fontId="9" type="noConversion"/>
  </si>
  <si>
    <t>CN NO</t>
    <phoneticPr fontId="9" type="noConversion"/>
  </si>
  <si>
    <t>TYPE</t>
    <phoneticPr fontId="9" type="noConversion"/>
  </si>
  <si>
    <t>*</t>
    <phoneticPr fontId="9" type="noConversion"/>
  </si>
  <si>
    <t>WIRING\PID</t>
    <phoneticPr fontId="9" type="noConversion"/>
  </si>
  <si>
    <t>*</t>
    <phoneticPr fontId="9" type="noConversion"/>
  </si>
  <si>
    <t>WIRING\PID-1</t>
    <phoneticPr fontId="9" type="noConversion"/>
  </si>
  <si>
    <t>JB</t>
    <phoneticPr fontId="9" type="noConversion"/>
  </si>
  <si>
    <t>WIRING\JB</t>
    <phoneticPr fontId="9" type="noConversion"/>
  </si>
  <si>
    <t>WIRING\JB-1</t>
    <phoneticPr fontId="9" type="noConversion"/>
  </si>
  <si>
    <t>A</t>
    <phoneticPr fontId="9" type="noConversion"/>
  </si>
  <si>
    <t>TB1</t>
    <phoneticPr fontId="9" type="noConversion"/>
  </si>
  <si>
    <t>WIRING\TB1</t>
    <phoneticPr fontId="9" type="noConversion"/>
  </si>
  <si>
    <t>WIRING\TB1-1</t>
    <phoneticPr fontId="9" type="noConversion"/>
  </si>
  <si>
    <t>TB2</t>
    <phoneticPr fontId="9" type="noConversion"/>
  </si>
  <si>
    <t>WIRING\TB2</t>
    <phoneticPr fontId="9" type="noConversion"/>
  </si>
  <si>
    <t>WIRING\TB2-1</t>
    <phoneticPr fontId="9" type="noConversion"/>
  </si>
  <si>
    <t>TB3</t>
    <phoneticPr fontId="9" type="noConversion"/>
  </si>
  <si>
    <t>WIRING\TB3</t>
    <phoneticPr fontId="9" type="noConversion"/>
  </si>
  <si>
    <t>*</t>
    <phoneticPr fontId="9" type="noConversion"/>
  </si>
  <si>
    <t>WIRING\TB3-1</t>
    <phoneticPr fontId="9" type="noConversion"/>
  </si>
  <si>
    <t>AI/AO</t>
    <phoneticPr fontId="9" type="noConversion"/>
  </si>
  <si>
    <t>WIRING\TBA1</t>
    <phoneticPr fontId="9" type="noConversion"/>
  </si>
  <si>
    <t>A</t>
    <phoneticPr fontId="9" type="noConversion"/>
  </si>
  <si>
    <t>WIRING\TBA2</t>
    <phoneticPr fontId="9" type="noConversion"/>
  </si>
  <si>
    <t>Analog_1Slot</t>
    <phoneticPr fontId="9" type="noConversion"/>
  </si>
  <si>
    <t>CN A</t>
    <phoneticPr fontId="9" type="noConversion"/>
  </si>
  <si>
    <t>WIRING\WIRING_1SLOT</t>
    <phoneticPr fontId="9" type="noConversion"/>
  </si>
  <si>
    <t>CLOUD\WIRING_AREA1-1</t>
    <phoneticPr fontId="9" type="noConversion"/>
  </si>
  <si>
    <t>B</t>
    <phoneticPr fontId="9" type="noConversion"/>
  </si>
  <si>
    <t>WIRING\FTB1</t>
    <phoneticPr fontId="9" type="noConversion"/>
  </si>
  <si>
    <t>B</t>
    <phoneticPr fontId="9" type="noConversion"/>
  </si>
  <si>
    <t>DI/DO</t>
    <phoneticPr fontId="9" type="noConversion"/>
  </si>
  <si>
    <t>AED5D</t>
    <phoneticPr fontId="9" type="noConversion"/>
  </si>
  <si>
    <t>WIRING\TBA3</t>
    <phoneticPr fontId="9" type="noConversion"/>
  </si>
  <si>
    <t>A</t>
    <phoneticPr fontId="9" type="noConversion"/>
  </si>
  <si>
    <t>Analog_2Slot</t>
    <phoneticPr fontId="9" type="noConversion"/>
  </si>
  <si>
    <t>CN B</t>
    <phoneticPr fontId="9" type="noConversion"/>
  </si>
  <si>
    <t>WIRING\WIRING_2SLOT</t>
    <phoneticPr fontId="9" type="noConversion"/>
  </si>
  <si>
    <t>CLOUD\WIRING_AREA1-2</t>
    <phoneticPr fontId="9" type="noConversion"/>
  </si>
  <si>
    <t>C</t>
    <phoneticPr fontId="9" type="noConversion"/>
  </si>
  <si>
    <t>WIRING\DTB1</t>
    <phoneticPr fontId="9" type="noConversion"/>
  </si>
  <si>
    <t>AED5D</t>
    <phoneticPr fontId="9" type="noConversion"/>
  </si>
  <si>
    <t>WIRING\TBA4</t>
    <phoneticPr fontId="9" type="noConversion"/>
  </si>
  <si>
    <t>공통</t>
    <phoneticPr fontId="9" type="noConversion"/>
  </si>
  <si>
    <t>WIRING\WIRING</t>
    <phoneticPr fontId="9" type="noConversion"/>
  </si>
  <si>
    <t>CLOUD\WIRING_AREA2-1</t>
    <phoneticPr fontId="9" type="noConversion"/>
  </si>
  <si>
    <t>D</t>
    <phoneticPr fontId="9" type="noConversion"/>
  </si>
  <si>
    <t>ARM55D</t>
    <phoneticPr fontId="9" type="noConversion"/>
  </si>
  <si>
    <t>WIRING\TBA5</t>
    <phoneticPr fontId="9" type="noConversion"/>
  </si>
  <si>
    <t>CLOUD\WIRING_AREA2-2</t>
    <phoneticPr fontId="9" type="noConversion"/>
  </si>
  <si>
    <t>E</t>
    <phoneticPr fontId="9" type="noConversion"/>
  </si>
  <si>
    <t>DI/DO</t>
    <phoneticPr fontId="9" type="noConversion"/>
  </si>
  <si>
    <t>WIRING\TBA5-1</t>
    <phoneticPr fontId="9" type="noConversion"/>
  </si>
  <si>
    <t>WIRING\TBA6-1</t>
    <phoneticPr fontId="9" type="noConversion"/>
  </si>
  <si>
    <t>CLOUD\WIRING_AREA2-3</t>
    <phoneticPr fontId="9" type="noConversion"/>
  </si>
  <si>
    <t>F</t>
    <phoneticPr fontId="9" type="noConversion"/>
  </si>
  <si>
    <t>ARM15A</t>
    <phoneticPr fontId="9" type="noConversion"/>
  </si>
  <si>
    <t>WIRING\TBA6</t>
    <phoneticPr fontId="9" type="noConversion"/>
  </si>
  <si>
    <t>WIRING\TBA7-1</t>
    <phoneticPr fontId="9" type="noConversion"/>
  </si>
  <si>
    <t>CLOUD\WIRING_AREA2-4</t>
    <phoneticPr fontId="9" type="noConversion"/>
  </si>
  <si>
    <t>G</t>
    <phoneticPr fontId="9" type="noConversion"/>
  </si>
  <si>
    <t>CLOUD\WIRING_AREA2-5</t>
    <phoneticPr fontId="9" type="noConversion"/>
  </si>
  <si>
    <t>H</t>
    <phoneticPr fontId="9" type="noConversion"/>
  </si>
  <si>
    <t>ARM55W</t>
    <phoneticPr fontId="9" type="noConversion"/>
  </si>
  <si>
    <t>WIRING\TBA7</t>
    <phoneticPr fontId="9" type="noConversion"/>
  </si>
  <si>
    <t>CLOUD\WIRING_AREA2-6</t>
    <phoneticPr fontId="9" type="noConversion"/>
  </si>
  <si>
    <t>I</t>
    <phoneticPr fontId="9" type="noConversion"/>
  </si>
  <si>
    <t>I</t>
    <phoneticPr fontId="9" type="noConversion"/>
  </si>
  <si>
    <t>CLOUD\WIRING_AREA3-1</t>
    <phoneticPr fontId="9" type="noConversion"/>
  </si>
  <si>
    <t>J</t>
    <phoneticPr fontId="9" type="noConversion"/>
  </si>
  <si>
    <t>WIRING\TBA</t>
    <phoneticPr fontId="9" type="noConversion"/>
  </si>
  <si>
    <t>WIRING\TBA-1</t>
    <phoneticPr fontId="9" type="noConversion"/>
  </si>
  <si>
    <t>CLOUD\WIRING_AREA3-2</t>
    <phoneticPr fontId="9" type="noConversion"/>
  </si>
  <si>
    <t>K</t>
    <phoneticPr fontId="9" type="noConversion"/>
  </si>
  <si>
    <t>CLOUD\WIRING_AREA4-1</t>
    <phoneticPr fontId="9" type="noConversion"/>
  </si>
  <si>
    <t>L</t>
    <phoneticPr fontId="9" type="noConversion"/>
  </si>
  <si>
    <t>WIRING\TBA-1</t>
    <phoneticPr fontId="9" type="noConversion"/>
  </si>
  <si>
    <t>CLOUD\WIRING_AREA4-2</t>
    <phoneticPr fontId="9" type="noConversion"/>
  </si>
  <si>
    <t>M</t>
    <phoneticPr fontId="9" type="noConversion"/>
  </si>
  <si>
    <t>CLOUD\WIRING_SPARE1</t>
    <phoneticPr fontId="9" type="noConversion"/>
  </si>
  <si>
    <t>N</t>
    <phoneticPr fontId="9" type="noConversion"/>
  </si>
  <si>
    <t>CLOUD\WIRING_SPARE2</t>
    <phoneticPr fontId="9" type="noConversion"/>
  </si>
  <si>
    <t>O</t>
    <phoneticPr fontId="9" type="noConversion"/>
  </si>
  <si>
    <t>CLOUD\WIRING_SPARE3</t>
    <phoneticPr fontId="9" type="noConversion"/>
  </si>
  <si>
    <t>CLOUD\WIRING_SPARE4</t>
    <phoneticPr fontId="9" type="noConversion"/>
  </si>
  <si>
    <t>1RY</t>
    <phoneticPr fontId="9" type="noConversion"/>
  </si>
  <si>
    <t>MACRO</t>
    <phoneticPr fontId="9" type="noConversion"/>
  </si>
  <si>
    <t>POWER</t>
    <phoneticPr fontId="9" type="noConversion"/>
  </si>
  <si>
    <t>TYPE</t>
    <phoneticPr fontId="9" type="noConversion"/>
  </si>
  <si>
    <t>1SA</t>
    <phoneticPr fontId="9" type="noConversion"/>
  </si>
  <si>
    <t>2SA</t>
    <phoneticPr fontId="9" type="noConversion"/>
  </si>
  <si>
    <t>WIRING\WIRING</t>
    <phoneticPr fontId="9" type="noConversion"/>
  </si>
  <si>
    <t>CLOUD\WIRING_SPARE5</t>
    <phoneticPr fontId="9" type="noConversion"/>
  </si>
  <si>
    <t>RY1</t>
    <phoneticPr fontId="9" type="noConversion"/>
  </si>
  <si>
    <t>WIRING\RY1</t>
    <phoneticPr fontId="9" type="noConversion"/>
  </si>
  <si>
    <t>WIRING\RY2</t>
    <phoneticPr fontId="9" type="noConversion"/>
  </si>
  <si>
    <t>SA1</t>
    <phoneticPr fontId="9" type="noConversion"/>
  </si>
  <si>
    <t>WIRING\SA1</t>
    <phoneticPr fontId="9" type="noConversion"/>
  </si>
  <si>
    <t>SA2</t>
    <phoneticPr fontId="9" type="noConversion"/>
  </si>
  <si>
    <t>WIRING\SA2</t>
    <phoneticPr fontId="9" type="noConversion"/>
  </si>
  <si>
    <t>D</t>
    <phoneticPr fontId="9" type="noConversion"/>
  </si>
  <si>
    <t>Analog_1Slot_RIO</t>
    <phoneticPr fontId="9" type="noConversion"/>
  </si>
  <si>
    <t>WIRING\WIRING_1SLOT_RIO</t>
    <phoneticPr fontId="9" type="noConversion"/>
  </si>
  <si>
    <t>Analog_2Slot_RIO</t>
    <phoneticPr fontId="9" type="noConversion"/>
  </si>
  <si>
    <t>CN B</t>
    <phoneticPr fontId="9" type="noConversion"/>
  </si>
  <si>
    <t>WIRING\WIRING_2SLOT_RIO</t>
    <phoneticPr fontId="9" type="noConversion"/>
  </si>
  <si>
    <t>ARM55T</t>
    <phoneticPr fontId="9" type="noConversion"/>
  </si>
  <si>
    <t>WIRING\TBA8</t>
    <phoneticPr fontId="9" type="noConversion"/>
  </si>
  <si>
    <t>4-WIRE</t>
    <phoneticPr fontId="9" type="noConversion"/>
  </si>
  <si>
    <t>WIRING\4WIRE</t>
    <phoneticPr fontId="9" type="noConversion"/>
  </si>
  <si>
    <t>TYPICAL EEC</t>
    <phoneticPr fontId="19" type="noConversion"/>
  </si>
  <si>
    <t>Installation site</t>
  </si>
  <si>
    <t>Document type</t>
    <phoneticPr fontId="9" type="noConversion"/>
  </si>
  <si>
    <t>Representation Type</t>
    <phoneticPr fontId="9" type="noConversion"/>
  </si>
  <si>
    <t>!</t>
    <phoneticPr fontId="9" type="noConversion"/>
  </si>
  <si>
    <t>Location1</t>
  </si>
  <si>
    <t>Panel name1</t>
  </si>
  <si>
    <t>Comp. No1</t>
  </si>
  <si>
    <t>PID Tag</t>
  </si>
  <si>
    <t>PANEL INFO</t>
  </si>
  <si>
    <t>IO TYPE</t>
  </si>
  <si>
    <t>TB1</t>
  </si>
  <si>
    <t>TB2</t>
  </si>
  <si>
    <t>TB3</t>
  </si>
  <si>
    <t>Cable Name1</t>
  </si>
  <si>
    <t>Wire Ident1-1</t>
  </si>
  <si>
    <t>Wire Ident1-2</t>
  </si>
  <si>
    <t>Wire Ident1-3</t>
  </si>
  <si>
    <t>Cable Spec1</t>
    <phoneticPr fontId="9" type="noConversion"/>
  </si>
  <si>
    <t>MUX name</t>
  </si>
  <si>
    <t>MUX TB NO</t>
  </si>
  <si>
    <t>Cable Name2</t>
  </si>
  <si>
    <t>Wire Ident2-1</t>
  </si>
  <si>
    <t>Wire Ident2-2</t>
  </si>
  <si>
    <t>Cable Spec2</t>
    <phoneticPr fontId="9" type="noConversion"/>
  </si>
  <si>
    <t>JB GRP NO</t>
  </si>
  <si>
    <t>JB(+)</t>
  </si>
  <si>
    <t>JB(-)</t>
  </si>
  <si>
    <t>JB(3)</t>
    <phoneticPr fontId="9" type="noConversion"/>
  </si>
  <si>
    <t>Cable Name3</t>
  </si>
  <si>
    <t>Wire Ident3-1</t>
  </si>
  <si>
    <t>Wire Ident3-2</t>
  </si>
  <si>
    <t>Wire Ident3-3</t>
    <phoneticPr fontId="9" type="noConversion"/>
  </si>
  <si>
    <t>Cable Spec3</t>
    <phoneticPr fontId="9" type="noConversion"/>
  </si>
  <si>
    <t>FJB GRP NO</t>
  </si>
  <si>
    <t>FJB TB1</t>
  </si>
  <si>
    <t>FJB TB2</t>
  </si>
  <si>
    <t>FJB TB3</t>
  </si>
  <si>
    <t>FJB TB4</t>
  </si>
  <si>
    <t>FJB TB5</t>
  </si>
  <si>
    <t>FJB TB6</t>
  </si>
  <si>
    <t>FJB TB7</t>
  </si>
  <si>
    <t>FJB TB8</t>
  </si>
  <si>
    <t>FJB TB9</t>
  </si>
  <si>
    <t>MTB Name</t>
  </si>
  <si>
    <t>MTB NO</t>
  </si>
  <si>
    <t>Cable Name4</t>
  </si>
  <si>
    <t>Wire Ident4-1</t>
  </si>
  <si>
    <t>Wire Ident4-2</t>
  </si>
  <si>
    <t>Cable Spec4</t>
    <phoneticPr fontId="9" type="noConversion"/>
  </si>
  <si>
    <t>Location2</t>
  </si>
  <si>
    <t>Panel name2</t>
  </si>
  <si>
    <t>Comp. No2</t>
  </si>
  <si>
    <t>TB GRP NO1</t>
  </si>
  <si>
    <t>TB1-1</t>
  </si>
  <si>
    <t>TB1-2</t>
  </si>
  <si>
    <t>TB1-3</t>
    <phoneticPr fontId="9" type="noConversion"/>
  </si>
  <si>
    <t>Cable Name5</t>
  </si>
  <si>
    <t>Wire Ident5-1</t>
  </si>
  <si>
    <t>Wire Ident5-2</t>
  </si>
  <si>
    <t>Wire Ident5-3</t>
  </si>
  <si>
    <t>Cable Spec5</t>
    <phoneticPr fontId="9" type="noConversion"/>
  </si>
  <si>
    <t>Location3</t>
  </si>
  <si>
    <t>Panel name3</t>
  </si>
  <si>
    <t>Comp. No3</t>
  </si>
  <si>
    <t>TB GRP NO2</t>
  </si>
  <si>
    <t>TB2-1</t>
  </si>
  <si>
    <t>TB2-2</t>
  </si>
  <si>
    <t>TB2-3</t>
  </si>
  <si>
    <t>Cable Name6</t>
  </si>
  <si>
    <t>Wire Ident6-1</t>
  </si>
  <si>
    <t>Wire Ident6-2</t>
  </si>
  <si>
    <t>Wire Ident6-3</t>
  </si>
  <si>
    <t>Cable Spec6</t>
    <phoneticPr fontId="9" type="noConversion"/>
  </si>
  <si>
    <t>Location4</t>
  </si>
  <si>
    <t>Panel name4</t>
  </si>
  <si>
    <t>Comp. No4</t>
  </si>
  <si>
    <t>TB GRP NO3</t>
  </si>
  <si>
    <t>TB3-1</t>
  </si>
  <si>
    <t>TB3-2</t>
  </si>
  <si>
    <t>TB3-3</t>
  </si>
  <si>
    <t>Cable Name7</t>
  </si>
  <si>
    <t>Wire Ident7-1</t>
  </si>
  <si>
    <t>Wire Ident7-2</t>
  </si>
  <si>
    <t>Wire Ident7-3</t>
  </si>
  <si>
    <t>Cable Spec7</t>
    <phoneticPr fontId="9" type="noConversion"/>
  </si>
  <si>
    <t>TBA NO</t>
    <phoneticPr fontId="9" type="noConversion"/>
  </si>
  <si>
    <t>Board</t>
  </si>
  <si>
    <t>TBD LOC</t>
  </si>
  <si>
    <t>TM</t>
  </si>
  <si>
    <t>TBD(+)</t>
  </si>
  <si>
    <t>TBD(-)</t>
  </si>
  <si>
    <t>TBD(3)</t>
    <phoneticPr fontId="9" type="noConversion"/>
  </si>
  <si>
    <t>CN A</t>
  </si>
  <si>
    <t>CN B</t>
  </si>
  <si>
    <t>Wire No1</t>
  </si>
  <si>
    <t>Wire No2</t>
  </si>
  <si>
    <t>RELAY Name</t>
  </si>
  <si>
    <t>RELAY TB(+)</t>
  </si>
  <si>
    <t>RELAY TB(-)</t>
  </si>
  <si>
    <t>RELAY CONTACT1</t>
  </si>
  <si>
    <t>RELAY CONTACT2</t>
  </si>
  <si>
    <t>RELAY POWER(+)</t>
  </si>
  <si>
    <t>RELAY POWER(-)</t>
  </si>
  <si>
    <t>SA1 Name</t>
  </si>
  <si>
    <t>SA1 TB1</t>
  </si>
  <si>
    <t>SA1 TB2</t>
  </si>
  <si>
    <t>SA1 TB3</t>
  </si>
  <si>
    <t>SA1 TB4</t>
  </si>
  <si>
    <t>SA1 POWER(+)</t>
    <phoneticPr fontId="9" type="noConversion"/>
  </si>
  <si>
    <t>SA1 POWER(-)</t>
    <phoneticPr fontId="9" type="noConversion"/>
  </si>
  <si>
    <t>SA2 Name</t>
  </si>
  <si>
    <t>SA2 TB1</t>
  </si>
  <si>
    <t>SA2 TB2</t>
  </si>
  <si>
    <t>SA2 TB3</t>
  </si>
  <si>
    <t>SA2 TB4</t>
  </si>
  <si>
    <t>Location5</t>
  </si>
  <si>
    <t>Panel name5</t>
  </si>
  <si>
    <t>Comp. No5</t>
  </si>
  <si>
    <t>Cable No</t>
  </si>
  <si>
    <t>Cable Spec8</t>
    <phoneticPr fontId="9" type="noConversion"/>
  </si>
  <si>
    <t>WIRING NO1</t>
    <phoneticPr fontId="9" type="noConversion"/>
  </si>
  <si>
    <t>WIRING NO2</t>
    <phoneticPr fontId="9" type="noConversion"/>
  </si>
  <si>
    <t>DOMAIN NO</t>
  </si>
  <si>
    <t>STA NO</t>
  </si>
  <si>
    <t>NODE NO</t>
  </si>
  <si>
    <t>SLOT NO1</t>
    <phoneticPr fontId="9" type="noConversion"/>
  </si>
  <si>
    <t>SLOT NO2</t>
    <phoneticPr fontId="9" type="noConversion"/>
  </si>
  <si>
    <t>CN NO</t>
  </si>
  <si>
    <t>STA Model</t>
  </si>
  <si>
    <t>Node Model</t>
  </si>
  <si>
    <t>NEST</t>
  </si>
  <si>
    <t>IO Module</t>
  </si>
  <si>
    <t>Spare3</t>
    <phoneticPr fontId="9" type="noConversion"/>
  </si>
  <si>
    <t>DCS Tag</t>
    <phoneticPr fontId="9" type="noConversion"/>
  </si>
  <si>
    <t>DCS Tag1</t>
    <phoneticPr fontId="9" type="noConversion"/>
  </si>
  <si>
    <t>COMMENT</t>
    <phoneticPr fontId="9" type="noConversion"/>
  </si>
  <si>
    <t>F/B-1</t>
  </si>
  <si>
    <t>F/B-2</t>
  </si>
  <si>
    <t>F/B-name1</t>
    <phoneticPr fontId="23" type="noConversion"/>
  </si>
  <si>
    <t>F/B-name2</t>
    <phoneticPr fontId="23" type="noConversion"/>
  </si>
  <si>
    <t>Macro name</t>
    <phoneticPr fontId="23" type="noConversion"/>
  </si>
  <si>
    <t>Simple/Complex</t>
    <phoneticPr fontId="23" type="noConversion"/>
  </si>
  <si>
    <t>Variant1</t>
    <phoneticPr fontId="23" type="noConversion"/>
  </si>
  <si>
    <t>Redundant</t>
    <phoneticPr fontId="23" type="noConversion"/>
  </si>
  <si>
    <t>plus</t>
    <phoneticPr fontId="23" type="noConversion"/>
  </si>
  <si>
    <t>minus</t>
    <phoneticPr fontId="23" type="noConversion"/>
  </si>
  <si>
    <t>Page Description</t>
  </si>
  <si>
    <t>NO</t>
    <phoneticPr fontId="9" type="noConversion"/>
  </si>
  <si>
    <t>REV_AREA1-1</t>
    <phoneticPr fontId="9" type="noConversion"/>
  </si>
  <si>
    <t>REV_AREA1-2</t>
  </si>
  <si>
    <t>REV_AREA2-1</t>
    <phoneticPr fontId="9" type="noConversion"/>
  </si>
  <si>
    <t>REV_AREA2-2</t>
  </si>
  <si>
    <t>REV_AREA2-3</t>
  </si>
  <si>
    <t>REV_AREA2-4</t>
    <phoneticPr fontId="9" type="noConversion"/>
  </si>
  <si>
    <t>REV_AREA2-5</t>
  </si>
  <si>
    <t>REV_AREA2-6</t>
    <phoneticPr fontId="9" type="noConversion"/>
  </si>
  <si>
    <t>REV_AREA3-1</t>
    <phoneticPr fontId="9" type="noConversion"/>
  </si>
  <si>
    <t>REV_AREA4-1</t>
    <phoneticPr fontId="9" type="noConversion"/>
  </si>
  <si>
    <t>INT_POWER</t>
    <phoneticPr fontId="9" type="noConversion"/>
  </si>
  <si>
    <t>EXT_POWER</t>
    <phoneticPr fontId="9" type="noConversion"/>
  </si>
  <si>
    <t>Comp.No5_1</t>
    <phoneticPr fontId="9" type="noConversion"/>
  </si>
  <si>
    <t>Comp.No.5_1</t>
    <phoneticPr fontId="9" type="noConversion"/>
  </si>
  <si>
    <t>L</t>
    <phoneticPr fontId="9" type="noConversion"/>
  </si>
  <si>
    <t>N</t>
    <phoneticPr fontId="9" type="noConversion"/>
  </si>
  <si>
    <t>L(+)</t>
    <phoneticPr fontId="9" type="noConversion"/>
  </si>
  <si>
    <t>L(-)</t>
    <phoneticPr fontId="9" type="noConversion"/>
  </si>
  <si>
    <t>R(+)</t>
    <phoneticPr fontId="9" type="noConversion"/>
  </si>
  <si>
    <t>R(-)</t>
    <phoneticPr fontId="9" type="noConversion"/>
  </si>
  <si>
    <t>REV_AREA3-2</t>
    <phoneticPr fontId="9" type="noConversion"/>
  </si>
  <si>
    <t>REV_AREA4-2</t>
    <phoneticPr fontId="9" type="noConversion"/>
  </si>
  <si>
    <t>REV_SPARE1</t>
    <phoneticPr fontId="9" type="noConversion"/>
  </si>
  <si>
    <t>REV_SPARE2</t>
    <phoneticPr fontId="9" type="noConversion"/>
  </si>
  <si>
    <t>REV_SPARE3</t>
    <phoneticPr fontId="9" type="noConversion"/>
  </si>
  <si>
    <t>REV_SPARE4</t>
    <phoneticPr fontId="9" type="noConversion"/>
  </si>
  <si>
    <t>REV_SPARE5</t>
    <phoneticPr fontId="9" type="noConversion"/>
  </si>
  <si>
    <t>REV_NO_AREA1-1</t>
    <phoneticPr fontId="9" type="noConversion"/>
  </si>
  <si>
    <t>REV_NO_AREA1-2</t>
    <phoneticPr fontId="9" type="noConversion"/>
  </si>
  <si>
    <t>REV_NO_AREA2-1</t>
    <phoneticPr fontId="9" type="noConversion"/>
  </si>
  <si>
    <t>REV_NO_AREA2-2</t>
    <phoneticPr fontId="9" type="noConversion"/>
  </si>
  <si>
    <t>REV_NO_AREA2-3</t>
    <phoneticPr fontId="9" type="noConversion"/>
  </si>
  <si>
    <t>REV_NO_AREA2-4</t>
    <phoneticPr fontId="9" type="noConversion"/>
  </si>
  <si>
    <t>REV_NO_AREA2-5</t>
    <phoneticPr fontId="9" type="noConversion"/>
  </si>
  <si>
    <t>REV_NO_AREA2-6</t>
    <phoneticPr fontId="9" type="noConversion"/>
  </si>
  <si>
    <t>REV_NO_AREA3-1</t>
    <phoneticPr fontId="9" type="noConversion"/>
  </si>
  <si>
    <t>REV_NO_AREA4-1</t>
    <phoneticPr fontId="9" type="noConversion"/>
  </si>
  <si>
    <t>REV_NO_AREA3-2</t>
    <phoneticPr fontId="9" type="noConversion"/>
  </si>
  <si>
    <t>REV_NO_AREA4-2</t>
    <phoneticPr fontId="9" type="noConversion"/>
  </si>
  <si>
    <t>REV_NO_SPARE1</t>
    <phoneticPr fontId="9" type="noConversion"/>
  </si>
  <si>
    <t>REV_NO_SPARE2</t>
    <phoneticPr fontId="9" type="noConversion"/>
  </si>
  <si>
    <t>REV_NO_SPARE3</t>
    <phoneticPr fontId="9" type="noConversion"/>
  </si>
  <si>
    <t>REV_NO_SPARE4</t>
    <phoneticPr fontId="9" type="noConversion"/>
  </si>
  <si>
    <t>REV_NO_SPARE5</t>
    <phoneticPr fontId="9" type="noConversion"/>
  </si>
  <si>
    <t>TB_Model</t>
    <phoneticPr fontId="9" type="noConversion"/>
  </si>
  <si>
    <t>TB_Fuse</t>
    <phoneticPr fontId="9" type="noConversion"/>
  </si>
  <si>
    <t>TB_Disconnection</t>
    <phoneticPr fontId="9" type="noConversion"/>
  </si>
  <si>
    <t>TYPICAL EEC</t>
    <phoneticPr fontId="19" type="noConversion"/>
  </si>
  <si>
    <t>Document type</t>
    <phoneticPr fontId="9" type="noConversion"/>
  </si>
  <si>
    <t>Representation Type</t>
    <phoneticPr fontId="9" type="noConversion"/>
  </si>
  <si>
    <t>!</t>
    <phoneticPr fontId="9" type="noConversion"/>
  </si>
  <si>
    <t>Location1</t>
    <phoneticPr fontId="9" type="noConversion"/>
  </si>
  <si>
    <t>Cable Spec1</t>
    <phoneticPr fontId="9" type="noConversion"/>
  </si>
  <si>
    <t>Cable Spec2</t>
    <phoneticPr fontId="9" type="noConversion"/>
  </si>
  <si>
    <t>JB GRP NO</t>
    <phoneticPr fontId="19" type="noConversion"/>
  </si>
  <si>
    <t>JB(3)</t>
    <phoneticPr fontId="9" type="noConversion"/>
  </si>
  <si>
    <t>Wire Ident3-3</t>
    <phoneticPr fontId="9" type="noConversion"/>
  </si>
  <si>
    <t>Cable Spec3</t>
    <phoneticPr fontId="9" type="noConversion"/>
  </si>
  <si>
    <t>Cable Spec4</t>
    <phoneticPr fontId="9" type="noConversion"/>
  </si>
  <si>
    <t>TB1-3</t>
    <phoneticPr fontId="9" type="noConversion"/>
  </si>
  <si>
    <t>Cable Spec5</t>
    <phoneticPr fontId="9" type="noConversion"/>
  </si>
  <si>
    <t>TB GRP NO2</t>
    <phoneticPr fontId="9" type="noConversion"/>
  </si>
  <si>
    <t>Cable Spec6</t>
    <phoneticPr fontId="9" type="noConversion"/>
  </si>
  <si>
    <t>Cable Spec7</t>
    <phoneticPr fontId="9" type="noConversion"/>
  </si>
  <si>
    <t>TBA NO</t>
    <phoneticPr fontId="9" type="noConversion"/>
  </si>
  <si>
    <t>SA1 POWER(+)</t>
    <phoneticPr fontId="9" type="noConversion"/>
  </si>
  <si>
    <t>SA1 POWER(-)</t>
    <phoneticPr fontId="9" type="noConversion"/>
  </si>
  <si>
    <t>Cable Spec8</t>
    <phoneticPr fontId="9" type="noConversion"/>
  </si>
  <si>
    <t>WIRING NO1</t>
    <phoneticPr fontId="9" type="noConversion"/>
  </si>
  <si>
    <t>WIRING NO2</t>
    <phoneticPr fontId="9" type="noConversion"/>
  </si>
  <si>
    <t>SLOT NO1</t>
    <phoneticPr fontId="9" type="noConversion"/>
  </si>
  <si>
    <t>SLOT NO2</t>
    <phoneticPr fontId="9" type="noConversion"/>
  </si>
  <si>
    <t>Spare3</t>
    <phoneticPr fontId="9" type="noConversion"/>
  </si>
  <si>
    <t>DCS Tag</t>
    <phoneticPr fontId="9" type="noConversion"/>
  </si>
  <si>
    <t>DCS Tag1</t>
    <phoneticPr fontId="9" type="noConversion"/>
  </si>
  <si>
    <t>COMMENT</t>
    <phoneticPr fontId="9" type="noConversion"/>
  </si>
  <si>
    <t>F/B-name1</t>
    <phoneticPr fontId="23" type="noConversion"/>
  </si>
  <si>
    <t>F/B-name2</t>
    <phoneticPr fontId="23" type="noConversion"/>
  </si>
  <si>
    <t>Macro name</t>
    <phoneticPr fontId="23" type="noConversion"/>
  </si>
  <si>
    <t>Simple/Complex</t>
    <phoneticPr fontId="23" type="noConversion"/>
  </si>
  <si>
    <t>Variant1</t>
    <phoneticPr fontId="23" type="noConversion"/>
  </si>
  <si>
    <t>Spare1</t>
    <phoneticPr fontId="23" type="noConversion"/>
  </si>
  <si>
    <t>Spare2</t>
    <phoneticPr fontId="23" type="noConversion"/>
  </si>
  <si>
    <t>NO</t>
    <phoneticPr fontId="9" type="noConversion"/>
  </si>
  <si>
    <t>REV_AREA1-1</t>
    <phoneticPr fontId="9" type="noConversion"/>
  </si>
  <si>
    <t>REV_AREA2-1</t>
    <phoneticPr fontId="9" type="noConversion"/>
  </si>
  <si>
    <t>REV_AREA2-4</t>
    <phoneticPr fontId="9" type="noConversion"/>
  </si>
  <si>
    <t>REV_AREA2-6</t>
    <phoneticPr fontId="9" type="noConversion"/>
  </si>
  <si>
    <t>REV_AREA3-1</t>
    <phoneticPr fontId="9" type="noConversion"/>
  </si>
  <si>
    <t>REV_AREA3-2</t>
    <phoneticPr fontId="9" type="noConversion"/>
  </si>
  <si>
    <t>Rev Description</t>
    <phoneticPr fontId="9" type="noConversion"/>
  </si>
  <si>
    <t>EXT_POWER</t>
    <phoneticPr fontId="9" type="noConversion"/>
  </si>
  <si>
    <t>L</t>
    <phoneticPr fontId="9" type="noConversion"/>
  </si>
  <si>
    <t>N</t>
    <phoneticPr fontId="9" type="noConversion"/>
  </si>
  <si>
    <t>L(+)</t>
    <phoneticPr fontId="9" type="noConversion"/>
  </si>
  <si>
    <t>L(-)</t>
    <phoneticPr fontId="9" type="noConversion"/>
  </si>
  <si>
    <t>R(+)</t>
    <phoneticPr fontId="9" type="noConversion"/>
  </si>
  <si>
    <t>R(-)</t>
    <phoneticPr fontId="9" type="noConversion"/>
  </si>
  <si>
    <t>TAG TYPE</t>
    <phoneticPr fontId="9" type="noConversion"/>
  </si>
  <si>
    <t>tag_index</t>
    <phoneticPr fontId="9" type="noConversion"/>
  </si>
  <si>
    <t>rev_index</t>
    <phoneticPr fontId="9" type="noConversion"/>
  </si>
  <si>
    <t>REV_AREA4-1</t>
    <phoneticPr fontId="9" type="noConversion"/>
  </si>
  <si>
    <t>REV_AREA4-2</t>
    <phoneticPr fontId="9" type="noConversion"/>
  </si>
  <si>
    <t>REV_SPARE1</t>
    <phoneticPr fontId="9" type="noConversion"/>
  </si>
  <si>
    <t>REV_SPARE2</t>
    <phoneticPr fontId="9" type="noConversion"/>
  </si>
  <si>
    <t>REV_SPARE3</t>
    <phoneticPr fontId="9" type="noConversion"/>
  </si>
  <si>
    <t>REV_SPARE4</t>
    <phoneticPr fontId="9" type="noConversion"/>
  </si>
  <si>
    <t>REV_SPARE5</t>
    <phoneticPr fontId="9" type="noConversion"/>
  </si>
  <si>
    <t>REV_NO_AREA1-1</t>
    <phoneticPr fontId="9" type="noConversion"/>
  </si>
  <si>
    <t>REV_NO_AREA1-2</t>
    <phoneticPr fontId="9" type="noConversion"/>
  </si>
  <si>
    <t>REV_NO_AREA2-1</t>
    <phoneticPr fontId="9" type="noConversion"/>
  </si>
  <si>
    <t>REV_NO_AREA2-2</t>
    <phoneticPr fontId="9" type="noConversion"/>
  </si>
  <si>
    <t>REV_NO_AREA2-3</t>
    <phoneticPr fontId="9" type="noConversion"/>
  </si>
  <si>
    <t>REV_NO_AREA2-4</t>
    <phoneticPr fontId="9" type="noConversion"/>
  </si>
  <si>
    <t>REV_NO_AREA2-5</t>
    <phoneticPr fontId="9" type="noConversion"/>
  </si>
  <si>
    <t>REV_NO_AREA2-6</t>
    <phoneticPr fontId="9" type="noConversion"/>
  </si>
  <si>
    <t>REV_NO_AREA3-1</t>
    <phoneticPr fontId="9" type="noConversion"/>
  </si>
  <si>
    <t>REV_NO_AREA4-1</t>
    <phoneticPr fontId="9" type="noConversion"/>
  </si>
  <si>
    <t>REV_NO_AREA3-2</t>
    <phoneticPr fontId="9" type="noConversion"/>
  </si>
  <si>
    <t>REV_NO_AREA4-2</t>
    <phoneticPr fontId="9" type="noConversion"/>
  </si>
  <si>
    <t>REV_NO_SPARE1</t>
    <phoneticPr fontId="9" type="noConversion"/>
  </si>
  <si>
    <t>REV_NO_SPARE3</t>
    <phoneticPr fontId="9" type="noConversion"/>
  </si>
  <si>
    <t>REV_NO_SPARE4</t>
    <phoneticPr fontId="9" type="noConversion"/>
  </si>
  <si>
    <t>REV_NO_SPARE5</t>
    <phoneticPr fontId="9" type="noConversion"/>
  </si>
  <si>
    <t>TB1 GR No</t>
  </si>
  <si>
    <t>R GR No</t>
  </si>
  <si>
    <t>TLP IP</t>
  </si>
  <si>
    <t>DCS Tag2</t>
  </si>
  <si>
    <t>F/B-name3</t>
  </si>
  <si>
    <t>CON_TB_GRP_NO</t>
  </si>
  <si>
    <t>CON_TB_NO1</t>
  </si>
  <si>
    <t>CON_TB_NO2</t>
  </si>
  <si>
    <t>Wire Ident8-1</t>
  </si>
  <si>
    <t>Wire Ident8-2</t>
  </si>
  <si>
    <t>TB_Model</t>
  </si>
  <si>
    <t>Representation Type</t>
  </si>
  <si>
    <t>3A</t>
  </si>
  <si>
    <t>4A</t>
  </si>
  <si>
    <t>1A</t>
  </si>
  <si>
    <t>1B</t>
  </si>
  <si>
    <t>2B</t>
  </si>
  <si>
    <t>2A</t>
  </si>
  <si>
    <t>3B</t>
  </si>
  <si>
    <t>5A</t>
  </si>
  <si>
    <t>5B</t>
  </si>
  <si>
    <t>6A</t>
  </si>
  <si>
    <t>6B</t>
  </si>
  <si>
    <t>4B</t>
  </si>
  <si>
    <t>7A</t>
  </si>
  <si>
    <t>7B</t>
  </si>
  <si>
    <t>8A</t>
  </si>
  <si>
    <t>8B</t>
  </si>
  <si>
    <t>9A</t>
  </si>
  <si>
    <t>9B</t>
  </si>
  <si>
    <t>10B</t>
  </si>
  <si>
    <t>10A</t>
  </si>
  <si>
    <t>11A</t>
  </si>
  <si>
    <t>11B</t>
  </si>
  <si>
    <t>12A</t>
  </si>
  <si>
    <t>12B</t>
  </si>
  <si>
    <t>13A</t>
  </si>
  <si>
    <t>13B</t>
  </si>
  <si>
    <t>15A</t>
  </si>
  <si>
    <t>15B</t>
  </si>
  <si>
    <t>14A</t>
  </si>
  <si>
    <t>14B</t>
  </si>
  <si>
    <t>16A</t>
  </si>
  <si>
    <t>16B</t>
  </si>
  <si>
    <t>17A</t>
  </si>
  <si>
    <t>17B</t>
  </si>
  <si>
    <t>18A</t>
  </si>
  <si>
    <t>18B</t>
  </si>
  <si>
    <t>19A</t>
  </si>
  <si>
    <t>19B</t>
  </si>
  <si>
    <t>20A</t>
  </si>
  <si>
    <t>20B</t>
  </si>
  <si>
    <t>21A</t>
  </si>
  <si>
    <t>21B</t>
  </si>
  <si>
    <t>22A</t>
  </si>
  <si>
    <t>22B</t>
  </si>
  <si>
    <t>23A</t>
  </si>
  <si>
    <t>23B</t>
  </si>
  <si>
    <t>24A</t>
  </si>
  <si>
    <t>24B</t>
  </si>
  <si>
    <t>TYPICAL EEC</t>
    <phoneticPr fontId="9" type="noConversion"/>
  </si>
  <si>
    <t>Document type</t>
    <phoneticPr fontId="9" type="noConversion"/>
  </si>
  <si>
    <t>!</t>
    <phoneticPr fontId="9" type="noConversion"/>
  </si>
  <si>
    <t>PART_CABINET</t>
    <phoneticPr fontId="9" type="noConversion"/>
  </si>
  <si>
    <t>25A</t>
  </si>
  <si>
    <t>25B</t>
  </si>
  <si>
    <t>26A</t>
  </si>
  <si>
    <t>26B</t>
  </si>
  <si>
    <t>27A</t>
  </si>
  <si>
    <t>27B</t>
  </si>
  <si>
    <t>28A</t>
  </si>
  <si>
    <t>28B</t>
  </si>
  <si>
    <t>29A</t>
  </si>
  <si>
    <t>29B</t>
  </si>
  <si>
    <t>30A</t>
  </si>
  <si>
    <t>30B</t>
  </si>
  <si>
    <t>31A</t>
  </si>
  <si>
    <t>31B</t>
  </si>
  <si>
    <t>32A</t>
  </si>
  <si>
    <t>32B</t>
  </si>
  <si>
    <t>AUTO_GEN_CABINET\FCS</t>
    <phoneticPr fontId="9" type="noConversion"/>
  </si>
  <si>
    <t>PANEL</t>
    <phoneticPr fontId="9" type="noConversion"/>
  </si>
  <si>
    <t>FCS</t>
    <phoneticPr fontId="9" type="noConversion"/>
  </si>
  <si>
    <t>FCS0101</t>
    <phoneticPr fontId="9" type="noConversion"/>
  </si>
  <si>
    <t>Project properties</t>
  </si>
  <si>
    <t>WIRING</t>
    <phoneticPr fontId="9" type="noConversion"/>
  </si>
  <si>
    <t>TOTAL</t>
    <phoneticPr fontId="9" type="noConversion"/>
  </si>
  <si>
    <t>10013_0</t>
    <phoneticPr fontId="9" type="noConversion"/>
  </si>
  <si>
    <t>VP-DCS-</t>
    <phoneticPr fontId="9" type="noConversion"/>
  </si>
  <si>
    <t xml:space="preserve">IO POINT </t>
    <phoneticPr fontId="9" type="noConversion"/>
  </si>
  <si>
    <t>Rows</t>
    <phoneticPr fontId="9" type="noConversion"/>
  </si>
  <si>
    <t>REVISION &lt;40001&gt;</t>
    <phoneticPr fontId="9" type="noConversion"/>
  </si>
  <si>
    <t>40001_0</t>
    <phoneticPr fontId="9" type="noConversion"/>
  </si>
  <si>
    <t>Page</t>
    <phoneticPr fontId="9" type="noConversion"/>
  </si>
  <si>
    <t>Sub-System &lt;40002&gt;</t>
    <phoneticPr fontId="9" type="noConversion"/>
  </si>
  <si>
    <t>40002_0</t>
    <phoneticPr fontId="9" type="noConversion"/>
  </si>
  <si>
    <t>Centum VP</t>
    <phoneticPr fontId="9" type="noConversion"/>
  </si>
  <si>
    <t>작성자: 약칭 &lt;10230&gt;</t>
    <phoneticPr fontId="9" type="noConversion"/>
  </si>
  <si>
    <t>10230_0</t>
    <phoneticPr fontId="9" type="noConversion"/>
  </si>
  <si>
    <t>확인자 &lt;10162&gt;</t>
    <phoneticPr fontId="9" type="noConversion"/>
  </si>
  <si>
    <t>10162_0</t>
    <phoneticPr fontId="9" type="noConversion"/>
  </si>
  <si>
    <t>승인자 &lt;10160&gt;</t>
    <phoneticPr fontId="9" type="noConversion"/>
  </si>
  <si>
    <t>10160_0</t>
    <phoneticPr fontId="9" type="noConversion"/>
  </si>
  <si>
    <t>고객: 이름 1 &lt;10102&gt;</t>
    <phoneticPr fontId="9" type="noConversion"/>
  </si>
  <si>
    <t>10102_0</t>
    <phoneticPr fontId="9" type="noConversion"/>
  </si>
  <si>
    <t>최종 고객: 이름 1 &lt;10132&gt;</t>
    <phoneticPr fontId="9" type="noConversion"/>
  </si>
  <si>
    <t>10132_0</t>
    <phoneticPr fontId="9" type="noConversion"/>
  </si>
  <si>
    <t>Revision0  &lt;40003&gt;</t>
    <phoneticPr fontId="9" type="noConversion"/>
  </si>
  <si>
    <t>40003_0</t>
    <phoneticPr fontId="9" type="noConversion"/>
  </si>
  <si>
    <t>Revision0 Date &lt;40004&gt;</t>
    <phoneticPr fontId="9" type="noConversion"/>
  </si>
  <si>
    <t>40004_0</t>
    <phoneticPr fontId="9" type="noConversion"/>
  </si>
  <si>
    <t>Revision0 Description &lt;40005&gt;</t>
    <phoneticPr fontId="9" type="noConversion"/>
  </si>
  <si>
    <t>40005_0</t>
    <phoneticPr fontId="9" type="noConversion"/>
  </si>
  <si>
    <t>For Approval</t>
    <phoneticPr fontId="9" type="noConversion"/>
  </si>
  <si>
    <t>Revision0 BY &lt;40006&gt;</t>
    <phoneticPr fontId="9" type="noConversion"/>
  </si>
  <si>
    <t>40006_0</t>
    <phoneticPr fontId="9" type="noConversion"/>
  </si>
  <si>
    <t>Revision0 CKD &lt;40007&gt;</t>
    <phoneticPr fontId="9" type="noConversion"/>
  </si>
  <si>
    <t>40007_0</t>
    <phoneticPr fontId="9" type="noConversion"/>
  </si>
  <si>
    <t>Revision0 DISC APP &lt;40008&gt;</t>
    <phoneticPr fontId="9" type="noConversion"/>
  </si>
  <si>
    <t>40008_0</t>
    <phoneticPr fontId="9" type="noConversion"/>
  </si>
  <si>
    <t>Revision1 &lt;40009&gt;</t>
    <phoneticPr fontId="9" type="noConversion"/>
  </si>
  <si>
    <t>40009_0</t>
    <phoneticPr fontId="9" type="noConversion"/>
  </si>
  <si>
    <t>Revision1 Date &lt;40010&gt;</t>
    <phoneticPr fontId="9" type="noConversion"/>
  </si>
  <si>
    <t>40010_0</t>
    <phoneticPr fontId="9" type="noConversion"/>
  </si>
  <si>
    <t>Revision1 Description &lt;40011&gt;</t>
    <phoneticPr fontId="9" type="noConversion"/>
  </si>
  <si>
    <t>40011_0</t>
    <phoneticPr fontId="9" type="noConversion"/>
  </si>
  <si>
    <t>Revision1 BY &lt;40012&gt;</t>
    <phoneticPr fontId="9" type="noConversion"/>
  </si>
  <si>
    <t>40012_0</t>
    <phoneticPr fontId="9" type="noConversion"/>
  </si>
  <si>
    <t>Revision1 CKD &lt;40013&gt;</t>
    <phoneticPr fontId="9" type="noConversion"/>
  </si>
  <si>
    <t>40013_0</t>
    <phoneticPr fontId="9" type="noConversion"/>
  </si>
  <si>
    <t>Revision1 DISC APP &lt;40014&gt;</t>
    <phoneticPr fontId="9" type="noConversion"/>
  </si>
  <si>
    <t>40014_0</t>
    <phoneticPr fontId="9" type="noConversion"/>
  </si>
  <si>
    <t>Revision2 &lt;40015&gt;</t>
    <phoneticPr fontId="9" type="noConversion"/>
  </si>
  <si>
    <t>40015_0</t>
    <phoneticPr fontId="9" type="noConversion"/>
  </si>
  <si>
    <t>Revision2 Date &lt;40016&gt;</t>
    <phoneticPr fontId="9" type="noConversion"/>
  </si>
  <si>
    <t>40016_0</t>
    <phoneticPr fontId="9" type="noConversion"/>
  </si>
  <si>
    <t>Revision2 Description &lt;40017&gt;</t>
    <phoneticPr fontId="9" type="noConversion"/>
  </si>
  <si>
    <t>40017_0</t>
    <phoneticPr fontId="9" type="noConversion"/>
  </si>
  <si>
    <t>Revision2 BY &lt;40018&gt;</t>
    <phoneticPr fontId="9" type="noConversion"/>
  </si>
  <si>
    <t>40018_0</t>
    <phoneticPr fontId="9" type="noConversion"/>
  </si>
  <si>
    <t>Revision2 CKD &lt;40019&gt;</t>
    <phoneticPr fontId="9" type="noConversion"/>
  </si>
  <si>
    <t>40019_0</t>
    <phoneticPr fontId="9" type="noConversion"/>
  </si>
  <si>
    <t>Revision2 DISC APP &lt;40020&gt;</t>
    <phoneticPr fontId="9" type="noConversion"/>
  </si>
  <si>
    <t>40020_0</t>
    <phoneticPr fontId="9" type="noConversion"/>
  </si>
  <si>
    <t>Revision3 &lt;40021&gt;</t>
    <phoneticPr fontId="9" type="noConversion"/>
  </si>
  <si>
    <t>40021_0</t>
    <phoneticPr fontId="9" type="noConversion"/>
  </si>
  <si>
    <t>Revision3 Date &lt;40022&gt;</t>
    <phoneticPr fontId="9" type="noConversion"/>
  </si>
  <si>
    <t>40022_0</t>
    <phoneticPr fontId="9" type="noConversion"/>
  </si>
  <si>
    <t>Revision3 Description &lt;40023&gt;</t>
    <phoneticPr fontId="9" type="noConversion"/>
  </si>
  <si>
    <t>40023_0</t>
    <phoneticPr fontId="9" type="noConversion"/>
  </si>
  <si>
    <t>Revision3 BY &lt;40024&gt;</t>
    <phoneticPr fontId="9" type="noConversion"/>
  </si>
  <si>
    <t>40024_0</t>
    <phoneticPr fontId="9" type="noConversion"/>
  </si>
  <si>
    <t>Revision3 CKD &lt;40025&gt;</t>
    <phoneticPr fontId="9" type="noConversion"/>
  </si>
  <si>
    <t>40025_0</t>
    <phoneticPr fontId="9" type="noConversion"/>
  </si>
  <si>
    <t>Revision3 DISC APP &lt;40026&gt;</t>
    <phoneticPr fontId="9" type="noConversion"/>
  </si>
  <si>
    <t>40026_0</t>
    <phoneticPr fontId="9" type="noConversion"/>
  </si>
  <si>
    <t>Revision4 &lt;40027&gt;</t>
    <phoneticPr fontId="9" type="noConversion"/>
  </si>
  <si>
    <t>40027_0</t>
    <phoneticPr fontId="9" type="noConversion"/>
  </si>
  <si>
    <t>Revision4 Date &lt;40028&gt;</t>
    <phoneticPr fontId="9" type="noConversion"/>
  </si>
  <si>
    <t>40028_0</t>
    <phoneticPr fontId="9" type="noConversion"/>
  </si>
  <si>
    <t>Revision4 Description &lt;40029&gt;</t>
    <phoneticPr fontId="9" type="noConversion"/>
  </si>
  <si>
    <t>40029_0</t>
    <phoneticPr fontId="9" type="noConversion"/>
  </si>
  <si>
    <t>Revision4 BY &lt;40030&gt;</t>
    <phoneticPr fontId="9" type="noConversion"/>
  </si>
  <si>
    <t>40030_0</t>
    <phoneticPr fontId="9" type="noConversion"/>
  </si>
  <si>
    <t>Revision4 CKD &lt;40031&gt;</t>
    <phoneticPr fontId="9" type="noConversion"/>
  </si>
  <si>
    <t>40031_0</t>
    <phoneticPr fontId="9" type="noConversion"/>
  </si>
  <si>
    <t>Revision4 DISC APP &lt;40032&gt;</t>
    <phoneticPr fontId="9" type="noConversion"/>
  </si>
  <si>
    <t>40032_0</t>
    <phoneticPr fontId="9" type="noConversion"/>
  </si>
  <si>
    <t>Nameplate Font Size &lt;40033&gt;</t>
    <phoneticPr fontId="9" type="noConversion"/>
  </si>
  <si>
    <t>40033_0</t>
    <phoneticPr fontId="9" type="noConversion"/>
  </si>
  <si>
    <t>8mm</t>
  </si>
  <si>
    <t>Nameplate Font Type &lt;40034&gt;</t>
    <phoneticPr fontId="9" type="noConversion"/>
  </si>
  <si>
    <t>40034_0</t>
    <phoneticPr fontId="9" type="noConversion"/>
  </si>
  <si>
    <t>Arial</t>
  </si>
  <si>
    <t>Entrance Limitation_Width &lt;40040&gt;</t>
    <phoneticPr fontId="9" type="noConversion"/>
  </si>
  <si>
    <t>40040_0</t>
    <phoneticPr fontId="9" type="noConversion"/>
  </si>
  <si>
    <t>Entrance Limitation_Height &lt;40041&gt;</t>
    <phoneticPr fontId="9" type="noConversion"/>
  </si>
  <si>
    <t>40041_0</t>
    <phoneticPr fontId="9" type="noConversion"/>
  </si>
  <si>
    <t>Ventilation_Fan with filter &lt;40042&gt;</t>
    <phoneticPr fontId="9" type="noConversion"/>
  </si>
  <si>
    <t>40042_0</t>
    <phoneticPr fontId="9" type="noConversion"/>
  </si>
  <si>
    <t>Ventilation_Filter &lt;40043&gt;</t>
    <phoneticPr fontId="9" type="noConversion"/>
  </si>
  <si>
    <t>40043_0</t>
    <phoneticPr fontId="9" type="noConversion"/>
  </si>
  <si>
    <t>Lighting System &lt;40044&gt;</t>
    <phoneticPr fontId="9" type="noConversion"/>
  </si>
  <si>
    <t>40044_0</t>
    <phoneticPr fontId="9" type="noConversion"/>
  </si>
  <si>
    <t>Description Label &lt;40045&gt;</t>
    <phoneticPr fontId="9" type="noConversion"/>
  </si>
  <si>
    <t>40045_0</t>
    <phoneticPr fontId="9" type="noConversion"/>
  </si>
  <si>
    <t>Component No. Label &lt;40046&gt;</t>
    <phoneticPr fontId="9" type="noConversion"/>
  </si>
  <si>
    <t>40046_0</t>
    <phoneticPr fontId="9" type="noConversion"/>
  </si>
  <si>
    <t>Source Voltage_220VAC/Hz &lt;40048&gt;</t>
    <phoneticPr fontId="9" type="noConversion"/>
  </si>
  <si>
    <t>40048_0</t>
    <phoneticPr fontId="9" type="noConversion"/>
  </si>
  <si>
    <t>220VAC/60Hz</t>
    <phoneticPr fontId="9" type="noConversion"/>
  </si>
  <si>
    <t>Source Voltage_110VAC/Hz &lt;40047&gt;</t>
    <phoneticPr fontId="9" type="noConversion"/>
  </si>
  <si>
    <t>40047_0</t>
    <phoneticPr fontId="9" type="noConversion"/>
  </si>
  <si>
    <t>110VAC/60Hz</t>
  </si>
  <si>
    <t>Source Voltage_VDC &lt;40049&gt;</t>
    <phoneticPr fontId="9" type="noConversion"/>
  </si>
  <si>
    <t>40049_0</t>
    <phoneticPr fontId="9" type="noConversion"/>
  </si>
  <si>
    <t>24VDC</t>
  </si>
  <si>
    <t>Power Device_Input(VAC/Hz) &lt;40050&gt;</t>
    <phoneticPr fontId="9" type="noConversion"/>
  </si>
  <si>
    <t>40050_0</t>
    <phoneticPr fontId="9" type="noConversion"/>
  </si>
  <si>
    <t>Power Device_Output(VAC/Hz) &lt;40051&gt;</t>
    <phoneticPr fontId="9" type="noConversion"/>
  </si>
  <si>
    <t>40051_0</t>
    <phoneticPr fontId="9" type="noConversion"/>
  </si>
  <si>
    <t>Wiring Material &lt;40052&gt;</t>
    <phoneticPr fontId="9" type="noConversion"/>
  </si>
  <si>
    <t>40052_0</t>
    <phoneticPr fontId="9" type="noConversion"/>
  </si>
  <si>
    <t>Wire Marking Material &lt;40053&gt;</t>
    <phoneticPr fontId="9" type="noConversion"/>
  </si>
  <si>
    <t>40053_0</t>
    <phoneticPr fontId="9" type="noConversion"/>
  </si>
  <si>
    <t>Numbering System &lt;40054&gt;</t>
    <phoneticPr fontId="9" type="noConversion"/>
  </si>
  <si>
    <t>40054_0</t>
    <phoneticPr fontId="9" type="noConversion"/>
  </si>
  <si>
    <t>Side Cover_Right Q'ty &lt;40055&gt;</t>
    <phoneticPr fontId="9" type="noConversion"/>
  </si>
  <si>
    <t>40055_0</t>
    <phoneticPr fontId="9" type="noConversion"/>
  </si>
  <si>
    <t>Side Cover_left Q'ty &lt;40056&gt;</t>
    <phoneticPr fontId="9" type="noConversion"/>
  </si>
  <si>
    <t>40056_0</t>
    <phoneticPr fontId="9" type="noConversion"/>
  </si>
  <si>
    <t>Name plate Size_Width &lt;40057&gt;</t>
    <phoneticPr fontId="9" type="noConversion"/>
  </si>
  <si>
    <t>40057_0</t>
    <phoneticPr fontId="9" type="noConversion"/>
  </si>
  <si>
    <t>Name plate Size_Height &lt;40058&gt;</t>
    <phoneticPr fontId="9" type="noConversion"/>
  </si>
  <si>
    <t>40058_0</t>
    <phoneticPr fontId="9" type="noConversion"/>
  </si>
  <si>
    <t>Painting Color_Rittal Cabinet_Body &lt;40060&gt;</t>
    <phoneticPr fontId="9" type="noConversion"/>
  </si>
  <si>
    <t>40060_0</t>
    <phoneticPr fontId="9" type="noConversion"/>
  </si>
  <si>
    <t>RAL 7035 (Rittal Standard)</t>
  </si>
  <si>
    <t>Painting Color_Rittal Cabinet_Door &lt;40061&gt;</t>
    <phoneticPr fontId="9" type="noConversion"/>
  </si>
  <si>
    <t>40061_0</t>
    <phoneticPr fontId="9" type="noConversion"/>
  </si>
  <si>
    <t>Painting Color_Rittal Cabinet_Side Cover &lt;40062&gt;</t>
    <phoneticPr fontId="9" type="noConversion"/>
  </si>
  <si>
    <t>40062_0</t>
    <phoneticPr fontId="9" type="noConversion"/>
  </si>
  <si>
    <t>Painting Color_Rittal Cabinet_Channel Base &lt;40063&gt;</t>
    <phoneticPr fontId="9" type="noConversion"/>
  </si>
  <si>
    <t>40063_0</t>
    <phoneticPr fontId="9" type="noConversion"/>
  </si>
  <si>
    <t>RAL 7022 (Rittal Standard)</t>
  </si>
  <si>
    <t>Painting Color_Centum Cabinet_Body &lt;40064&gt;</t>
    <phoneticPr fontId="9" type="noConversion"/>
  </si>
  <si>
    <t>40064_0</t>
    <phoneticPr fontId="9" type="noConversion"/>
  </si>
  <si>
    <t>Spring Black (Munsell 6.9RP2/2)</t>
  </si>
  <si>
    <t>Painting Color_Centum Cabinet_Door &lt;40065&gt;</t>
    <phoneticPr fontId="9" type="noConversion"/>
  </si>
  <si>
    <t>40065_0</t>
    <phoneticPr fontId="9" type="noConversion"/>
  </si>
  <si>
    <t>Frosty White (Munsell 2.5Y8.4/1.2)</t>
  </si>
  <si>
    <t>Painting Color_Centum Cabinet_Side Cover &lt;40066&gt;</t>
    <phoneticPr fontId="9" type="noConversion"/>
  </si>
  <si>
    <t>40066_0</t>
    <phoneticPr fontId="9" type="noConversion"/>
  </si>
  <si>
    <t>Painting Color_Centum Cabinet_Channel Base &lt;40067&gt;</t>
    <phoneticPr fontId="9" type="noConversion"/>
  </si>
  <si>
    <t>40067_0</t>
    <phoneticPr fontId="9" type="noConversion"/>
  </si>
  <si>
    <t>Painting Color_Centum Console YKSC_Desk Top &lt;40068&gt;</t>
    <phoneticPr fontId="9" type="noConversion"/>
  </si>
  <si>
    <t>40068_0</t>
    <phoneticPr fontId="9" type="noConversion"/>
  </si>
  <si>
    <t>Painting Color_Centum Console YKSC_Body, Side &lt;40069&gt;</t>
    <phoneticPr fontId="9" type="noConversion"/>
  </si>
  <si>
    <t>40069_0</t>
    <phoneticPr fontId="9" type="noConversion"/>
  </si>
  <si>
    <t>Painting Color_Centum Console YKSC_Front Door &lt;40070&gt;</t>
    <phoneticPr fontId="9" type="noConversion"/>
  </si>
  <si>
    <t>40070_0</t>
    <phoneticPr fontId="9" type="noConversion"/>
  </si>
  <si>
    <t>Moss Green (Munsell 7.8Y5.0/2.1)</t>
  </si>
  <si>
    <t>Painting Color_Centum Console YKSC_Rear Door &lt;40071&gt;</t>
    <phoneticPr fontId="9" type="noConversion"/>
  </si>
  <si>
    <t>40071_0</t>
    <phoneticPr fontId="9" type="noConversion"/>
  </si>
  <si>
    <t>Painting Color_Centum Console YKSC_Channel Base &lt;40072&gt;</t>
    <phoneticPr fontId="9" type="noConversion"/>
  </si>
  <si>
    <t>40072_0</t>
    <phoneticPr fontId="9" type="noConversion"/>
  </si>
  <si>
    <t>Painting Color_Centum Console HIS_Desk Top &lt;40073&gt;</t>
    <phoneticPr fontId="9" type="noConversion"/>
  </si>
  <si>
    <t>40073_0</t>
    <phoneticPr fontId="9" type="noConversion"/>
  </si>
  <si>
    <t>Painting Color_Centum Console HIS_Body, Side &lt;40074&gt;</t>
    <phoneticPr fontId="9" type="noConversion"/>
  </si>
  <si>
    <t>40074_0</t>
    <phoneticPr fontId="9" type="noConversion"/>
  </si>
  <si>
    <t>Painting Color_Centum Console HIS_Front Door &lt;40075&gt;</t>
    <phoneticPr fontId="9" type="noConversion"/>
  </si>
  <si>
    <t>40075_0</t>
    <phoneticPr fontId="9" type="noConversion"/>
  </si>
  <si>
    <t>Painting Color_Centum Console HIS_Rear Door &lt;40076&gt;</t>
    <phoneticPr fontId="9" type="noConversion"/>
  </si>
  <si>
    <t>40076_0</t>
    <phoneticPr fontId="9" type="noConversion"/>
  </si>
  <si>
    <t>Painting Color_Centum Console HIS_Channel Base &lt;40077&gt;</t>
    <phoneticPr fontId="9" type="noConversion"/>
  </si>
  <si>
    <t>40077_0</t>
    <phoneticPr fontId="9" type="noConversion"/>
  </si>
  <si>
    <t>Thickness_Rittal Cabinet_Body &lt;40078&gt;</t>
    <phoneticPr fontId="9" type="noConversion"/>
  </si>
  <si>
    <t>40078_0</t>
    <phoneticPr fontId="9" type="noConversion"/>
  </si>
  <si>
    <t>1.5t (Rittal Standard)</t>
  </si>
  <si>
    <t>Thickness_Rittal Cabinet_Door &lt;40079&gt;</t>
    <phoneticPr fontId="9" type="noConversion"/>
  </si>
  <si>
    <t>40079_0</t>
    <phoneticPr fontId="9" type="noConversion"/>
  </si>
  <si>
    <t>2.0t (Rittal Standard)</t>
  </si>
  <si>
    <t>Thickness_Rittal Cabinet_Side Cover &lt;40080&gt;</t>
    <phoneticPr fontId="9" type="noConversion"/>
  </si>
  <si>
    <t>40080_0</t>
    <phoneticPr fontId="9" type="noConversion"/>
  </si>
  <si>
    <t>Thickness_Rittal Cabinet_Insulator &lt;40081&gt;</t>
    <phoneticPr fontId="9" type="noConversion"/>
  </si>
  <si>
    <t>40081_0</t>
    <phoneticPr fontId="9" type="noConversion"/>
  </si>
  <si>
    <t>5.0t Bakelite (Rittal Standard)</t>
  </si>
  <si>
    <t>Thickness_Rittal Cabinet_Channel Base &lt;40082&gt;</t>
    <phoneticPr fontId="9" type="noConversion"/>
  </si>
  <si>
    <t>40082_0</t>
    <phoneticPr fontId="9" type="noConversion"/>
  </si>
  <si>
    <t>Thickness_Centum Cabinet_Main Frame &lt;40083&gt;</t>
    <phoneticPr fontId="9" type="noConversion"/>
  </si>
  <si>
    <t>40083_0</t>
    <phoneticPr fontId="9" type="noConversion"/>
  </si>
  <si>
    <t>3.2t</t>
  </si>
  <si>
    <t>Thickness_Centum Cabinet_Door &lt;40084&gt;</t>
    <phoneticPr fontId="9" type="noConversion"/>
  </si>
  <si>
    <t>40084_0</t>
    <phoneticPr fontId="9" type="noConversion"/>
  </si>
  <si>
    <t>2.3t</t>
  </si>
  <si>
    <t>Thickness_Centum Cabinet_Side Cover &lt;40085&gt;</t>
    <phoneticPr fontId="9" type="noConversion"/>
  </si>
  <si>
    <t>40085_0</t>
    <phoneticPr fontId="9" type="noConversion"/>
  </si>
  <si>
    <t>Thickness_Centum Cabinet_Insulator &lt;40086&gt;</t>
    <phoneticPr fontId="9" type="noConversion"/>
  </si>
  <si>
    <t>40086_0</t>
    <phoneticPr fontId="9" type="noConversion"/>
  </si>
  <si>
    <t>5.0t Bakelite</t>
  </si>
  <si>
    <t>Thickness_Centum Cabinet_Channel Base &lt;40087&gt;</t>
    <phoneticPr fontId="9" type="noConversion"/>
  </si>
  <si>
    <t>40087_0</t>
    <phoneticPr fontId="9" type="noConversion"/>
  </si>
  <si>
    <t>Thickness_Centum Console YKSC_Desk top &lt;40088&gt;</t>
    <phoneticPr fontId="9" type="noConversion"/>
  </si>
  <si>
    <t>40088_0</t>
    <phoneticPr fontId="9" type="noConversion"/>
  </si>
  <si>
    <t>1.6t</t>
  </si>
  <si>
    <t>Thickness_Centum Console YKSC_Body, Side &lt;40089&gt;</t>
    <phoneticPr fontId="9" type="noConversion"/>
  </si>
  <si>
    <t>40089_0</t>
    <phoneticPr fontId="9" type="noConversion"/>
  </si>
  <si>
    <t>Thickness_Centum Console YKSC_Door &lt;40090&gt;</t>
    <phoneticPr fontId="9" type="noConversion"/>
  </si>
  <si>
    <t>40090_0</t>
    <phoneticPr fontId="9" type="noConversion"/>
  </si>
  <si>
    <t>Thickness_Centum Console YKSC_Insulator &lt;40091&gt;</t>
    <phoneticPr fontId="9" type="noConversion"/>
  </si>
  <si>
    <t>40091_0</t>
    <phoneticPr fontId="9" type="noConversion"/>
  </si>
  <si>
    <t>Thickness_Centum Console YKSC_Channel Base &lt;40092&gt;</t>
    <phoneticPr fontId="9" type="noConversion"/>
  </si>
  <si>
    <t>40092_0</t>
    <phoneticPr fontId="9" type="noConversion"/>
  </si>
  <si>
    <t>Thickness_Centum Console HIS_Main Frame &lt;40093&gt;</t>
    <phoneticPr fontId="9" type="noConversion"/>
  </si>
  <si>
    <t>40093_0</t>
    <phoneticPr fontId="9" type="noConversion"/>
  </si>
  <si>
    <t>Thickness_Centum Console HIS_Door &lt;40094&gt;</t>
    <phoneticPr fontId="9" type="noConversion"/>
  </si>
  <si>
    <t>40094_0</t>
    <phoneticPr fontId="9" type="noConversion"/>
  </si>
  <si>
    <t>Thickness_Centum Console HIS_Side Cover &lt;40095&gt;</t>
    <phoneticPr fontId="9" type="noConversion"/>
  </si>
  <si>
    <t>40095_0</t>
    <phoneticPr fontId="9" type="noConversion"/>
  </si>
  <si>
    <t>Thickness_Centum Console HIS_Insulator &lt;40096&gt;</t>
    <phoneticPr fontId="9" type="noConversion"/>
  </si>
  <si>
    <t>40096_0</t>
    <phoneticPr fontId="9" type="noConversion"/>
  </si>
  <si>
    <t>Thickness_Centum Console HIS_Channel Base &lt;40097&gt;</t>
    <phoneticPr fontId="9" type="noConversion"/>
  </si>
  <si>
    <t>40097_0</t>
    <phoneticPr fontId="9" type="noConversion"/>
  </si>
  <si>
    <t>Nameplate Material &lt;40098&gt;</t>
    <phoneticPr fontId="9" type="noConversion"/>
  </si>
  <si>
    <t>40098_0</t>
    <phoneticPr fontId="9" type="noConversion"/>
  </si>
  <si>
    <t>Lamlnate</t>
  </si>
  <si>
    <t>Nameplate Letter Color &lt;40099&gt;</t>
    <phoneticPr fontId="9" type="noConversion"/>
  </si>
  <si>
    <t>40099_0</t>
    <phoneticPr fontId="9" type="noConversion"/>
  </si>
  <si>
    <t>Black</t>
    <phoneticPr fontId="9" type="noConversion"/>
  </si>
  <si>
    <t>Nameplate Base Color &lt;40100&gt;</t>
    <phoneticPr fontId="9" type="noConversion"/>
  </si>
  <si>
    <t>40100_0</t>
    <phoneticPr fontId="9" type="noConversion"/>
  </si>
  <si>
    <t>White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</si>
</sst>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34" x14ac:knownFonts="1">
    <font>
      <sz val="10"/>
      <name val="Arial"/>
      <charset val="238"/>
    </font>
    <font>
      <sz val="11"/>
      <color theme="1"/>
      <name val="맑은 고딕"/>
      <family val="2"/>
      <charset val="129"/>
      <scheme val="minor"/>
    </font>
    <font>
      <sz val="10"/>
      <name val="Arial"/>
      <family val="2"/>
      <charset val="238"/>
    </font>
    <font>
      <sz val="8"/>
      <name val="Arial"/>
      <family val="2"/>
      <charset val="238"/>
    </font>
    <font>
      <b/>
      <sz val="10"/>
      <color indexed="18"/>
      <name val="Arial"/>
      <family val="2"/>
    </font>
    <font>
      <sz val="8"/>
      <color indexed="81"/>
      <name val="Tahoma"/>
      <family val="2"/>
      <charset val="238"/>
    </font>
    <font>
      <b/>
      <sz val="8"/>
      <color indexed="81"/>
      <name val="Tahoma"/>
      <family val="2"/>
      <charset val="238"/>
    </font>
    <font>
      <b/>
      <sz val="10"/>
      <color indexed="10"/>
      <name val="Arial"/>
      <family val="2"/>
    </font>
    <font>
      <sz val="10"/>
      <name val="Arial"/>
      <family val="2"/>
      <charset val="238"/>
    </font>
    <font>
      <sz val="8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0"/>
      <name val="Arial"/>
      <family val="2"/>
    </font>
    <font>
      <sz val="10"/>
      <name val="돋움"/>
      <family val="3"/>
      <charset val="129"/>
    </font>
    <font>
      <b/>
      <sz val="10"/>
      <name val="Arial"/>
      <family val="2"/>
      <charset val="238"/>
    </font>
    <font>
      <b/>
      <sz val="9"/>
      <name val="Arial"/>
      <family val="2"/>
    </font>
    <font>
      <sz val="8"/>
      <name val="맑은 고딕"/>
      <family val="2"/>
      <charset val="129"/>
      <scheme val="minor"/>
    </font>
    <font>
      <b/>
      <sz val="9"/>
      <color indexed="18"/>
      <name val="Arial"/>
      <family val="2"/>
    </font>
    <font>
      <b/>
      <sz val="9"/>
      <color indexed="10"/>
      <name val="Arial"/>
      <family val="2"/>
    </font>
    <font>
      <b/>
      <sz val="9"/>
      <color indexed="8"/>
      <name val="Arial"/>
      <family val="2"/>
    </font>
    <font>
      <sz val="8"/>
      <name val="맑은 고딕"/>
      <family val="3"/>
      <charset val="129"/>
    </font>
    <font>
      <sz val="9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color indexed="8"/>
      <name val="Arial"/>
      <family val="2"/>
    </font>
    <font>
      <sz val="10"/>
      <name val="Arial"/>
      <family val="2"/>
    </font>
    <font>
      <sz val="11"/>
      <color rgb="FF000000"/>
      <name val="맑은 고딕"/>
      <family val="3"/>
      <charset val="129"/>
    </font>
    <font>
      <b/>
      <sz val="14"/>
      <color rgb="FF0066CC"/>
      <name val="Arial"/>
      <family val="2"/>
    </font>
    <font>
      <b/>
      <sz val="16"/>
      <color rgb="FF0000FF"/>
      <name val="Arial"/>
      <family val="2"/>
    </font>
    <font>
      <sz val="18"/>
      <name val="Arial"/>
      <family val="2"/>
    </font>
    <font>
      <sz val="10"/>
      <color theme="0" tint="-0.499984740745262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</fills>
  <borders count="31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0"/>
      </left>
      <right style="medium">
        <color indexed="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0"/>
      </left>
      <right style="medium">
        <color indexed="0"/>
      </right>
      <top/>
      <bottom/>
      <diagonal/>
    </border>
    <border>
      <left style="thin">
        <color indexed="8"/>
      </left>
      <right/>
      <top style="thin">
        <color indexed="9"/>
      </top>
      <bottom style="thin">
        <color indexed="8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8" fillId="0" borderId="0"/>
    <xf numFmtId="0" fontId="2" fillId="0" borderId="0"/>
    <xf numFmtId="0" fontId="1" fillId="0" borderId="0">
      <alignment vertical="center"/>
    </xf>
  </cellStyleXfs>
  <cellXfs count="135">
    <xf numFmtId="0" fontId="0" fillId="0" borderId="0" xfId="0"/>
    <xf numFmtId="0" fontId="0" fillId="4" borderId="0" xfId="0" applyFill="1"/>
    <xf numFmtId="0" fontId="2" fillId="0" borderId="0" xfId="2" applyAlignment="1">
      <alignment horizontal="center"/>
    </xf>
    <xf numFmtId="0" fontId="10" fillId="6" borderId="6" xfId="2" applyFont="1" applyFill="1" applyBorder="1" applyAlignment="1">
      <alignment horizontal="center" vertical="center"/>
    </xf>
    <xf numFmtId="0" fontId="10" fillId="6" borderId="2" xfId="2" applyFont="1" applyFill="1" applyBorder="1" applyAlignment="1">
      <alignment horizontal="center" vertical="center"/>
    </xf>
    <xf numFmtId="0" fontId="10" fillId="7" borderId="2" xfId="2" applyFont="1" applyFill="1" applyBorder="1" applyAlignment="1">
      <alignment horizontal="center" vertical="center"/>
    </xf>
    <xf numFmtId="0" fontId="12" fillId="7" borderId="2" xfId="2" applyFont="1" applyFill="1" applyBorder="1" applyAlignment="1">
      <alignment horizontal="center"/>
    </xf>
    <xf numFmtId="0" fontId="2" fillId="0" borderId="0" xfId="2" applyAlignment="1">
      <alignment horizontal="left"/>
    </xf>
    <xf numFmtId="0" fontId="2" fillId="0" borderId="0" xfId="2"/>
    <xf numFmtId="0" fontId="11" fillId="6" borderId="2" xfId="2" applyFont="1" applyFill="1" applyBorder="1" applyAlignment="1">
      <alignment horizontal="center" vertical="center"/>
    </xf>
    <xf numFmtId="0" fontId="11" fillId="6" borderId="5" xfId="2" applyFont="1" applyFill="1" applyBorder="1" applyAlignment="1">
      <alignment horizontal="center" vertical="center"/>
    </xf>
    <xf numFmtId="0" fontId="11" fillId="6" borderId="9" xfId="2" applyFont="1" applyFill="1" applyBorder="1" applyAlignment="1">
      <alignment horizontal="center" vertical="center"/>
    </xf>
    <xf numFmtId="0" fontId="11" fillId="6" borderId="6" xfId="2" applyFont="1" applyFill="1" applyBorder="1" applyAlignment="1">
      <alignment horizontal="center" vertical="center"/>
    </xf>
    <xf numFmtId="0" fontId="14" fillId="7" borderId="2" xfId="2" applyFont="1" applyFill="1" applyBorder="1" applyAlignment="1">
      <alignment horizontal="center" vertical="center"/>
    </xf>
    <xf numFmtId="0" fontId="14" fillId="7" borderId="5" xfId="2" applyFont="1" applyFill="1" applyBorder="1" applyAlignment="1">
      <alignment horizontal="center" vertical="center"/>
    </xf>
    <xf numFmtId="0" fontId="14" fillId="8" borderId="5" xfId="2" applyFont="1" applyFill="1" applyBorder="1" applyAlignment="1">
      <alignment horizontal="center" vertical="center"/>
    </xf>
    <xf numFmtId="0" fontId="14" fillId="7" borderId="6" xfId="2" applyFont="1" applyFill="1" applyBorder="1" applyAlignment="1">
      <alignment horizontal="center" vertical="center"/>
    </xf>
    <xf numFmtId="0" fontId="14" fillId="8" borderId="6" xfId="2" applyFont="1" applyFill="1" applyBorder="1" applyAlignment="1">
      <alignment horizontal="center" vertical="center"/>
    </xf>
    <xf numFmtId="0" fontId="14" fillId="7" borderId="2" xfId="2" applyFont="1" applyFill="1" applyBorder="1" applyAlignment="1">
      <alignment horizontal="left" vertical="center"/>
    </xf>
    <xf numFmtId="0" fontId="14" fillId="0" borderId="0" xfId="2" applyFont="1" applyAlignment="1">
      <alignment horizontal="center" vertical="center"/>
    </xf>
    <xf numFmtId="0" fontId="14" fillId="7" borderId="3" xfId="2" applyFont="1" applyFill="1" applyBorder="1" applyAlignment="1">
      <alignment horizontal="center" vertical="center"/>
    </xf>
    <xf numFmtId="0" fontId="15" fillId="0" borderId="0" xfId="2" applyFont="1"/>
    <xf numFmtId="0" fontId="14" fillId="8" borderId="2" xfId="2" applyFont="1" applyFill="1" applyBorder="1" applyAlignment="1">
      <alignment horizontal="center" vertical="center"/>
    </xf>
    <xf numFmtId="0" fontId="17" fillId="0" borderId="0" xfId="2" applyFont="1"/>
    <xf numFmtId="0" fontId="13" fillId="0" borderId="0" xfId="2" applyFont="1" applyFill="1" applyBorder="1" applyAlignment="1">
      <alignment vertical="center"/>
    </xf>
    <xf numFmtId="0" fontId="2" fillId="0" borderId="2" xfId="2" applyBorder="1"/>
    <xf numFmtId="0" fontId="11" fillId="6" borderId="7" xfId="2" applyFont="1" applyFill="1" applyBorder="1" applyAlignment="1">
      <alignment horizontal="center" vertical="center"/>
    </xf>
    <xf numFmtId="0" fontId="11" fillId="6" borderId="10" xfId="2" applyFont="1" applyFill="1" applyBorder="1" applyAlignment="1">
      <alignment horizontal="center" vertical="center"/>
    </xf>
    <xf numFmtId="0" fontId="11" fillId="6" borderId="11" xfId="2" applyFont="1" applyFill="1" applyBorder="1" applyAlignment="1">
      <alignment horizontal="center" vertical="center"/>
    </xf>
    <xf numFmtId="0" fontId="11" fillId="6" borderId="12" xfId="2" applyFont="1" applyFill="1" applyBorder="1" applyAlignment="1">
      <alignment horizontal="center" vertical="center"/>
    </xf>
    <xf numFmtId="0" fontId="2" fillId="0" borderId="0" xfId="2" applyBorder="1"/>
    <xf numFmtId="0" fontId="11" fillId="6" borderId="8" xfId="2" applyFont="1" applyFill="1" applyBorder="1" applyAlignment="1">
      <alignment horizontal="center" vertical="center"/>
    </xf>
    <xf numFmtId="0" fontId="14" fillId="7" borderId="13" xfId="2" applyFont="1" applyFill="1" applyBorder="1" applyAlignment="1">
      <alignment horizontal="center" vertical="center"/>
    </xf>
    <xf numFmtId="0" fontId="14" fillId="7" borderId="14" xfId="2" applyFont="1" applyFill="1" applyBorder="1" applyAlignment="1">
      <alignment horizontal="center" vertical="center"/>
    </xf>
    <xf numFmtId="0" fontId="14" fillId="9" borderId="2" xfId="2" applyFont="1" applyFill="1" applyBorder="1" applyAlignment="1">
      <alignment horizontal="center" vertical="center"/>
    </xf>
    <xf numFmtId="0" fontId="14" fillId="9" borderId="5" xfId="2" applyFont="1" applyFill="1" applyBorder="1" applyAlignment="1">
      <alignment horizontal="center" vertical="center"/>
    </xf>
    <xf numFmtId="0" fontId="14" fillId="9" borderId="13" xfId="2" applyFont="1" applyFill="1" applyBorder="1" applyAlignment="1">
      <alignment horizontal="center" vertical="center"/>
    </xf>
    <xf numFmtId="0" fontId="14" fillId="9" borderId="0" xfId="2" applyFont="1" applyFill="1" applyBorder="1" applyAlignment="1">
      <alignment horizontal="center" vertical="center"/>
    </xf>
    <xf numFmtId="0" fontId="2" fillId="0" borderId="11" xfId="2" applyBorder="1"/>
    <xf numFmtId="0" fontId="14" fillId="7" borderId="15" xfId="2" applyFont="1" applyFill="1" applyBorder="1" applyAlignment="1">
      <alignment horizontal="center" vertical="center"/>
    </xf>
    <xf numFmtId="0" fontId="14" fillId="0" borderId="0" xfId="2" applyFont="1" applyFill="1" applyBorder="1" applyAlignment="1">
      <alignment horizontal="center" vertical="center"/>
    </xf>
    <xf numFmtId="0" fontId="14" fillId="7" borderId="19" xfId="2" applyFont="1" applyFill="1" applyBorder="1" applyAlignment="1">
      <alignment horizontal="center" vertical="center"/>
    </xf>
    <xf numFmtId="0" fontId="14" fillId="7" borderId="20" xfId="2" applyFont="1" applyFill="1" applyBorder="1" applyAlignment="1">
      <alignment horizontal="center" vertical="center"/>
    </xf>
    <xf numFmtId="0" fontId="14" fillId="7" borderId="17" xfId="2" applyFont="1" applyFill="1" applyBorder="1" applyAlignment="1">
      <alignment horizontal="center" vertical="center"/>
    </xf>
    <xf numFmtId="0" fontId="14" fillId="7" borderId="21" xfId="2" applyFont="1" applyFill="1" applyBorder="1" applyAlignment="1">
      <alignment horizontal="center" vertical="center"/>
    </xf>
    <xf numFmtId="0" fontId="1" fillId="0" borderId="0" xfId="3">
      <alignment vertical="center"/>
    </xf>
    <xf numFmtId="0" fontId="1" fillId="7" borderId="0" xfId="3" applyFill="1">
      <alignment vertical="center"/>
    </xf>
    <xf numFmtId="0" fontId="18" fillId="2" borderId="1" xfId="2" applyNumberFormat="1" applyFont="1" applyFill="1" applyBorder="1" applyAlignment="1">
      <alignment horizontal="center"/>
    </xf>
    <xf numFmtId="0" fontId="20" fillId="3" borderId="1" xfId="2" applyNumberFormat="1" applyFont="1" applyFill="1" applyBorder="1" applyAlignment="1">
      <alignment horizontal="center" textRotation="90"/>
    </xf>
    <xf numFmtId="0" fontId="20" fillId="3" borderId="22" xfId="2" quotePrefix="1" applyNumberFormat="1" applyFont="1" applyFill="1" applyBorder="1" applyAlignment="1">
      <alignment horizontal="center" textRotation="90"/>
    </xf>
    <xf numFmtId="0" fontId="20" fillId="3" borderId="22" xfId="2" applyNumberFormat="1" applyFont="1" applyFill="1" applyBorder="1" applyAlignment="1">
      <alignment horizontal="center"/>
    </xf>
    <xf numFmtId="0" fontId="20" fillId="3" borderId="22" xfId="2" applyNumberFormat="1" applyFont="1" applyFill="1" applyBorder="1" applyAlignment="1">
      <alignment horizontal="center" textRotation="90"/>
    </xf>
    <xf numFmtId="49" fontId="21" fillId="5" borderId="2" xfId="2" applyNumberFormat="1" applyFont="1" applyFill="1" applyBorder="1" applyAlignment="1">
      <alignment horizontal="center" textRotation="90"/>
    </xf>
    <xf numFmtId="49" fontId="21" fillId="10" borderId="2" xfId="2" applyNumberFormat="1" applyFont="1" applyFill="1" applyBorder="1" applyAlignment="1">
      <alignment horizontal="center" textRotation="90"/>
    </xf>
    <xf numFmtId="49" fontId="21" fillId="7" borderId="2" xfId="2" applyNumberFormat="1" applyFont="1" applyFill="1" applyBorder="1" applyAlignment="1">
      <alignment horizontal="center" textRotation="90"/>
    </xf>
    <xf numFmtId="49" fontId="21" fillId="7" borderId="5" xfId="2" applyNumberFormat="1" applyFont="1" applyFill="1" applyBorder="1" applyAlignment="1">
      <alignment horizontal="center" textRotation="90"/>
    </xf>
    <xf numFmtId="49" fontId="22" fillId="11" borderId="23" xfId="2" applyNumberFormat="1" applyFont="1" applyFill="1" applyBorder="1" applyAlignment="1">
      <alignment horizontal="center" textRotation="90"/>
    </xf>
    <xf numFmtId="49" fontId="21" fillId="7" borderId="6" xfId="2" applyNumberFormat="1" applyFont="1" applyFill="1" applyBorder="1" applyAlignment="1">
      <alignment horizontal="center" textRotation="90"/>
    </xf>
    <xf numFmtId="49" fontId="21" fillId="5" borderId="5" xfId="2" applyNumberFormat="1" applyFont="1" applyFill="1" applyBorder="1" applyAlignment="1">
      <alignment horizontal="center" textRotation="90"/>
    </xf>
    <xf numFmtId="49" fontId="21" fillId="7" borderId="24" xfId="2" applyNumberFormat="1" applyFont="1" applyFill="1" applyBorder="1" applyAlignment="1">
      <alignment horizontal="center" textRotation="90"/>
    </xf>
    <xf numFmtId="0" fontId="24" fillId="0" borderId="0" xfId="2" applyNumberFormat="1" applyFont="1"/>
    <xf numFmtId="0" fontId="24" fillId="2" borderId="1" xfId="2" applyNumberFormat="1" applyFont="1" applyFill="1" applyBorder="1"/>
    <xf numFmtId="0" fontId="24" fillId="3" borderId="1" xfId="2" applyNumberFormat="1" applyFont="1" applyFill="1" applyBorder="1"/>
    <xf numFmtId="0" fontId="24" fillId="3" borderId="1" xfId="2" applyNumberFormat="1" applyFont="1" applyFill="1" applyBorder="1" applyAlignment="1">
      <alignment horizontal="center"/>
    </xf>
    <xf numFmtId="0" fontId="24" fillId="3" borderId="22" xfId="2" applyNumberFormat="1" applyFont="1" applyFill="1" applyBorder="1" applyAlignment="1">
      <alignment horizontal="center"/>
    </xf>
    <xf numFmtId="49" fontId="24" fillId="0" borderId="0" xfId="2" applyNumberFormat="1" applyFont="1"/>
    <xf numFmtId="0" fontId="24" fillId="0" borderId="0" xfId="2" applyNumberFormat="1" applyFont="1" applyFill="1"/>
    <xf numFmtId="0" fontId="24" fillId="0" borderId="0" xfId="2" applyNumberFormat="1" applyFont="1" applyAlignment="1">
      <alignment horizontal="center" vertical="center"/>
    </xf>
    <xf numFmtId="0" fontId="15" fillId="2" borderId="1" xfId="2" applyNumberFormat="1" applyFont="1" applyFill="1" applyBorder="1" applyAlignment="1">
      <alignment horizontal="center"/>
    </xf>
    <xf numFmtId="0" fontId="4" fillId="3" borderId="1" xfId="2" applyNumberFormat="1" applyFont="1" applyFill="1" applyBorder="1" applyAlignment="1">
      <alignment horizontal="center" textRotation="90"/>
    </xf>
    <xf numFmtId="0" fontId="4" fillId="3" borderId="22" xfId="2" quotePrefix="1" applyNumberFormat="1" applyFont="1" applyFill="1" applyBorder="1" applyAlignment="1">
      <alignment horizontal="center" textRotation="90"/>
    </xf>
    <xf numFmtId="0" fontId="4" fillId="3" borderId="22" xfId="2" applyNumberFormat="1" applyFont="1" applyFill="1" applyBorder="1" applyAlignment="1">
      <alignment horizontal="center"/>
    </xf>
    <xf numFmtId="0" fontId="4" fillId="3" borderId="22" xfId="2" applyNumberFormat="1" applyFont="1" applyFill="1" applyBorder="1" applyAlignment="1">
      <alignment horizontal="center" textRotation="90"/>
    </xf>
    <xf numFmtId="49" fontId="7" fillId="5" borderId="2" xfId="2" quotePrefix="1" applyNumberFormat="1" applyFont="1" applyFill="1" applyBorder="1" applyAlignment="1">
      <alignment horizontal="center" textRotation="90"/>
    </xf>
    <xf numFmtId="49" fontId="7" fillId="5" borderId="2" xfId="2" applyNumberFormat="1" applyFont="1" applyFill="1" applyBorder="1" applyAlignment="1">
      <alignment horizontal="center" textRotation="90"/>
    </xf>
    <xf numFmtId="49" fontId="7" fillId="5" borderId="5" xfId="2" applyNumberFormat="1" applyFont="1" applyFill="1" applyBorder="1" applyAlignment="1">
      <alignment horizontal="center" textRotation="90"/>
    </xf>
    <xf numFmtId="49" fontId="27" fillId="11" borderId="23" xfId="2" applyNumberFormat="1" applyFont="1" applyFill="1" applyBorder="1" applyAlignment="1">
      <alignment horizontal="center" textRotation="90"/>
    </xf>
    <xf numFmtId="49" fontId="7" fillId="10" borderId="6" xfId="2" applyNumberFormat="1" applyFont="1" applyFill="1" applyBorder="1" applyAlignment="1">
      <alignment horizontal="center" textRotation="90"/>
    </xf>
    <xf numFmtId="49" fontId="7" fillId="10" borderId="2" xfId="2" applyNumberFormat="1" applyFont="1" applyFill="1" applyBorder="1" applyAlignment="1">
      <alignment horizontal="center" textRotation="90"/>
    </xf>
    <xf numFmtId="49" fontId="7" fillId="10" borderId="5" xfId="2" applyNumberFormat="1" applyFont="1" applyFill="1" applyBorder="1" applyAlignment="1">
      <alignment horizontal="center" textRotation="90"/>
    </xf>
    <xf numFmtId="49" fontId="7" fillId="5" borderId="6" xfId="2" applyNumberFormat="1" applyFont="1" applyFill="1" applyBorder="1" applyAlignment="1">
      <alignment horizontal="center" textRotation="90"/>
    </xf>
    <xf numFmtId="49" fontId="7" fillId="7" borderId="2" xfId="2" applyNumberFormat="1" applyFont="1" applyFill="1" applyBorder="1" applyAlignment="1">
      <alignment horizontal="center" textRotation="90"/>
    </xf>
    <xf numFmtId="49" fontId="7" fillId="7" borderId="5" xfId="2" applyNumberFormat="1" applyFont="1" applyFill="1" applyBorder="1" applyAlignment="1">
      <alignment horizontal="center" textRotation="90"/>
    </xf>
    <xf numFmtId="49" fontId="7" fillId="7" borderId="6" xfId="2" applyNumberFormat="1" applyFont="1" applyFill="1" applyBorder="1" applyAlignment="1">
      <alignment horizontal="center" textRotation="90"/>
    </xf>
    <xf numFmtId="49" fontId="7" fillId="7" borderId="24" xfId="2" applyNumberFormat="1" applyFont="1" applyFill="1" applyBorder="1" applyAlignment="1">
      <alignment horizontal="center" textRotation="90"/>
    </xf>
    <xf numFmtId="0" fontId="2" fillId="0" borderId="0" xfId="2" applyNumberFormat="1"/>
    <xf numFmtId="0" fontId="28" fillId="2" borderId="1" xfId="2" applyNumberFormat="1" applyFont="1" applyFill="1" applyBorder="1"/>
    <xf numFmtId="0" fontId="2" fillId="3" borderId="1" xfId="2" applyNumberFormat="1" applyFill="1" applyBorder="1"/>
    <xf numFmtId="0" fontId="2" fillId="3" borderId="1" xfId="2" applyNumberFormat="1" applyFill="1" applyBorder="1" applyAlignment="1">
      <alignment horizontal="center"/>
    </xf>
    <xf numFmtId="0" fontId="2" fillId="3" borderId="22" xfId="2" applyNumberFormat="1" applyFill="1" applyBorder="1" applyAlignment="1">
      <alignment horizontal="center"/>
    </xf>
    <xf numFmtId="0" fontId="2" fillId="0" borderId="0" xfId="2" applyNumberFormat="1" applyAlignment="1">
      <alignment horizontal="center" vertical="center"/>
    </xf>
    <xf numFmtId="49" fontId="1" fillId="0" borderId="0" xfId="3" applyNumberFormat="1">
      <alignment vertical="center"/>
    </xf>
    <xf numFmtId="49" fontId="7" fillId="5" borderId="9" xfId="2" applyNumberFormat="1" applyFont="1" applyFill="1" applyBorder="1" applyAlignment="1">
      <alignment horizontal="center" textRotation="90"/>
    </xf>
    <xf numFmtId="0" fontId="2" fillId="0" borderId="25" xfId="2" applyNumberFormat="1" applyBorder="1"/>
    <xf numFmtId="0" fontId="28" fillId="12" borderId="1" xfId="2" applyNumberFormat="1" applyFont="1" applyFill="1" applyBorder="1"/>
    <xf numFmtId="0" fontId="2" fillId="0" borderId="22" xfId="2" applyNumberFormat="1" applyFill="1" applyBorder="1" applyAlignment="1">
      <alignment horizontal="center"/>
    </xf>
    <xf numFmtId="0" fontId="2" fillId="0" borderId="1" xfId="2" applyNumberFormat="1" applyFill="1" applyBorder="1" applyAlignment="1">
      <alignment horizontal="center"/>
    </xf>
    <xf numFmtId="0" fontId="2" fillId="0" borderId="25" xfId="2" applyNumberFormat="1" applyFill="1" applyBorder="1"/>
    <xf numFmtId="0" fontId="2" fillId="0" borderId="0" xfId="2" applyNumberFormat="1" applyFill="1"/>
    <xf numFmtId="0" fontId="2" fillId="13" borderId="0" xfId="2" applyFill="1"/>
    <xf numFmtId="0" fontId="2" fillId="13" borderId="0" xfId="2" applyFill="1" applyAlignment="1">
      <alignment horizontal="center"/>
    </xf>
    <xf numFmtId="0" fontId="28" fillId="14" borderId="3" xfId="2" applyFont="1" applyFill="1" applyBorder="1" applyAlignment="1">
      <alignment horizontal="left"/>
    </xf>
    <xf numFmtId="0" fontId="28" fillId="14" borderId="29" xfId="2" applyFont="1" applyFill="1" applyBorder="1" applyAlignment="1">
      <alignment horizontal="left"/>
    </xf>
    <xf numFmtId="0" fontId="32" fillId="13" borderId="30" xfId="2" applyFont="1" applyFill="1" applyBorder="1" applyAlignment="1">
      <alignment horizontal="center" vertical="center"/>
    </xf>
    <xf numFmtId="0" fontId="33" fillId="13" borderId="0" xfId="2" applyFont="1" applyFill="1" applyAlignment="1">
      <alignment horizontal="center"/>
    </xf>
    <xf numFmtId="176" fontId="33" fillId="13" borderId="0" xfId="2" applyNumberFormat="1" applyFont="1" applyFill="1" applyAlignment="1">
      <alignment horizontal="center"/>
    </xf>
    <xf numFmtId="0" fontId="16" fillId="14" borderId="3" xfId="2" applyFont="1" applyFill="1" applyBorder="1" applyAlignment="1">
      <alignment horizontal="left"/>
    </xf>
    <xf numFmtId="14" fontId="28" fillId="14" borderId="3" xfId="2" applyNumberFormat="1" applyFont="1" applyFill="1" applyBorder="1" applyAlignment="1">
      <alignment horizontal="left"/>
    </xf>
    <xf numFmtId="0" fontId="28" fillId="14" borderId="9" xfId="2" applyFont="1" applyFill="1" applyBorder="1" applyAlignment="1">
      <alignment horizontal="left"/>
    </xf>
    <xf numFmtId="0" fontId="28" fillId="14" borderId="2" xfId="2" applyFont="1" applyFill="1" applyBorder="1" applyAlignment="1">
      <alignment horizontal="left"/>
    </xf>
    <xf numFmtId="0" fontId="10" fillId="7" borderId="3" xfId="2" applyFont="1" applyFill="1" applyBorder="1" applyAlignment="1">
      <alignment horizontal="center" vertical="center"/>
    </xf>
    <xf numFmtId="0" fontId="10" fillId="7" borderId="8" xfId="2" applyFont="1" applyFill="1" applyBorder="1" applyAlignment="1">
      <alignment horizontal="center" vertical="center"/>
    </xf>
    <xf numFmtId="0" fontId="10" fillId="7" borderId="7" xfId="2" applyFont="1" applyFill="1" applyBorder="1" applyAlignment="1">
      <alignment horizontal="center" vertical="center"/>
    </xf>
    <xf numFmtId="0" fontId="10" fillId="6" borderId="3" xfId="2" applyFont="1" applyFill="1" applyBorder="1" applyAlignment="1">
      <alignment horizontal="center" vertical="center"/>
    </xf>
    <xf numFmtId="0" fontId="10" fillId="6" borderId="7" xfId="2" applyFont="1" applyFill="1" applyBorder="1" applyAlignment="1">
      <alignment horizontal="center" vertical="center"/>
    </xf>
    <xf numFmtId="0" fontId="10" fillId="6" borderId="4" xfId="2" applyFont="1" applyFill="1" applyBorder="1" applyAlignment="1">
      <alignment horizontal="center" vertical="center"/>
    </xf>
    <xf numFmtId="0" fontId="11" fillId="6" borderId="5" xfId="2" applyFont="1" applyFill="1" applyBorder="1" applyAlignment="1">
      <alignment horizontal="center" vertical="center"/>
    </xf>
    <xf numFmtId="0" fontId="11" fillId="6" borderId="6" xfId="2" applyFont="1" applyFill="1" applyBorder="1" applyAlignment="1">
      <alignment horizontal="center" vertical="center"/>
    </xf>
    <xf numFmtId="0" fontId="11" fillId="6" borderId="9" xfId="2" applyFont="1" applyFill="1" applyBorder="1" applyAlignment="1">
      <alignment horizontal="center" vertical="center"/>
    </xf>
    <xf numFmtId="0" fontId="14" fillId="7" borderId="3" xfId="2" applyFont="1" applyFill="1" applyBorder="1" applyAlignment="1">
      <alignment horizontal="center" vertical="center"/>
    </xf>
    <xf numFmtId="0" fontId="14" fillId="7" borderId="8" xfId="2" applyFont="1" applyFill="1" applyBorder="1" applyAlignment="1">
      <alignment horizontal="center" vertical="center"/>
    </xf>
    <xf numFmtId="0" fontId="14" fillId="7" borderId="7" xfId="2" applyFont="1" applyFill="1" applyBorder="1" applyAlignment="1">
      <alignment horizontal="center" vertical="center"/>
    </xf>
    <xf numFmtId="0" fontId="13" fillId="6" borderId="5" xfId="2" applyFont="1" applyFill="1" applyBorder="1" applyAlignment="1">
      <alignment horizontal="center" vertical="center"/>
    </xf>
    <xf numFmtId="0" fontId="13" fillId="6" borderId="9" xfId="2" applyFont="1" applyFill="1" applyBorder="1" applyAlignment="1">
      <alignment horizontal="center" vertical="center"/>
    </xf>
    <xf numFmtId="0" fontId="13" fillId="6" borderId="6" xfId="2" applyFont="1" applyFill="1" applyBorder="1" applyAlignment="1">
      <alignment horizontal="center" vertical="center"/>
    </xf>
    <xf numFmtId="0" fontId="13" fillId="6" borderId="2" xfId="2" applyFont="1" applyFill="1" applyBorder="1" applyAlignment="1">
      <alignment horizontal="center" vertical="center"/>
    </xf>
    <xf numFmtId="0" fontId="14" fillId="7" borderId="5" xfId="2" applyFont="1" applyFill="1" applyBorder="1" applyAlignment="1">
      <alignment horizontal="center" vertical="center"/>
    </xf>
    <xf numFmtId="0" fontId="14" fillId="7" borderId="6" xfId="2" applyFont="1" applyFill="1" applyBorder="1" applyAlignment="1">
      <alignment horizontal="center" vertical="center"/>
    </xf>
    <xf numFmtId="0" fontId="14" fillId="7" borderId="15" xfId="2" applyFont="1" applyFill="1" applyBorder="1" applyAlignment="1">
      <alignment horizontal="center" vertical="center"/>
    </xf>
    <xf numFmtId="0" fontId="14" fillId="7" borderId="16" xfId="2" applyFont="1" applyFill="1" applyBorder="1" applyAlignment="1">
      <alignment horizontal="center" vertical="center"/>
    </xf>
    <xf numFmtId="0" fontId="14" fillId="7" borderId="17" xfId="2" applyFont="1" applyFill="1" applyBorder="1" applyAlignment="1">
      <alignment horizontal="center" vertical="center"/>
    </xf>
    <xf numFmtId="0" fontId="14" fillId="7" borderId="18" xfId="2" applyFont="1" applyFill="1" applyBorder="1" applyAlignment="1">
      <alignment horizontal="center" vertical="center"/>
    </xf>
    <xf numFmtId="0" fontId="15" fillId="4" borderId="26" xfId="2" applyFont="1" applyFill="1" applyBorder="1" applyAlignment="1">
      <alignment horizontal="center" vertical="center"/>
    </xf>
    <xf numFmtId="0" fontId="15" fillId="4" borderId="27" xfId="2" applyFont="1" applyFill="1" applyBorder="1" applyAlignment="1">
      <alignment horizontal="center" vertical="center"/>
    </xf>
    <xf numFmtId="0" fontId="15" fillId="4" borderId="28" xfId="2" applyFont="1" applyFill="1" applyBorder="1" applyAlignment="1">
      <alignment horizontal="center" vertical="center"/>
    </xf>
  </cellXfs>
  <cellStyles count="4">
    <cellStyle name="Normal_PLC@Slot A (4)" xfId="1"/>
    <cellStyle name="표준" xfId="0" builtinId="0"/>
    <cellStyle name="표준 2" xfId="2"/>
    <cellStyle name="표준 3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605078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1905</xdr:colOff>
      <xdr:row>0</xdr:row>
      <xdr:rowOff>1341120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602480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</xdr:row>
          <xdr:rowOff>47625</xdr:rowOff>
        </xdr:from>
        <xdr:to>
          <xdr:col>4</xdr:col>
          <xdr:colOff>0</xdr:colOff>
          <xdr:row>1</xdr:row>
          <xdr:rowOff>428625</xdr:rowOff>
        </xdr:to>
        <xdr:sp macro="" textlink="">
          <xdr:nvSpPr>
            <xdr:cNvPr id="28673" name="Input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6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Input Properites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0</xdr:colOff>
      <xdr:row>0</xdr:row>
      <xdr:rowOff>1211580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600575" cy="12115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2981325</xdr:colOff>
          <xdr:row>0</xdr:row>
          <xdr:rowOff>180975</xdr:rowOff>
        </xdr:from>
        <xdr:to>
          <xdr:col>0</xdr:col>
          <xdr:colOff>4448175</xdr:colOff>
          <xdr:row>0</xdr:row>
          <xdr:rowOff>561975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66CC"/>
                  </a:solidFill>
                  <a:latin typeface="Arial"/>
                  <a:cs typeface="Arial"/>
                </a:rPr>
                <a:t>Insert  Panel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</xdr:row>
          <xdr:rowOff>38100</xdr:rowOff>
        </xdr:from>
        <xdr:to>
          <xdr:col>3</xdr:col>
          <xdr:colOff>152400</xdr:colOff>
          <xdr:row>4</xdr:row>
          <xdr:rowOff>19050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Wiring  실행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1</xdr:row>
          <xdr:rowOff>57150</xdr:rowOff>
        </xdr:from>
        <xdr:to>
          <xdr:col>6</xdr:col>
          <xdr:colOff>409575</xdr:colOff>
          <xdr:row>4</xdr:row>
          <xdr:rowOff>38100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Total Loop 실행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3.xml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T207"/>
  <sheetViews>
    <sheetView workbookViewId="0">
      <selection activeCell="AT25" sqref="AT25"/>
    </sheetView>
  </sheetViews>
  <sheetFormatPr defaultRowHeight="12.75" x14ac:dyDescent="0.2"/>
  <cols>
    <col min="1" max="1" width="9.140625" style="8"/>
    <col min="2" max="2" width="9.140625" style="7" customWidth="1"/>
    <col min="3" max="3" width="13.42578125" style="7" customWidth="1"/>
    <col min="4" max="4" width="7.28515625" style="8" customWidth="1"/>
    <col min="5" max="5" width="29" style="8" bestFit="1" customWidth="1"/>
    <col min="6" max="6" width="22.140625" style="8" customWidth="1"/>
    <col min="7" max="7" width="4.85546875" style="2" customWidth="1"/>
    <col min="8" max="8" width="29.85546875" style="2" bestFit="1" customWidth="1"/>
    <col min="9" max="9" width="2.140625" style="2" customWidth="1"/>
    <col min="10" max="10" width="30" style="2" bestFit="1" customWidth="1"/>
    <col min="11" max="20" width="9.140625" style="2" customWidth="1"/>
    <col min="21" max="16384" width="9.140625" style="8"/>
  </cols>
  <sheetData>
    <row r="3" spans="3:10" ht="29.25" customHeight="1" x14ac:dyDescent="0.2">
      <c r="C3" s="113" t="s">
        <v>9</v>
      </c>
      <c r="D3" s="115" t="s">
        <v>10</v>
      </c>
      <c r="E3" s="116" t="s">
        <v>11</v>
      </c>
      <c r="F3" s="117"/>
    </row>
    <row r="4" spans="3:10" ht="18" customHeight="1" x14ac:dyDescent="0.2">
      <c r="C4" s="114"/>
      <c r="D4" s="114"/>
      <c r="E4" s="3" t="s">
        <v>12</v>
      </c>
      <c r="F4" s="4" t="s">
        <v>13</v>
      </c>
      <c r="H4" s="4" t="s">
        <v>14</v>
      </c>
      <c r="J4" s="4" t="s">
        <v>15</v>
      </c>
    </row>
    <row r="5" spans="3:10" ht="17.25" customHeight="1" x14ac:dyDescent="0.25">
      <c r="C5" s="110" t="s">
        <v>16</v>
      </c>
      <c r="D5" s="5">
        <v>1</v>
      </c>
      <c r="E5" s="5" t="s">
        <v>17</v>
      </c>
      <c r="F5" s="6" t="s">
        <v>18</v>
      </c>
      <c r="H5" s="6" t="s">
        <v>19</v>
      </c>
      <c r="J5" s="6" t="s">
        <v>20</v>
      </c>
    </row>
    <row r="6" spans="3:10" ht="17.25" customHeight="1" x14ac:dyDescent="0.25">
      <c r="C6" s="111"/>
      <c r="D6" s="5">
        <v>2</v>
      </c>
      <c r="E6" s="5" t="s">
        <v>21</v>
      </c>
      <c r="F6" s="6" t="s">
        <v>18</v>
      </c>
      <c r="H6" s="6" t="s">
        <v>22</v>
      </c>
      <c r="J6" s="6" t="s">
        <v>23</v>
      </c>
    </row>
    <row r="7" spans="3:10" ht="17.25" customHeight="1" x14ac:dyDescent="0.25">
      <c r="C7" s="111"/>
      <c r="D7" s="5">
        <v>3</v>
      </c>
      <c r="E7" s="5" t="s">
        <v>24</v>
      </c>
      <c r="F7" s="6" t="s">
        <v>18</v>
      </c>
      <c r="H7" s="6" t="s">
        <v>25</v>
      </c>
    </row>
    <row r="8" spans="3:10" ht="17.25" customHeight="1" x14ac:dyDescent="0.25">
      <c r="C8" s="111"/>
      <c r="D8" s="5">
        <v>4</v>
      </c>
      <c r="E8" s="5" t="s">
        <v>26</v>
      </c>
      <c r="F8" s="6" t="s">
        <v>27</v>
      </c>
      <c r="H8" s="6" t="s">
        <v>28</v>
      </c>
    </row>
    <row r="9" spans="3:10" ht="17.25" customHeight="1" x14ac:dyDescent="0.25">
      <c r="C9" s="111"/>
      <c r="D9" s="5">
        <v>5</v>
      </c>
      <c r="E9" s="5" t="s">
        <v>29</v>
      </c>
      <c r="F9" s="6" t="s">
        <v>18</v>
      </c>
    </row>
    <row r="10" spans="3:10" ht="17.25" customHeight="1" x14ac:dyDescent="0.25">
      <c r="C10" s="111"/>
      <c r="D10" s="5">
        <v>6</v>
      </c>
      <c r="E10" s="5" t="s">
        <v>30</v>
      </c>
      <c r="F10" s="6" t="s">
        <v>18</v>
      </c>
    </row>
    <row r="11" spans="3:10" ht="17.25" customHeight="1" x14ac:dyDescent="0.25">
      <c r="C11" s="111"/>
      <c r="D11" s="5">
        <v>7</v>
      </c>
      <c r="E11" s="5" t="s">
        <v>31</v>
      </c>
      <c r="F11" s="6" t="s">
        <v>18</v>
      </c>
    </row>
    <row r="12" spans="3:10" ht="17.25" customHeight="1" x14ac:dyDescent="0.25">
      <c r="C12" s="112"/>
      <c r="D12" s="5">
        <v>8</v>
      </c>
      <c r="E12" s="5" t="s">
        <v>32</v>
      </c>
      <c r="F12" s="6" t="s">
        <v>18</v>
      </c>
    </row>
    <row r="13" spans="3:10" ht="6" customHeight="1" x14ac:dyDescent="0.2">
      <c r="D13" s="2"/>
      <c r="E13" s="2"/>
      <c r="F13" s="2"/>
    </row>
    <row r="14" spans="3:10" ht="17.25" customHeight="1" x14ac:dyDescent="0.25">
      <c r="C14" s="110" t="s">
        <v>33</v>
      </c>
      <c r="D14" s="5">
        <v>9</v>
      </c>
      <c r="E14" s="5" t="s">
        <v>34</v>
      </c>
      <c r="F14" s="6" t="s">
        <v>18</v>
      </c>
    </row>
    <row r="15" spans="3:10" ht="17.25" customHeight="1" x14ac:dyDescent="0.25">
      <c r="C15" s="111"/>
      <c r="D15" s="5">
        <v>10</v>
      </c>
      <c r="E15" s="5" t="s">
        <v>35</v>
      </c>
      <c r="F15" s="6" t="s">
        <v>18</v>
      </c>
    </row>
    <row r="16" spans="3:10" ht="17.25" customHeight="1" x14ac:dyDescent="0.25">
      <c r="C16" s="111"/>
      <c r="D16" s="5">
        <v>11</v>
      </c>
      <c r="E16" s="5" t="s">
        <v>36</v>
      </c>
      <c r="F16" s="6" t="s">
        <v>18</v>
      </c>
    </row>
    <row r="17" spans="3:6" ht="17.25" customHeight="1" x14ac:dyDescent="0.25">
      <c r="C17" s="111"/>
      <c r="D17" s="5">
        <v>12</v>
      </c>
      <c r="E17" s="5" t="s">
        <v>37</v>
      </c>
      <c r="F17" s="6" t="s">
        <v>18</v>
      </c>
    </row>
    <row r="18" spans="3:6" ht="17.25" customHeight="1" x14ac:dyDescent="0.25">
      <c r="C18" s="111"/>
      <c r="D18" s="5">
        <v>13</v>
      </c>
      <c r="E18" s="5" t="s">
        <v>38</v>
      </c>
      <c r="F18" s="6" t="s">
        <v>18</v>
      </c>
    </row>
    <row r="19" spans="3:6" ht="17.25" customHeight="1" x14ac:dyDescent="0.25">
      <c r="C19" s="112"/>
      <c r="D19" s="5">
        <v>14</v>
      </c>
      <c r="E19" s="5" t="s">
        <v>39</v>
      </c>
      <c r="F19" s="6" t="s">
        <v>18</v>
      </c>
    </row>
    <row r="20" spans="3:6" ht="6" customHeight="1" x14ac:dyDescent="0.2">
      <c r="D20" s="2"/>
      <c r="E20" s="2"/>
      <c r="F20" s="2"/>
    </row>
    <row r="21" spans="3:6" ht="17.25" customHeight="1" x14ac:dyDescent="0.25">
      <c r="C21" s="110" t="s">
        <v>40</v>
      </c>
      <c r="D21" s="5">
        <v>15</v>
      </c>
      <c r="E21" s="5" t="s">
        <v>41</v>
      </c>
      <c r="F21" s="6" t="s">
        <v>42</v>
      </c>
    </row>
    <row r="22" spans="3:6" ht="17.25" customHeight="1" x14ac:dyDescent="0.25">
      <c r="C22" s="111"/>
      <c r="D22" s="5">
        <v>16</v>
      </c>
      <c r="E22" s="5" t="s">
        <v>43</v>
      </c>
      <c r="F22" s="6" t="s">
        <v>42</v>
      </c>
    </row>
    <row r="23" spans="3:6" ht="17.25" customHeight="1" x14ac:dyDescent="0.25">
      <c r="C23" s="111"/>
      <c r="D23" s="5">
        <v>17</v>
      </c>
      <c r="E23" s="5" t="s">
        <v>44</v>
      </c>
      <c r="F23" s="6" t="s">
        <v>42</v>
      </c>
    </row>
    <row r="24" spans="3:6" ht="17.25" customHeight="1" x14ac:dyDescent="0.25">
      <c r="C24" s="111"/>
      <c r="D24" s="5">
        <v>18</v>
      </c>
      <c r="E24" s="5" t="s">
        <v>45</v>
      </c>
      <c r="F24" s="6" t="s">
        <v>42</v>
      </c>
    </row>
    <row r="25" spans="3:6" ht="17.25" customHeight="1" x14ac:dyDescent="0.25">
      <c r="C25" s="111"/>
      <c r="D25" s="5">
        <v>19</v>
      </c>
      <c r="E25" s="5" t="s">
        <v>46</v>
      </c>
      <c r="F25" s="6" t="s">
        <v>42</v>
      </c>
    </row>
    <row r="26" spans="3:6" ht="17.25" customHeight="1" x14ac:dyDescent="0.25">
      <c r="C26" s="111"/>
      <c r="D26" s="5">
        <v>20</v>
      </c>
      <c r="E26" s="5" t="s">
        <v>47</v>
      </c>
      <c r="F26" s="6" t="s">
        <v>42</v>
      </c>
    </row>
    <row r="27" spans="3:6" ht="17.25" customHeight="1" x14ac:dyDescent="0.25">
      <c r="C27" s="111"/>
      <c r="D27" s="5">
        <v>21</v>
      </c>
      <c r="E27" s="5" t="s">
        <v>48</v>
      </c>
      <c r="F27" s="6" t="s">
        <v>42</v>
      </c>
    </row>
    <row r="28" spans="3:6" ht="17.25" customHeight="1" x14ac:dyDescent="0.25">
      <c r="C28" s="111"/>
      <c r="D28" s="5">
        <v>22</v>
      </c>
      <c r="E28" s="5" t="s">
        <v>49</v>
      </c>
      <c r="F28" s="6" t="s">
        <v>50</v>
      </c>
    </row>
    <row r="29" spans="3:6" ht="13.5" x14ac:dyDescent="0.25">
      <c r="C29" s="111"/>
      <c r="D29" s="5">
        <v>23</v>
      </c>
      <c r="E29" s="5" t="s">
        <v>51</v>
      </c>
      <c r="F29" s="6" t="s">
        <v>42</v>
      </c>
    </row>
    <row r="30" spans="3:6" ht="13.5" x14ac:dyDescent="0.25">
      <c r="C30" s="112"/>
      <c r="D30" s="5">
        <v>24</v>
      </c>
      <c r="E30" s="5" t="s">
        <v>52</v>
      </c>
      <c r="F30" s="6" t="s">
        <v>50</v>
      </c>
    </row>
    <row r="31" spans="3:6" ht="4.5" customHeight="1" x14ac:dyDescent="0.2">
      <c r="D31" s="2"/>
      <c r="E31" s="2"/>
      <c r="F31" s="2"/>
    </row>
    <row r="32" spans="3:6" ht="13.5" x14ac:dyDescent="0.25">
      <c r="C32" s="110" t="s">
        <v>53</v>
      </c>
      <c r="D32" s="5">
        <v>25</v>
      </c>
      <c r="E32" s="5" t="s">
        <v>54</v>
      </c>
      <c r="F32" s="6" t="s">
        <v>42</v>
      </c>
    </row>
    <row r="33" spans="3:6" ht="13.5" x14ac:dyDescent="0.25">
      <c r="C33" s="111"/>
      <c r="D33" s="5">
        <v>26</v>
      </c>
      <c r="E33" s="5" t="s">
        <v>55</v>
      </c>
      <c r="F33" s="6" t="s">
        <v>56</v>
      </c>
    </row>
    <row r="34" spans="3:6" ht="13.5" x14ac:dyDescent="0.25">
      <c r="C34" s="111"/>
      <c r="D34" s="5">
        <v>27</v>
      </c>
      <c r="E34" s="5" t="s">
        <v>57</v>
      </c>
      <c r="F34" s="6" t="s">
        <v>42</v>
      </c>
    </row>
    <row r="35" spans="3:6" ht="13.5" x14ac:dyDescent="0.25">
      <c r="C35" s="111"/>
      <c r="D35" s="5">
        <v>28</v>
      </c>
      <c r="E35" s="5" t="s">
        <v>58</v>
      </c>
      <c r="F35" s="6" t="s">
        <v>59</v>
      </c>
    </row>
    <row r="36" spans="3:6" ht="13.5" x14ac:dyDescent="0.25">
      <c r="C36" s="111"/>
      <c r="D36" s="5">
        <v>29</v>
      </c>
      <c r="E36" s="5" t="s">
        <v>60</v>
      </c>
      <c r="F36" s="6" t="s">
        <v>50</v>
      </c>
    </row>
    <row r="37" spans="3:6" ht="13.5" x14ac:dyDescent="0.25">
      <c r="C37" s="111"/>
      <c r="D37" s="5">
        <v>30</v>
      </c>
      <c r="E37" s="5" t="s">
        <v>61</v>
      </c>
      <c r="F37" s="6" t="s">
        <v>42</v>
      </c>
    </row>
    <row r="38" spans="3:6" ht="13.5" x14ac:dyDescent="0.25">
      <c r="C38" s="111"/>
      <c r="D38" s="5">
        <v>31</v>
      </c>
      <c r="E38" s="5" t="s">
        <v>62</v>
      </c>
      <c r="F38" s="6" t="s">
        <v>50</v>
      </c>
    </row>
    <row r="39" spans="3:6" ht="13.5" x14ac:dyDescent="0.25">
      <c r="C39" s="111"/>
      <c r="D39" s="5">
        <v>32</v>
      </c>
      <c r="E39" s="5" t="s">
        <v>63</v>
      </c>
      <c r="F39" s="6" t="s">
        <v>42</v>
      </c>
    </row>
    <row r="40" spans="3:6" ht="13.5" x14ac:dyDescent="0.25">
      <c r="C40" s="111"/>
      <c r="D40" s="5">
        <v>33</v>
      </c>
      <c r="E40" s="5" t="s">
        <v>64</v>
      </c>
      <c r="F40" s="6" t="s">
        <v>42</v>
      </c>
    </row>
    <row r="41" spans="3:6" ht="13.5" x14ac:dyDescent="0.25">
      <c r="C41" s="111"/>
      <c r="D41" s="5">
        <v>34</v>
      </c>
      <c r="E41" s="5" t="s">
        <v>65</v>
      </c>
      <c r="F41" s="6" t="s">
        <v>42</v>
      </c>
    </row>
    <row r="42" spans="3:6" ht="13.5" x14ac:dyDescent="0.25">
      <c r="C42" s="111"/>
      <c r="D42" s="5">
        <v>35</v>
      </c>
      <c r="E42" s="5" t="s">
        <v>66</v>
      </c>
      <c r="F42" s="6" t="s">
        <v>42</v>
      </c>
    </row>
    <row r="43" spans="3:6" ht="13.5" x14ac:dyDescent="0.25">
      <c r="C43" s="111"/>
      <c r="D43" s="5">
        <v>36</v>
      </c>
      <c r="E43" s="5" t="s">
        <v>67</v>
      </c>
      <c r="F43" s="6" t="s">
        <v>42</v>
      </c>
    </row>
    <row r="44" spans="3:6" ht="13.5" x14ac:dyDescent="0.25">
      <c r="C44" s="111"/>
      <c r="D44" s="5">
        <v>37</v>
      </c>
      <c r="E44" s="5" t="s">
        <v>68</v>
      </c>
      <c r="F44" s="6" t="s">
        <v>42</v>
      </c>
    </row>
    <row r="45" spans="3:6" ht="13.5" x14ac:dyDescent="0.25">
      <c r="C45" s="112"/>
      <c r="D45" s="5">
        <v>38</v>
      </c>
      <c r="E45" s="5" t="s">
        <v>69</v>
      </c>
      <c r="F45" s="6" t="s">
        <v>42</v>
      </c>
    </row>
    <row r="66" spans="1:15" x14ac:dyDescent="0.2">
      <c r="A66" s="8" t="s">
        <v>70</v>
      </c>
      <c r="B66" s="7" t="s">
        <v>71</v>
      </c>
      <c r="C66" s="7" t="s">
        <v>72</v>
      </c>
      <c r="D66" s="8" t="s">
        <v>73</v>
      </c>
      <c r="I66" s="2">
        <v>1</v>
      </c>
      <c r="O66" s="2" t="s">
        <v>74</v>
      </c>
    </row>
    <row r="97" spans="1:15" x14ac:dyDescent="0.2">
      <c r="A97" s="8" t="s">
        <v>75</v>
      </c>
      <c r="B97" s="7" t="s">
        <v>71</v>
      </c>
      <c r="C97" s="7" t="s">
        <v>72</v>
      </c>
      <c r="D97" s="8" t="s">
        <v>76</v>
      </c>
      <c r="I97" s="2">
        <v>1</v>
      </c>
      <c r="O97" s="2" t="s">
        <v>77</v>
      </c>
    </row>
    <row r="128" spans="1:15" x14ac:dyDescent="0.2">
      <c r="A128" s="8" t="s">
        <v>78</v>
      </c>
      <c r="B128" s="7" t="s">
        <v>79</v>
      </c>
      <c r="C128" s="7" t="s">
        <v>72</v>
      </c>
      <c r="D128" s="8" t="s">
        <v>80</v>
      </c>
      <c r="I128" s="2">
        <v>1</v>
      </c>
      <c r="O128" s="2" t="s">
        <v>81</v>
      </c>
    </row>
    <row r="159" spans="1:15" x14ac:dyDescent="0.2">
      <c r="A159" s="8" t="s">
        <v>82</v>
      </c>
      <c r="B159" s="7" t="s">
        <v>83</v>
      </c>
      <c r="C159" s="7" t="s">
        <v>72</v>
      </c>
      <c r="D159" s="8" t="s">
        <v>84</v>
      </c>
      <c r="I159" s="2">
        <v>1</v>
      </c>
      <c r="O159" s="2" t="s">
        <v>81</v>
      </c>
    </row>
    <row r="190" spans="1:15" x14ac:dyDescent="0.2">
      <c r="A190" s="8" t="s">
        <v>85</v>
      </c>
      <c r="B190" s="7" t="s">
        <v>71</v>
      </c>
      <c r="C190" s="7" t="s">
        <v>11</v>
      </c>
      <c r="D190" s="8" t="s">
        <v>86</v>
      </c>
      <c r="I190" s="2">
        <v>1</v>
      </c>
      <c r="O190" s="2" t="s">
        <v>87</v>
      </c>
    </row>
    <row r="206" spans="1:15" x14ac:dyDescent="0.2">
      <c r="A206" s="8" t="s">
        <v>88</v>
      </c>
      <c r="C206" s="7" t="s">
        <v>11</v>
      </c>
      <c r="D206" s="8" t="s">
        <v>89</v>
      </c>
      <c r="E206" s="8" t="s">
        <v>90</v>
      </c>
      <c r="I206" s="2">
        <v>1</v>
      </c>
      <c r="O206" s="2" t="s">
        <v>91</v>
      </c>
    </row>
    <row r="207" spans="1:15" x14ac:dyDescent="0.2">
      <c r="A207" s="8" t="s">
        <v>92</v>
      </c>
      <c r="B207" s="7" t="s">
        <v>93</v>
      </c>
      <c r="C207" s="7" t="s">
        <v>94</v>
      </c>
      <c r="D207" s="8" t="s">
        <v>95</v>
      </c>
      <c r="E207" s="8" t="s">
        <v>96</v>
      </c>
      <c r="I207" s="2">
        <v>1</v>
      </c>
      <c r="O207" s="2" t="s">
        <v>97</v>
      </c>
    </row>
  </sheetData>
  <mergeCells count="7">
    <mergeCell ref="C32:C45"/>
    <mergeCell ref="C3:C4"/>
    <mergeCell ref="D3:D4"/>
    <mergeCell ref="E3:F3"/>
    <mergeCell ref="C5:C12"/>
    <mergeCell ref="C14:C19"/>
    <mergeCell ref="C21:C30"/>
  </mergeCells>
  <phoneticPr fontId="9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D3:AO101"/>
  <sheetViews>
    <sheetView topLeftCell="Z1" zoomScaleNormal="100" workbookViewId="0">
      <selection activeCell="AF51" sqref="AF51"/>
    </sheetView>
  </sheetViews>
  <sheetFormatPr defaultRowHeight="12.75" x14ac:dyDescent="0.2"/>
  <cols>
    <col min="1" max="4" width="2.85546875" style="8" customWidth="1"/>
    <col min="5" max="5" width="21.85546875" style="8" bestFit="1" customWidth="1"/>
    <col min="6" max="6" width="12.5703125" style="8" customWidth="1"/>
    <col min="7" max="7" width="28" style="8" customWidth="1"/>
    <col min="8" max="8" width="14.7109375" style="8" customWidth="1"/>
    <col min="9" max="9" width="19.5703125" style="8" customWidth="1"/>
    <col min="10" max="10" width="22.28515625" style="8" customWidth="1"/>
    <col min="11" max="11" width="3.5703125" style="8" customWidth="1"/>
    <col min="12" max="13" width="4.5703125" style="8" bestFit="1" customWidth="1"/>
    <col min="14" max="14" width="3.5703125" style="8" bestFit="1" customWidth="1"/>
    <col min="15" max="15" width="11.5703125" style="8" customWidth="1"/>
    <col min="16" max="16" width="15.7109375" style="8" bestFit="1" customWidth="1"/>
    <col min="17" max="17" width="12.42578125" style="8" customWidth="1"/>
    <col min="18" max="18" width="17.28515625" style="8" customWidth="1"/>
    <col min="19" max="19" width="18.42578125" style="8" customWidth="1"/>
    <col min="20" max="20" width="26.85546875" style="8" customWidth="1"/>
    <col min="21" max="22" width="13.85546875" style="8" customWidth="1"/>
    <col min="23" max="23" width="28.42578125" style="8" customWidth="1"/>
    <col min="24" max="24" width="12.42578125" style="8" customWidth="1"/>
    <col min="25" max="25" width="17.28515625" style="8" bestFit="1" customWidth="1"/>
    <col min="26" max="26" width="17.7109375" style="8" bestFit="1" customWidth="1"/>
    <col min="27" max="27" width="3.5703125" style="8" customWidth="1"/>
    <col min="28" max="28" width="16.140625" style="8" customWidth="1"/>
    <col min="29" max="29" width="20.85546875" style="8" customWidth="1"/>
    <col min="30" max="30" width="2.85546875" style="8" customWidth="1"/>
    <col min="31" max="31" width="16.5703125" style="8" customWidth="1"/>
    <col min="32" max="32" width="22.85546875" style="8" customWidth="1"/>
    <col min="33" max="33" width="2.85546875" style="8" customWidth="1"/>
    <col min="34" max="34" width="19.140625" style="8" customWidth="1"/>
    <col min="35" max="35" width="22.28515625" style="8" bestFit="1" customWidth="1"/>
    <col min="36" max="36" width="31.7109375" style="8" bestFit="1" customWidth="1"/>
    <col min="37" max="37" width="14.5703125" style="8" customWidth="1"/>
    <col min="38" max="38" width="9.140625" style="8"/>
    <col min="39" max="39" width="16.42578125" style="8" customWidth="1"/>
    <col min="40" max="40" width="31.7109375" style="8" bestFit="1" customWidth="1"/>
    <col min="41" max="41" width="22.7109375" style="8" customWidth="1"/>
    <col min="42" max="16384" width="9.140625" style="8"/>
  </cols>
  <sheetData>
    <row r="3" spans="4:41" hidden="1" x14ac:dyDescent="0.2"/>
    <row r="4" spans="4:41" ht="22.5" customHeight="1" x14ac:dyDescent="0.2">
      <c r="E4" s="122" t="s">
        <v>98</v>
      </c>
      <c r="F4" s="123"/>
      <c r="G4" s="123"/>
      <c r="H4" s="123"/>
      <c r="I4" s="123"/>
      <c r="J4" s="124"/>
      <c r="L4" s="122" t="s">
        <v>99</v>
      </c>
      <c r="M4" s="123"/>
      <c r="N4" s="123"/>
      <c r="O4" s="123"/>
      <c r="P4" s="123"/>
      <c r="Q4" s="123"/>
      <c r="R4" s="123"/>
      <c r="S4" s="123"/>
      <c r="T4" s="123"/>
      <c r="U4" s="123"/>
      <c r="V4" s="123"/>
      <c r="W4" s="123"/>
      <c r="X4" s="123"/>
      <c r="Y4" s="123"/>
      <c r="Z4" s="124"/>
      <c r="AB4" s="125" t="s">
        <v>100</v>
      </c>
      <c r="AC4" s="125"/>
      <c r="AE4" s="125" t="s">
        <v>101</v>
      </c>
      <c r="AF4" s="125"/>
      <c r="AH4" s="125" t="s">
        <v>102</v>
      </c>
      <c r="AI4" s="125"/>
      <c r="AJ4" s="125"/>
      <c r="AK4" s="125"/>
      <c r="AM4" s="125"/>
      <c r="AN4" s="125"/>
      <c r="AO4" s="125"/>
    </row>
    <row r="5" spans="4:41" ht="17.25" customHeight="1" x14ac:dyDescent="0.2">
      <c r="E5" s="9" t="s">
        <v>103</v>
      </c>
      <c r="F5" s="9" t="s">
        <v>104</v>
      </c>
      <c r="G5" s="9" t="s">
        <v>105</v>
      </c>
      <c r="H5" s="9" t="s">
        <v>103</v>
      </c>
      <c r="I5" s="9" t="s">
        <v>106</v>
      </c>
      <c r="J5" s="9" t="s">
        <v>107</v>
      </c>
      <c r="L5" s="116" t="s">
        <v>108</v>
      </c>
      <c r="M5" s="118"/>
      <c r="N5" s="118"/>
      <c r="O5" s="117"/>
      <c r="P5" s="10" t="s">
        <v>109</v>
      </c>
      <c r="Q5" s="10" t="s">
        <v>103</v>
      </c>
      <c r="R5" s="11" t="s">
        <v>106</v>
      </c>
      <c r="S5" s="12" t="s">
        <v>110</v>
      </c>
      <c r="T5" s="118" t="s">
        <v>111</v>
      </c>
      <c r="U5" s="118"/>
      <c r="V5" s="117"/>
      <c r="W5" s="9" t="s">
        <v>110</v>
      </c>
      <c r="X5" s="10" t="s">
        <v>103</v>
      </c>
      <c r="Y5" s="11" t="s">
        <v>106</v>
      </c>
      <c r="Z5" s="12" t="s">
        <v>110</v>
      </c>
      <c r="AB5" s="9" t="s">
        <v>112</v>
      </c>
      <c r="AC5" s="9" t="s">
        <v>110</v>
      </c>
      <c r="AE5" s="9" t="s">
        <v>113</v>
      </c>
      <c r="AF5" s="9" t="s">
        <v>110</v>
      </c>
      <c r="AH5" s="9" t="s">
        <v>114</v>
      </c>
      <c r="AI5" s="9" t="s">
        <v>115</v>
      </c>
      <c r="AJ5" s="9" t="s">
        <v>110</v>
      </c>
      <c r="AK5" s="9" t="s">
        <v>116</v>
      </c>
      <c r="AM5" s="9" t="s">
        <v>117</v>
      </c>
      <c r="AN5" s="9" t="s">
        <v>110</v>
      </c>
      <c r="AO5" s="9" t="s">
        <v>118</v>
      </c>
    </row>
    <row r="6" spans="4:41" ht="17.25" x14ac:dyDescent="0.2">
      <c r="E6" s="13" t="s">
        <v>119</v>
      </c>
      <c r="F6" s="13" t="s">
        <v>120</v>
      </c>
      <c r="G6" s="13" t="s">
        <v>121</v>
      </c>
      <c r="H6" s="13" t="s">
        <v>122</v>
      </c>
      <c r="I6" s="13" t="s">
        <v>123</v>
      </c>
      <c r="J6" s="13" t="s">
        <v>124</v>
      </c>
      <c r="L6" s="14" t="s">
        <v>125</v>
      </c>
      <c r="M6" s="15"/>
      <c r="N6" s="15"/>
      <c r="O6" s="15"/>
      <c r="P6" s="14" t="s">
        <v>126</v>
      </c>
      <c r="Q6" s="13" t="s">
        <v>127</v>
      </c>
      <c r="R6" s="13" t="s">
        <v>123</v>
      </c>
      <c r="S6" s="16" t="s">
        <v>128</v>
      </c>
      <c r="T6" s="16" t="s">
        <v>129</v>
      </c>
      <c r="U6" s="17"/>
      <c r="V6" s="17"/>
      <c r="W6" s="13" t="s">
        <v>130</v>
      </c>
      <c r="X6" s="13" t="s">
        <v>131</v>
      </c>
      <c r="Y6" s="13" t="s">
        <v>132</v>
      </c>
      <c r="Z6" s="13" t="s">
        <v>133</v>
      </c>
      <c r="AB6" s="13" t="s">
        <v>134</v>
      </c>
      <c r="AC6" s="13" t="s">
        <v>135</v>
      </c>
      <c r="AE6" s="13"/>
      <c r="AF6" s="13" t="s">
        <v>136</v>
      </c>
      <c r="AH6" s="13"/>
      <c r="AI6" s="13"/>
      <c r="AJ6" s="18" t="s">
        <v>137</v>
      </c>
      <c r="AK6" s="18"/>
      <c r="AM6" s="13" t="s">
        <v>138</v>
      </c>
      <c r="AN6" s="18" t="s">
        <v>139</v>
      </c>
      <c r="AO6" s="18" t="s">
        <v>140</v>
      </c>
    </row>
    <row r="7" spans="4:41" ht="17.25" x14ac:dyDescent="0.2">
      <c r="E7" s="13" t="s">
        <v>141</v>
      </c>
      <c r="F7" s="13" t="s">
        <v>142</v>
      </c>
      <c r="G7" s="13" t="s">
        <v>143</v>
      </c>
      <c r="L7" s="14" t="s">
        <v>144</v>
      </c>
      <c r="M7" s="14" t="s">
        <v>144</v>
      </c>
      <c r="N7" s="15"/>
      <c r="O7" s="15"/>
      <c r="P7" s="14" t="s">
        <v>145</v>
      </c>
      <c r="Q7" s="13" t="s">
        <v>146</v>
      </c>
      <c r="R7" s="13" t="s">
        <v>132</v>
      </c>
      <c r="S7" s="16" t="s">
        <v>147</v>
      </c>
      <c r="T7" s="16" t="s">
        <v>134</v>
      </c>
      <c r="U7" s="16" t="s">
        <v>144</v>
      </c>
      <c r="V7" s="17"/>
      <c r="W7" s="13" t="s">
        <v>148</v>
      </c>
      <c r="X7" s="13" t="s">
        <v>149</v>
      </c>
      <c r="Y7" s="13" t="s">
        <v>132</v>
      </c>
      <c r="Z7" s="13" t="s">
        <v>150</v>
      </c>
      <c r="AB7" s="13" t="s">
        <v>134</v>
      </c>
      <c r="AC7" s="13" t="s">
        <v>151</v>
      </c>
      <c r="AE7" s="13"/>
      <c r="AF7" s="13"/>
      <c r="AH7" s="13"/>
      <c r="AI7" s="13"/>
      <c r="AJ7" s="18" t="s">
        <v>152</v>
      </c>
      <c r="AK7" s="18"/>
      <c r="AM7" s="13" t="s">
        <v>153</v>
      </c>
      <c r="AN7" s="18" t="s">
        <v>154</v>
      </c>
      <c r="AO7" s="18" t="s">
        <v>155</v>
      </c>
    </row>
    <row r="8" spans="4:41" ht="17.25" x14ac:dyDescent="0.2">
      <c r="E8" s="13" t="s">
        <v>141</v>
      </c>
      <c r="F8" s="13" t="s">
        <v>156</v>
      </c>
      <c r="G8" s="13" t="s">
        <v>157</v>
      </c>
      <c r="H8" s="8" t="s">
        <v>158</v>
      </c>
      <c r="L8" s="14" t="s">
        <v>144</v>
      </c>
      <c r="M8" s="14" t="s">
        <v>159</v>
      </c>
      <c r="N8" s="15"/>
      <c r="O8" s="15"/>
      <c r="P8" s="14" t="s">
        <v>160</v>
      </c>
      <c r="W8" s="13" t="s">
        <v>161</v>
      </c>
      <c r="X8" s="13"/>
      <c r="Y8" s="13"/>
      <c r="Z8" s="13"/>
      <c r="AH8" s="13"/>
      <c r="AI8" s="13"/>
      <c r="AJ8" s="18" t="s">
        <v>162</v>
      </c>
      <c r="AK8" s="18"/>
      <c r="AM8" s="13" t="s">
        <v>163</v>
      </c>
      <c r="AN8" s="18" t="s">
        <v>164</v>
      </c>
      <c r="AO8" s="18" t="s">
        <v>165</v>
      </c>
    </row>
    <row r="9" spans="4:41" ht="17.25" x14ac:dyDescent="0.2">
      <c r="D9" s="19"/>
      <c r="E9" s="13" t="s">
        <v>166</v>
      </c>
      <c r="F9" s="13" t="s">
        <v>167</v>
      </c>
      <c r="G9" s="13" t="s">
        <v>168</v>
      </c>
      <c r="H9" s="8" t="s">
        <v>169</v>
      </c>
      <c r="L9" s="14" t="s">
        <v>144</v>
      </c>
      <c r="M9" s="14" t="s">
        <v>159</v>
      </c>
      <c r="N9" s="14" t="s">
        <v>170</v>
      </c>
      <c r="O9" s="15"/>
      <c r="P9" s="13" t="s">
        <v>171</v>
      </c>
      <c r="W9" s="13" t="s">
        <v>172</v>
      </c>
      <c r="X9" s="13"/>
      <c r="Y9" s="13"/>
      <c r="Z9" s="13"/>
      <c r="AH9" s="13"/>
      <c r="AI9" s="13"/>
      <c r="AJ9" s="18" t="s">
        <v>173</v>
      </c>
      <c r="AK9" s="18"/>
      <c r="AM9" s="13" t="s">
        <v>174</v>
      </c>
      <c r="AN9" s="18" t="s">
        <v>175</v>
      </c>
      <c r="AO9" s="18" t="s">
        <v>176</v>
      </c>
    </row>
    <row r="10" spans="4:41" ht="17.25" x14ac:dyDescent="0.2">
      <c r="D10" s="19"/>
      <c r="E10" s="13" t="s">
        <v>177</v>
      </c>
      <c r="F10" s="13" t="s">
        <v>178</v>
      </c>
      <c r="G10" s="13" t="s">
        <v>179</v>
      </c>
      <c r="H10" s="8" t="s">
        <v>180</v>
      </c>
      <c r="W10" s="13" t="s">
        <v>181</v>
      </c>
      <c r="X10" s="13"/>
      <c r="Y10" s="13"/>
      <c r="Z10" s="13"/>
      <c r="AH10" s="13"/>
      <c r="AI10" s="13"/>
      <c r="AJ10" s="18" t="s">
        <v>182</v>
      </c>
      <c r="AK10" s="18"/>
      <c r="AM10" s="13" t="s">
        <v>183</v>
      </c>
      <c r="AN10" s="18" t="s">
        <v>184</v>
      </c>
      <c r="AO10" s="18" t="s">
        <v>185</v>
      </c>
    </row>
    <row r="11" spans="4:41" ht="17.25" x14ac:dyDescent="0.2">
      <c r="D11" s="19"/>
      <c r="E11" s="13" t="s">
        <v>166</v>
      </c>
      <c r="F11" s="13" t="s">
        <v>186</v>
      </c>
      <c r="G11" s="13" t="s">
        <v>187</v>
      </c>
      <c r="H11" s="8" t="s">
        <v>188</v>
      </c>
      <c r="AH11" s="13"/>
      <c r="AI11" s="13"/>
      <c r="AJ11" s="18" t="s">
        <v>189</v>
      </c>
      <c r="AK11" s="18"/>
      <c r="AM11" s="13" t="s">
        <v>190</v>
      </c>
      <c r="AN11" s="18" t="s">
        <v>191</v>
      </c>
      <c r="AO11" s="18" t="s">
        <v>192</v>
      </c>
    </row>
    <row r="12" spans="4:41" ht="17.25" x14ac:dyDescent="0.2">
      <c r="D12" s="19"/>
      <c r="E12" s="13" t="s">
        <v>193</v>
      </c>
      <c r="F12" s="13" t="s">
        <v>194</v>
      </c>
      <c r="G12" s="13" t="s">
        <v>195</v>
      </c>
      <c r="H12" s="8" t="s">
        <v>196</v>
      </c>
      <c r="AH12" s="13"/>
      <c r="AI12" s="13"/>
      <c r="AJ12" s="18" t="s">
        <v>197</v>
      </c>
      <c r="AK12" s="18"/>
      <c r="AM12" s="13" t="s">
        <v>198</v>
      </c>
      <c r="AN12" s="18" t="s">
        <v>199</v>
      </c>
      <c r="AO12" s="18" t="s">
        <v>196</v>
      </c>
    </row>
    <row r="13" spans="4:41" ht="17.25" x14ac:dyDescent="0.2">
      <c r="D13" s="19"/>
      <c r="E13" s="13" t="s">
        <v>200</v>
      </c>
      <c r="F13" s="13" t="s">
        <v>201</v>
      </c>
      <c r="G13" s="13" t="s">
        <v>195</v>
      </c>
      <c r="H13" s="8" t="s">
        <v>196</v>
      </c>
      <c r="AH13" s="13"/>
      <c r="AI13" s="13"/>
      <c r="AJ13" s="18" t="s">
        <v>202</v>
      </c>
      <c r="AK13" s="18"/>
      <c r="AM13" s="13" t="s">
        <v>203</v>
      </c>
      <c r="AN13" s="18" t="s">
        <v>204</v>
      </c>
      <c r="AO13" s="18" t="s">
        <v>205</v>
      </c>
    </row>
    <row r="14" spans="4:41" ht="17.25" x14ac:dyDescent="0.2">
      <c r="D14" s="19"/>
      <c r="E14" s="13" t="s">
        <v>200</v>
      </c>
      <c r="F14" s="13" t="s">
        <v>206</v>
      </c>
      <c r="G14" s="13" t="s">
        <v>195</v>
      </c>
      <c r="H14" s="8" t="s">
        <v>207</v>
      </c>
      <c r="AH14" s="13"/>
      <c r="AI14" s="13"/>
      <c r="AJ14" s="18" t="s">
        <v>208</v>
      </c>
      <c r="AK14" s="18"/>
      <c r="AM14" s="13" t="s">
        <v>209</v>
      </c>
      <c r="AN14" s="18" t="s">
        <v>210</v>
      </c>
      <c r="AO14" s="18" t="s">
        <v>211</v>
      </c>
    </row>
    <row r="15" spans="4:41" ht="17.25" x14ac:dyDescent="0.2">
      <c r="D15" s="19"/>
      <c r="E15" s="13" t="s">
        <v>200</v>
      </c>
      <c r="F15" s="13" t="s">
        <v>212</v>
      </c>
      <c r="G15" s="13" t="s">
        <v>213</v>
      </c>
      <c r="H15" s="8" t="s">
        <v>214</v>
      </c>
      <c r="AH15" s="13"/>
      <c r="AI15" s="13"/>
      <c r="AJ15" s="18" t="s">
        <v>215</v>
      </c>
      <c r="AK15" s="18"/>
      <c r="AM15" s="13" t="s">
        <v>216</v>
      </c>
      <c r="AN15" s="18" t="s">
        <v>217</v>
      </c>
      <c r="AO15" s="18" t="s">
        <v>218</v>
      </c>
    </row>
    <row r="16" spans="4:41" ht="17.25" x14ac:dyDescent="0.2">
      <c r="D16" s="19"/>
      <c r="E16" s="13" t="s">
        <v>193</v>
      </c>
      <c r="F16" s="13" t="s">
        <v>219</v>
      </c>
      <c r="G16" s="13" t="s">
        <v>220</v>
      </c>
      <c r="H16" s="8" t="s">
        <v>221</v>
      </c>
      <c r="AH16" s="13"/>
      <c r="AI16" s="13"/>
      <c r="AJ16" s="18" t="s">
        <v>222</v>
      </c>
      <c r="AK16" s="18"/>
      <c r="AM16" s="13" t="s">
        <v>223</v>
      </c>
      <c r="AN16" s="18" t="s">
        <v>224</v>
      </c>
      <c r="AO16" s="18" t="s">
        <v>225</v>
      </c>
    </row>
    <row r="17" spans="4:41" ht="17.25" x14ac:dyDescent="0.2">
      <c r="D17" s="19"/>
      <c r="E17" s="13" t="s">
        <v>200</v>
      </c>
      <c r="F17" s="13" t="s">
        <v>226</v>
      </c>
      <c r="G17" s="13" t="s">
        <v>195</v>
      </c>
      <c r="H17" s="8" t="s">
        <v>196</v>
      </c>
      <c r="AH17" s="13"/>
      <c r="AI17" s="13"/>
      <c r="AJ17" s="18" t="s">
        <v>227</v>
      </c>
      <c r="AK17" s="18"/>
      <c r="AM17" s="13" t="s">
        <v>228</v>
      </c>
      <c r="AN17" s="18" t="s">
        <v>229</v>
      </c>
      <c r="AO17" s="18" t="s">
        <v>230</v>
      </c>
    </row>
    <row r="18" spans="4:41" ht="17.25" x14ac:dyDescent="0.2">
      <c r="D18" s="19"/>
      <c r="E18" s="13" t="s">
        <v>200</v>
      </c>
      <c r="F18" s="13" t="s">
        <v>231</v>
      </c>
      <c r="G18" s="13" t="s">
        <v>232</v>
      </c>
      <c r="H18" s="8" t="s">
        <v>218</v>
      </c>
      <c r="AH18" s="13"/>
      <c r="AI18" s="13"/>
      <c r="AJ18" s="18" t="s">
        <v>233</v>
      </c>
      <c r="AK18" s="18"/>
      <c r="AM18" s="13" t="s">
        <v>234</v>
      </c>
      <c r="AN18" s="18" t="s">
        <v>235</v>
      </c>
      <c r="AO18" s="18" t="s">
        <v>236</v>
      </c>
    </row>
    <row r="19" spans="4:41" ht="17.25" customHeight="1" x14ac:dyDescent="0.2">
      <c r="E19" s="13" t="s">
        <v>200</v>
      </c>
      <c r="F19" s="13" t="s">
        <v>237</v>
      </c>
      <c r="G19" s="13" t="s">
        <v>238</v>
      </c>
      <c r="H19" s="8" t="s">
        <v>225</v>
      </c>
      <c r="AH19" s="13"/>
      <c r="AI19" s="13"/>
      <c r="AJ19" s="18" t="s">
        <v>239</v>
      </c>
      <c r="AK19" s="18"/>
      <c r="AM19" s="13" t="s">
        <v>240</v>
      </c>
      <c r="AN19" s="18" t="s">
        <v>241</v>
      </c>
      <c r="AO19" s="18" t="s">
        <v>242</v>
      </c>
    </row>
    <row r="20" spans="4:41" ht="17.25" customHeight="1" x14ac:dyDescent="0.2">
      <c r="E20" s="13" t="s">
        <v>193</v>
      </c>
      <c r="F20" s="13" t="s">
        <v>243</v>
      </c>
      <c r="G20" s="13" t="s">
        <v>244</v>
      </c>
      <c r="H20" s="8" t="s">
        <v>245</v>
      </c>
      <c r="AH20" s="13"/>
      <c r="AI20" s="13"/>
      <c r="AJ20" s="18" t="s">
        <v>246</v>
      </c>
      <c r="AK20" s="18"/>
      <c r="AM20" s="20" t="s">
        <v>247</v>
      </c>
      <c r="AN20" s="18" t="s">
        <v>248</v>
      </c>
      <c r="AO20" s="18" t="s">
        <v>249</v>
      </c>
    </row>
    <row r="21" spans="4:41" ht="17.25" customHeight="1" x14ac:dyDescent="0.2">
      <c r="E21" s="13" t="s">
        <v>193</v>
      </c>
      <c r="F21" s="13" t="s">
        <v>250</v>
      </c>
      <c r="G21" s="13" t="s">
        <v>251</v>
      </c>
      <c r="H21" s="8" t="s">
        <v>252</v>
      </c>
      <c r="AH21" s="13"/>
      <c r="AI21" s="13"/>
      <c r="AJ21" s="18" t="s">
        <v>253</v>
      </c>
      <c r="AK21" s="18"/>
      <c r="AM21" s="20" t="s">
        <v>254</v>
      </c>
      <c r="AN21" s="18" t="s">
        <v>255</v>
      </c>
      <c r="AO21" s="18" t="s">
        <v>256</v>
      </c>
    </row>
    <row r="22" spans="4:41" ht="17.25" customHeight="1" x14ac:dyDescent="0.2">
      <c r="E22" s="13" t="s">
        <v>193</v>
      </c>
      <c r="F22" s="13" t="s">
        <v>257</v>
      </c>
      <c r="G22" s="13" t="s">
        <v>258</v>
      </c>
      <c r="H22" s="8" t="s">
        <v>214</v>
      </c>
      <c r="AH22" s="13"/>
      <c r="AI22" s="13"/>
      <c r="AJ22" s="18" t="s">
        <v>259</v>
      </c>
      <c r="AK22" s="18"/>
      <c r="AM22" s="13" t="s">
        <v>260</v>
      </c>
      <c r="AN22" s="18" t="s">
        <v>261</v>
      </c>
      <c r="AO22" s="18" t="s">
        <v>262</v>
      </c>
    </row>
    <row r="23" spans="4:41" ht="17.25" customHeight="1" x14ac:dyDescent="0.2">
      <c r="E23" s="13" t="s">
        <v>193</v>
      </c>
      <c r="F23" s="13" t="s">
        <v>263</v>
      </c>
      <c r="G23" s="13" t="s">
        <v>213</v>
      </c>
      <c r="H23" s="8" t="s">
        <v>214</v>
      </c>
      <c r="AH23" s="13"/>
      <c r="AI23" s="13"/>
      <c r="AJ23" s="18" t="s">
        <v>264</v>
      </c>
      <c r="AK23" s="18"/>
      <c r="AM23" s="13" t="s">
        <v>265</v>
      </c>
      <c r="AN23" s="18" t="s">
        <v>266</v>
      </c>
      <c r="AO23" s="18" t="s">
        <v>267</v>
      </c>
    </row>
    <row r="24" spans="4:41" ht="17.25" customHeight="1" x14ac:dyDescent="0.2">
      <c r="E24" s="13" t="s">
        <v>193</v>
      </c>
      <c r="F24" s="13" t="s">
        <v>268</v>
      </c>
      <c r="G24" s="13" t="s">
        <v>213</v>
      </c>
      <c r="H24" s="8" t="s">
        <v>214</v>
      </c>
      <c r="L24" s="21"/>
      <c r="M24" s="21"/>
      <c r="N24" s="21"/>
      <c r="O24" s="21"/>
      <c r="AH24" s="13"/>
      <c r="AI24" s="13"/>
      <c r="AJ24" s="18" t="s">
        <v>269</v>
      </c>
      <c r="AK24" s="18"/>
      <c r="AM24" s="13" t="s">
        <v>270</v>
      </c>
      <c r="AN24" s="18" t="s">
        <v>271</v>
      </c>
      <c r="AO24" s="18" t="s">
        <v>272</v>
      </c>
    </row>
    <row r="25" spans="4:41" ht="17.25" customHeight="1" x14ac:dyDescent="0.2">
      <c r="E25" s="13" t="s">
        <v>193</v>
      </c>
      <c r="F25" s="13" t="s">
        <v>273</v>
      </c>
      <c r="G25" s="13" t="s">
        <v>258</v>
      </c>
      <c r="H25" s="8" t="s">
        <v>214</v>
      </c>
      <c r="AH25" s="13"/>
      <c r="AI25" s="13"/>
      <c r="AJ25" s="18" t="s">
        <v>274</v>
      </c>
      <c r="AK25" s="18"/>
      <c r="AM25" s="13" t="s">
        <v>275</v>
      </c>
      <c r="AN25" s="18" t="s">
        <v>276</v>
      </c>
      <c r="AO25" s="18" t="s">
        <v>277</v>
      </c>
    </row>
    <row r="26" spans="4:41" ht="17.25" customHeight="1" x14ac:dyDescent="0.2">
      <c r="E26" s="13" t="s">
        <v>193</v>
      </c>
      <c r="F26" s="13" t="s">
        <v>278</v>
      </c>
      <c r="G26" s="13" t="s">
        <v>213</v>
      </c>
      <c r="H26" s="8" t="s">
        <v>214</v>
      </c>
      <c r="AH26" s="13"/>
      <c r="AI26" s="13"/>
      <c r="AJ26" s="18" t="s">
        <v>279</v>
      </c>
      <c r="AK26" s="18"/>
      <c r="AM26" s="13" t="s">
        <v>280</v>
      </c>
      <c r="AN26" s="18" t="s">
        <v>281</v>
      </c>
      <c r="AO26" s="18" t="s">
        <v>282</v>
      </c>
    </row>
    <row r="27" spans="4:41" ht="17.25" customHeight="1" x14ac:dyDescent="0.2">
      <c r="E27" s="13" t="s">
        <v>193</v>
      </c>
      <c r="F27" s="13" t="s">
        <v>283</v>
      </c>
      <c r="G27" s="13" t="s">
        <v>284</v>
      </c>
      <c r="H27" s="8" t="s">
        <v>285</v>
      </c>
      <c r="AH27" s="13"/>
      <c r="AI27" s="13"/>
      <c r="AJ27" s="18" t="s">
        <v>286</v>
      </c>
      <c r="AK27" s="18"/>
      <c r="AM27" s="13" t="s">
        <v>287</v>
      </c>
      <c r="AN27" s="18" t="s">
        <v>288</v>
      </c>
      <c r="AO27" s="18" t="s">
        <v>289</v>
      </c>
    </row>
    <row r="28" spans="4:41" ht="17.25" customHeight="1" x14ac:dyDescent="0.2">
      <c r="E28" s="13" t="s">
        <v>290</v>
      </c>
      <c r="F28" s="13" t="s">
        <v>291</v>
      </c>
      <c r="G28" s="13" t="s">
        <v>284</v>
      </c>
      <c r="AJ28" s="8" t="s">
        <v>292</v>
      </c>
      <c r="AM28" s="13" t="s">
        <v>293</v>
      </c>
      <c r="AN28" s="18" t="s">
        <v>294</v>
      </c>
      <c r="AO28" s="18" t="s">
        <v>295</v>
      </c>
    </row>
    <row r="29" spans="4:41" ht="17.25" customHeight="1" x14ac:dyDescent="0.2">
      <c r="E29" s="13"/>
      <c r="F29" s="22"/>
      <c r="G29" s="13" t="s">
        <v>296</v>
      </c>
      <c r="H29" s="13" t="s">
        <v>297</v>
      </c>
      <c r="I29" s="13" t="s">
        <v>298</v>
      </c>
      <c r="J29" s="8" t="s">
        <v>299</v>
      </c>
      <c r="AJ29" s="8" t="s">
        <v>300</v>
      </c>
      <c r="AM29" s="13" t="s">
        <v>301</v>
      </c>
      <c r="AN29" s="18" t="s">
        <v>302</v>
      </c>
      <c r="AO29" s="18" t="s">
        <v>303</v>
      </c>
    </row>
    <row r="30" spans="4:41" ht="17.25" customHeight="1" x14ac:dyDescent="0.2">
      <c r="E30" s="13" t="s">
        <v>304</v>
      </c>
      <c r="F30" s="22"/>
      <c r="G30" s="13" t="s">
        <v>305</v>
      </c>
      <c r="H30" s="8" t="s">
        <v>306</v>
      </c>
      <c r="AJ30" s="8" t="s">
        <v>307</v>
      </c>
      <c r="AM30" s="13" t="s">
        <v>308</v>
      </c>
      <c r="AN30" s="18" t="s">
        <v>309</v>
      </c>
      <c r="AO30" s="18" t="s">
        <v>310</v>
      </c>
    </row>
    <row r="31" spans="4:41" ht="17.25" customHeight="1" x14ac:dyDescent="0.2">
      <c r="E31" s="13" t="s">
        <v>311</v>
      </c>
      <c r="F31" s="22"/>
      <c r="G31" s="13" t="s">
        <v>312</v>
      </c>
      <c r="H31" s="13" t="s">
        <v>313</v>
      </c>
      <c r="I31" s="13" t="s">
        <v>314</v>
      </c>
      <c r="J31" s="13" t="s">
        <v>315</v>
      </c>
      <c r="K31" s="8" t="s">
        <v>316</v>
      </c>
      <c r="AJ31" s="8" t="s">
        <v>317</v>
      </c>
      <c r="AM31" s="13" t="s">
        <v>318</v>
      </c>
      <c r="AN31" s="18" t="s">
        <v>319</v>
      </c>
      <c r="AO31" s="18" t="s">
        <v>320</v>
      </c>
    </row>
    <row r="32" spans="4:41" ht="17.25" customHeight="1" x14ac:dyDescent="0.2">
      <c r="E32" s="13" t="s">
        <v>321</v>
      </c>
      <c r="F32" s="22"/>
      <c r="G32" s="13" t="s">
        <v>312</v>
      </c>
      <c r="H32" s="13" t="s">
        <v>313</v>
      </c>
      <c r="I32" s="13" t="s">
        <v>314</v>
      </c>
      <c r="J32" s="13" t="s">
        <v>322</v>
      </c>
      <c r="K32" s="8" t="s">
        <v>323</v>
      </c>
      <c r="AJ32" s="8" t="s">
        <v>324</v>
      </c>
      <c r="AM32" s="13" t="s">
        <v>325</v>
      </c>
      <c r="AN32" s="18" t="s">
        <v>326</v>
      </c>
      <c r="AO32" s="18" t="s">
        <v>327</v>
      </c>
    </row>
    <row r="33" spans="5:41" ht="17.25" customHeight="1" x14ac:dyDescent="0.2">
      <c r="E33" s="13" t="s">
        <v>177</v>
      </c>
      <c r="F33" s="13" t="s">
        <v>328</v>
      </c>
      <c r="G33" s="13" t="s">
        <v>195</v>
      </c>
      <c r="H33" s="8" t="s">
        <v>329</v>
      </c>
      <c r="AJ33" s="8" t="s">
        <v>330</v>
      </c>
      <c r="AM33" s="13" t="s">
        <v>331</v>
      </c>
      <c r="AN33" s="18" t="s">
        <v>332</v>
      </c>
      <c r="AO33" s="18" t="s">
        <v>333</v>
      </c>
    </row>
    <row r="34" spans="5:41" ht="17.25" customHeight="1" x14ac:dyDescent="0.2">
      <c r="E34" s="13" t="s">
        <v>177</v>
      </c>
      <c r="F34" s="13" t="s">
        <v>334</v>
      </c>
      <c r="G34" s="13" t="s">
        <v>220</v>
      </c>
      <c r="H34" s="8" t="s">
        <v>335</v>
      </c>
      <c r="AJ34" s="8" t="s">
        <v>336</v>
      </c>
      <c r="AM34" s="13" t="s">
        <v>337</v>
      </c>
      <c r="AN34" s="18" t="s">
        <v>338</v>
      </c>
      <c r="AO34" s="18" t="s">
        <v>339</v>
      </c>
    </row>
    <row r="35" spans="5:41" ht="17.25" x14ac:dyDescent="0.2">
      <c r="E35" s="13" t="s">
        <v>177</v>
      </c>
      <c r="F35" s="13" t="s">
        <v>340</v>
      </c>
      <c r="G35" s="13" t="s">
        <v>341</v>
      </c>
      <c r="H35" s="8" t="s">
        <v>342</v>
      </c>
      <c r="R35" s="116" t="s">
        <v>343</v>
      </c>
      <c r="S35" s="118"/>
      <c r="T35" s="117"/>
      <c r="AJ35" s="8" t="s">
        <v>344</v>
      </c>
      <c r="AM35" s="13" t="s">
        <v>345</v>
      </c>
      <c r="AN35" s="18" t="s">
        <v>346</v>
      </c>
      <c r="AO35" s="18" t="s">
        <v>347</v>
      </c>
    </row>
    <row r="36" spans="5:41" ht="17.25" customHeight="1" x14ac:dyDescent="0.2">
      <c r="E36" s="13" t="s">
        <v>348</v>
      </c>
      <c r="F36" s="13"/>
      <c r="G36" s="13"/>
      <c r="H36" s="8" t="s">
        <v>349</v>
      </c>
      <c r="L36" s="21"/>
      <c r="M36" s="21"/>
      <c r="N36" s="21"/>
      <c r="O36" s="21"/>
      <c r="R36" s="13" t="s">
        <v>350</v>
      </c>
      <c r="S36" s="13" t="s">
        <v>351</v>
      </c>
      <c r="T36" s="13" t="s">
        <v>352</v>
      </c>
      <c r="AJ36" s="8" t="s">
        <v>353</v>
      </c>
      <c r="AM36" s="13" t="s">
        <v>354</v>
      </c>
      <c r="AN36" s="18" t="s">
        <v>355</v>
      </c>
      <c r="AO36" s="18" t="s">
        <v>356</v>
      </c>
    </row>
    <row r="37" spans="5:41" ht="17.25" customHeight="1" x14ac:dyDescent="0.2">
      <c r="E37" s="13" t="s">
        <v>357</v>
      </c>
      <c r="F37" s="13"/>
      <c r="G37" s="13"/>
      <c r="H37" s="8" t="s">
        <v>358</v>
      </c>
      <c r="R37" s="13" t="s">
        <v>359</v>
      </c>
      <c r="S37" s="13" t="s">
        <v>360</v>
      </c>
      <c r="T37" s="13" t="s">
        <v>361</v>
      </c>
      <c r="AJ37" s="8" t="s">
        <v>362</v>
      </c>
      <c r="AM37" s="13" t="s">
        <v>363</v>
      </c>
      <c r="AN37" s="18" t="s">
        <v>364</v>
      </c>
      <c r="AO37" s="18" t="s">
        <v>365</v>
      </c>
    </row>
    <row r="38" spans="5:41" ht="17.25" x14ac:dyDescent="0.2">
      <c r="E38" s="119" t="s">
        <v>366</v>
      </c>
      <c r="F38" s="18" t="s">
        <v>367</v>
      </c>
      <c r="G38" s="13" t="s">
        <v>368</v>
      </c>
      <c r="R38" s="13" t="s">
        <v>369</v>
      </c>
      <c r="S38" s="13" t="s">
        <v>370</v>
      </c>
      <c r="T38" s="13" t="s">
        <v>371</v>
      </c>
      <c r="AJ38" s="8" t="s">
        <v>372</v>
      </c>
      <c r="AM38" s="13" t="s">
        <v>373</v>
      </c>
      <c r="AN38" s="18" t="s">
        <v>374</v>
      </c>
      <c r="AO38" s="18" t="s">
        <v>375</v>
      </c>
    </row>
    <row r="39" spans="5:41" ht="17.25" x14ac:dyDescent="0.2">
      <c r="E39" s="120"/>
      <c r="F39" s="18" t="s">
        <v>376</v>
      </c>
      <c r="G39" s="13" t="s">
        <v>377</v>
      </c>
      <c r="J39" s="21"/>
      <c r="R39" s="13" t="s">
        <v>378</v>
      </c>
      <c r="S39" s="13" t="s">
        <v>360</v>
      </c>
      <c r="T39" s="13" t="s">
        <v>379</v>
      </c>
      <c r="W39" s="23"/>
      <c r="AA39" s="23"/>
      <c r="AJ39" s="8" t="s">
        <v>380</v>
      </c>
      <c r="AM39" s="13" t="s">
        <v>381</v>
      </c>
      <c r="AN39" s="18" t="s">
        <v>382</v>
      </c>
      <c r="AO39" s="18" t="s">
        <v>383</v>
      </c>
    </row>
    <row r="40" spans="5:41" ht="17.25" x14ac:dyDescent="0.2">
      <c r="E40" s="120"/>
      <c r="F40" s="18" t="s">
        <v>384</v>
      </c>
      <c r="G40" s="13" t="s">
        <v>385</v>
      </c>
      <c r="R40" s="13" t="s">
        <v>386</v>
      </c>
      <c r="S40" s="13" t="s">
        <v>360</v>
      </c>
      <c r="T40" s="13" t="s">
        <v>387</v>
      </c>
      <c r="AJ40" s="8" t="s">
        <v>388</v>
      </c>
      <c r="AM40" s="13" t="s">
        <v>389</v>
      </c>
      <c r="AN40" s="18" t="s">
        <v>390</v>
      </c>
      <c r="AO40" s="18" t="s">
        <v>391</v>
      </c>
    </row>
    <row r="41" spans="5:41" ht="17.25" x14ac:dyDescent="0.2">
      <c r="E41" s="120"/>
      <c r="F41" s="18"/>
      <c r="G41" s="13"/>
      <c r="R41" s="13" t="s">
        <v>392</v>
      </c>
      <c r="S41" s="13" t="s">
        <v>360</v>
      </c>
      <c r="T41" s="13" t="s">
        <v>393</v>
      </c>
      <c r="AJ41" s="8" t="s">
        <v>394</v>
      </c>
      <c r="AM41" s="13" t="s">
        <v>395</v>
      </c>
      <c r="AN41" s="18" t="s">
        <v>396</v>
      </c>
      <c r="AO41" s="18" t="s">
        <v>397</v>
      </c>
    </row>
    <row r="42" spans="5:41" ht="17.25" x14ac:dyDescent="0.2">
      <c r="E42" s="121"/>
      <c r="F42" s="18"/>
      <c r="G42" s="13"/>
      <c r="R42" s="13" t="s">
        <v>398</v>
      </c>
      <c r="S42" s="13" t="s">
        <v>370</v>
      </c>
      <c r="T42" s="13" t="s">
        <v>399</v>
      </c>
      <c r="AJ42" s="8" t="s">
        <v>400</v>
      </c>
      <c r="AM42" s="13" t="s">
        <v>401</v>
      </c>
      <c r="AN42" s="18" t="s">
        <v>402</v>
      </c>
      <c r="AO42" s="18" t="s">
        <v>403</v>
      </c>
    </row>
    <row r="43" spans="5:41" ht="17.25" x14ac:dyDescent="0.2">
      <c r="R43" s="13" t="s">
        <v>404</v>
      </c>
      <c r="S43" s="13" t="s">
        <v>360</v>
      </c>
      <c r="T43" s="13" t="s">
        <v>405</v>
      </c>
      <c r="AA43" s="21"/>
      <c r="AJ43" s="8" t="s">
        <v>406</v>
      </c>
      <c r="AM43" s="13" t="s">
        <v>407</v>
      </c>
      <c r="AN43" s="18" t="s">
        <v>408</v>
      </c>
      <c r="AO43" s="18" t="s">
        <v>409</v>
      </c>
    </row>
    <row r="44" spans="5:41" ht="17.25" x14ac:dyDescent="0.2">
      <c r="R44" s="13" t="s">
        <v>410</v>
      </c>
      <c r="S44" s="13" t="s">
        <v>370</v>
      </c>
      <c r="T44" s="13" t="s">
        <v>411</v>
      </c>
      <c r="AJ44" s="8" t="s">
        <v>412</v>
      </c>
      <c r="AM44" s="13" t="s">
        <v>413</v>
      </c>
      <c r="AN44" s="18" t="s">
        <v>414</v>
      </c>
      <c r="AO44" s="18" t="s">
        <v>415</v>
      </c>
    </row>
    <row r="45" spans="5:41" ht="17.25" x14ac:dyDescent="0.2">
      <c r="R45" s="13" t="s">
        <v>416</v>
      </c>
      <c r="S45" s="13" t="s">
        <v>360</v>
      </c>
      <c r="T45" s="13" t="s">
        <v>417</v>
      </c>
      <c r="AJ45" s="8" t="s">
        <v>418</v>
      </c>
      <c r="AM45" s="13" t="s">
        <v>419</v>
      </c>
      <c r="AN45" s="18" t="s">
        <v>420</v>
      </c>
      <c r="AO45" s="18" t="s">
        <v>421</v>
      </c>
    </row>
    <row r="46" spans="5:41" ht="17.25" x14ac:dyDescent="0.2">
      <c r="R46" s="13" t="s">
        <v>422</v>
      </c>
      <c r="S46" s="13" t="s">
        <v>360</v>
      </c>
      <c r="T46" s="13" t="s">
        <v>423</v>
      </c>
      <c r="AJ46" s="8" t="s">
        <v>424</v>
      </c>
      <c r="AM46" s="13" t="s">
        <v>425</v>
      </c>
      <c r="AN46" s="18" t="s">
        <v>426</v>
      </c>
      <c r="AO46" s="18" t="s">
        <v>427</v>
      </c>
    </row>
    <row r="47" spans="5:41" ht="17.25" x14ac:dyDescent="0.2">
      <c r="R47" s="13" t="s">
        <v>428</v>
      </c>
      <c r="S47" s="13" t="s">
        <v>360</v>
      </c>
      <c r="T47" s="13" t="s">
        <v>429</v>
      </c>
      <c r="AJ47" s="8" t="s">
        <v>430</v>
      </c>
      <c r="AM47" s="13" t="s">
        <v>431</v>
      </c>
      <c r="AN47" s="18" t="s">
        <v>432</v>
      </c>
      <c r="AO47" s="18" t="s">
        <v>433</v>
      </c>
    </row>
    <row r="48" spans="5:41" ht="17.25" x14ac:dyDescent="0.2">
      <c r="R48" s="13" t="s">
        <v>434</v>
      </c>
      <c r="S48" s="13" t="s">
        <v>360</v>
      </c>
      <c r="T48" s="13" t="s">
        <v>435</v>
      </c>
      <c r="AJ48" s="8" t="s">
        <v>436</v>
      </c>
      <c r="AM48" s="13" t="s">
        <v>437</v>
      </c>
      <c r="AN48" s="18" t="s">
        <v>438</v>
      </c>
      <c r="AO48" s="18" t="s">
        <v>439</v>
      </c>
    </row>
    <row r="49" spans="18:36" ht="17.25" x14ac:dyDescent="0.2">
      <c r="R49" s="13" t="s">
        <v>440</v>
      </c>
      <c r="S49" s="13" t="s">
        <v>370</v>
      </c>
      <c r="T49" s="13" t="s">
        <v>441</v>
      </c>
      <c r="AJ49" s="8" t="s">
        <v>442</v>
      </c>
    </row>
    <row r="50" spans="18:36" ht="17.25" x14ac:dyDescent="0.2">
      <c r="R50" s="13" t="s">
        <v>282</v>
      </c>
      <c r="S50" s="13" t="s">
        <v>370</v>
      </c>
      <c r="T50" s="13" t="s">
        <v>443</v>
      </c>
      <c r="AJ50" s="8" t="s">
        <v>444</v>
      </c>
    </row>
    <row r="51" spans="18:36" ht="17.25" x14ac:dyDescent="0.2">
      <c r="R51" s="13" t="s">
        <v>289</v>
      </c>
      <c r="S51" s="13" t="s">
        <v>360</v>
      </c>
      <c r="T51" s="13" t="s">
        <v>445</v>
      </c>
      <c r="AJ51" s="8" t="s">
        <v>446</v>
      </c>
    </row>
    <row r="52" spans="18:36" ht="17.25" x14ac:dyDescent="0.2">
      <c r="R52" s="13" t="s">
        <v>295</v>
      </c>
      <c r="S52" s="13" t="s">
        <v>360</v>
      </c>
      <c r="T52" s="13" t="s">
        <v>447</v>
      </c>
      <c r="AJ52" s="8" t="s">
        <v>448</v>
      </c>
    </row>
    <row r="53" spans="18:36" ht="17.25" x14ac:dyDescent="0.2">
      <c r="R53" s="13" t="s">
        <v>303</v>
      </c>
      <c r="S53" s="13" t="s">
        <v>360</v>
      </c>
      <c r="T53" s="13" t="s">
        <v>449</v>
      </c>
      <c r="AJ53" s="8" t="s">
        <v>450</v>
      </c>
    </row>
    <row r="54" spans="18:36" x14ac:dyDescent="0.2">
      <c r="AJ54" s="8" t="s">
        <v>451</v>
      </c>
    </row>
    <row r="55" spans="18:36" x14ac:dyDescent="0.2">
      <c r="AJ55" s="8" t="s">
        <v>452</v>
      </c>
    </row>
    <row r="56" spans="18:36" x14ac:dyDescent="0.2">
      <c r="AJ56" s="8" t="s">
        <v>453</v>
      </c>
    </row>
    <row r="57" spans="18:36" x14ac:dyDescent="0.2">
      <c r="AJ57" s="8" t="s">
        <v>454</v>
      </c>
    </row>
    <row r="58" spans="18:36" x14ac:dyDescent="0.2">
      <c r="AJ58" s="8" t="s">
        <v>455</v>
      </c>
    </row>
    <row r="59" spans="18:36" x14ac:dyDescent="0.2">
      <c r="AJ59" s="8" t="s">
        <v>456</v>
      </c>
    </row>
    <row r="60" spans="18:36" x14ac:dyDescent="0.2">
      <c r="AJ60" s="8" t="s">
        <v>457</v>
      </c>
    </row>
    <row r="61" spans="18:36" x14ac:dyDescent="0.2">
      <c r="AJ61" s="8" t="s">
        <v>458</v>
      </c>
    </row>
    <row r="62" spans="18:36" x14ac:dyDescent="0.2">
      <c r="AJ62" s="8" t="s">
        <v>459</v>
      </c>
    </row>
    <row r="63" spans="18:36" x14ac:dyDescent="0.2">
      <c r="AJ63" s="8" t="s">
        <v>460</v>
      </c>
    </row>
    <row r="64" spans="18:36" x14ac:dyDescent="0.2">
      <c r="AJ64" s="8" t="s">
        <v>461</v>
      </c>
    </row>
    <row r="65" spans="36:36" x14ac:dyDescent="0.2">
      <c r="AJ65" s="8" t="s">
        <v>462</v>
      </c>
    </row>
    <row r="66" spans="36:36" x14ac:dyDescent="0.2">
      <c r="AJ66" s="8" t="s">
        <v>463</v>
      </c>
    </row>
    <row r="67" spans="36:36" x14ac:dyDescent="0.2">
      <c r="AJ67" s="8" t="s">
        <v>464</v>
      </c>
    </row>
    <row r="68" spans="36:36" x14ac:dyDescent="0.2">
      <c r="AJ68" s="8" t="s">
        <v>465</v>
      </c>
    </row>
    <row r="69" spans="36:36" x14ac:dyDescent="0.2">
      <c r="AJ69" s="8" t="s">
        <v>466</v>
      </c>
    </row>
    <row r="70" spans="36:36" x14ac:dyDescent="0.2">
      <c r="AJ70" s="8" t="s">
        <v>467</v>
      </c>
    </row>
    <row r="71" spans="36:36" x14ac:dyDescent="0.2">
      <c r="AJ71" s="8" t="s">
        <v>468</v>
      </c>
    </row>
    <row r="72" spans="36:36" x14ac:dyDescent="0.2">
      <c r="AJ72" s="8" t="s">
        <v>469</v>
      </c>
    </row>
    <row r="73" spans="36:36" x14ac:dyDescent="0.2">
      <c r="AJ73" s="8" t="s">
        <v>470</v>
      </c>
    </row>
    <row r="74" spans="36:36" x14ac:dyDescent="0.2">
      <c r="AJ74" s="8" t="s">
        <v>471</v>
      </c>
    </row>
    <row r="75" spans="36:36" x14ac:dyDescent="0.2">
      <c r="AJ75" s="8" t="s">
        <v>472</v>
      </c>
    </row>
    <row r="76" spans="36:36" x14ac:dyDescent="0.2">
      <c r="AJ76" s="8" t="s">
        <v>473</v>
      </c>
    </row>
    <row r="77" spans="36:36" x14ac:dyDescent="0.2">
      <c r="AJ77" s="8" t="s">
        <v>474</v>
      </c>
    </row>
    <row r="78" spans="36:36" x14ac:dyDescent="0.2">
      <c r="AJ78" s="8" t="s">
        <v>475</v>
      </c>
    </row>
    <row r="79" spans="36:36" x14ac:dyDescent="0.2">
      <c r="AJ79" s="8" t="s">
        <v>476</v>
      </c>
    </row>
    <row r="80" spans="36:36" x14ac:dyDescent="0.2">
      <c r="AJ80" s="8" t="s">
        <v>477</v>
      </c>
    </row>
    <row r="81" spans="36:36" x14ac:dyDescent="0.2">
      <c r="AJ81" s="8" t="s">
        <v>478</v>
      </c>
    </row>
    <row r="82" spans="36:36" x14ac:dyDescent="0.2">
      <c r="AJ82" s="8" t="s">
        <v>479</v>
      </c>
    </row>
    <row r="83" spans="36:36" x14ac:dyDescent="0.2">
      <c r="AJ83" s="8" t="s">
        <v>480</v>
      </c>
    </row>
    <row r="84" spans="36:36" x14ac:dyDescent="0.2">
      <c r="AJ84" s="8" t="s">
        <v>481</v>
      </c>
    </row>
    <row r="85" spans="36:36" x14ac:dyDescent="0.2">
      <c r="AJ85" s="8" t="s">
        <v>482</v>
      </c>
    </row>
    <row r="86" spans="36:36" x14ac:dyDescent="0.2">
      <c r="AJ86" s="8" t="s">
        <v>483</v>
      </c>
    </row>
    <row r="87" spans="36:36" x14ac:dyDescent="0.2">
      <c r="AJ87" s="8" t="s">
        <v>484</v>
      </c>
    </row>
    <row r="88" spans="36:36" x14ac:dyDescent="0.2">
      <c r="AJ88" s="8" t="s">
        <v>485</v>
      </c>
    </row>
    <row r="89" spans="36:36" x14ac:dyDescent="0.2">
      <c r="AJ89" s="8" t="s">
        <v>486</v>
      </c>
    </row>
    <row r="90" spans="36:36" x14ac:dyDescent="0.2">
      <c r="AJ90" s="8" t="s">
        <v>487</v>
      </c>
    </row>
    <row r="91" spans="36:36" x14ac:dyDescent="0.2">
      <c r="AJ91" s="8" t="s">
        <v>488</v>
      </c>
    </row>
    <row r="92" spans="36:36" x14ac:dyDescent="0.2">
      <c r="AJ92" s="8" t="s">
        <v>489</v>
      </c>
    </row>
    <row r="93" spans="36:36" x14ac:dyDescent="0.2">
      <c r="AJ93" s="8" t="s">
        <v>490</v>
      </c>
    </row>
    <row r="94" spans="36:36" x14ac:dyDescent="0.2">
      <c r="AJ94" s="8" t="s">
        <v>491</v>
      </c>
    </row>
    <row r="95" spans="36:36" x14ac:dyDescent="0.2">
      <c r="AJ95" s="8" t="s">
        <v>492</v>
      </c>
    </row>
    <row r="96" spans="36:36" x14ac:dyDescent="0.2">
      <c r="AJ96" s="8" t="s">
        <v>493</v>
      </c>
    </row>
    <row r="97" spans="36:36" x14ac:dyDescent="0.2">
      <c r="AJ97" s="8" t="s">
        <v>494</v>
      </c>
    </row>
    <row r="98" spans="36:36" x14ac:dyDescent="0.2">
      <c r="AJ98" s="8" t="s">
        <v>495</v>
      </c>
    </row>
    <row r="99" spans="36:36" x14ac:dyDescent="0.2">
      <c r="AJ99" s="8" t="s">
        <v>496</v>
      </c>
    </row>
    <row r="100" spans="36:36" x14ac:dyDescent="0.2">
      <c r="AJ100" s="8" t="s">
        <v>497</v>
      </c>
    </row>
    <row r="101" spans="36:36" x14ac:dyDescent="0.2">
      <c r="AJ101" s="8" t="s">
        <v>498</v>
      </c>
    </row>
  </sheetData>
  <mergeCells count="10">
    <mergeCell ref="AE4:AF4"/>
    <mergeCell ref="AH4:AK4"/>
    <mergeCell ref="AM4:AO4"/>
    <mergeCell ref="L5:O5"/>
    <mergeCell ref="T5:V5"/>
    <mergeCell ref="R35:T35"/>
    <mergeCell ref="E38:E42"/>
    <mergeCell ref="E4:J4"/>
    <mergeCell ref="L4:Z4"/>
    <mergeCell ref="AB4:AC4"/>
  </mergeCells>
  <phoneticPr fontId="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2:BU46"/>
  <sheetViews>
    <sheetView topLeftCell="U1" zoomScale="90" zoomScaleNormal="90" workbookViewId="0">
      <selection activeCell="AF51" sqref="AF51"/>
    </sheetView>
  </sheetViews>
  <sheetFormatPr defaultRowHeight="12.75" x14ac:dyDescent="0.2"/>
  <cols>
    <col min="1" max="1" width="9.140625" style="8"/>
    <col min="2" max="2" width="11.42578125" style="8" bestFit="1" customWidth="1"/>
    <col min="3" max="3" width="15.7109375" style="8" bestFit="1" customWidth="1"/>
    <col min="4" max="4" width="9.7109375" style="8" customWidth="1"/>
    <col min="5" max="5" width="18.28515625" style="8" bestFit="1" customWidth="1"/>
    <col min="6" max="6" width="5.42578125" style="8" bestFit="1" customWidth="1"/>
    <col min="7" max="7" width="14.28515625" style="8" bestFit="1" customWidth="1"/>
    <col min="8" max="8" width="9.7109375" style="8" customWidth="1"/>
    <col min="9" max="9" width="18.28515625" style="8" bestFit="1" customWidth="1"/>
    <col min="10" max="10" width="7.42578125" style="8" customWidth="1"/>
    <col min="11" max="11" width="2.28515625" style="8" customWidth="1"/>
    <col min="12" max="12" width="11.42578125" style="8" bestFit="1" customWidth="1"/>
    <col min="13" max="13" width="15.7109375" style="8" bestFit="1" customWidth="1"/>
    <col min="14" max="14" width="9.7109375" style="8" bestFit="1" customWidth="1"/>
    <col min="15" max="15" width="18.28515625" style="8" bestFit="1" customWidth="1"/>
    <col min="16" max="16" width="11.42578125" style="8" bestFit="1" customWidth="1"/>
    <col min="17" max="17" width="15.7109375" style="8" bestFit="1" customWidth="1"/>
    <col min="18" max="18" width="17.42578125" style="8" bestFit="1" customWidth="1"/>
    <col min="19" max="19" width="18.28515625" style="8" bestFit="1" customWidth="1"/>
    <col min="20" max="20" width="17.42578125" style="8" bestFit="1" customWidth="1"/>
    <col min="21" max="21" width="15.7109375" style="8" bestFit="1" customWidth="1"/>
    <col min="22" max="22" width="9.85546875" style="8" customWidth="1"/>
    <col min="23" max="23" width="18.28515625" style="8" bestFit="1" customWidth="1"/>
    <col min="24" max="24" width="8" style="8" customWidth="1"/>
    <col min="25" max="25" width="2.42578125" style="8" customWidth="1"/>
    <col min="26" max="26" width="16.7109375" style="8" customWidth="1"/>
    <col min="27" max="27" width="11" style="8" customWidth="1"/>
    <col min="28" max="28" width="26.42578125" style="8" bestFit="1" customWidth="1"/>
    <col min="29" max="29" width="11.28515625" style="8" customWidth="1"/>
    <col min="30" max="30" width="20.7109375" style="8" customWidth="1"/>
    <col min="31" max="31" width="9.28515625" style="8" customWidth="1"/>
    <col min="32" max="32" width="16.7109375" style="8" customWidth="1"/>
    <col min="33" max="33" width="18.85546875" style="8" bestFit="1" customWidth="1"/>
    <col min="34" max="34" width="2.85546875" style="8" customWidth="1"/>
    <col min="35" max="35" width="23.140625" style="8" customWidth="1"/>
    <col min="36" max="36" width="14" style="8" customWidth="1"/>
    <col min="37" max="37" width="11" style="8" customWidth="1"/>
    <col min="38" max="38" width="37" style="8" customWidth="1"/>
    <col min="39" max="40" width="9.140625" style="8"/>
    <col min="41" max="41" width="11" style="8" customWidth="1"/>
    <col min="42" max="42" width="37" style="8" customWidth="1"/>
    <col min="43" max="16384" width="9.140625" style="8"/>
  </cols>
  <sheetData>
    <row r="2" spans="2:73" ht="32.25" customHeight="1" x14ac:dyDescent="0.2">
      <c r="B2" s="122" t="s">
        <v>499</v>
      </c>
      <c r="C2" s="123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23"/>
      <c r="AK2" s="123"/>
      <c r="AL2" s="123"/>
      <c r="AM2" s="124"/>
      <c r="AO2" s="24"/>
      <c r="AP2" s="24"/>
      <c r="AQ2" s="24"/>
      <c r="AR2" s="24"/>
      <c r="AS2" s="24"/>
      <c r="AT2" s="24"/>
      <c r="AU2" s="24"/>
      <c r="AV2" s="24"/>
      <c r="AW2" s="24"/>
      <c r="AX2" s="24"/>
      <c r="AY2" s="24"/>
      <c r="AZ2" s="24"/>
      <c r="BA2" s="24"/>
      <c r="BB2" s="24"/>
      <c r="BC2" s="24"/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4"/>
      <c r="BO2" s="24"/>
      <c r="BP2" s="24"/>
      <c r="BQ2" s="24"/>
      <c r="BR2" s="24"/>
      <c r="BS2" s="24"/>
      <c r="BT2" s="24"/>
      <c r="BU2" s="24"/>
    </row>
    <row r="3" spans="2:73" ht="17.25" x14ac:dyDescent="0.2">
      <c r="B3" s="116" t="s">
        <v>500</v>
      </c>
      <c r="C3" s="118"/>
      <c r="D3" s="118"/>
      <c r="E3" s="118"/>
      <c r="F3" s="118"/>
      <c r="G3" s="118"/>
      <c r="H3" s="118"/>
      <c r="I3" s="118"/>
      <c r="J3" s="117"/>
      <c r="K3" s="25"/>
      <c r="L3" s="116" t="s">
        <v>501</v>
      </c>
      <c r="M3" s="118"/>
      <c r="N3" s="118"/>
      <c r="O3" s="118"/>
      <c r="P3" s="118"/>
      <c r="Q3" s="118"/>
      <c r="R3" s="118"/>
      <c r="S3" s="118"/>
      <c r="T3" s="118"/>
      <c r="U3" s="118"/>
      <c r="V3" s="118"/>
      <c r="W3" s="118"/>
      <c r="X3" s="118"/>
      <c r="Y3" s="118"/>
      <c r="Z3" s="118"/>
      <c r="AA3" s="118"/>
      <c r="AB3" s="118"/>
      <c r="AC3" s="118"/>
      <c r="AD3" s="118"/>
      <c r="AE3" s="118"/>
      <c r="AF3" s="118"/>
      <c r="AG3" s="118"/>
      <c r="AI3" s="116" t="s">
        <v>502</v>
      </c>
      <c r="AJ3" s="118"/>
      <c r="AK3" s="118"/>
      <c r="AL3" s="118"/>
      <c r="AM3" s="117"/>
      <c r="AO3" s="116" t="s">
        <v>503</v>
      </c>
      <c r="AP3" s="118"/>
      <c r="AQ3" s="118"/>
    </row>
    <row r="4" spans="2:73" ht="17.25" x14ac:dyDescent="0.2">
      <c r="B4" s="26" t="s">
        <v>504</v>
      </c>
      <c r="C4" s="27" t="s">
        <v>352</v>
      </c>
      <c r="D4" s="28" t="s">
        <v>505</v>
      </c>
      <c r="E4" s="28"/>
      <c r="F4" s="29" t="s">
        <v>506</v>
      </c>
      <c r="G4" s="26" t="s">
        <v>352</v>
      </c>
      <c r="H4" s="28" t="s">
        <v>507</v>
      </c>
      <c r="I4" s="28"/>
      <c r="J4" s="26" t="s">
        <v>508</v>
      </c>
      <c r="L4" s="26" t="s">
        <v>509</v>
      </c>
      <c r="M4" s="26" t="s">
        <v>352</v>
      </c>
      <c r="N4" s="26" t="s">
        <v>505</v>
      </c>
      <c r="O4" s="26" t="s">
        <v>510</v>
      </c>
      <c r="P4" s="26" t="s">
        <v>511</v>
      </c>
      <c r="Q4" s="26" t="s">
        <v>109</v>
      </c>
      <c r="R4" s="26" t="s">
        <v>512</v>
      </c>
      <c r="S4" s="26" t="s">
        <v>352</v>
      </c>
      <c r="T4" s="26" t="s">
        <v>513</v>
      </c>
      <c r="U4" s="26" t="s">
        <v>352</v>
      </c>
      <c r="V4" s="26" t="s">
        <v>512</v>
      </c>
      <c r="W4" s="26" t="s">
        <v>352</v>
      </c>
      <c r="X4" s="9" t="s">
        <v>508</v>
      </c>
      <c r="Y4" s="30"/>
      <c r="Z4" s="26" t="s">
        <v>514</v>
      </c>
      <c r="AA4" s="26" t="s">
        <v>515</v>
      </c>
      <c r="AB4" s="26" t="s">
        <v>516</v>
      </c>
      <c r="AC4" s="26"/>
      <c r="AD4" s="26" t="s">
        <v>109</v>
      </c>
      <c r="AE4" s="26" t="s">
        <v>508</v>
      </c>
      <c r="AF4" s="29" t="s">
        <v>517</v>
      </c>
      <c r="AG4" s="26" t="s">
        <v>352</v>
      </c>
      <c r="AH4" s="30"/>
      <c r="AI4" s="9" t="s">
        <v>516</v>
      </c>
      <c r="AJ4" s="26" t="s">
        <v>518</v>
      </c>
      <c r="AK4" s="26" t="s">
        <v>519</v>
      </c>
      <c r="AL4" s="26" t="s">
        <v>352</v>
      </c>
      <c r="AM4" s="31" t="s">
        <v>520</v>
      </c>
      <c r="AO4" s="26"/>
      <c r="AP4" s="26" t="s">
        <v>510</v>
      </c>
      <c r="AQ4" s="31" t="s">
        <v>9</v>
      </c>
    </row>
    <row r="5" spans="2:73" ht="17.25" x14ac:dyDescent="0.2">
      <c r="B5" s="13" t="s">
        <v>521</v>
      </c>
      <c r="C5" s="14" t="s">
        <v>522</v>
      </c>
      <c r="D5" s="13" t="s">
        <v>523</v>
      </c>
      <c r="E5" s="32" t="s">
        <v>524</v>
      </c>
      <c r="F5" s="33" t="s">
        <v>525</v>
      </c>
      <c r="G5" s="13" t="s">
        <v>526</v>
      </c>
      <c r="H5" s="13" t="s">
        <v>521</v>
      </c>
      <c r="I5" s="32" t="s">
        <v>527</v>
      </c>
      <c r="J5" s="13" t="s">
        <v>528</v>
      </c>
      <c r="L5" s="13" t="s">
        <v>529</v>
      </c>
      <c r="M5" s="14" t="s">
        <v>530</v>
      </c>
      <c r="N5" s="13" t="s">
        <v>521</v>
      </c>
      <c r="O5" s="32" t="s">
        <v>531</v>
      </c>
      <c r="P5" s="13" t="s">
        <v>532</v>
      </c>
      <c r="Q5" s="14" t="s">
        <v>533</v>
      </c>
      <c r="R5" s="13" t="s">
        <v>521</v>
      </c>
      <c r="S5" s="32" t="s">
        <v>534</v>
      </c>
      <c r="T5" s="13" t="s">
        <v>535</v>
      </c>
      <c r="U5" s="14" t="s">
        <v>536</v>
      </c>
      <c r="V5" s="13" t="s">
        <v>537</v>
      </c>
      <c r="W5" s="32" t="s">
        <v>538</v>
      </c>
      <c r="X5" s="13" t="s">
        <v>528</v>
      </c>
      <c r="Y5" s="30"/>
      <c r="Z5" s="13" t="s">
        <v>539</v>
      </c>
      <c r="AA5" s="13">
        <v>1</v>
      </c>
      <c r="AB5" s="13"/>
      <c r="AC5" s="14"/>
      <c r="AD5" s="32" t="s">
        <v>540</v>
      </c>
      <c r="AE5" s="13" t="s">
        <v>541</v>
      </c>
      <c r="AF5" s="13" t="s">
        <v>537</v>
      </c>
      <c r="AG5" s="14" t="s">
        <v>542</v>
      </c>
      <c r="AH5" s="30"/>
      <c r="AI5" s="13" t="s">
        <v>543</v>
      </c>
      <c r="AJ5" s="13" t="s">
        <v>544</v>
      </c>
      <c r="AK5" s="13">
        <v>1</v>
      </c>
      <c r="AL5" s="14" t="s">
        <v>545</v>
      </c>
      <c r="AM5" s="13" t="s">
        <v>541</v>
      </c>
      <c r="AO5" s="13"/>
      <c r="AP5" s="14" t="s">
        <v>546</v>
      </c>
      <c r="AQ5" s="13"/>
    </row>
    <row r="6" spans="2:73" ht="17.25" x14ac:dyDescent="0.2">
      <c r="B6" s="13"/>
      <c r="C6" s="14"/>
      <c r="D6" s="13"/>
      <c r="E6" s="32"/>
      <c r="F6" s="33"/>
      <c r="G6" s="13"/>
      <c r="H6" s="13"/>
      <c r="I6" s="32"/>
      <c r="J6" s="13" t="s">
        <v>547</v>
      </c>
      <c r="L6" s="13"/>
      <c r="M6" s="14" t="s">
        <v>548</v>
      </c>
      <c r="N6" s="13"/>
      <c r="O6" s="32"/>
      <c r="P6" s="13"/>
      <c r="Q6" s="14"/>
      <c r="R6" s="13"/>
      <c r="S6" s="32"/>
      <c r="T6" s="13"/>
      <c r="U6" s="14"/>
      <c r="V6" s="13"/>
      <c r="W6" s="32"/>
      <c r="X6" s="13" t="s">
        <v>549</v>
      </c>
      <c r="Y6" s="30"/>
      <c r="Z6" s="34" t="s">
        <v>550</v>
      </c>
      <c r="AA6" s="34">
        <v>1</v>
      </c>
      <c r="AB6" s="34" t="s">
        <v>551</v>
      </c>
      <c r="AC6" s="35"/>
      <c r="AD6" s="36" t="s">
        <v>552</v>
      </c>
      <c r="AE6" s="34" t="s">
        <v>553</v>
      </c>
      <c r="AH6" s="30"/>
      <c r="AI6" s="13" t="s">
        <v>554</v>
      </c>
      <c r="AJ6" s="13" t="s">
        <v>555</v>
      </c>
      <c r="AK6" s="13">
        <v>1</v>
      </c>
      <c r="AL6" s="14" t="s">
        <v>556</v>
      </c>
      <c r="AM6" s="13" t="s">
        <v>553</v>
      </c>
      <c r="AO6" s="13"/>
      <c r="AP6" s="14" t="s">
        <v>557</v>
      </c>
      <c r="AQ6" s="13"/>
    </row>
    <row r="7" spans="2:73" ht="17.25" x14ac:dyDescent="0.2">
      <c r="B7" s="13"/>
      <c r="C7" s="14"/>
      <c r="D7" s="13"/>
      <c r="E7" s="32"/>
      <c r="F7" s="33"/>
      <c r="G7" s="13"/>
      <c r="H7" s="13"/>
      <c r="I7" s="32"/>
      <c r="J7" s="13" t="s">
        <v>558</v>
      </c>
      <c r="L7" s="13"/>
      <c r="M7" s="14" t="s">
        <v>559</v>
      </c>
      <c r="N7" s="13"/>
      <c r="O7" s="32"/>
      <c r="P7" s="13"/>
      <c r="Q7" s="14"/>
      <c r="R7" s="13"/>
      <c r="S7" s="32"/>
      <c r="T7" s="13"/>
      <c r="U7" s="14"/>
      <c r="V7" s="13"/>
      <c r="W7" s="32"/>
      <c r="X7" s="13" t="s">
        <v>558</v>
      </c>
      <c r="Y7" s="30"/>
      <c r="Z7" s="34" t="s">
        <v>550</v>
      </c>
      <c r="AA7" s="34">
        <v>17</v>
      </c>
      <c r="AB7" s="34" t="s">
        <v>560</v>
      </c>
      <c r="AC7" s="35"/>
      <c r="AD7" s="36" t="s">
        <v>561</v>
      </c>
      <c r="AE7" s="34" t="s">
        <v>528</v>
      </c>
      <c r="AH7" s="30"/>
      <c r="AI7" s="126" t="s">
        <v>562</v>
      </c>
      <c r="AJ7" s="127"/>
      <c r="AK7" s="13">
        <v>2</v>
      </c>
      <c r="AL7" s="13" t="s">
        <v>563</v>
      </c>
      <c r="AM7" s="13" t="s">
        <v>547</v>
      </c>
      <c r="AO7" s="13"/>
      <c r="AP7" s="14" t="s">
        <v>564</v>
      </c>
      <c r="AQ7" s="13"/>
    </row>
    <row r="8" spans="2:73" ht="17.25" x14ac:dyDescent="0.2">
      <c r="B8" s="13"/>
      <c r="C8" s="14"/>
      <c r="D8" s="13"/>
      <c r="E8" s="32"/>
      <c r="F8" s="33"/>
      <c r="G8" s="13"/>
      <c r="H8" s="13"/>
      <c r="I8" s="32"/>
      <c r="J8" s="13" t="s">
        <v>565</v>
      </c>
      <c r="L8" s="13"/>
      <c r="M8" s="14"/>
      <c r="N8" s="13"/>
      <c r="O8" s="32"/>
      <c r="P8" s="13"/>
      <c r="Q8" s="14"/>
      <c r="R8" s="13"/>
      <c r="S8" s="32"/>
      <c r="T8" s="13"/>
      <c r="U8" s="14"/>
      <c r="V8" s="13"/>
      <c r="W8" s="32"/>
      <c r="X8" s="13" t="s">
        <v>565</v>
      </c>
      <c r="Y8" s="30"/>
      <c r="Z8" s="34" t="s">
        <v>550</v>
      </c>
      <c r="AA8" s="13">
        <v>1</v>
      </c>
      <c r="AB8" s="13" t="s">
        <v>566</v>
      </c>
      <c r="AC8" s="14"/>
      <c r="AD8" s="32" t="s">
        <v>567</v>
      </c>
      <c r="AE8" s="13" t="s">
        <v>541</v>
      </c>
      <c r="AH8" s="30"/>
      <c r="AI8" s="126" t="s">
        <v>562</v>
      </c>
      <c r="AJ8" s="127"/>
      <c r="AK8" s="13">
        <v>3</v>
      </c>
      <c r="AL8" s="13" t="s">
        <v>563</v>
      </c>
      <c r="AM8" s="13" t="s">
        <v>558</v>
      </c>
      <c r="AO8" s="13"/>
      <c r="AP8" s="14" t="s">
        <v>568</v>
      </c>
      <c r="AQ8" s="13"/>
    </row>
    <row r="9" spans="2:73" ht="17.25" x14ac:dyDescent="0.2">
      <c r="B9" s="13"/>
      <c r="C9" s="14"/>
      <c r="D9" s="13"/>
      <c r="E9" s="32"/>
      <c r="F9" s="33"/>
      <c r="G9" s="13"/>
      <c r="H9" s="13"/>
      <c r="I9" s="32"/>
      <c r="J9" s="13" t="s">
        <v>569</v>
      </c>
      <c r="L9" s="13"/>
      <c r="M9" s="14"/>
      <c r="N9" s="13"/>
      <c r="O9" s="32"/>
      <c r="P9" s="13"/>
      <c r="Q9" s="14"/>
      <c r="R9" s="13"/>
      <c r="S9" s="32"/>
      <c r="T9" s="13"/>
      <c r="U9" s="14"/>
      <c r="V9" s="13"/>
      <c r="W9" s="32"/>
      <c r="X9" s="13" t="s">
        <v>569</v>
      </c>
      <c r="Y9" s="30"/>
      <c r="Z9" s="34" t="s">
        <v>570</v>
      </c>
      <c r="AA9" s="13">
        <v>17</v>
      </c>
      <c r="AB9" s="13" t="s">
        <v>566</v>
      </c>
      <c r="AC9" s="14"/>
      <c r="AD9" s="32" t="s">
        <v>571</v>
      </c>
      <c r="AE9" s="13" t="s">
        <v>541</v>
      </c>
      <c r="AF9" s="37">
        <v>17</v>
      </c>
      <c r="AG9" s="36" t="s">
        <v>572</v>
      </c>
      <c r="AH9" s="30"/>
      <c r="AI9" s="126" t="s">
        <v>562</v>
      </c>
      <c r="AJ9" s="127"/>
      <c r="AK9" s="13">
        <v>4</v>
      </c>
      <c r="AL9" s="13" t="s">
        <v>563</v>
      </c>
      <c r="AM9" s="13" t="s">
        <v>565</v>
      </c>
      <c r="AO9" s="13"/>
      <c r="AP9" s="14" t="s">
        <v>573</v>
      </c>
      <c r="AQ9" s="13"/>
    </row>
    <row r="10" spans="2:73" ht="17.25" x14ac:dyDescent="0.2">
      <c r="B10" s="13"/>
      <c r="C10" s="14"/>
      <c r="D10" s="13"/>
      <c r="E10" s="32"/>
      <c r="F10" s="33"/>
      <c r="G10" s="13"/>
      <c r="H10" s="13"/>
      <c r="I10" s="32"/>
      <c r="J10" s="13" t="s">
        <v>304</v>
      </c>
      <c r="L10" s="13"/>
      <c r="M10" s="14"/>
      <c r="N10" s="13"/>
      <c r="O10" s="32"/>
      <c r="P10" s="13"/>
      <c r="Q10" s="14"/>
      <c r="R10" s="13"/>
      <c r="S10" s="32"/>
      <c r="T10" s="13"/>
      <c r="U10" s="14"/>
      <c r="V10" s="13"/>
      <c r="W10" s="32"/>
      <c r="X10" s="13" t="s">
        <v>574</v>
      </c>
      <c r="Y10" s="30"/>
      <c r="Z10" s="34" t="s">
        <v>550</v>
      </c>
      <c r="AA10" s="34">
        <v>1</v>
      </c>
      <c r="AB10" s="34" t="s">
        <v>575</v>
      </c>
      <c r="AC10" s="35"/>
      <c r="AD10" s="36" t="s">
        <v>576</v>
      </c>
      <c r="AE10" s="34" t="s">
        <v>541</v>
      </c>
      <c r="AF10" s="37">
        <v>17</v>
      </c>
      <c r="AG10" s="36" t="s">
        <v>577</v>
      </c>
      <c r="AH10" s="30"/>
      <c r="AI10" s="126" t="s">
        <v>562</v>
      </c>
      <c r="AJ10" s="127"/>
      <c r="AK10" s="13">
        <v>5</v>
      </c>
      <c r="AL10" s="13" t="s">
        <v>563</v>
      </c>
      <c r="AM10" s="13" t="s">
        <v>569</v>
      </c>
      <c r="AO10" s="13"/>
      <c r="AP10" s="14" t="s">
        <v>578</v>
      </c>
      <c r="AQ10" s="13"/>
    </row>
    <row r="11" spans="2:73" ht="17.25" x14ac:dyDescent="0.2">
      <c r="B11" s="13"/>
      <c r="C11" s="14"/>
      <c r="D11" s="13"/>
      <c r="E11" s="32"/>
      <c r="F11" s="33"/>
      <c r="G11" s="13"/>
      <c r="H11" s="13"/>
      <c r="I11" s="32"/>
      <c r="J11" s="13" t="s">
        <v>579</v>
      </c>
      <c r="L11" s="13"/>
      <c r="M11" s="14"/>
      <c r="N11" s="13"/>
      <c r="O11" s="32"/>
      <c r="P11" s="13"/>
      <c r="Q11" s="14"/>
      <c r="R11" s="13"/>
      <c r="S11" s="32"/>
      <c r="T11" s="13"/>
      <c r="U11" s="14"/>
      <c r="V11" s="13"/>
      <c r="W11" s="32"/>
      <c r="X11" s="13" t="s">
        <v>579</v>
      </c>
      <c r="Y11" s="30"/>
      <c r="Z11" s="34" t="s">
        <v>570</v>
      </c>
      <c r="AA11" s="34">
        <v>17</v>
      </c>
      <c r="AB11" s="34" t="s">
        <v>575</v>
      </c>
      <c r="AC11" s="35"/>
      <c r="AD11" s="36" t="s">
        <v>572</v>
      </c>
      <c r="AE11" s="34" t="s">
        <v>541</v>
      </c>
      <c r="AH11" s="30"/>
      <c r="AI11" s="126" t="s">
        <v>562</v>
      </c>
      <c r="AJ11" s="127"/>
      <c r="AK11" s="13">
        <v>6</v>
      </c>
      <c r="AL11" s="13" t="s">
        <v>563</v>
      </c>
      <c r="AM11" s="13" t="s">
        <v>574</v>
      </c>
      <c r="AO11" s="13"/>
      <c r="AP11" s="14" t="s">
        <v>580</v>
      </c>
      <c r="AQ11" s="13"/>
    </row>
    <row r="12" spans="2:73" ht="17.25" x14ac:dyDescent="0.2">
      <c r="B12" s="13"/>
      <c r="C12" s="14"/>
      <c r="D12" s="13"/>
      <c r="E12" s="32"/>
      <c r="F12" s="33"/>
      <c r="G12" s="13"/>
      <c r="H12" s="13"/>
      <c r="I12" s="32"/>
      <c r="J12" s="13" t="s">
        <v>581</v>
      </c>
      <c r="L12" s="13"/>
      <c r="M12" s="14"/>
      <c r="N12" s="13"/>
      <c r="O12" s="32"/>
      <c r="P12" s="13"/>
      <c r="Q12" s="14"/>
      <c r="R12" s="13"/>
      <c r="S12" s="32"/>
      <c r="T12" s="13"/>
      <c r="U12" s="14"/>
      <c r="V12" s="13"/>
      <c r="W12" s="32"/>
      <c r="X12" s="13" t="s">
        <v>581</v>
      </c>
      <c r="Y12" s="30"/>
      <c r="Z12" s="34" t="s">
        <v>550</v>
      </c>
      <c r="AA12" s="34">
        <v>1</v>
      </c>
      <c r="AB12" s="34" t="s">
        <v>582</v>
      </c>
      <c r="AC12" s="35"/>
      <c r="AD12" s="36" t="s">
        <v>583</v>
      </c>
      <c r="AE12" s="34" t="s">
        <v>541</v>
      </c>
      <c r="AH12" s="30"/>
      <c r="AI12" s="126" t="s">
        <v>562</v>
      </c>
      <c r="AJ12" s="127"/>
      <c r="AK12" s="13">
        <v>7</v>
      </c>
      <c r="AL12" s="13" t="s">
        <v>563</v>
      </c>
      <c r="AM12" s="13" t="s">
        <v>579</v>
      </c>
      <c r="AO12" s="13"/>
      <c r="AP12" s="14" t="s">
        <v>584</v>
      </c>
      <c r="AQ12" s="13"/>
    </row>
    <row r="13" spans="2:73" ht="17.25" x14ac:dyDescent="0.2">
      <c r="B13" s="13"/>
      <c r="C13" s="14"/>
      <c r="D13" s="13"/>
      <c r="E13" s="32"/>
      <c r="F13" s="33"/>
      <c r="G13" s="13"/>
      <c r="H13" s="13"/>
      <c r="I13" s="32"/>
      <c r="J13" s="13" t="s">
        <v>585</v>
      </c>
      <c r="L13" s="13"/>
      <c r="M13" s="14"/>
      <c r="N13" s="13"/>
      <c r="O13" s="32"/>
      <c r="P13" s="13"/>
      <c r="Q13" s="14"/>
      <c r="R13" s="13"/>
      <c r="S13" s="32"/>
      <c r="T13" s="13"/>
      <c r="U13" s="14"/>
      <c r="V13" s="13"/>
      <c r="W13" s="32"/>
      <c r="X13" s="13" t="s">
        <v>586</v>
      </c>
      <c r="Y13" s="30"/>
      <c r="Z13" s="34" t="s">
        <v>550</v>
      </c>
      <c r="AA13" s="34">
        <v>17</v>
      </c>
      <c r="AB13" s="34" t="s">
        <v>582</v>
      </c>
      <c r="AC13" s="35"/>
      <c r="AD13" s="36" t="s">
        <v>577</v>
      </c>
      <c r="AE13" s="34" t="s">
        <v>541</v>
      </c>
      <c r="AH13" s="30"/>
      <c r="AI13" s="126" t="s">
        <v>562</v>
      </c>
      <c r="AJ13" s="127"/>
      <c r="AK13" s="13">
        <v>8</v>
      </c>
      <c r="AL13" s="13" t="s">
        <v>563</v>
      </c>
      <c r="AM13" s="13" t="s">
        <v>581</v>
      </c>
      <c r="AO13" s="13"/>
      <c r="AP13" s="14" t="s">
        <v>587</v>
      </c>
      <c r="AQ13" s="13"/>
    </row>
    <row r="14" spans="2:73" ht="17.25" x14ac:dyDescent="0.2">
      <c r="B14" s="13"/>
      <c r="C14" s="14"/>
      <c r="D14" s="13"/>
      <c r="E14" s="32"/>
      <c r="F14" s="33"/>
      <c r="G14" s="13"/>
      <c r="H14" s="13"/>
      <c r="I14" s="32"/>
      <c r="J14" s="13" t="s">
        <v>588</v>
      </c>
      <c r="L14" s="13"/>
      <c r="M14" s="14"/>
      <c r="N14" s="13"/>
      <c r="O14" s="32"/>
      <c r="P14" s="13"/>
      <c r="Q14" s="14"/>
      <c r="R14" s="13"/>
      <c r="S14" s="32"/>
      <c r="T14" s="13"/>
      <c r="U14" s="14"/>
      <c r="V14" s="13"/>
      <c r="W14" s="32"/>
      <c r="X14" s="13" t="s">
        <v>588</v>
      </c>
      <c r="Y14" s="30"/>
      <c r="Z14" s="13" t="s">
        <v>562</v>
      </c>
      <c r="AA14" s="13">
        <v>2</v>
      </c>
      <c r="AB14" s="13"/>
      <c r="AC14" s="14"/>
      <c r="AD14" s="32" t="s">
        <v>589</v>
      </c>
      <c r="AE14" s="13" t="s">
        <v>547</v>
      </c>
      <c r="AF14" s="13" t="s">
        <v>521</v>
      </c>
      <c r="AG14" s="32" t="s">
        <v>590</v>
      </c>
      <c r="AH14" s="30"/>
      <c r="AI14" s="126" t="s">
        <v>562</v>
      </c>
      <c r="AJ14" s="127"/>
      <c r="AK14" s="13">
        <v>9</v>
      </c>
      <c r="AL14" s="13" t="s">
        <v>563</v>
      </c>
      <c r="AM14" s="13" t="s">
        <v>585</v>
      </c>
      <c r="AO14" s="13"/>
      <c r="AP14" s="14" t="s">
        <v>591</v>
      </c>
      <c r="AQ14" s="13"/>
    </row>
    <row r="15" spans="2:73" ht="17.25" x14ac:dyDescent="0.2">
      <c r="B15" s="13"/>
      <c r="C15" s="14"/>
      <c r="D15" s="13"/>
      <c r="E15" s="32"/>
      <c r="F15" s="33"/>
      <c r="G15" s="13"/>
      <c r="H15" s="13"/>
      <c r="I15" s="32"/>
      <c r="J15" s="13" t="s">
        <v>592</v>
      </c>
      <c r="L15" s="13"/>
      <c r="M15" s="14"/>
      <c r="N15" s="13"/>
      <c r="O15" s="32"/>
      <c r="P15" s="13"/>
      <c r="Q15" s="14"/>
      <c r="R15" s="13"/>
      <c r="S15" s="32"/>
      <c r="T15" s="13"/>
      <c r="U15" s="14"/>
      <c r="V15" s="13"/>
      <c r="W15" s="32"/>
      <c r="X15" s="13" t="s">
        <v>592</v>
      </c>
      <c r="Y15" s="30"/>
      <c r="Z15" s="13" t="s">
        <v>562</v>
      </c>
      <c r="AA15" s="13">
        <v>3</v>
      </c>
      <c r="AB15" s="14"/>
      <c r="AC15" s="14"/>
      <c r="AD15" s="32" t="s">
        <v>589</v>
      </c>
      <c r="AE15" s="13" t="s">
        <v>558</v>
      </c>
      <c r="AF15" s="13" t="s">
        <v>537</v>
      </c>
      <c r="AG15" s="32" t="s">
        <v>590</v>
      </c>
      <c r="AH15" s="30"/>
      <c r="AI15" s="126" t="s">
        <v>562</v>
      </c>
      <c r="AJ15" s="127"/>
      <c r="AK15" s="13">
        <v>10</v>
      </c>
      <c r="AL15" s="13" t="s">
        <v>563</v>
      </c>
      <c r="AM15" s="13" t="s">
        <v>588</v>
      </c>
      <c r="AO15" s="13"/>
      <c r="AP15" s="14" t="s">
        <v>593</v>
      </c>
      <c r="AQ15" s="13"/>
    </row>
    <row r="16" spans="2:73" ht="17.25" x14ac:dyDescent="0.2">
      <c r="B16" s="13"/>
      <c r="C16" s="14"/>
      <c r="D16" s="13"/>
      <c r="E16" s="32"/>
      <c r="F16" s="33"/>
      <c r="G16" s="13"/>
      <c r="H16" s="13"/>
      <c r="I16" s="32"/>
      <c r="J16" s="13" t="s">
        <v>594</v>
      </c>
      <c r="L16" s="13"/>
      <c r="M16" s="14"/>
      <c r="N16" s="13"/>
      <c r="O16" s="32"/>
      <c r="P16" s="13"/>
      <c r="Q16" s="14"/>
      <c r="R16" s="13"/>
      <c r="S16" s="32"/>
      <c r="T16" s="13"/>
      <c r="U16" s="14"/>
      <c r="V16" s="13"/>
      <c r="W16" s="32"/>
      <c r="X16" s="13" t="s">
        <v>594</v>
      </c>
      <c r="Y16" s="30"/>
      <c r="Z16" s="13" t="s">
        <v>562</v>
      </c>
      <c r="AA16" s="13">
        <v>4</v>
      </c>
      <c r="AB16" s="14"/>
      <c r="AC16" s="14"/>
      <c r="AD16" s="32" t="s">
        <v>589</v>
      </c>
      <c r="AE16" s="13" t="s">
        <v>565</v>
      </c>
      <c r="AF16" s="13" t="s">
        <v>537</v>
      </c>
      <c r="AG16" s="32" t="s">
        <v>595</v>
      </c>
      <c r="AH16" s="30"/>
      <c r="AI16" s="126" t="s">
        <v>562</v>
      </c>
      <c r="AJ16" s="127"/>
      <c r="AK16" s="13">
        <v>11</v>
      </c>
      <c r="AL16" s="13" t="s">
        <v>563</v>
      </c>
      <c r="AM16" s="13" t="s">
        <v>592</v>
      </c>
      <c r="AO16" s="13"/>
      <c r="AP16" s="14" t="s">
        <v>596</v>
      </c>
      <c r="AQ16" s="13"/>
    </row>
    <row r="17" spans="2:43" ht="17.25" x14ac:dyDescent="0.2">
      <c r="B17" s="13"/>
      <c r="C17" s="14"/>
      <c r="D17" s="13"/>
      <c r="E17" s="32"/>
      <c r="F17" s="33"/>
      <c r="G17" s="13"/>
      <c r="H17" s="13"/>
      <c r="I17" s="32"/>
      <c r="J17" s="13" t="s">
        <v>597</v>
      </c>
      <c r="L17" s="13"/>
      <c r="M17" s="14"/>
      <c r="N17" s="13"/>
      <c r="O17" s="32"/>
      <c r="P17" s="13"/>
      <c r="Q17" s="14"/>
      <c r="R17" s="13"/>
      <c r="S17" s="32"/>
      <c r="T17" s="13"/>
      <c r="U17" s="14"/>
      <c r="V17" s="13"/>
      <c r="W17" s="32"/>
      <c r="X17" s="13" t="s">
        <v>597</v>
      </c>
      <c r="Y17" s="30"/>
      <c r="Z17" s="13" t="s">
        <v>562</v>
      </c>
      <c r="AA17" s="13">
        <v>5</v>
      </c>
      <c r="AB17" s="14"/>
      <c r="AC17" s="14"/>
      <c r="AD17" s="32" t="s">
        <v>589</v>
      </c>
      <c r="AE17" s="13" t="s">
        <v>569</v>
      </c>
      <c r="AF17" s="13" t="s">
        <v>537</v>
      </c>
      <c r="AG17" s="32" t="s">
        <v>590</v>
      </c>
      <c r="AH17" s="30"/>
      <c r="AI17" s="126" t="s">
        <v>562</v>
      </c>
      <c r="AJ17" s="127"/>
      <c r="AK17" s="13">
        <v>12</v>
      </c>
      <c r="AL17" s="13" t="s">
        <v>563</v>
      </c>
      <c r="AM17" s="13" t="s">
        <v>594</v>
      </c>
      <c r="AO17" s="13"/>
      <c r="AP17" s="13" t="s">
        <v>598</v>
      </c>
      <c r="AQ17" s="13"/>
    </row>
    <row r="18" spans="2:43" ht="17.25" x14ac:dyDescent="0.2">
      <c r="B18" s="13"/>
      <c r="C18" s="14"/>
      <c r="D18" s="13"/>
      <c r="E18" s="32"/>
      <c r="F18" s="33"/>
      <c r="G18" s="13"/>
      <c r="H18" s="13"/>
      <c r="I18" s="32"/>
      <c r="J18" s="13" t="s">
        <v>599</v>
      </c>
      <c r="L18" s="13"/>
      <c r="M18" s="14"/>
      <c r="N18" s="13"/>
      <c r="O18" s="32"/>
      <c r="P18" s="13"/>
      <c r="Q18" s="14"/>
      <c r="R18" s="13"/>
      <c r="S18" s="32"/>
      <c r="T18" s="13"/>
      <c r="U18" s="14"/>
      <c r="V18" s="13"/>
      <c r="W18" s="32"/>
      <c r="X18" s="13" t="s">
        <v>599</v>
      </c>
      <c r="Y18" s="30"/>
      <c r="Z18" s="13" t="s">
        <v>562</v>
      </c>
      <c r="AA18" s="13">
        <v>6</v>
      </c>
      <c r="AB18" s="14"/>
      <c r="AC18" s="14"/>
      <c r="AD18" s="32" t="s">
        <v>589</v>
      </c>
      <c r="AE18" s="13" t="s">
        <v>574</v>
      </c>
      <c r="AF18" s="13" t="s">
        <v>537</v>
      </c>
      <c r="AG18" s="32" t="s">
        <v>590</v>
      </c>
      <c r="AH18" s="30"/>
      <c r="AI18" s="126" t="s">
        <v>562</v>
      </c>
      <c r="AJ18" s="127"/>
      <c r="AK18" s="13">
        <v>13</v>
      </c>
      <c r="AL18" s="13" t="s">
        <v>563</v>
      </c>
      <c r="AM18" s="13" t="s">
        <v>597</v>
      </c>
      <c r="AO18" s="13"/>
      <c r="AP18" s="13" t="s">
        <v>600</v>
      </c>
      <c r="AQ18" s="13"/>
    </row>
    <row r="19" spans="2:43" ht="17.25" x14ac:dyDescent="0.2">
      <c r="B19" s="13"/>
      <c r="C19" s="14"/>
      <c r="D19" s="13"/>
      <c r="E19" s="32"/>
      <c r="F19" s="33"/>
      <c r="G19" s="13"/>
      <c r="H19" s="13"/>
      <c r="I19" s="32"/>
      <c r="J19" s="13" t="s">
        <v>601</v>
      </c>
      <c r="L19" s="13"/>
      <c r="M19" s="14"/>
      <c r="N19" s="13"/>
      <c r="O19" s="32"/>
      <c r="P19" s="13"/>
      <c r="Q19" s="14"/>
      <c r="R19" s="13"/>
      <c r="S19" s="32"/>
      <c r="T19" s="13"/>
      <c r="U19" s="14"/>
      <c r="V19" s="13"/>
      <c r="W19" s="32"/>
      <c r="X19" s="13" t="s">
        <v>601</v>
      </c>
      <c r="Y19" s="30"/>
      <c r="Z19" s="13" t="s">
        <v>562</v>
      </c>
      <c r="AA19" s="13">
        <v>7</v>
      </c>
      <c r="AB19" s="14"/>
      <c r="AC19" s="14"/>
      <c r="AD19" s="32" t="s">
        <v>589</v>
      </c>
      <c r="AE19" s="13" t="s">
        <v>579</v>
      </c>
      <c r="AF19" s="13" t="s">
        <v>521</v>
      </c>
      <c r="AG19" s="32" t="s">
        <v>590</v>
      </c>
      <c r="AH19" s="30"/>
      <c r="AI19" s="126" t="s">
        <v>562</v>
      </c>
      <c r="AJ19" s="127"/>
      <c r="AK19" s="13">
        <v>14</v>
      </c>
      <c r="AL19" s="13" t="s">
        <v>563</v>
      </c>
      <c r="AM19" s="13" t="s">
        <v>599</v>
      </c>
      <c r="AO19" s="13"/>
      <c r="AP19" s="13" t="s">
        <v>602</v>
      </c>
      <c r="AQ19" s="13"/>
    </row>
    <row r="20" spans="2:43" ht="17.25" x14ac:dyDescent="0.2">
      <c r="B20" s="13"/>
      <c r="C20" s="14"/>
      <c r="D20" s="13"/>
      <c r="E20" s="32"/>
      <c r="F20" s="33"/>
      <c r="G20" s="13"/>
      <c r="H20" s="13"/>
      <c r="I20" s="32"/>
      <c r="J20" s="13" t="s">
        <v>206</v>
      </c>
      <c r="L20" s="13"/>
      <c r="M20" s="14"/>
      <c r="N20" s="13"/>
      <c r="O20" s="32"/>
      <c r="P20" s="13"/>
      <c r="Q20" s="14"/>
      <c r="R20" s="13"/>
      <c r="S20" s="32"/>
      <c r="T20" s="13"/>
      <c r="U20" s="14"/>
      <c r="V20" s="13"/>
      <c r="W20" s="32"/>
      <c r="X20" s="13" t="s">
        <v>206</v>
      </c>
      <c r="Y20" s="38"/>
      <c r="Z20" s="13" t="s">
        <v>562</v>
      </c>
      <c r="AA20" s="13">
        <v>8</v>
      </c>
      <c r="AB20" s="14"/>
      <c r="AC20" s="14"/>
      <c r="AD20" s="32" t="s">
        <v>589</v>
      </c>
      <c r="AE20" s="13" t="s">
        <v>581</v>
      </c>
      <c r="AF20" s="13" t="s">
        <v>537</v>
      </c>
      <c r="AG20" s="32" t="s">
        <v>590</v>
      </c>
      <c r="AH20" s="30"/>
      <c r="AI20" s="126" t="s">
        <v>562</v>
      </c>
      <c r="AJ20" s="127"/>
      <c r="AK20" s="13">
        <v>15</v>
      </c>
      <c r="AL20" s="13" t="s">
        <v>563</v>
      </c>
      <c r="AM20" s="20" t="s">
        <v>601</v>
      </c>
      <c r="AO20" s="13"/>
      <c r="AP20" s="13" t="s">
        <v>603</v>
      </c>
      <c r="AQ20" s="20"/>
    </row>
    <row r="21" spans="2:43" ht="18" thickBot="1" x14ac:dyDescent="0.25">
      <c r="L21" s="26" t="s">
        <v>604</v>
      </c>
      <c r="M21" s="26" t="s">
        <v>605</v>
      </c>
      <c r="N21" s="26" t="s">
        <v>606</v>
      </c>
      <c r="O21" s="26" t="s">
        <v>605</v>
      </c>
      <c r="P21" s="27" t="s">
        <v>607</v>
      </c>
      <c r="Q21" s="29" t="s">
        <v>608</v>
      </c>
      <c r="R21" s="26" t="s">
        <v>352</v>
      </c>
      <c r="S21" s="26" t="s">
        <v>609</v>
      </c>
      <c r="T21" s="26" t="s">
        <v>605</v>
      </c>
      <c r="U21" s="26" t="s">
        <v>607</v>
      </c>
      <c r="Z21" s="13" t="s">
        <v>562</v>
      </c>
      <c r="AA21" s="13">
        <v>9</v>
      </c>
      <c r="AB21" s="39"/>
      <c r="AC21" s="39"/>
      <c r="AD21" s="32" t="s">
        <v>589</v>
      </c>
      <c r="AE21" s="13" t="s">
        <v>585</v>
      </c>
      <c r="AF21" s="13" t="s">
        <v>537</v>
      </c>
      <c r="AG21" s="32" t="s">
        <v>590</v>
      </c>
      <c r="AI21" s="128" t="s">
        <v>562</v>
      </c>
      <c r="AJ21" s="129"/>
      <c r="AK21" s="20">
        <v>16</v>
      </c>
      <c r="AL21" s="20" t="s">
        <v>610</v>
      </c>
      <c r="AM21" s="20" t="s">
        <v>206</v>
      </c>
      <c r="AO21" s="20"/>
      <c r="AP21" s="13" t="s">
        <v>611</v>
      </c>
      <c r="AQ21" s="20"/>
    </row>
    <row r="22" spans="2:43" ht="17.25" x14ac:dyDescent="0.2">
      <c r="L22" s="13" t="s">
        <v>612</v>
      </c>
      <c r="M22" s="13" t="s">
        <v>613</v>
      </c>
      <c r="N22" s="13" t="s">
        <v>537</v>
      </c>
      <c r="O22" s="13" t="s">
        <v>614</v>
      </c>
      <c r="P22" s="14" t="s">
        <v>541</v>
      </c>
      <c r="Q22" s="33" t="s">
        <v>615</v>
      </c>
      <c r="R22" s="13" t="s">
        <v>616</v>
      </c>
      <c r="S22" s="13" t="s">
        <v>617</v>
      </c>
      <c r="T22" s="13" t="s">
        <v>618</v>
      </c>
      <c r="U22" s="13" t="s">
        <v>541</v>
      </c>
      <c r="V22" s="40"/>
      <c r="W22" s="40"/>
      <c r="Z22" s="13" t="s">
        <v>562</v>
      </c>
      <c r="AA22" s="13">
        <v>10</v>
      </c>
      <c r="AB22" s="39"/>
      <c r="AC22" s="39"/>
      <c r="AD22" s="32" t="s">
        <v>589</v>
      </c>
      <c r="AE22" s="13" t="s">
        <v>588</v>
      </c>
      <c r="AF22" s="13" t="s">
        <v>537</v>
      </c>
      <c r="AG22" s="32" t="s">
        <v>590</v>
      </c>
      <c r="AI22" s="130" t="s">
        <v>562</v>
      </c>
      <c r="AJ22" s="131"/>
      <c r="AK22" s="41">
        <v>18</v>
      </c>
      <c r="AL22" s="41" t="s">
        <v>563</v>
      </c>
      <c r="AM22" s="41" t="s">
        <v>547</v>
      </c>
      <c r="AO22" s="41"/>
      <c r="AP22" s="41"/>
      <c r="AQ22" s="41"/>
    </row>
    <row r="23" spans="2:43" ht="17.25" x14ac:dyDescent="0.2">
      <c r="L23" s="13"/>
      <c r="M23" s="13"/>
      <c r="N23" s="13"/>
      <c r="O23" s="13"/>
      <c r="P23" s="14" t="s">
        <v>547</v>
      </c>
      <c r="Q23" s="33"/>
      <c r="R23" s="13"/>
      <c r="S23" s="13"/>
      <c r="T23" s="13"/>
      <c r="U23" s="13" t="s">
        <v>547</v>
      </c>
      <c r="V23" s="40"/>
      <c r="W23" s="40"/>
      <c r="Z23" s="13" t="s">
        <v>562</v>
      </c>
      <c r="AA23" s="13">
        <v>11</v>
      </c>
      <c r="AB23" s="39"/>
      <c r="AC23" s="39"/>
      <c r="AD23" s="32" t="s">
        <v>589</v>
      </c>
      <c r="AE23" s="13" t="s">
        <v>592</v>
      </c>
      <c r="AF23" s="13" t="s">
        <v>537</v>
      </c>
      <c r="AG23" s="32" t="s">
        <v>590</v>
      </c>
      <c r="AI23" s="126" t="s">
        <v>562</v>
      </c>
      <c r="AJ23" s="127"/>
      <c r="AK23" s="13">
        <v>19</v>
      </c>
      <c r="AL23" s="13" t="s">
        <v>563</v>
      </c>
      <c r="AM23" s="13" t="s">
        <v>558</v>
      </c>
      <c r="AO23" s="13"/>
      <c r="AP23" s="13"/>
      <c r="AQ23" s="13"/>
    </row>
    <row r="24" spans="2:43" ht="17.25" x14ac:dyDescent="0.2">
      <c r="L24" s="13"/>
      <c r="M24" s="13"/>
      <c r="N24" s="13"/>
      <c r="O24" s="13"/>
      <c r="P24" s="14" t="s">
        <v>558</v>
      </c>
      <c r="Q24" s="33"/>
      <c r="R24" s="13"/>
      <c r="S24" s="13"/>
      <c r="T24" s="13"/>
      <c r="U24" s="13" t="s">
        <v>558</v>
      </c>
      <c r="V24" s="40"/>
      <c r="W24" s="40"/>
      <c r="Z24" s="13" t="s">
        <v>562</v>
      </c>
      <c r="AA24" s="13">
        <v>12</v>
      </c>
      <c r="AB24" s="39"/>
      <c r="AC24" s="39"/>
      <c r="AD24" s="32" t="s">
        <v>589</v>
      </c>
      <c r="AE24" s="13" t="s">
        <v>594</v>
      </c>
      <c r="AF24" s="13" t="s">
        <v>537</v>
      </c>
      <c r="AG24" s="32" t="s">
        <v>590</v>
      </c>
      <c r="AI24" s="126" t="s">
        <v>562</v>
      </c>
      <c r="AJ24" s="127"/>
      <c r="AK24" s="13">
        <v>20</v>
      </c>
      <c r="AL24" s="13" t="s">
        <v>563</v>
      </c>
      <c r="AM24" s="13" t="s">
        <v>619</v>
      </c>
      <c r="AO24" s="13"/>
      <c r="AP24" s="13"/>
      <c r="AQ24" s="13"/>
    </row>
    <row r="25" spans="2:43" ht="17.25" x14ac:dyDescent="0.2">
      <c r="L25" s="13"/>
      <c r="M25" s="13"/>
      <c r="N25" s="13"/>
      <c r="O25" s="13"/>
      <c r="P25" s="14" t="s">
        <v>565</v>
      </c>
      <c r="Q25" s="33"/>
      <c r="R25" s="13"/>
      <c r="S25" s="13"/>
      <c r="T25" s="13"/>
      <c r="U25" s="13" t="s">
        <v>565</v>
      </c>
      <c r="V25" s="40"/>
      <c r="W25" s="40"/>
      <c r="Z25" s="13" t="s">
        <v>562</v>
      </c>
      <c r="AA25" s="13">
        <v>13</v>
      </c>
      <c r="AB25" s="39"/>
      <c r="AC25" s="39"/>
      <c r="AD25" s="32" t="s">
        <v>589</v>
      </c>
      <c r="AE25" s="13" t="s">
        <v>597</v>
      </c>
      <c r="AF25" s="13" t="s">
        <v>537</v>
      </c>
      <c r="AG25" s="32" t="s">
        <v>590</v>
      </c>
      <c r="AI25" s="126" t="s">
        <v>562</v>
      </c>
      <c r="AJ25" s="127"/>
      <c r="AK25" s="13">
        <v>21</v>
      </c>
      <c r="AL25" s="13" t="s">
        <v>563</v>
      </c>
      <c r="AM25" s="13" t="s">
        <v>569</v>
      </c>
      <c r="AO25" s="13"/>
      <c r="AP25" s="13"/>
      <c r="AQ25" s="13"/>
    </row>
    <row r="26" spans="2:43" ht="17.25" x14ac:dyDescent="0.2">
      <c r="L26" s="13"/>
      <c r="M26" s="13"/>
      <c r="N26" s="13"/>
      <c r="O26" s="13"/>
      <c r="P26" s="14" t="s">
        <v>569</v>
      </c>
      <c r="Q26" s="33"/>
      <c r="R26" s="13"/>
      <c r="S26" s="13"/>
      <c r="T26" s="13"/>
      <c r="U26" s="13" t="s">
        <v>569</v>
      </c>
      <c r="V26" s="40"/>
      <c r="W26" s="40"/>
      <c r="Z26" s="13" t="s">
        <v>562</v>
      </c>
      <c r="AA26" s="13">
        <v>14</v>
      </c>
      <c r="AB26" s="39"/>
      <c r="AC26" s="39"/>
      <c r="AD26" s="32" t="s">
        <v>589</v>
      </c>
      <c r="AE26" s="13" t="s">
        <v>599</v>
      </c>
      <c r="AF26" s="13" t="s">
        <v>537</v>
      </c>
      <c r="AG26" s="32" t="s">
        <v>590</v>
      </c>
      <c r="AI26" s="126" t="s">
        <v>562</v>
      </c>
      <c r="AJ26" s="127"/>
      <c r="AK26" s="13">
        <v>22</v>
      </c>
      <c r="AL26" s="13" t="s">
        <v>563</v>
      </c>
      <c r="AM26" s="13" t="s">
        <v>574</v>
      </c>
      <c r="AO26" s="13"/>
      <c r="AP26" s="13"/>
      <c r="AQ26" s="13"/>
    </row>
    <row r="27" spans="2:43" ht="17.25" x14ac:dyDescent="0.2">
      <c r="L27" s="13"/>
      <c r="M27" s="13"/>
      <c r="N27" s="13"/>
      <c r="O27" s="13"/>
      <c r="P27" s="14" t="s">
        <v>574</v>
      </c>
      <c r="Q27" s="33"/>
      <c r="R27" s="13"/>
      <c r="S27" s="13"/>
      <c r="T27" s="13"/>
      <c r="U27" s="13" t="s">
        <v>574</v>
      </c>
      <c r="V27" s="40"/>
      <c r="W27" s="40"/>
      <c r="Z27" s="13" t="s">
        <v>562</v>
      </c>
      <c r="AA27" s="13">
        <v>15</v>
      </c>
      <c r="AB27" s="39"/>
      <c r="AC27" s="39"/>
      <c r="AD27" s="32" t="s">
        <v>589</v>
      </c>
      <c r="AE27" s="20" t="s">
        <v>601</v>
      </c>
      <c r="AF27" s="13" t="s">
        <v>537</v>
      </c>
      <c r="AG27" s="32" t="s">
        <v>590</v>
      </c>
      <c r="AI27" s="126" t="s">
        <v>562</v>
      </c>
      <c r="AJ27" s="127"/>
      <c r="AK27" s="13">
        <v>23</v>
      </c>
      <c r="AL27" s="13" t="s">
        <v>563</v>
      </c>
      <c r="AM27" s="13" t="s">
        <v>579</v>
      </c>
      <c r="AO27" s="13"/>
      <c r="AP27" s="13"/>
      <c r="AQ27" s="13"/>
    </row>
    <row r="28" spans="2:43" ht="18" thickBot="1" x14ac:dyDescent="0.25">
      <c r="L28" s="13"/>
      <c r="M28" s="13"/>
      <c r="N28" s="13"/>
      <c r="O28" s="13"/>
      <c r="P28" s="14" t="s">
        <v>579</v>
      </c>
      <c r="Q28" s="33"/>
      <c r="R28" s="13"/>
      <c r="S28" s="13"/>
      <c r="T28" s="13"/>
      <c r="U28" s="13" t="s">
        <v>579</v>
      </c>
      <c r="V28" s="40"/>
      <c r="W28" s="40"/>
      <c r="Z28" s="20" t="s">
        <v>562</v>
      </c>
      <c r="AA28" s="20">
        <v>16</v>
      </c>
      <c r="AB28" s="20"/>
      <c r="AC28" s="39"/>
      <c r="AD28" s="42" t="s">
        <v>589</v>
      </c>
      <c r="AE28" s="20" t="s">
        <v>206</v>
      </c>
      <c r="AF28" s="13" t="s">
        <v>537</v>
      </c>
      <c r="AG28" s="32" t="s">
        <v>590</v>
      </c>
      <c r="AI28" s="126" t="s">
        <v>562</v>
      </c>
      <c r="AJ28" s="127"/>
      <c r="AK28" s="13">
        <v>24</v>
      </c>
      <c r="AL28" s="13" t="s">
        <v>563</v>
      </c>
      <c r="AM28" s="13" t="s">
        <v>581</v>
      </c>
      <c r="AO28" s="13"/>
      <c r="AP28" s="13"/>
      <c r="AQ28" s="13"/>
    </row>
    <row r="29" spans="2:43" ht="17.25" x14ac:dyDescent="0.2">
      <c r="L29" s="13"/>
      <c r="M29" s="13"/>
      <c r="N29" s="13"/>
      <c r="O29" s="13"/>
      <c r="P29" s="14" t="s">
        <v>581</v>
      </c>
      <c r="Q29" s="33"/>
      <c r="R29" s="13"/>
      <c r="S29" s="13"/>
      <c r="T29" s="13"/>
      <c r="U29" s="13" t="s">
        <v>581</v>
      </c>
      <c r="V29" s="40"/>
      <c r="W29" s="40"/>
      <c r="Z29" s="41" t="s">
        <v>562</v>
      </c>
      <c r="AA29" s="41">
        <v>18</v>
      </c>
      <c r="AB29" s="41"/>
      <c r="AC29" s="43"/>
      <c r="AD29" s="44" t="s">
        <v>589</v>
      </c>
      <c r="AE29" s="41" t="s">
        <v>547</v>
      </c>
      <c r="AF29" s="13" t="s">
        <v>537</v>
      </c>
      <c r="AG29" s="32" t="s">
        <v>590</v>
      </c>
      <c r="AI29" s="126" t="s">
        <v>562</v>
      </c>
      <c r="AJ29" s="127"/>
      <c r="AK29" s="13">
        <v>25</v>
      </c>
      <c r="AL29" s="13" t="s">
        <v>563</v>
      </c>
      <c r="AM29" s="13" t="s">
        <v>585</v>
      </c>
      <c r="AO29" s="13"/>
      <c r="AP29" s="13"/>
      <c r="AQ29" s="13"/>
    </row>
    <row r="30" spans="2:43" ht="17.25" x14ac:dyDescent="0.2">
      <c r="L30" s="13"/>
      <c r="M30" s="13"/>
      <c r="N30" s="13"/>
      <c r="O30" s="13"/>
      <c r="P30" s="14" t="s">
        <v>585</v>
      </c>
      <c r="Q30" s="33"/>
      <c r="R30" s="13"/>
      <c r="S30" s="13"/>
      <c r="T30" s="13"/>
      <c r="U30" s="13" t="s">
        <v>585</v>
      </c>
      <c r="V30" s="40"/>
      <c r="W30" s="40"/>
      <c r="Z30" s="13" t="s">
        <v>562</v>
      </c>
      <c r="AA30" s="13">
        <v>19</v>
      </c>
      <c r="AB30" s="14"/>
      <c r="AC30" s="14"/>
      <c r="AD30" s="32" t="s">
        <v>589</v>
      </c>
      <c r="AE30" s="13" t="s">
        <v>558</v>
      </c>
      <c r="AF30" s="13" t="s">
        <v>537</v>
      </c>
      <c r="AG30" s="32" t="s">
        <v>590</v>
      </c>
      <c r="AI30" s="126" t="s">
        <v>562</v>
      </c>
      <c r="AJ30" s="127"/>
      <c r="AK30" s="13">
        <v>26</v>
      </c>
      <c r="AL30" s="13" t="s">
        <v>563</v>
      </c>
      <c r="AM30" s="13" t="s">
        <v>588</v>
      </c>
      <c r="AO30" s="13"/>
      <c r="AP30" s="13"/>
      <c r="AQ30" s="13"/>
    </row>
    <row r="31" spans="2:43" ht="17.25" x14ac:dyDescent="0.2">
      <c r="L31" s="13"/>
      <c r="M31" s="13"/>
      <c r="N31" s="13"/>
      <c r="O31" s="13"/>
      <c r="P31" s="14" t="s">
        <v>588</v>
      </c>
      <c r="Q31" s="33"/>
      <c r="R31" s="13"/>
      <c r="S31" s="13"/>
      <c r="T31" s="13"/>
      <c r="U31" s="13" t="s">
        <v>588</v>
      </c>
      <c r="V31" s="40"/>
      <c r="W31" s="40"/>
      <c r="Z31" s="13" t="s">
        <v>562</v>
      </c>
      <c r="AA31" s="13">
        <v>20</v>
      </c>
      <c r="AB31" s="14"/>
      <c r="AC31" s="14"/>
      <c r="AD31" s="32" t="s">
        <v>589</v>
      </c>
      <c r="AE31" s="13" t="s">
        <v>565</v>
      </c>
      <c r="AF31" s="13" t="s">
        <v>537</v>
      </c>
      <c r="AG31" s="32" t="s">
        <v>590</v>
      </c>
      <c r="AI31" s="126" t="s">
        <v>562</v>
      </c>
      <c r="AJ31" s="127"/>
      <c r="AK31" s="13">
        <v>27</v>
      </c>
      <c r="AL31" s="13" t="s">
        <v>563</v>
      </c>
      <c r="AM31" s="13" t="s">
        <v>592</v>
      </c>
      <c r="AO31" s="13"/>
      <c r="AP31" s="13"/>
      <c r="AQ31" s="13"/>
    </row>
    <row r="32" spans="2:43" ht="17.25" x14ac:dyDescent="0.2">
      <c r="L32" s="13"/>
      <c r="M32" s="13"/>
      <c r="N32" s="13"/>
      <c r="O32" s="13"/>
      <c r="P32" s="14" t="s">
        <v>592</v>
      </c>
      <c r="Q32" s="33"/>
      <c r="R32" s="13"/>
      <c r="S32" s="13"/>
      <c r="T32" s="13"/>
      <c r="U32" s="13" t="s">
        <v>592</v>
      </c>
      <c r="V32" s="40"/>
      <c r="W32" s="40"/>
      <c r="Z32" s="13" t="s">
        <v>562</v>
      </c>
      <c r="AA32" s="13">
        <v>21</v>
      </c>
      <c r="AB32" s="14"/>
      <c r="AC32" s="14"/>
      <c r="AD32" s="32" t="s">
        <v>589</v>
      </c>
      <c r="AE32" s="13" t="s">
        <v>569</v>
      </c>
      <c r="AF32" s="13" t="s">
        <v>537</v>
      </c>
      <c r="AG32" s="32" t="s">
        <v>590</v>
      </c>
      <c r="AI32" s="126" t="s">
        <v>562</v>
      </c>
      <c r="AJ32" s="127"/>
      <c r="AK32" s="13">
        <v>28</v>
      </c>
      <c r="AL32" s="13" t="s">
        <v>563</v>
      </c>
      <c r="AM32" s="13" t="s">
        <v>594</v>
      </c>
      <c r="AO32" s="13"/>
      <c r="AP32" s="13"/>
      <c r="AQ32" s="13"/>
    </row>
    <row r="33" spans="12:43" ht="17.25" x14ac:dyDescent="0.2">
      <c r="L33" s="13"/>
      <c r="M33" s="13"/>
      <c r="N33" s="13"/>
      <c r="O33" s="13"/>
      <c r="P33" s="14" t="s">
        <v>594</v>
      </c>
      <c r="Q33" s="33"/>
      <c r="R33" s="13"/>
      <c r="S33" s="13"/>
      <c r="T33" s="13"/>
      <c r="U33" s="13" t="s">
        <v>594</v>
      </c>
      <c r="V33" s="40"/>
      <c r="W33" s="40"/>
      <c r="Z33" s="13" t="s">
        <v>562</v>
      </c>
      <c r="AA33" s="13">
        <v>22</v>
      </c>
      <c r="AB33" s="14"/>
      <c r="AC33" s="14"/>
      <c r="AD33" s="32" t="s">
        <v>589</v>
      </c>
      <c r="AE33" s="13" t="s">
        <v>574</v>
      </c>
      <c r="AF33" s="13" t="s">
        <v>537</v>
      </c>
      <c r="AG33" s="32" t="s">
        <v>590</v>
      </c>
      <c r="AI33" s="126" t="s">
        <v>562</v>
      </c>
      <c r="AJ33" s="127"/>
      <c r="AK33" s="13">
        <v>29</v>
      </c>
      <c r="AL33" s="13" t="s">
        <v>563</v>
      </c>
      <c r="AM33" s="13" t="s">
        <v>597</v>
      </c>
      <c r="AO33" s="13"/>
      <c r="AP33" s="13"/>
      <c r="AQ33" s="13"/>
    </row>
    <row r="34" spans="12:43" ht="17.25" x14ac:dyDescent="0.2">
      <c r="L34" s="13"/>
      <c r="M34" s="13"/>
      <c r="N34" s="13"/>
      <c r="O34" s="13"/>
      <c r="P34" s="14" t="s">
        <v>597</v>
      </c>
      <c r="Q34" s="33"/>
      <c r="R34" s="13"/>
      <c r="S34" s="13"/>
      <c r="T34" s="13"/>
      <c r="U34" s="13" t="s">
        <v>597</v>
      </c>
      <c r="V34" s="40"/>
      <c r="W34" s="40"/>
      <c r="Z34" s="13" t="s">
        <v>562</v>
      </c>
      <c r="AA34" s="13">
        <v>23</v>
      </c>
      <c r="AB34" s="14"/>
      <c r="AC34" s="14"/>
      <c r="AD34" s="32" t="s">
        <v>589</v>
      </c>
      <c r="AE34" s="13" t="s">
        <v>579</v>
      </c>
      <c r="AF34" s="13" t="s">
        <v>537</v>
      </c>
      <c r="AG34" s="32" t="s">
        <v>590</v>
      </c>
      <c r="AI34" s="126" t="s">
        <v>562</v>
      </c>
      <c r="AJ34" s="127"/>
      <c r="AK34" s="13">
        <v>30</v>
      </c>
      <c r="AL34" s="13" t="s">
        <v>563</v>
      </c>
      <c r="AM34" s="13" t="s">
        <v>599</v>
      </c>
      <c r="AO34" s="13"/>
      <c r="AP34" s="13"/>
      <c r="AQ34" s="13"/>
    </row>
    <row r="35" spans="12:43" ht="17.25" x14ac:dyDescent="0.2">
      <c r="L35" s="13"/>
      <c r="M35" s="13"/>
      <c r="N35" s="13"/>
      <c r="O35" s="13"/>
      <c r="P35" s="14" t="s">
        <v>599</v>
      </c>
      <c r="Q35" s="33"/>
      <c r="R35" s="13"/>
      <c r="S35" s="13"/>
      <c r="T35" s="13"/>
      <c r="U35" s="13" t="s">
        <v>599</v>
      </c>
      <c r="V35" s="40"/>
      <c r="W35" s="40"/>
      <c r="Z35" s="13" t="s">
        <v>562</v>
      </c>
      <c r="AA35" s="13">
        <v>24</v>
      </c>
      <c r="AB35" s="14"/>
      <c r="AC35" s="14"/>
      <c r="AD35" s="32" t="s">
        <v>589</v>
      </c>
      <c r="AE35" s="13" t="s">
        <v>581</v>
      </c>
      <c r="AF35" s="13" t="s">
        <v>537</v>
      </c>
      <c r="AG35" s="32" t="s">
        <v>590</v>
      </c>
      <c r="AI35" s="126" t="s">
        <v>562</v>
      </c>
      <c r="AJ35" s="127"/>
      <c r="AK35" s="13">
        <v>31</v>
      </c>
      <c r="AL35" s="13" t="s">
        <v>563</v>
      </c>
      <c r="AM35" s="20" t="s">
        <v>601</v>
      </c>
      <c r="AO35" s="13"/>
      <c r="AP35" s="13"/>
      <c r="AQ35" s="20"/>
    </row>
    <row r="36" spans="12:43" ht="17.25" x14ac:dyDescent="0.2">
      <c r="L36" s="13"/>
      <c r="M36" s="13"/>
      <c r="N36" s="13"/>
      <c r="O36" s="13"/>
      <c r="P36" s="14" t="s">
        <v>601</v>
      </c>
      <c r="Q36" s="33"/>
      <c r="R36" s="13"/>
      <c r="S36" s="13"/>
      <c r="T36" s="13"/>
      <c r="U36" s="13" t="s">
        <v>601</v>
      </c>
      <c r="V36" s="40"/>
      <c r="W36" s="40"/>
      <c r="Z36" s="13" t="s">
        <v>562</v>
      </c>
      <c r="AA36" s="13">
        <v>25</v>
      </c>
      <c r="AB36" s="39"/>
      <c r="AC36" s="39"/>
      <c r="AD36" s="32" t="s">
        <v>589</v>
      </c>
      <c r="AE36" s="13" t="s">
        <v>585</v>
      </c>
      <c r="AF36" s="13" t="s">
        <v>537</v>
      </c>
      <c r="AG36" s="32" t="s">
        <v>590</v>
      </c>
      <c r="AI36" s="126" t="s">
        <v>562</v>
      </c>
      <c r="AJ36" s="127"/>
      <c r="AK36" s="13">
        <v>32</v>
      </c>
      <c r="AL36" s="13" t="s">
        <v>563</v>
      </c>
      <c r="AM36" s="13" t="s">
        <v>206</v>
      </c>
      <c r="AO36" s="13"/>
      <c r="AP36" s="13"/>
      <c r="AQ36" s="13"/>
    </row>
    <row r="37" spans="12:43" ht="17.25" x14ac:dyDescent="0.2">
      <c r="L37" s="13"/>
      <c r="M37" s="13"/>
      <c r="N37" s="13"/>
      <c r="O37" s="13"/>
      <c r="P37" s="14" t="s">
        <v>206</v>
      </c>
      <c r="Q37" s="33"/>
      <c r="R37" s="13"/>
      <c r="S37" s="13"/>
      <c r="T37" s="13"/>
      <c r="U37" s="13" t="s">
        <v>206</v>
      </c>
      <c r="V37" s="40"/>
      <c r="W37" s="40"/>
      <c r="Z37" s="13" t="s">
        <v>562</v>
      </c>
      <c r="AA37" s="13">
        <v>26</v>
      </c>
      <c r="AB37" s="39"/>
      <c r="AC37" s="39"/>
      <c r="AD37" s="32" t="s">
        <v>589</v>
      </c>
      <c r="AE37" s="13" t="s">
        <v>588</v>
      </c>
      <c r="AF37" s="13" t="s">
        <v>537</v>
      </c>
      <c r="AG37" s="32" t="s">
        <v>590</v>
      </c>
      <c r="AI37" s="13" t="s">
        <v>620</v>
      </c>
      <c r="AJ37" s="13" t="s">
        <v>544</v>
      </c>
      <c r="AK37" s="13">
        <v>1</v>
      </c>
      <c r="AL37" s="14" t="s">
        <v>621</v>
      </c>
      <c r="AM37" s="13" t="s">
        <v>541</v>
      </c>
      <c r="AO37" s="13"/>
      <c r="AP37" s="14"/>
      <c r="AQ37" s="13"/>
    </row>
    <row r="38" spans="12:43" ht="17.25" x14ac:dyDescent="0.2">
      <c r="Z38" s="13" t="s">
        <v>562</v>
      </c>
      <c r="AA38" s="13">
        <v>27</v>
      </c>
      <c r="AB38" s="39"/>
      <c r="AC38" s="39"/>
      <c r="AD38" s="32" t="s">
        <v>589</v>
      </c>
      <c r="AE38" s="13" t="s">
        <v>592</v>
      </c>
      <c r="AF38" s="13" t="s">
        <v>537</v>
      </c>
      <c r="AG38" s="32" t="s">
        <v>590</v>
      </c>
      <c r="AI38" s="13" t="s">
        <v>622</v>
      </c>
      <c r="AJ38" s="13" t="s">
        <v>623</v>
      </c>
      <c r="AK38" s="13">
        <v>1</v>
      </c>
      <c r="AL38" s="14" t="s">
        <v>624</v>
      </c>
      <c r="AM38" s="13" t="s">
        <v>541</v>
      </c>
      <c r="AO38" s="13"/>
      <c r="AP38" s="14"/>
      <c r="AQ38" s="13"/>
    </row>
    <row r="39" spans="12:43" ht="17.25" x14ac:dyDescent="0.2">
      <c r="Z39" s="13" t="s">
        <v>562</v>
      </c>
      <c r="AA39" s="13">
        <v>28</v>
      </c>
      <c r="AB39" s="39"/>
      <c r="AC39" s="39"/>
      <c r="AD39" s="32" t="s">
        <v>589</v>
      </c>
      <c r="AE39" s="13" t="s">
        <v>594</v>
      </c>
      <c r="AF39" s="13" t="s">
        <v>537</v>
      </c>
      <c r="AG39" s="32" t="s">
        <v>590</v>
      </c>
    </row>
    <row r="40" spans="12:43" ht="17.25" x14ac:dyDescent="0.2">
      <c r="Z40" s="13" t="s">
        <v>562</v>
      </c>
      <c r="AA40" s="13">
        <v>29</v>
      </c>
      <c r="AB40" s="39"/>
      <c r="AC40" s="39"/>
      <c r="AD40" s="32" t="s">
        <v>589</v>
      </c>
      <c r="AE40" s="13" t="s">
        <v>597</v>
      </c>
      <c r="AF40" s="13" t="s">
        <v>537</v>
      </c>
      <c r="AG40" s="32" t="s">
        <v>590</v>
      </c>
    </row>
    <row r="41" spans="12:43" ht="17.25" x14ac:dyDescent="0.2">
      <c r="Z41" s="13" t="s">
        <v>562</v>
      </c>
      <c r="AA41" s="13">
        <v>30</v>
      </c>
      <c r="AB41" s="39"/>
      <c r="AC41" s="39"/>
      <c r="AD41" s="32" t="s">
        <v>589</v>
      </c>
      <c r="AE41" s="13" t="s">
        <v>599</v>
      </c>
      <c r="AF41" s="13" t="s">
        <v>537</v>
      </c>
      <c r="AG41" s="32" t="s">
        <v>590</v>
      </c>
    </row>
    <row r="42" spans="12:43" ht="17.25" x14ac:dyDescent="0.2">
      <c r="Z42" s="13" t="s">
        <v>562</v>
      </c>
      <c r="AA42" s="13">
        <v>31</v>
      </c>
      <c r="AB42" s="39"/>
      <c r="AC42" s="39"/>
      <c r="AD42" s="32" t="s">
        <v>589</v>
      </c>
      <c r="AE42" s="20" t="s">
        <v>601</v>
      </c>
      <c r="AF42" s="13" t="s">
        <v>537</v>
      </c>
      <c r="AG42" s="32" t="s">
        <v>590</v>
      </c>
    </row>
    <row r="43" spans="12:43" ht="17.25" x14ac:dyDescent="0.2">
      <c r="Z43" s="13" t="s">
        <v>562</v>
      </c>
      <c r="AA43" s="13">
        <v>32</v>
      </c>
      <c r="AB43" s="13"/>
      <c r="AC43" s="14"/>
      <c r="AD43" s="32" t="s">
        <v>589</v>
      </c>
      <c r="AE43" s="13" t="s">
        <v>206</v>
      </c>
      <c r="AF43" s="13" t="s">
        <v>537</v>
      </c>
      <c r="AG43" s="32" t="s">
        <v>590</v>
      </c>
    </row>
    <row r="44" spans="12:43" ht="17.25" x14ac:dyDescent="0.2">
      <c r="Z44" s="34" t="s">
        <v>550</v>
      </c>
      <c r="AA44" s="34">
        <v>1</v>
      </c>
      <c r="AB44" s="34" t="s">
        <v>625</v>
      </c>
      <c r="AC44" s="35"/>
      <c r="AD44" s="36" t="s">
        <v>583</v>
      </c>
      <c r="AE44" s="34" t="s">
        <v>541</v>
      </c>
    </row>
    <row r="45" spans="12:43" ht="17.25" x14ac:dyDescent="0.2">
      <c r="Z45" s="34" t="s">
        <v>550</v>
      </c>
      <c r="AA45" s="34">
        <v>17</v>
      </c>
      <c r="AB45" s="34" t="s">
        <v>625</v>
      </c>
      <c r="AC45" s="35"/>
      <c r="AD45" s="36" t="s">
        <v>626</v>
      </c>
      <c r="AE45" s="34" t="s">
        <v>541</v>
      </c>
    </row>
    <row r="46" spans="12:43" ht="17.25" x14ac:dyDescent="0.2">
      <c r="Z46" s="13" t="s">
        <v>627</v>
      </c>
      <c r="AA46" s="13" t="s">
        <v>547</v>
      </c>
      <c r="AB46" s="13"/>
      <c r="AC46" s="14"/>
      <c r="AD46" s="32" t="s">
        <v>628</v>
      </c>
      <c r="AE46" s="13"/>
    </row>
  </sheetData>
  <mergeCells count="35">
    <mergeCell ref="AO3:AQ3"/>
    <mergeCell ref="AI15:AJ15"/>
    <mergeCell ref="AI16:AJ16"/>
    <mergeCell ref="AI17:AJ17"/>
    <mergeCell ref="AI18:AJ18"/>
    <mergeCell ref="AI11:AJ11"/>
    <mergeCell ref="AI12:AJ12"/>
    <mergeCell ref="AI13:AJ13"/>
    <mergeCell ref="AI14:AJ14"/>
    <mergeCell ref="AI27:AJ27"/>
    <mergeCell ref="AI28:AJ28"/>
    <mergeCell ref="AI29:AJ29"/>
    <mergeCell ref="AI30:AJ30"/>
    <mergeCell ref="B2:AM2"/>
    <mergeCell ref="B3:J3"/>
    <mergeCell ref="L3:AG3"/>
    <mergeCell ref="AI3:AM3"/>
    <mergeCell ref="AI10:AJ10"/>
    <mergeCell ref="AI7:AJ7"/>
    <mergeCell ref="AI34:AJ34"/>
    <mergeCell ref="AI35:AJ35"/>
    <mergeCell ref="AI36:AJ36"/>
    <mergeCell ref="AI19:AJ19"/>
    <mergeCell ref="AI8:AJ8"/>
    <mergeCell ref="AI9:AJ9"/>
    <mergeCell ref="AI32:AJ32"/>
    <mergeCell ref="AI33:AJ33"/>
    <mergeCell ref="AI31:AJ31"/>
    <mergeCell ref="AI20:AJ20"/>
    <mergeCell ref="AI21:AJ21"/>
    <mergeCell ref="AI22:AJ22"/>
    <mergeCell ref="AI23:AJ23"/>
    <mergeCell ref="AI24:AJ24"/>
    <mergeCell ref="AI25:AJ25"/>
    <mergeCell ref="AI26:AJ26"/>
  </mergeCells>
  <phoneticPr fontId="9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X50"/>
  <sheetViews>
    <sheetView workbookViewId="0">
      <selection activeCell="AF51" sqref="AF51"/>
    </sheetView>
  </sheetViews>
  <sheetFormatPr defaultRowHeight="16.5" x14ac:dyDescent="0.2"/>
  <cols>
    <col min="1" max="1" width="1.85546875" style="45" customWidth="1"/>
    <col min="2" max="2" width="4" style="45" bestFit="1" customWidth="1"/>
    <col min="3" max="3" width="5.140625" style="45" bestFit="1" customWidth="1"/>
    <col min="4" max="4" width="4.140625" style="45" customWidth="1"/>
    <col min="5" max="6" width="5.140625" style="45" bestFit="1" customWidth="1"/>
    <col min="7" max="7" width="4.140625" style="45" customWidth="1"/>
    <col min="8" max="8" width="5.140625" style="45" bestFit="1" customWidth="1"/>
    <col min="9" max="9" width="5.28515625" style="45" bestFit="1" customWidth="1"/>
    <col min="10" max="10" width="4.140625" style="45" customWidth="1"/>
    <col min="11" max="11" width="5.140625" style="45" bestFit="1" customWidth="1"/>
    <col min="12" max="12" width="5.28515625" style="45" bestFit="1" customWidth="1"/>
    <col min="13" max="13" width="4.140625" style="45" customWidth="1"/>
    <col min="14" max="14" width="5.140625" style="45" bestFit="1" customWidth="1"/>
    <col min="15" max="15" width="5.28515625" style="45" bestFit="1" customWidth="1"/>
    <col min="16" max="16" width="4.140625" style="45" customWidth="1"/>
    <col min="17" max="17" width="5.140625" style="45" bestFit="1" customWidth="1"/>
    <col min="18" max="18" width="5" style="45" bestFit="1" customWidth="1"/>
    <col min="19" max="19" width="4.140625" style="45" customWidth="1"/>
    <col min="20" max="20" width="5.140625" style="45" bestFit="1" customWidth="1"/>
    <col min="21" max="21" width="5.28515625" style="45" bestFit="1" customWidth="1"/>
    <col min="22" max="22" width="4.140625" style="45" customWidth="1"/>
    <col min="23" max="23" width="5.140625" style="45" bestFit="1" customWidth="1"/>
    <col min="24" max="24" width="5.7109375" style="45" bestFit="1" customWidth="1"/>
    <col min="25" max="16384" width="9.140625" style="45"/>
  </cols>
  <sheetData>
    <row r="1" spans="1:24" x14ac:dyDescent="0.2">
      <c r="B1" s="45">
        <v>1</v>
      </c>
      <c r="C1" s="45" t="str">
        <f>SUBSTITUTE(SUBSTITUTE(ADDRESS(1, B1), "$1", "", 1), "$", "", 1)</f>
        <v>A</v>
      </c>
      <c r="E1" s="45">
        <f>B1+50</f>
        <v>51</v>
      </c>
      <c r="F1" s="45" t="str">
        <f t="shared" ref="F1:F50" si="0">SUBSTITUTE(SUBSTITUTE(ADDRESS(1, E1), "$1", "", 1), "$", "", 1)</f>
        <v>AY</v>
      </c>
      <c r="H1" s="45">
        <f t="shared" ref="H1:H50" si="1">E1+50</f>
        <v>101</v>
      </c>
      <c r="I1" s="45" t="str">
        <f t="shared" ref="I1:I50" si="2">SUBSTITUTE(SUBSTITUTE(ADDRESS(1, H1), "$1", "", 1), "$", "", 1)</f>
        <v>CW</v>
      </c>
      <c r="K1" s="45">
        <f t="shared" ref="K1:K50" si="3">H1+50</f>
        <v>151</v>
      </c>
      <c r="L1" s="45" t="str">
        <f>SUBSTITUTE(SUBSTITUTE(ADDRESS(1, K1), "$1", "", 1), "$", "", 1)</f>
        <v>EU</v>
      </c>
      <c r="N1" s="45">
        <f t="shared" ref="N1:N50" si="4">K1+50</f>
        <v>201</v>
      </c>
      <c r="O1" s="45" t="str">
        <f>SUBSTITUTE(SUBSTITUTE(ADDRESS(1, N1), "$1", "", 1), "$", "", 1)</f>
        <v>GS</v>
      </c>
      <c r="Q1" s="45">
        <f t="shared" ref="Q1:Q50" si="5">N1+50</f>
        <v>251</v>
      </c>
      <c r="R1" s="45" t="str">
        <f>SUBSTITUTE(SUBSTITUTE(ADDRESS(1, Q1), "$1", "", 1), "$", "", 1)</f>
        <v>IQ</v>
      </c>
      <c r="T1" s="45">
        <f>Q1+50</f>
        <v>301</v>
      </c>
      <c r="U1" s="45" t="str">
        <f>SUBSTITUTE(SUBSTITUTE(ADDRESS(1, T1), "$1", "", 1), "$", "", 1)</f>
        <v>KO</v>
      </c>
      <c r="W1" s="45">
        <f>T1+50</f>
        <v>351</v>
      </c>
      <c r="X1" s="45" t="str">
        <f>SUBSTITUTE(SUBSTITUTE(ADDRESS(1, W1), "$1", "", 1), "$", "", 1)</f>
        <v>MM</v>
      </c>
    </row>
    <row r="2" spans="1:24" x14ac:dyDescent="0.2">
      <c r="A2" s="46"/>
      <c r="B2" s="46">
        <v>2</v>
      </c>
      <c r="C2" s="46" t="str">
        <f t="shared" ref="C2:C50" si="6">SUBSTITUTE(SUBSTITUTE(ADDRESS(1, B2), "$1", "", 1), "$", "", 1)</f>
        <v>B</v>
      </c>
      <c r="D2" s="46"/>
      <c r="E2" s="46">
        <f t="shared" ref="E2:E50" si="7">B2+50</f>
        <v>52</v>
      </c>
      <c r="F2" s="46" t="str">
        <f t="shared" si="0"/>
        <v>AZ</v>
      </c>
      <c r="G2" s="46"/>
      <c r="H2" s="46">
        <f t="shared" si="1"/>
        <v>102</v>
      </c>
      <c r="I2" s="46" t="str">
        <f t="shared" si="2"/>
        <v>CX</v>
      </c>
      <c r="J2" s="46"/>
      <c r="K2" s="46">
        <f t="shared" si="3"/>
        <v>152</v>
      </c>
      <c r="L2" s="46" t="str">
        <f t="shared" ref="L2:L50" si="8">SUBSTITUTE(SUBSTITUTE(ADDRESS(1, K2), "$1", "", 1), "$", "", 1)</f>
        <v>EV</v>
      </c>
      <c r="M2" s="46"/>
      <c r="N2" s="46">
        <f t="shared" si="4"/>
        <v>202</v>
      </c>
      <c r="O2" s="46" t="str">
        <f t="shared" ref="O2:O50" si="9">SUBSTITUTE(SUBSTITUTE(ADDRESS(1, N2), "$1", "", 1), "$", "", 1)</f>
        <v>GT</v>
      </c>
      <c r="P2" s="46"/>
      <c r="Q2" s="46">
        <f t="shared" si="5"/>
        <v>252</v>
      </c>
      <c r="R2" s="46" t="str">
        <f t="shared" ref="R2:R50" si="10">SUBSTITUTE(SUBSTITUTE(ADDRESS(1, Q2), "$1", "", 1), "$", "", 1)</f>
        <v>IR</v>
      </c>
      <c r="S2" s="46"/>
      <c r="T2" s="46">
        <f t="shared" ref="T2:T50" si="11">Q2+50</f>
        <v>302</v>
      </c>
      <c r="U2" s="46" t="str">
        <f t="shared" ref="U2:U50" si="12">SUBSTITUTE(SUBSTITUTE(ADDRESS(1, T2), "$1", "", 1), "$", "", 1)</f>
        <v>KP</v>
      </c>
      <c r="V2" s="46"/>
      <c r="W2" s="46">
        <f t="shared" ref="W2:W50" si="13">T2+50</f>
        <v>352</v>
      </c>
      <c r="X2" s="46" t="str">
        <f t="shared" ref="X2:X50" si="14">SUBSTITUTE(SUBSTITUTE(ADDRESS(1, W2), "$1", "", 1), "$", "", 1)</f>
        <v>MN</v>
      </c>
    </row>
    <row r="3" spans="1:24" x14ac:dyDescent="0.2">
      <c r="B3" s="45">
        <v>3</v>
      </c>
      <c r="C3" s="45" t="str">
        <f t="shared" si="6"/>
        <v>C</v>
      </c>
      <c r="E3" s="45">
        <f t="shared" si="7"/>
        <v>53</v>
      </c>
      <c r="F3" s="45" t="str">
        <f t="shared" si="0"/>
        <v>BA</v>
      </c>
      <c r="H3" s="45">
        <f t="shared" si="1"/>
        <v>103</v>
      </c>
      <c r="I3" s="45" t="str">
        <f t="shared" si="2"/>
        <v>CY</v>
      </c>
      <c r="K3" s="45">
        <f t="shared" si="3"/>
        <v>153</v>
      </c>
      <c r="L3" s="45" t="str">
        <f t="shared" si="8"/>
        <v>EW</v>
      </c>
      <c r="N3" s="45">
        <f t="shared" si="4"/>
        <v>203</v>
      </c>
      <c r="O3" s="45" t="str">
        <f t="shared" si="9"/>
        <v>GU</v>
      </c>
      <c r="Q3" s="45">
        <f t="shared" si="5"/>
        <v>253</v>
      </c>
      <c r="R3" s="45" t="str">
        <f t="shared" si="10"/>
        <v>IS</v>
      </c>
      <c r="T3" s="45">
        <f t="shared" si="11"/>
        <v>303</v>
      </c>
      <c r="U3" s="45" t="str">
        <f t="shared" si="12"/>
        <v>KQ</v>
      </c>
      <c r="W3" s="45">
        <f t="shared" si="13"/>
        <v>353</v>
      </c>
      <c r="X3" s="45" t="str">
        <f t="shared" si="14"/>
        <v>MO</v>
      </c>
    </row>
    <row r="4" spans="1:24" x14ac:dyDescent="0.2">
      <c r="A4" s="46"/>
      <c r="B4" s="46">
        <v>4</v>
      </c>
      <c r="C4" s="46" t="str">
        <f t="shared" si="6"/>
        <v>D</v>
      </c>
      <c r="D4" s="46"/>
      <c r="E4" s="46">
        <f t="shared" si="7"/>
        <v>54</v>
      </c>
      <c r="F4" s="46" t="str">
        <f t="shared" si="0"/>
        <v>BB</v>
      </c>
      <c r="G4" s="46"/>
      <c r="H4" s="46">
        <f t="shared" si="1"/>
        <v>104</v>
      </c>
      <c r="I4" s="46" t="str">
        <f t="shared" si="2"/>
        <v>CZ</v>
      </c>
      <c r="J4" s="46"/>
      <c r="K4" s="46">
        <f t="shared" si="3"/>
        <v>154</v>
      </c>
      <c r="L4" s="46" t="str">
        <f t="shared" si="8"/>
        <v>EX</v>
      </c>
      <c r="M4" s="46"/>
      <c r="N4" s="46">
        <f t="shared" si="4"/>
        <v>204</v>
      </c>
      <c r="O4" s="46" t="str">
        <f t="shared" si="9"/>
        <v>GV</v>
      </c>
      <c r="P4" s="46"/>
      <c r="Q4" s="46">
        <f t="shared" si="5"/>
        <v>254</v>
      </c>
      <c r="R4" s="46" t="str">
        <f t="shared" si="10"/>
        <v>IT</v>
      </c>
      <c r="S4" s="46"/>
      <c r="T4" s="46">
        <f t="shared" si="11"/>
        <v>304</v>
      </c>
      <c r="U4" s="46" t="str">
        <f t="shared" si="12"/>
        <v>KR</v>
      </c>
      <c r="V4" s="46"/>
      <c r="W4" s="46">
        <f t="shared" si="13"/>
        <v>354</v>
      </c>
      <c r="X4" s="46" t="str">
        <f t="shared" si="14"/>
        <v>MP</v>
      </c>
    </row>
    <row r="5" spans="1:24" x14ac:dyDescent="0.2">
      <c r="B5" s="45">
        <v>5</v>
      </c>
      <c r="C5" s="45" t="str">
        <f t="shared" si="6"/>
        <v>E</v>
      </c>
      <c r="E5" s="45">
        <f t="shared" si="7"/>
        <v>55</v>
      </c>
      <c r="F5" s="45" t="str">
        <f t="shared" si="0"/>
        <v>BC</v>
      </c>
      <c r="H5" s="45">
        <f t="shared" si="1"/>
        <v>105</v>
      </c>
      <c r="I5" s="45" t="str">
        <f t="shared" si="2"/>
        <v>DA</v>
      </c>
      <c r="K5" s="45">
        <f t="shared" si="3"/>
        <v>155</v>
      </c>
      <c r="L5" s="45" t="str">
        <f t="shared" si="8"/>
        <v>EY</v>
      </c>
      <c r="N5" s="45">
        <f t="shared" si="4"/>
        <v>205</v>
      </c>
      <c r="O5" s="45" t="str">
        <f t="shared" si="9"/>
        <v>GW</v>
      </c>
      <c r="Q5" s="45">
        <f t="shared" si="5"/>
        <v>255</v>
      </c>
      <c r="R5" s="45" t="str">
        <f t="shared" si="10"/>
        <v>IU</v>
      </c>
      <c r="T5" s="45">
        <f t="shared" si="11"/>
        <v>305</v>
      </c>
      <c r="U5" s="45" t="str">
        <f t="shared" si="12"/>
        <v>KS</v>
      </c>
      <c r="W5" s="45">
        <f t="shared" si="13"/>
        <v>355</v>
      </c>
      <c r="X5" s="45" t="str">
        <f t="shared" si="14"/>
        <v>MQ</v>
      </c>
    </row>
    <row r="6" spans="1:24" x14ac:dyDescent="0.2">
      <c r="A6" s="46"/>
      <c r="B6" s="46">
        <v>6</v>
      </c>
      <c r="C6" s="46" t="str">
        <f t="shared" si="6"/>
        <v>F</v>
      </c>
      <c r="D6" s="46"/>
      <c r="E6" s="46">
        <f t="shared" si="7"/>
        <v>56</v>
      </c>
      <c r="F6" s="46" t="str">
        <f t="shared" si="0"/>
        <v>BD</v>
      </c>
      <c r="G6" s="46"/>
      <c r="H6" s="46">
        <f t="shared" si="1"/>
        <v>106</v>
      </c>
      <c r="I6" s="46" t="str">
        <f t="shared" si="2"/>
        <v>DB</v>
      </c>
      <c r="J6" s="46"/>
      <c r="K6" s="46">
        <f t="shared" si="3"/>
        <v>156</v>
      </c>
      <c r="L6" s="46" t="str">
        <f t="shared" si="8"/>
        <v>EZ</v>
      </c>
      <c r="M6" s="46"/>
      <c r="N6" s="46">
        <f t="shared" si="4"/>
        <v>206</v>
      </c>
      <c r="O6" s="46" t="str">
        <f t="shared" si="9"/>
        <v>GX</v>
      </c>
      <c r="P6" s="46"/>
      <c r="Q6" s="46">
        <f t="shared" si="5"/>
        <v>256</v>
      </c>
      <c r="R6" s="46" t="str">
        <f t="shared" si="10"/>
        <v>IV</v>
      </c>
      <c r="S6" s="46"/>
      <c r="T6" s="46">
        <f t="shared" si="11"/>
        <v>306</v>
      </c>
      <c r="U6" s="46" t="str">
        <f t="shared" si="12"/>
        <v>KT</v>
      </c>
      <c r="V6" s="46"/>
      <c r="W6" s="46">
        <f t="shared" si="13"/>
        <v>356</v>
      </c>
      <c r="X6" s="46" t="str">
        <f t="shared" si="14"/>
        <v>MR</v>
      </c>
    </row>
    <row r="7" spans="1:24" x14ac:dyDescent="0.2">
      <c r="B7" s="45">
        <v>7</v>
      </c>
      <c r="C7" s="45" t="str">
        <f t="shared" si="6"/>
        <v>G</v>
      </c>
      <c r="E7" s="45">
        <f t="shared" si="7"/>
        <v>57</v>
      </c>
      <c r="F7" s="45" t="str">
        <f t="shared" si="0"/>
        <v>BE</v>
      </c>
      <c r="H7" s="45">
        <f t="shared" si="1"/>
        <v>107</v>
      </c>
      <c r="I7" s="45" t="str">
        <f t="shared" si="2"/>
        <v>DC</v>
      </c>
      <c r="K7" s="45">
        <f t="shared" si="3"/>
        <v>157</v>
      </c>
      <c r="L7" s="45" t="str">
        <f t="shared" si="8"/>
        <v>FA</v>
      </c>
      <c r="N7" s="45">
        <f t="shared" si="4"/>
        <v>207</v>
      </c>
      <c r="O7" s="45" t="str">
        <f t="shared" si="9"/>
        <v>GY</v>
      </c>
      <c r="Q7" s="45">
        <f t="shared" si="5"/>
        <v>257</v>
      </c>
      <c r="R7" s="45" t="str">
        <f t="shared" si="10"/>
        <v>IW</v>
      </c>
      <c r="T7" s="45">
        <f t="shared" si="11"/>
        <v>307</v>
      </c>
      <c r="U7" s="45" t="str">
        <f t="shared" si="12"/>
        <v>KU</v>
      </c>
      <c r="W7" s="45">
        <f t="shared" si="13"/>
        <v>357</v>
      </c>
      <c r="X7" s="45" t="str">
        <f t="shared" si="14"/>
        <v>MS</v>
      </c>
    </row>
    <row r="8" spans="1:24" x14ac:dyDescent="0.2">
      <c r="A8" s="46"/>
      <c r="B8" s="46">
        <v>8</v>
      </c>
      <c r="C8" s="46" t="str">
        <f t="shared" si="6"/>
        <v>H</v>
      </c>
      <c r="D8" s="46"/>
      <c r="E8" s="46">
        <f t="shared" si="7"/>
        <v>58</v>
      </c>
      <c r="F8" s="46" t="str">
        <f t="shared" si="0"/>
        <v>BF</v>
      </c>
      <c r="G8" s="46"/>
      <c r="H8" s="46">
        <f t="shared" si="1"/>
        <v>108</v>
      </c>
      <c r="I8" s="46" t="str">
        <f t="shared" si="2"/>
        <v>DD</v>
      </c>
      <c r="J8" s="46"/>
      <c r="K8" s="46">
        <f t="shared" si="3"/>
        <v>158</v>
      </c>
      <c r="L8" s="46" t="str">
        <f t="shared" si="8"/>
        <v>FB</v>
      </c>
      <c r="M8" s="46"/>
      <c r="N8" s="46">
        <f t="shared" si="4"/>
        <v>208</v>
      </c>
      <c r="O8" s="46" t="str">
        <f t="shared" si="9"/>
        <v>GZ</v>
      </c>
      <c r="P8" s="46"/>
      <c r="Q8" s="46">
        <f t="shared" si="5"/>
        <v>258</v>
      </c>
      <c r="R8" s="46" t="str">
        <f t="shared" si="10"/>
        <v>IX</v>
      </c>
      <c r="S8" s="46"/>
      <c r="T8" s="46">
        <f t="shared" si="11"/>
        <v>308</v>
      </c>
      <c r="U8" s="46" t="str">
        <f t="shared" si="12"/>
        <v>KV</v>
      </c>
      <c r="V8" s="46"/>
      <c r="W8" s="46">
        <f t="shared" si="13"/>
        <v>358</v>
      </c>
      <c r="X8" s="46" t="str">
        <f t="shared" si="14"/>
        <v>MT</v>
      </c>
    </row>
    <row r="9" spans="1:24" x14ac:dyDescent="0.2">
      <c r="B9" s="45">
        <v>9</v>
      </c>
      <c r="C9" s="45" t="str">
        <f t="shared" si="6"/>
        <v>I</v>
      </c>
      <c r="E9" s="45">
        <f t="shared" si="7"/>
        <v>59</v>
      </c>
      <c r="F9" s="45" t="str">
        <f t="shared" si="0"/>
        <v>BG</v>
      </c>
      <c r="H9" s="45">
        <f t="shared" si="1"/>
        <v>109</v>
      </c>
      <c r="I9" s="45" t="str">
        <f t="shared" si="2"/>
        <v>DE</v>
      </c>
      <c r="K9" s="45">
        <f t="shared" si="3"/>
        <v>159</v>
      </c>
      <c r="L9" s="45" t="str">
        <f t="shared" si="8"/>
        <v>FC</v>
      </c>
      <c r="N9" s="45">
        <f t="shared" si="4"/>
        <v>209</v>
      </c>
      <c r="O9" s="45" t="str">
        <f t="shared" si="9"/>
        <v>HA</v>
      </c>
      <c r="Q9" s="45">
        <f t="shared" si="5"/>
        <v>259</v>
      </c>
      <c r="R9" s="45" t="str">
        <f t="shared" si="10"/>
        <v>IY</v>
      </c>
      <c r="T9" s="45">
        <f t="shared" si="11"/>
        <v>309</v>
      </c>
      <c r="U9" s="45" t="str">
        <f t="shared" si="12"/>
        <v>KW</v>
      </c>
      <c r="W9" s="45">
        <f t="shared" si="13"/>
        <v>359</v>
      </c>
      <c r="X9" s="45" t="str">
        <f t="shared" si="14"/>
        <v>MU</v>
      </c>
    </row>
    <row r="10" spans="1:24" x14ac:dyDescent="0.2">
      <c r="A10" s="46"/>
      <c r="B10" s="46">
        <v>10</v>
      </c>
      <c r="C10" s="46" t="str">
        <f t="shared" si="6"/>
        <v>J</v>
      </c>
      <c r="D10" s="46"/>
      <c r="E10" s="46">
        <f t="shared" si="7"/>
        <v>60</v>
      </c>
      <c r="F10" s="46" t="str">
        <f t="shared" si="0"/>
        <v>BH</v>
      </c>
      <c r="G10" s="46"/>
      <c r="H10" s="46">
        <f t="shared" si="1"/>
        <v>110</v>
      </c>
      <c r="I10" s="46" t="str">
        <f t="shared" si="2"/>
        <v>DF</v>
      </c>
      <c r="J10" s="46"/>
      <c r="K10" s="46">
        <f t="shared" si="3"/>
        <v>160</v>
      </c>
      <c r="L10" s="46" t="str">
        <f t="shared" si="8"/>
        <v>FD</v>
      </c>
      <c r="M10" s="46"/>
      <c r="N10" s="46">
        <f t="shared" si="4"/>
        <v>210</v>
      </c>
      <c r="O10" s="46" t="str">
        <f t="shared" si="9"/>
        <v>HB</v>
      </c>
      <c r="P10" s="46"/>
      <c r="Q10" s="46">
        <f t="shared" si="5"/>
        <v>260</v>
      </c>
      <c r="R10" s="46" t="str">
        <f t="shared" si="10"/>
        <v>IZ</v>
      </c>
      <c r="S10" s="46"/>
      <c r="T10" s="46">
        <f t="shared" si="11"/>
        <v>310</v>
      </c>
      <c r="U10" s="46" t="str">
        <f t="shared" si="12"/>
        <v>KX</v>
      </c>
      <c r="V10" s="46"/>
      <c r="W10" s="46">
        <f t="shared" si="13"/>
        <v>360</v>
      </c>
      <c r="X10" s="46" t="str">
        <f t="shared" si="14"/>
        <v>MV</v>
      </c>
    </row>
    <row r="11" spans="1:24" x14ac:dyDescent="0.2">
      <c r="B11" s="45">
        <v>11</v>
      </c>
      <c r="C11" s="45" t="str">
        <f t="shared" si="6"/>
        <v>K</v>
      </c>
      <c r="E11" s="45">
        <f t="shared" si="7"/>
        <v>61</v>
      </c>
      <c r="F11" s="45" t="str">
        <f t="shared" si="0"/>
        <v>BI</v>
      </c>
      <c r="H11" s="45">
        <f t="shared" si="1"/>
        <v>111</v>
      </c>
      <c r="I11" s="45" t="str">
        <f t="shared" si="2"/>
        <v>DG</v>
      </c>
      <c r="K11" s="45">
        <f t="shared" si="3"/>
        <v>161</v>
      </c>
      <c r="L11" s="45" t="str">
        <f t="shared" si="8"/>
        <v>FE</v>
      </c>
      <c r="N11" s="45">
        <f t="shared" si="4"/>
        <v>211</v>
      </c>
      <c r="O11" s="45" t="str">
        <f t="shared" si="9"/>
        <v>HC</v>
      </c>
      <c r="Q11" s="45">
        <f t="shared" si="5"/>
        <v>261</v>
      </c>
      <c r="R11" s="45" t="str">
        <f t="shared" si="10"/>
        <v>JA</v>
      </c>
      <c r="T11" s="45">
        <f t="shared" si="11"/>
        <v>311</v>
      </c>
      <c r="U11" s="45" t="str">
        <f t="shared" si="12"/>
        <v>KY</v>
      </c>
      <c r="W11" s="45">
        <f t="shared" si="13"/>
        <v>361</v>
      </c>
      <c r="X11" s="45" t="str">
        <f t="shared" si="14"/>
        <v>MW</v>
      </c>
    </row>
    <row r="12" spans="1:24" x14ac:dyDescent="0.2">
      <c r="A12" s="46"/>
      <c r="B12" s="46">
        <v>12</v>
      </c>
      <c r="C12" s="46" t="str">
        <f t="shared" si="6"/>
        <v>L</v>
      </c>
      <c r="D12" s="46"/>
      <c r="E12" s="46">
        <f t="shared" si="7"/>
        <v>62</v>
      </c>
      <c r="F12" s="46" t="str">
        <f t="shared" si="0"/>
        <v>BJ</v>
      </c>
      <c r="G12" s="46"/>
      <c r="H12" s="46">
        <f t="shared" si="1"/>
        <v>112</v>
      </c>
      <c r="I12" s="46" t="str">
        <f t="shared" si="2"/>
        <v>DH</v>
      </c>
      <c r="J12" s="46"/>
      <c r="K12" s="46">
        <f t="shared" si="3"/>
        <v>162</v>
      </c>
      <c r="L12" s="46" t="str">
        <f t="shared" si="8"/>
        <v>FF</v>
      </c>
      <c r="M12" s="46"/>
      <c r="N12" s="46">
        <f t="shared" si="4"/>
        <v>212</v>
      </c>
      <c r="O12" s="46" t="str">
        <f t="shared" si="9"/>
        <v>HD</v>
      </c>
      <c r="P12" s="46"/>
      <c r="Q12" s="46">
        <f t="shared" si="5"/>
        <v>262</v>
      </c>
      <c r="R12" s="46" t="str">
        <f t="shared" si="10"/>
        <v>JB</v>
      </c>
      <c r="S12" s="46"/>
      <c r="T12" s="46">
        <f t="shared" si="11"/>
        <v>312</v>
      </c>
      <c r="U12" s="46" t="str">
        <f t="shared" si="12"/>
        <v>KZ</v>
      </c>
      <c r="V12" s="46"/>
      <c r="W12" s="46">
        <f t="shared" si="13"/>
        <v>362</v>
      </c>
      <c r="X12" s="46" t="str">
        <f t="shared" si="14"/>
        <v>MX</v>
      </c>
    </row>
    <row r="13" spans="1:24" x14ac:dyDescent="0.2">
      <c r="B13" s="45">
        <v>13</v>
      </c>
      <c r="C13" s="45" t="str">
        <f t="shared" si="6"/>
        <v>M</v>
      </c>
      <c r="E13" s="45">
        <f t="shared" si="7"/>
        <v>63</v>
      </c>
      <c r="F13" s="45" t="str">
        <f t="shared" si="0"/>
        <v>BK</v>
      </c>
      <c r="H13" s="45">
        <f t="shared" si="1"/>
        <v>113</v>
      </c>
      <c r="I13" s="45" t="str">
        <f t="shared" si="2"/>
        <v>DI</v>
      </c>
      <c r="K13" s="45">
        <f t="shared" si="3"/>
        <v>163</v>
      </c>
      <c r="L13" s="45" t="str">
        <f t="shared" si="8"/>
        <v>FG</v>
      </c>
      <c r="N13" s="45">
        <f t="shared" si="4"/>
        <v>213</v>
      </c>
      <c r="O13" s="45" t="str">
        <f t="shared" si="9"/>
        <v>HE</v>
      </c>
      <c r="Q13" s="45">
        <f t="shared" si="5"/>
        <v>263</v>
      </c>
      <c r="R13" s="45" t="str">
        <f t="shared" si="10"/>
        <v>JC</v>
      </c>
      <c r="T13" s="45">
        <f t="shared" si="11"/>
        <v>313</v>
      </c>
      <c r="U13" s="45" t="str">
        <f t="shared" si="12"/>
        <v>LA</v>
      </c>
      <c r="W13" s="45">
        <f t="shared" si="13"/>
        <v>363</v>
      </c>
      <c r="X13" s="45" t="str">
        <f t="shared" si="14"/>
        <v>MY</v>
      </c>
    </row>
    <row r="14" spans="1:24" x14ac:dyDescent="0.2">
      <c r="A14" s="46"/>
      <c r="B14" s="46">
        <v>14</v>
      </c>
      <c r="C14" s="46" t="str">
        <f t="shared" si="6"/>
        <v>N</v>
      </c>
      <c r="D14" s="46"/>
      <c r="E14" s="46">
        <f t="shared" si="7"/>
        <v>64</v>
      </c>
      <c r="F14" s="46" t="str">
        <f t="shared" si="0"/>
        <v>BL</v>
      </c>
      <c r="G14" s="46"/>
      <c r="H14" s="46">
        <f t="shared" si="1"/>
        <v>114</v>
      </c>
      <c r="I14" s="46" t="str">
        <f t="shared" si="2"/>
        <v>DJ</v>
      </c>
      <c r="J14" s="46"/>
      <c r="K14" s="46">
        <f t="shared" si="3"/>
        <v>164</v>
      </c>
      <c r="L14" s="46" t="str">
        <f t="shared" si="8"/>
        <v>FH</v>
      </c>
      <c r="M14" s="46"/>
      <c r="N14" s="46">
        <f t="shared" si="4"/>
        <v>214</v>
      </c>
      <c r="O14" s="46" t="str">
        <f t="shared" si="9"/>
        <v>HF</v>
      </c>
      <c r="P14" s="46"/>
      <c r="Q14" s="46">
        <f t="shared" si="5"/>
        <v>264</v>
      </c>
      <c r="R14" s="46" t="str">
        <f t="shared" si="10"/>
        <v>JD</v>
      </c>
      <c r="S14" s="46"/>
      <c r="T14" s="46">
        <f t="shared" si="11"/>
        <v>314</v>
      </c>
      <c r="U14" s="46" t="str">
        <f t="shared" si="12"/>
        <v>LB</v>
      </c>
      <c r="V14" s="46"/>
      <c r="W14" s="46">
        <f t="shared" si="13"/>
        <v>364</v>
      </c>
      <c r="X14" s="46" t="str">
        <f t="shared" si="14"/>
        <v>MZ</v>
      </c>
    </row>
    <row r="15" spans="1:24" x14ac:dyDescent="0.2">
      <c r="B15" s="45">
        <v>15</v>
      </c>
      <c r="C15" s="45" t="str">
        <f t="shared" si="6"/>
        <v>O</v>
      </c>
      <c r="E15" s="45">
        <f t="shared" si="7"/>
        <v>65</v>
      </c>
      <c r="F15" s="45" t="str">
        <f t="shared" si="0"/>
        <v>BM</v>
      </c>
      <c r="H15" s="45">
        <f t="shared" si="1"/>
        <v>115</v>
      </c>
      <c r="I15" s="45" t="str">
        <f t="shared" si="2"/>
        <v>DK</v>
      </c>
      <c r="K15" s="45">
        <f t="shared" si="3"/>
        <v>165</v>
      </c>
      <c r="L15" s="45" t="str">
        <f t="shared" si="8"/>
        <v>FI</v>
      </c>
      <c r="N15" s="45">
        <f t="shared" si="4"/>
        <v>215</v>
      </c>
      <c r="O15" s="45" t="str">
        <f t="shared" si="9"/>
        <v>HG</v>
      </c>
      <c r="Q15" s="45">
        <f t="shared" si="5"/>
        <v>265</v>
      </c>
      <c r="R15" s="45" t="str">
        <f t="shared" si="10"/>
        <v>JE</v>
      </c>
      <c r="T15" s="45">
        <f t="shared" si="11"/>
        <v>315</v>
      </c>
      <c r="U15" s="45" t="str">
        <f t="shared" si="12"/>
        <v>LC</v>
      </c>
      <c r="W15" s="45">
        <f t="shared" si="13"/>
        <v>365</v>
      </c>
      <c r="X15" s="45" t="str">
        <f t="shared" si="14"/>
        <v>NA</v>
      </c>
    </row>
    <row r="16" spans="1:24" x14ac:dyDescent="0.2">
      <c r="A16" s="46"/>
      <c r="B16" s="46">
        <v>16</v>
      </c>
      <c r="C16" s="46" t="str">
        <f t="shared" si="6"/>
        <v>P</v>
      </c>
      <c r="D16" s="46"/>
      <c r="E16" s="46">
        <f t="shared" si="7"/>
        <v>66</v>
      </c>
      <c r="F16" s="46" t="str">
        <f t="shared" si="0"/>
        <v>BN</v>
      </c>
      <c r="G16" s="46"/>
      <c r="H16" s="46">
        <f t="shared" si="1"/>
        <v>116</v>
      </c>
      <c r="I16" s="46" t="str">
        <f t="shared" si="2"/>
        <v>DL</v>
      </c>
      <c r="J16" s="46"/>
      <c r="K16" s="46">
        <f t="shared" si="3"/>
        <v>166</v>
      </c>
      <c r="L16" s="46" t="str">
        <f t="shared" si="8"/>
        <v>FJ</v>
      </c>
      <c r="M16" s="46"/>
      <c r="N16" s="46">
        <f t="shared" si="4"/>
        <v>216</v>
      </c>
      <c r="O16" s="46" t="str">
        <f t="shared" si="9"/>
        <v>HH</v>
      </c>
      <c r="P16" s="46"/>
      <c r="Q16" s="46">
        <f t="shared" si="5"/>
        <v>266</v>
      </c>
      <c r="R16" s="46" t="str">
        <f t="shared" si="10"/>
        <v>JF</v>
      </c>
      <c r="S16" s="46"/>
      <c r="T16" s="46">
        <f t="shared" si="11"/>
        <v>316</v>
      </c>
      <c r="U16" s="46" t="str">
        <f t="shared" si="12"/>
        <v>LD</v>
      </c>
      <c r="V16" s="46"/>
      <c r="W16" s="46">
        <f t="shared" si="13"/>
        <v>366</v>
      </c>
      <c r="X16" s="46" t="str">
        <f t="shared" si="14"/>
        <v>NB</v>
      </c>
    </row>
    <row r="17" spans="1:24" x14ac:dyDescent="0.2">
      <c r="B17" s="45">
        <v>17</v>
      </c>
      <c r="C17" s="45" t="str">
        <f t="shared" si="6"/>
        <v>Q</v>
      </c>
      <c r="E17" s="45">
        <f t="shared" si="7"/>
        <v>67</v>
      </c>
      <c r="F17" s="45" t="str">
        <f t="shared" si="0"/>
        <v>BO</v>
      </c>
      <c r="H17" s="45">
        <f t="shared" si="1"/>
        <v>117</v>
      </c>
      <c r="I17" s="45" t="str">
        <f t="shared" si="2"/>
        <v>DM</v>
      </c>
      <c r="K17" s="45">
        <f t="shared" si="3"/>
        <v>167</v>
      </c>
      <c r="L17" s="45" t="str">
        <f t="shared" si="8"/>
        <v>FK</v>
      </c>
      <c r="N17" s="45">
        <f t="shared" si="4"/>
        <v>217</v>
      </c>
      <c r="O17" s="45" t="str">
        <f t="shared" si="9"/>
        <v>HI</v>
      </c>
      <c r="Q17" s="45">
        <f t="shared" si="5"/>
        <v>267</v>
      </c>
      <c r="R17" s="45" t="str">
        <f t="shared" si="10"/>
        <v>JG</v>
      </c>
      <c r="T17" s="45">
        <f t="shared" si="11"/>
        <v>317</v>
      </c>
      <c r="U17" s="45" t="str">
        <f t="shared" si="12"/>
        <v>LE</v>
      </c>
      <c r="W17" s="45">
        <f t="shared" si="13"/>
        <v>367</v>
      </c>
      <c r="X17" s="45" t="str">
        <f t="shared" si="14"/>
        <v>NC</v>
      </c>
    </row>
    <row r="18" spans="1:24" x14ac:dyDescent="0.2">
      <c r="A18" s="46"/>
      <c r="B18" s="46">
        <v>18</v>
      </c>
      <c r="C18" s="46" t="str">
        <f t="shared" si="6"/>
        <v>R</v>
      </c>
      <c r="D18" s="46"/>
      <c r="E18" s="46">
        <f t="shared" si="7"/>
        <v>68</v>
      </c>
      <c r="F18" s="46" t="str">
        <f t="shared" si="0"/>
        <v>BP</v>
      </c>
      <c r="G18" s="46"/>
      <c r="H18" s="46">
        <f t="shared" si="1"/>
        <v>118</v>
      </c>
      <c r="I18" s="46" t="str">
        <f t="shared" si="2"/>
        <v>DN</v>
      </c>
      <c r="J18" s="46"/>
      <c r="K18" s="46">
        <f t="shared" si="3"/>
        <v>168</v>
      </c>
      <c r="L18" s="46" t="str">
        <f t="shared" si="8"/>
        <v>FL</v>
      </c>
      <c r="M18" s="46"/>
      <c r="N18" s="46">
        <f t="shared" si="4"/>
        <v>218</v>
      </c>
      <c r="O18" s="46" t="str">
        <f t="shared" si="9"/>
        <v>HJ</v>
      </c>
      <c r="P18" s="46"/>
      <c r="Q18" s="46">
        <f t="shared" si="5"/>
        <v>268</v>
      </c>
      <c r="R18" s="46" t="str">
        <f t="shared" si="10"/>
        <v>JH</v>
      </c>
      <c r="S18" s="46"/>
      <c r="T18" s="46">
        <f t="shared" si="11"/>
        <v>318</v>
      </c>
      <c r="U18" s="46" t="str">
        <f t="shared" si="12"/>
        <v>LF</v>
      </c>
      <c r="V18" s="46"/>
      <c r="W18" s="46">
        <f t="shared" si="13"/>
        <v>368</v>
      </c>
      <c r="X18" s="46" t="str">
        <f t="shared" si="14"/>
        <v>ND</v>
      </c>
    </row>
    <row r="19" spans="1:24" x14ac:dyDescent="0.2">
      <c r="B19" s="45">
        <v>19</v>
      </c>
      <c r="C19" s="45" t="str">
        <f t="shared" si="6"/>
        <v>S</v>
      </c>
      <c r="E19" s="45">
        <f t="shared" si="7"/>
        <v>69</v>
      </c>
      <c r="F19" s="45" t="str">
        <f t="shared" si="0"/>
        <v>BQ</v>
      </c>
      <c r="H19" s="45">
        <f t="shared" si="1"/>
        <v>119</v>
      </c>
      <c r="I19" s="45" t="str">
        <f t="shared" si="2"/>
        <v>DO</v>
      </c>
      <c r="K19" s="45">
        <f t="shared" si="3"/>
        <v>169</v>
      </c>
      <c r="L19" s="45" t="str">
        <f t="shared" si="8"/>
        <v>FM</v>
      </c>
      <c r="N19" s="45">
        <f t="shared" si="4"/>
        <v>219</v>
      </c>
      <c r="O19" s="45" t="str">
        <f t="shared" si="9"/>
        <v>HK</v>
      </c>
      <c r="Q19" s="45">
        <f t="shared" si="5"/>
        <v>269</v>
      </c>
      <c r="R19" s="45" t="str">
        <f t="shared" si="10"/>
        <v>JI</v>
      </c>
      <c r="T19" s="45">
        <f t="shared" si="11"/>
        <v>319</v>
      </c>
      <c r="U19" s="45" t="str">
        <f t="shared" si="12"/>
        <v>LG</v>
      </c>
      <c r="W19" s="45">
        <f t="shared" si="13"/>
        <v>369</v>
      </c>
      <c r="X19" s="45" t="str">
        <f t="shared" si="14"/>
        <v>NE</v>
      </c>
    </row>
    <row r="20" spans="1:24" x14ac:dyDescent="0.2">
      <c r="A20" s="46"/>
      <c r="B20" s="46">
        <v>20</v>
      </c>
      <c r="C20" s="46" t="str">
        <f t="shared" si="6"/>
        <v>T</v>
      </c>
      <c r="D20" s="46"/>
      <c r="E20" s="46">
        <f t="shared" si="7"/>
        <v>70</v>
      </c>
      <c r="F20" s="46" t="str">
        <f t="shared" si="0"/>
        <v>BR</v>
      </c>
      <c r="G20" s="46"/>
      <c r="H20" s="46">
        <f t="shared" si="1"/>
        <v>120</v>
      </c>
      <c r="I20" s="46" t="str">
        <f t="shared" si="2"/>
        <v>DP</v>
      </c>
      <c r="J20" s="46"/>
      <c r="K20" s="46">
        <f t="shared" si="3"/>
        <v>170</v>
      </c>
      <c r="L20" s="46" t="str">
        <f t="shared" si="8"/>
        <v>FN</v>
      </c>
      <c r="M20" s="46"/>
      <c r="N20" s="46">
        <f t="shared" si="4"/>
        <v>220</v>
      </c>
      <c r="O20" s="46" t="str">
        <f t="shared" si="9"/>
        <v>HL</v>
      </c>
      <c r="P20" s="46"/>
      <c r="Q20" s="46">
        <f t="shared" si="5"/>
        <v>270</v>
      </c>
      <c r="R20" s="46" t="str">
        <f t="shared" si="10"/>
        <v>JJ</v>
      </c>
      <c r="S20" s="46"/>
      <c r="T20" s="46">
        <f t="shared" si="11"/>
        <v>320</v>
      </c>
      <c r="U20" s="46" t="str">
        <f t="shared" si="12"/>
        <v>LH</v>
      </c>
      <c r="V20" s="46"/>
      <c r="W20" s="46">
        <f t="shared" si="13"/>
        <v>370</v>
      </c>
      <c r="X20" s="46" t="str">
        <f t="shared" si="14"/>
        <v>NF</v>
      </c>
    </row>
    <row r="21" spans="1:24" x14ac:dyDescent="0.2">
      <c r="B21" s="45">
        <v>21</v>
      </c>
      <c r="C21" s="45" t="str">
        <f t="shared" si="6"/>
        <v>U</v>
      </c>
      <c r="E21" s="45">
        <f t="shared" si="7"/>
        <v>71</v>
      </c>
      <c r="F21" s="45" t="str">
        <f t="shared" si="0"/>
        <v>BS</v>
      </c>
      <c r="H21" s="45">
        <f t="shared" si="1"/>
        <v>121</v>
      </c>
      <c r="I21" s="45" t="str">
        <f t="shared" si="2"/>
        <v>DQ</v>
      </c>
      <c r="K21" s="45">
        <f t="shared" si="3"/>
        <v>171</v>
      </c>
      <c r="L21" s="45" t="str">
        <f t="shared" si="8"/>
        <v>FO</v>
      </c>
      <c r="N21" s="45">
        <f t="shared" si="4"/>
        <v>221</v>
      </c>
      <c r="O21" s="45" t="str">
        <f t="shared" si="9"/>
        <v>HM</v>
      </c>
      <c r="Q21" s="45">
        <f t="shared" si="5"/>
        <v>271</v>
      </c>
      <c r="R21" s="45" t="str">
        <f t="shared" si="10"/>
        <v>JK</v>
      </c>
      <c r="T21" s="45">
        <f t="shared" si="11"/>
        <v>321</v>
      </c>
      <c r="U21" s="45" t="str">
        <f t="shared" si="12"/>
        <v>LI</v>
      </c>
      <c r="W21" s="45">
        <f t="shared" si="13"/>
        <v>371</v>
      </c>
      <c r="X21" s="45" t="str">
        <f t="shared" si="14"/>
        <v>NG</v>
      </c>
    </row>
    <row r="22" spans="1:24" x14ac:dyDescent="0.2">
      <c r="A22" s="46"/>
      <c r="B22" s="46">
        <v>22</v>
      </c>
      <c r="C22" s="46" t="str">
        <f t="shared" si="6"/>
        <v>V</v>
      </c>
      <c r="D22" s="46"/>
      <c r="E22" s="46">
        <f t="shared" si="7"/>
        <v>72</v>
      </c>
      <c r="F22" s="46" t="str">
        <f t="shared" si="0"/>
        <v>BT</v>
      </c>
      <c r="G22" s="46"/>
      <c r="H22" s="46">
        <f t="shared" si="1"/>
        <v>122</v>
      </c>
      <c r="I22" s="46" t="str">
        <f t="shared" si="2"/>
        <v>DR</v>
      </c>
      <c r="J22" s="46"/>
      <c r="K22" s="46">
        <f t="shared" si="3"/>
        <v>172</v>
      </c>
      <c r="L22" s="46" t="str">
        <f t="shared" si="8"/>
        <v>FP</v>
      </c>
      <c r="M22" s="46"/>
      <c r="N22" s="46">
        <f t="shared" si="4"/>
        <v>222</v>
      </c>
      <c r="O22" s="46" t="str">
        <f t="shared" si="9"/>
        <v>HN</v>
      </c>
      <c r="P22" s="46"/>
      <c r="Q22" s="46">
        <f t="shared" si="5"/>
        <v>272</v>
      </c>
      <c r="R22" s="46" t="str">
        <f t="shared" si="10"/>
        <v>JL</v>
      </c>
      <c r="S22" s="46"/>
      <c r="T22" s="46">
        <f t="shared" si="11"/>
        <v>322</v>
      </c>
      <c r="U22" s="46" t="str">
        <f t="shared" si="12"/>
        <v>LJ</v>
      </c>
      <c r="V22" s="46"/>
      <c r="W22" s="46">
        <f t="shared" si="13"/>
        <v>372</v>
      </c>
      <c r="X22" s="46" t="str">
        <f t="shared" si="14"/>
        <v>NH</v>
      </c>
    </row>
    <row r="23" spans="1:24" x14ac:dyDescent="0.2">
      <c r="B23" s="45">
        <v>23</v>
      </c>
      <c r="C23" s="45" t="str">
        <f t="shared" si="6"/>
        <v>W</v>
      </c>
      <c r="E23" s="45">
        <f t="shared" si="7"/>
        <v>73</v>
      </c>
      <c r="F23" s="45" t="str">
        <f t="shared" si="0"/>
        <v>BU</v>
      </c>
      <c r="H23" s="45">
        <f t="shared" si="1"/>
        <v>123</v>
      </c>
      <c r="I23" s="45" t="str">
        <f t="shared" si="2"/>
        <v>DS</v>
      </c>
      <c r="K23" s="45">
        <f t="shared" si="3"/>
        <v>173</v>
      </c>
      <c r="L23" s="45" t="str">
        <f t="shared" si="8"/>
        <v>FQ</v>
      </c>
      <c r="N23" s="45">
        <f t="shared" si="4"/>
        <v>223</v>
      </c>
      <c r="O23" s="45" t="str">
        <f t="shared" si="9"/>
        <v>HO</v>
      </c>
      <c r="Q23" s="45">
        <f t="shared" si="5"/>
        <v>273</v>
      </c>
      <c r="R23" s="45" t="str">
        <f t="shared" si="10"/>
        <v>JM</v>
      </c>
      <c r="T23" s="45">
        <f t="shared" si="11"/>
        <v>323</v>
      </c>
      <c r="U23" s="45" t="str">
        <f t="shared" si="12"/>
        <v>LK</v>
      </c>
      <c r="W23" s="45">
        <f t="shared" si="13"/>
        <v>373</v>
      </c>
      <c r="X23" s="45" t="str">
        <f t="shared" si="14"/>
        <v>NI</v>
      </c>
    </row>
    <row r="24" spans="1:24" x14ac:dyDescent="0.2">
      <c r="A24" s="46"/>
      <c r="B24" s="46">
        <v>24</v>
      </c>
      <c r="C24" s="46" t="str">
        <f t="shared" si="6"/>
        <v>X</v>
      </c>
      <c r="D24" s="46"/>
      <c r="E24" s="46">
        <f t="shared" si="7"/>
        <v>74</v>
      </c>
      <c r="F24" s="46" t="str">
        <f t="shared" si="0"/>
        <v>BV</v>
      </c>
      <c r="G24" s="46"/>
      <c r="H24" s="46">
        <f t="shared" si="1"/>
        <v>124</v>
      </c>
      <c r="I24" s="46" t="str">
        <f t="shared" si="2"/>
        <v>DT</v>
      </c>
      <c r="J24" s="46"/>
      <c r="K24" s="46">
        <f t="shared" si="3"/>
        <v>174</v>
      </c>
      <c r="L24" s="46" t="str">
        <f t="shared" si="8"/>
        <v>FR</v>
      </c>
      <c r="M24" s="46"/>
      <c r="N24" s="46">
        <f t="shared" si="4"/>
        <v>224</v>
      </c>
      <c r="O24" s="46" t="str">
        <f t="shared" si="9"/>
        <v>HP</v>
      </c>
      <c r="P24" s="46"/>
      <c r="Q24" s="46">
        <f t="shared" si="5"/>
        <v>274</v>
      </c>
      <c r="R24" s="46" t="str">
        <f t="shared" si="10"/>
        <v>JN</v>
      </c>
      <c r="S24" s="46"/>
      <c r="T24" s="46">
        <f t="shared" si="11"/>
        <v>324</v>
      </c>
      <c r="U24" s="46" t="str">
        <f t="shared" si="12"/>
        <v>LL</v>
      </c>
      <c r="V24" s="46"/>
      <c r="W24" s="46">
        <f t="shared" si="13"/>
        <v>374</v>
      </c>
      <c r="X24" s="46" t="str">
        <f t="shared" si="14"/>
        <v>NJ</v>
      </c>
    </row>
    <row r="25" spans="1:24" x14ac:dyDescent="0.2">
      <c r="B25" s="45">
        <v>25</v>
      </c>
      <c r="C25" s="45" t="str">
        <f t="shared" si="6"/>
        <v>Y</v>
      </c>
      <c r="E25" s="45">
        <f t="shared" si="7"/>
        <v>75</v>
      </c>
      <c r="F25" s="45" t="str">
        <f t="shared" si="0"/>
        <v>BW</v>
      </c>
      <c r="H25" s="45">
        <f t="shared" si="1"/>
        <v>125</v>
      </c>
      <c r="I25" s="45" t="str">
        <f t="shared" si="2"/>
        <v>DU</v>
      </c>
      <c r="K25" s="45">
        <f t="shared" si="3"/>
        <v>175</v>
      </c>
      <c r="L25" s="45" t="str">
        <f t="shared" si="8"/>
        <v>FS</v>
      </c>
      <c r="N25" s="45">
        <f t="shared" si="4"/>
        <v>225</v>
      </c>
      <c r="O25" s="45" t="str">
        <f t="shared" si="9"/>
        <v>HQ</v>
      </c>
      <c r="Q25" s="45">
        <f t="shared" si="5"/>
        <v>275</v>
      </c>
      <c r="R25" s="45" t="str">
        <f t="shared" si="10"/>
        <v>JO</v>
      </c>
      <c r="T25" s="45">
        <f t="shared" si="11"/>
        <v>325</v>
      </c>
      <c r="U25" s="45" t="str">
        <f t="shared" si="12"/>
        <v>LM</v>
      </c>
      <c r="W25" s="45">
        <f t="shared" si="13"/>
        <v>375</v>
      </c>
      <c r="X25" s="45" t="str">
        <f t="shared" si="14"/>
        <v>NK</v>
      </c>
    </row>
    <row r="26" spans="1:24" x14ac:dyDescent="0.2">
      <c r="A26" s="46"/>
      <c r="B26" s="46">
        <v>26</v>
      </c>
      <c r="C26" s="46" t="str">
        <f t="shared" si="6"/>
        <v>Z</v>
      </c>
      <c r="D26" s="46"/>
      <c r="E26" s="46">
        <f t="shared" si="7"/>
        <v>76</v>
      </c>
      <c r="F26" s="46" t="str">
        <f t="shared" si="0"/>
        <v>BX</v>
      </c>
      <c r="G26" s="46"/>
      <c r="H26" s="46">
        <f t="shared" si="1"/>
        <v>126</v>
      </c>
      <c r="I26" s="46" t="str">
        <f t="shared" si="2"/>
        <v>DV</v>
      </c>
      <c r="J26" s="46"/>
      <c r="K26" s="46">
        <f t="shared" si="3"/>
        <v>176</v>
      </c>
      <c r="L26" s="46" t="str">
        <f t="shared" si="8"/>
        <v>FT</v>
      </c>
      <c r="M26" s="46"/>
      <c r="N26" s="46">
        <f t="shared" si="4"/>
        <v>226</v>
      </c>
      <c r="O26" s="46" t="str">
        <f t="shared" si="9"/>
        <v>HR</v>
      </c>
      <c r="P26" s="46"/>
      <c r="Q26" s="46">
        <f t="shared" si="5"/>
        <v>276</v>
      </c>
      <c r="R26" s="46" t="str">
        <f t="shared" si="10"/>
        <v>JP</v>
      </c>
      <c r="S26" s="46"/>
      <c r="T26" s="46">
        <f t="shared" si="11"/>
        <v>326</v>
      </c>
      <c r="U26" s="46" t="str">
        <f t="shared" si="12"/>
        <v>LN</v>
      </c>
      <c r="V26" s="46"/>
      <c r="W26" s="46">
        <f t="shared" si="13"/>
        <v>376</v>
      </c>
      <c r="X26" s="46" t="str">
        <f t="shared" si="14"/>
        <v>NL</v>
      </c>
    </row>
    <row r="27" spans="1:24" x14ac:dyDescent="0.2">
      <c r="B27" s="45">
        <v>27</v>
      </c>
      <c r="C27" s="45" t="str">
        <f t="shared" si="6"/>
        <v>AA</v>
      </c>
      <c r="E27" s="45">
        <f t="shared" si="7"/>
        <v>77</v>
      </c>
      <c r="F27" s="45" t="str">
        <f t="shared" si="0"/>
        <v>BY</v>
      </c>
      <c r="H27" s="45">
        <f t="shared" si="1"/>
        <v>127</v>
      </c>
      <c r="I27" s="45" t="str">
        <f t="shared" si="2"/>
        <v>DW</v>
      </c>
      <c r="K27" s="45">
        <f t="shared" si="3"/>
        <v>177</v>
      </c>
      <c r="L27" s="45" t="str">
        <f t="shared" si="8"/>
        <v>FU</v>
      </c>
      <c r="N27" s="45">
        <f t="shared" si="4"/>
        <v>227</v>
      </c>
      <c r="O27" s="45" t="str">
        <f t="shared" si="9"/>
        <v>HS</v>
      </c>
      <c r="Q27" s="45">
        <f t="shared" si="5"/>
        <v>277</v>
      </c>
      <c r="R27" s="45" t="str">
        <f t="shared" si="10"/>
        <v>JQ</v>
      </c>
      <c r="T27" s="45">
        <f t="shared" si="11"/>
        <v>327</v>
      </c>
      <c r="U27" s="45" t="str">
        <f t="shared" si="12"/>
        <v>LO</v>
      </c>
      <c r="W27" s="45">
        <f t="shared" si="13"/>
        <v>377</v>
      </c>
      <c r="X27" s="45" t="str">
        <f t="shared" si="14"/>
        <v>NM</v>
      </c>
    </row>
    <row r="28" spans="1:24" x14ac:dyDescent="0.2">
      <c r="A28" s="46"/>
      <c r="B28" s="46">
        <v>28</v>
      </c>
      <c r="C28" s="46" t="str">
        <f t="shared" si="6"/>
        <v>AB</v>
      </c>
      <c r="D28" s="46"/>
      <c r="E28" s="46">
        <f t="shared" si="7"/>
        <v>78</v>
      </c>
      <c r="F28" s="46" t="str">
        <f t="shared" si="0"/>
        <v>BZ</v>
      </c>
      <c r="G28" s="46"/>
      <c r="H28" s="46">
        <f t="shared" si="1"/>
        <v>128</v>
      </c>
      <c r="I28" s="46" t="str">
        <f t="shared" si="2"/>
        <v>DX</v>
      </c>
      <c r="J28" s="46"/>
      <c r="K28" s="46">
        <f t="shared" si="3"/>
        <v>178</v>
      </c>
      <c r="L28" s="46" t="str">
        <f t="shared" si="8"/>
        <v>FV</v>
      </c>
      <c r="M28" s="46"/>
      <c r="N28" s="46">
        <f t="shared" si="4"/>
        <v>228</v>
      </c>
      <c r="O28" s="46" t="str">
        <f t="shared" si="9"/>
        <v>HT</v>
      </c>
      <c r="P28" s="46"/>
      <c r="Q28" s="46">
        <f t="shared" si="5"/>
        <v>278</v>
      </c>
      <c r="R28" s="46" t="str">
        <f t="shared" si="10"/>
        <v>JR</v>
      </c>
      <c r="S28" s="46"/>
      <c r="T28" s="46">
        <f t="shared" si="11"/>
        <v>328</v>
      </c>
      <c r="U28" s="46" t="str">
        <f t="shared" si="12"/>
        <v>LP</v>
      </c>
      <c r="V28" s="46"/>
      <c r="W28" s="46">
        <f t="shared" si="13"/>
        <v>378</v>
      </c>
      <c r="X28" s="46" t="str">
        <f t="shared" si="14"/>
        <v>NN</v>
      </c>
    </row>
    <row r="29" spans="1:24" x14ac:dyDescent="0.2">
      <c r="B29" s="45">
        <v>29</v>
      </c>
      <c r="C29" s="45" t="str">
        <f t="shared" si="6"/>
        <v>AC</v>
      </c>
      <c r="E29" s="45">
        <f t="shared" si="7"/>
        <v>79</v>
      </c>
      <c r="F29" s="45" t="str">
        <f t="shared" si="0"/>
        <v>CA</v>
      </c>
      <c r="H29" s="45">
        <f t="shared" si="1"/>
        <v>129</v>
      </c>
      <c r="I29" s="45" t="str">
        <f t="shared" si="2"/>
        <v>DY</v>
      </c>
      <c r="K29" s="45">
        <f t="shared" si="3"/>
        <v>179</v>
      </c>
      <c r="L29" s="45" t="str">
        <f t="shared" si="8"/>
        <v>FW</v>
      </c>
      <c r="N29" s="45">
        <f t="shared" si="4"/>
        <v>229</v>
      </c>
      <c r="O29" s="45" t="str">
        <f t="shared" si="9"/>
        <v>HU</v>
      </c>
      <c r="Q29" s="45">
        <f t="shared" si="5"/>
        <v>279</v>
      </c>
      <c r="R29" s="45" t="str">
        <f t="shared" si="10"/>
        <v>JS</v>
      </c>
      <c r="T29" s="45">
        <f t="shared" si="11"/>
        <v>329</v>
      </c>
      <c r="U29" s="45" t="str">
        <f t="shared" si="12"/>
        <v>LQ</v>
      </c>
      <c r="W29" s="45">
        <f t="shared" si="13"/>
        <v>379</v>
      </c>
      <c r="X29" s="45" t="str">
        <f t="shared" si="14"/>
        <v>NO</v>
      </c>
    </row>
    <row r="30" spans="1:24" x14ac:dyDescent="0.2">
      <c r="A30" s="46"/>
      <c r="B30" s="46">
        <v>30</v>
      </c>
      <c r="C30" s="46" t="str">
        <f t="shared" si="6"/>
        <v>AD</v>
      </c>
      <c r="D30" s="46"/>
      <c r="E30" s="46">
        <f t="shared" si="7"/>
        <v>80</v>
      </c>
      <c r="F30" s="46" t="str">
        <f t="shared" si="0"/>
        <v>CB</v>
      </c>
      <c r="G30" s="46"/>
      <c r="H30" s="46">
        <f t="shared" si="1"/>
        <v>130</v>
      </c>
      <c r="I30" s="46" t="str">
        <f t="shared" si="2"/>
        <v>DZ</v>
      </c>
      <c r="J30" s="46"/>
      <c r="K30" s="46">
        <f t="shared" si="3"/>
        <v>180</v>
      </c>
      <c r="L30" s="46" t="str">
        <f t="shared" si="8"/>
        <v>FX</v>
      </c>
      <c r="M30" s="46"/>
      <c r="N30" s="46">
        <f t="shared" si="4"/>
        <v>230</v>
      </c>
      <c r="O30" s="46" t="str">
        <f t="shared" si="9"/>
        <v>HV</v>
      </c>
      <c r="P30" s="46"/>
      <c r="Q30" s="46">
        <f t="shared" si="5"/>
        <v>280</v>
      </c>
      <c r="R30" s="46" t="str">
        <f t="shared" si="10"/>
        <v>JT</v>
      </c>
      <c r="S30" s="46"/>
      <c r="T30" s="46">
        <f t="shared" si="11"/>
        <v>330</v>
      </c>
      <c r="U30" s="46" t="str">
        <f t="shared" si="12"/>
        <v>LR</v>
      </c>
      <c r="V30" s="46"/>
      <c r="W30" s="46">
        <f t="shared" si="13"/>
        <v>380</v>
      </c>
      <c r="X30" s="46" t="str">
        <f t="shared" si="14"/>
        <v>NP</v>
      </c>
    </row>
    <row r="31" spans="1:24" x14ac:dyDescent="0.2">
      <c r="B31" s="45">
        <v>31</v>
      </c>
      <c r="C31" s="45" t="str">
        <f t="shared" si="6"/>
        <v>AE</v>
      </c>
      <c r="E31" s="45">
        <f t="shared" si="7"/>
        <v>81</v>
      </c>
      <c r="F31" s="45" t="str">
        <f t="shared" si="0"/>
        <v>CC</v>
      </c>
      <c r="H31" s="45">
        <f t="shared" si="1"/>
        <v>131</v>
      </c>
      <c r="I31" s="45" t="str">
        <f t="shared" si="2"/>
        <v>EA</v>
      </c>
      <c r="K31" s="45">
        <f t="shared" si="3"/>
        <v>181</v>
      </c>
      <c r="L31" s="45" t="str">
        <f t="shared" si="8"/>
        <v>FY</v>
      </c>
      <c r="N31" s="45">
        <f t="shared" si="4"/>
        <v>231</v>
      </c>
      <c r="O31" s="45" t="str">
        <f t="shared" si="9"/>
        <v>HW</v>
      </c>
      <c r="Q31" s="45">
        <f t="shared" si="5"/>
        <v>281</v>
      </c>
      <c r="R31" s="45" t="str">
        <f t="shared" si="10"/>
        <v>JU</v>
      </c>
      <c r="T31" s="45">
        <f t="shared" si="11"/>
        <v>331</v>
      </c>
      <c r="U31" s="45" t="str">
        <f t="shared" si="12"/>
        <v>LS</v>
      </c>
      <c r="W31" s="45">
        <f t="shared" si="13"/>
        <v>381</v>
      </c>
      <c r="X31" s="45" t="str">
        <f t="shared" si="14"/>
        <v>NQ</v>
      </c>
    </row>
    <row r="32" spans="1:24" x14ac:dyDescent="0.2">
      <c r="A32" s="46"/>
      <c r="B32" s="46">
        <v>32</v>
      </c>
      <c r="C32" s="46" t="str">
        <f t="shared" si="6"/>
        <v>AF</v>
      </c>
      <c r="D32" s="46"/>
      <c r="E32" s="46">
        <f t="shared" si="7"/>
        <v>82</v>
      </c>
      <c r="F32" s="46" t="str">
        <f t="shared" si="0"/>
        <v>CD</v>
      </c>
      <c r="G32" s="46"/>
      <c r="H32" s="46">
        <f t="shared" si="1"/>
        <v>132</v>
      </c>
      <c r="I32" s="46" t="str">
        <f t="shared" si="2"/>
        <v>EB</v>
      </c>
      <c r="J32" s="46"/>
      <c r="K32" s="46">
        <f t="shared" si="3"/>
        <v>182</v>
      </c>
      <c r="L32" s="46" t="str">
        <f t="shared" si="8"/>
        <v>FZ</v>
      </c>
      <c r="M32" s="46"/>
      <c r="N32" s="46">
        <f t="shared" si="4"/>
        <v>232</v>
      </c>
      <c r="O32" s="46" t="str">
        <f t="shared" si="9"/>
        <v>HX</v>
      </c>
      <c r="P32" s="46"/>
      <c r="Q32" s="46">
        <f t="shared" si="5"/>
        <v>282</v>
      </c>
      <c r="R32" s="46" t="str">
        <f t="shared" si="10"/>
        <v>JV</v>
      </c>
      <c r="S32" s="46"/>
      <c r="T32" s="46">
        <f t="shared" si="11"/>
        <v>332</v>
      </c>
      <c r="U32" s="46" t="str">
        <f t="shared" si="12"/>
        <v>LT</v>
      </c>
      <c r="V32" s="46"/>
      <c r="W32" s="46">
        <f t="shared" si="13"/>
        <v>382</v>
      </c>
      <c r="X32" s="46" t="str">
        <f t="shared" si="14"/>
        <v>NR</v>
      </c>
    </row>
    <row r="33" spans="1:24" x14ac:dyDescent="0.2">
      <c r="B33" s="45">
        <v>33</v>
      </c>
      <c r="C33" s="45" t="str">
        <f t="shared" si="6"/>
        <v>AG</v>
      </c>
      <c r="E33" s="45">
        <f t="shared" si="7"/>
        <v>83</v>
      </c>
      <c r="F33" s="45" t="str">
        <f t="shared" si="0"/>
        <v>CE</v>
      </c>
      <c r="H33" s="45">
        <f t="shared" si="1"/>
        <v>133</v>
      </c>
      <c r="I33" s="45" t="str">
        <f t="shared" si="2"/>
        <v>EC</v>
      </c>
      <c r="K33" s="45">
        <f t="shared" si="3"/>
        <v>183</v>
      </c>
      <c r="L33" s="45" t="str">
        <f t="shared" si="8"/>
        <v>GA</v>
      </c>
      <c r="N33" s="45">
        <f t="shared" si="4"/>
        <v>233</v>
      </c>
      <c r="O33" s="45" t="str">
        <f t="shared" si="9"/>
        <v>HY</v>
      </c>
      <c r="Q33" s="45">
        <f t="shared" si="5"/>
        <v>283</v>
      </c>
      <c r="R33" s="45" t="str">
        <f t="shared" si="10"/>
        <v>JW</v>
      </c>
      <c r="T33" s="45">
        <f t="shared" si="11"/>
        <v>333</v>
      </c>
      <c r="U33" s="45" t="str">
        <f t="shared" si="12"/>
        <v>LU</v>
      </c>
      <c r="W33" s="45">
        <f t="shared" si="13"/>
        <v>383</v>
      </c>
      <c r="X33" s="45" t="str">
        <f t="shared" si="14"/>
        <v>NS</v>
      </c>
    </row>
    <row r="34" spans="1:24" x14ac:dyDescent="0.2">
      <c r="A34" s="46"/>
      <c r="B34" s="46">
        <v>34</v>
      </c>
      <c r="C34" s="46" t="str">
        <f t="shared" si="6"/>
        <v>AH</v>
      </c>
      <c r="D34" s="46"/>
      <c r="E34" s="46">
        <f t="shared" si="7"/>
        <v>84</v>
      </c>
      <c r="F34" s="46" t="str">
        <f t="shared" si="0"/>
        <v>CF</v>
      </c>
      <c r="G34" s="46"/>
      <c r="H34" s="46">
        <f t="shared" si="1"/>
        <v>134</v>
      </c>
      <c r="I34" s="46" t="str">
        <f t="shared" si="2"/>
        <v>ED</v>
      </c>
      <c r="J34" s="46"/>
      <c r="K34" s="46">
        <f t="shared" si="3"/>
        <v>184</v>
      </c>
      <c r="L34" s="46" t="str">
        <f t="shared" si="8"/>
        <v>GB</v>
      </c>
      <c r="M34" s="46"/>
      <c r="N34" s="46">
        <f t="shared" si="4"/>
        <v>234</v>
      </c>
      <c r="O34" s="46" t="str">
        <f t="shared" si="9"/>
        <v>HZ</v>
      </c>
      <c r="P34" s="46"/>
      <c r="Q34" s="46">
        <f t="shared" si="5"/>
        <v>284</v>
      </c>
      <c r="R34" s="46" t="str">
        <f t="shared" si="10"/>
        <v>JX</v>
      </c>
      <c r="S34" s="46"/>
      <c r="T34" s="46">
        <f t="shared" si="11"/>
        <v>334</v>
      </c>
      <c r="U34" s="46" t="str">
        <f t="shared" si="12"/>
        <v>LV</v>
      </c>
      <c r="V34" s="46"/>
      <c r="W34" s="46">
        <f t="shared" si="13"/>
        <v>384</v>
      </c>
      <c r="X34" s="46" t="str">
        <f t="shared" si="14"/>
        <v>NT</v>
      </c>
    </row>
    <row r="35" spans="1:24" x14ac:dyDescent="0.2">
      <c r="B35" s="45">
        <v>35</v>
      </c>
      <c r="C35" s="45" t="str">
        <f t="shared" si="6"/>
        <v>AI</v>
      </c>
      <c r="E35" s="45">
        <f t="shared" si="7"/>
        <v>85</v>
      </c>
      <c r="F35" s="45" t="str">
        <f t="shared" si="0"/>
        <v>CG</v>
      </c>
      <c r="H35" s="45">
        <f t="shared" si="1"/>
        <v>135</v>
      </c>
      <c r="I35" s="45" t="str">
        <f t="shared" si="2"/>
        <v>EE</v>
      </c>
      <c r="K35" s="45">
        <f t="shared" si="3"/>
        <v>185</v>
      </c>
      <c r="L35" s="45" t="str">
        <f t="shared" si="8"/>
        <v>GC</v>
      </c>
      <c r="N35" s="45">
        <f t="shared" si="4"/>
        <v>235</v>
      </c>
      <c r="O35" s="45" t="str">
        <f t="shared" si="9"/>
        <v>IA</v>
      </c>
      <c r="Q35" s="45">
        <f t="shared" si="5"/>
        <v>285</v>
      </c>
      <c r="R35" s="45" t="str">
        <f t="shared" si="10"/>
        <v>JY</v>
      </c>
      <c r="T35" s="45">
        <f t="shared" si="11"/>
        <v>335</v>
      </c>
      <c r="U35" s="45" t="str">
        <f t="shared" si="12"/>
        <v>LW</v>
      </c>
      <c r="W35" s="45">
        <f t="shared" si="13"/>
        <v>385</v>
      </c>
      <c r="X35" s="45" t="str">
        <f t="shared" si="14"/>
        <v>NU</v>
      </c>
    </row>
    <row r="36" spans="1:24" x14ac:dyDescent="0.2">
      <c r="A36" s="46"/>
      <c r="B36" s="46">
        <v>36</v>
      </c>
      <c r="C36" s="46" t="str">
        <f t="shared" si="6"/>
        <v>AJ</v>
      </c>
      <c r="D36" s="46"/>
      <c r="E36" s="46">
        <f t="shared" si="7"/>
        <v>86</v>
      </c>
      <c r="F36" s="46" t="str">
        <f t="shared" si="0"/>
        <v>CH</v>
      </c>
      <c r="G36" s="46"/>
      <c r="H36" s="46">
        <f t="shared" si="1"/>
        <v>136</v>
      </c>
      <c r="I36" s="46" t="str">
        <f t="shared" si="2"/>
        <v>EF</v>
      </c>
      <c r="J36" s="46"/>
      <c r="K36" s="46">
        <f t="shared" si="3"/>
        <v>186</v>
      </c>
      <c r="L36" s="46" t="str">
        <f t="shared" si="8"/>
        <v>GD</v>
      </c>
      <c r="M36" s="46"/>
      <c r="N36" s="46">
        <f t="shared" si="4"/>
        <v>236</v>
      </c>
      <c r="O36" s="46" t="str">
        <f t="shared" si="9"/>
        <v>IB</v>
      </c>
      <c r="P36" s="46"/>
      <c r="Q36" s="46">
        <f t="shared" si="5"/>
        <v>286</v>
      </c>
      <c r="R36" s="46" t="str">
        <f t="shared" si="10"/>
        <v>JZ</v>
      </c>
      <c r="S36" s="46"/>
      <c r="T36" s="46">
        <f t="shared" si="11"/>
        <v>336</v>
      </c>
      <c r="U36" s="46" t="str">
        <f t="shared" si="12"/>
        <v>LX</v>
      </c>
      <c r="V36" s="46"/>
      <c r="W36" s="46">
        <f t="shared" si="13"/>
        <v>386</v>
      </c>
      <c r="X36" s="46" t="str">
        <f t="shared" si="14"/>
        <v>NV</v>
      </c>
    </row>
    <row r="37" spans="1:24" x14ac:dyDescent="0.2">
      <c r="B37" s="45">
        <v>37</v>
      </c>
      <c r="C37" s="45" t="str">
        <f t="shared" si="6"/>
        <v>AK</v>
      </c>
      <c r="E37" s="45">
        <f t="shared" si="7"/>
        <v>87</v>
      </c>
      <c r="F37" s="45" t="str">
        <f t="shared" si="0"/>
        <v>CI</v>
      </c>
      <c r="H37" s="45">
        <f t="shared" si="1"/>
        <v>137</v>
      </c>
      <c r="I37" s="45" t="str">
        <f t="shared" si="2"/>
        <v>EG</v>
      </c>
      <c r="K37" s="45">
        <f t="shared" si="3"/>
        <v>187</v>
      </c>
      <c r="L37" s="45" t="str">
        <f t="shared" si="8"/>
        <v>GE</v>
      </c>
      <c r="N37" s="45">
        <f t="shared" si="4"/>
        <v>237</v>
      </c>
      <c r="O37" s="45" t="str">
        <f t="shared" si="9"/>
        <v>IC</v>
      </c>
      <c r="Q37" s="45">
        <f t="shared" si="5"/>
        <v>287</v>
      </c>
      <c r="R37" s="45" t="str">
        <f t="shared" si="10"/>
        <v>KA</v>
      </c>
      <c r="T37" s="45">
        <f t="shared" si="11"/>
        <v>337</v>
      </c>
      <c r="U37" s="45" t="str">
        <f t="shared" si="12"/>
        <v>LY</v>
      </c>
      <c r="W37" s="45">
        <f t="shared" si="13"/>
        <v>387</v>
      </c>
      <c r="X37" s="45" t="str">
        <f t="shared" si="14"/>
        <v>NW</v>
      </c>
    </row>
    <row r="38" spans="1:24" x14ac:dyDescent="0.2">
      <c r="A38" s="46"/>
      <c r="B38" s="46">
        <v>38</v>
      </c>
      <c r="C38" s="46" t="str">
        <f t="shared" si="6"/>
        <v>AL</v>
      </c>
      <c r="D38" s="46"/>
      <c r="E38" s="46">
        <f t="shared" si="7"/>
        <v>88</v>
      </c>
      <c r="F38" s="46" t="str">
        <f t="shared" si="0"/>
        <v>CJ</v>
      </c>
      <c r="G38" s="46"/>
      <c r="H38" s="46">
        <f t="shared" si="1"/>
        <v>138</v>
      </c>
      <c r="I38" s="46" t="str">
        <f t="shared" si="2"/>
        <v>EH</v>
      </c>
      <c r="J38" s="46"/>
      <c r="K38" s="46">
        <f t="shared" si="3"/>
        <v>188</v>
      </c>
      <c r="L38" s="46" t="str">
        <f t="shared" si="8"/>
        <v>GF</v>
      </c>
      <c r="M38" s="46"/>
      <c r="N38" s="46">
        <f t="shared" si="4"/>
        <v>238</v>
      </c>
      <c r="O38" s="46" t="str">
        <f t="shared" si="9"/>
        <v>ID</v>
      </c>
      <c r="P38" s="46"/>
      <c r="Q38" s="46">
        <f t="shared" si="5"/>
        <v>288</v>
      </c>
      <c r="R38" s="46" t="str">
        <f t="shared" si="10"/>
        <v>KB</v>
      </c>
      <c r="S38" s="46"/>
      <c r="T38" s="46">
        <f t="shared" si="11"/>
        <v>338</v>
      </c>
      <c r="U38" s="46" t="str">
        <f t="shared" si="12"/>
        <v>LZ</v>
      </c>
      <c r="V38" s="46"/>
      <c r="W38" s="46">
        <f t="shared" si="13"/>
        <v>388</v>
      </c>
      <c r="X38" s="46" t="str">
        <f t="shared" si="14"/>
        <v>NX</v>
      </c>
    </row>
    <row r="39" spans="1:24" x14ac:dyDescent="0.2">
      <c r="B39" s="45">
        <v>39</v>
      </c>
      <c r="C39" s="45" t="str">
        <f t="shared" si="6"/>
        <v>AM</v>
      </c>
      <c r="E39" s="45">
        <f t="shared" si="7"/>
        <v>89</v>
      </c>
      <c r="F39" s="45" t="str">
        <f t="shared" si="0"/>
        <v>CK</v>
      </c>
      <c r="H39" s="45">
        <f t="shared" si="1"/>
        <v>139</v>
      </c>
      <c r="I39" s="45" t="str">
        <f t="shared" si="2"/>
        <v>EI</v>
      </c>
      <c r="K39" s="45">
        <f t="shared" si="3"/>
        <v>189</v>
      </c>
      <c r="L39" s="45" t="str">
        <f t="shared" si="8"/>
        <v>GG</v>
      </c>
      <c r="N39" s="45">
        <f t="shared" si="4"/>
        <v>239</v>
      </c>
      <c r="O39" s="45" t="str">
        <f t="shared" si="9"/>
        <v>IE</v>
      </c>
      <c r="Q39" s="45">
        <f t="shared" si="5"/>
        <v>289</v>
      </c>
      <c r="R39" s="45" t="str">
        <f t="shared" si="10"/>
        <v>KC</v>
      </c>
      <c r="T39" s="45">
        <f t="shared" si="11"/>
        <v>339</v>
      </c>
      <c r="U39" s="45" t="str">
        <f t="shared" si="12"/>
        <v>MA</v>
      </c>
      <c r="W39" s="45">
        <f t="shared" si="13"/>
        <v>389</v>
      </c>
      <c r="X39" s="45" t="str">
        <f t="shared" si="14"/>
        <v>NY</v>
      </c>
    </row>
    <row r="40" spans="1:24" x14ac:dyDescent="0.2">
      <c r="A40" s="46"/>
      <c r="B40" s="46">
        <v>40</v>
      </c>
      <c r="C40" s="46" t="str">
        <f t="shared" si="6"/>
        <v>AN</v>
      </c>
      <c r="D40" s="46"/>
      <c r="E40" s="46">
        <f t="shared" si="7"/>
        <v>90</v>
      </c>
      <c r="F40" s="46" t="str">
        <f t="shared" si="0"/>
        <v>CL</v>
      </c>
      <c r="G40" s="46"/>
      <c r="H40" s="46">
        <f t="shared" si="1"/>
        <v>140</v>
      </c>
      <c r="I40" s="46" t="str">
        <f t="shared" si="2"/>
        <v>EJ</v>
      </c>
      <c r="J40" s="46"/>
      <c r="K40" s="46">
        <f t="shared" si="3"/>
        <v>190</v>
      </c>
      <c r="L40" s="46" t="str">
        <f t="shared" si="8"/>
        <v>GH</v>
      </c>
      <c r="M40" s="46"/>
      <c r="N40" s="46">
        <f t="shared" si="4"/>
        <v>240</v>
      </c>
      <c r="O40" s="46" t="str">
        <f t="shared" si="9"/>
        <v>IF</v>
      </c>
      <c r="P40" s="46"/>
      <c r="Q40" s="46">
        <f t="shared" si="5"/>
        <v>290</v>
      </c>
      <c r="R40" s="46" t="str">
        <f t="shared" si="10"/>
        <v>KD</v>
      </c>
      <c r="S40" s="46"/>
      <c r="T40" s="46">
        <f t="shared" si="11"/>
        <v>340</v>
      </c>
      <c r="U40" s="46" t="str">
        <f t="shared" si="12"/>
        <v>MB</v>
      </c>
      <c r="V40" s="46"/>
      <c r="W40" s="46">
        <f t="shared" si="13"/>
        <v>390</v>
      </c>
      <c r="X40" s="46" t="str">
        <f t="shared" si="14"/>
        <v>NZ</v>
      </c>
    </row>
    <row r="41" spans="1:24" x14ac:dyDescent="0.2">
      <c r="B41" s="45">
        <v>41</v>
      </c>
      <c r="C41" s="45" t="str">
        <f t="shared" si="6"/>
        <v>AO</v>
      </c>
      <c r="E41" s="45">
        <f t="shared" si="7"/>
        <v>91</v>
      </c>
      <c r="F41" s="45" t="str">
        <f t="shared" si="0"/>
        <v>CM</v>
      </c>
      <c r="H41" s="45">
        <f t="shared" si="1"/>
        <v>141</v>
      </c>
      <c r="I41" s="45" t="str">
        <f t="shared" si="2"/>
        <v>EK</v>
      </c>
      <c r="K41" s="45">
        <f t="shared" si="3"/>
        <v>191</v>
      </c>
      <c r="L41" s="45" t="str">
        <f t="shared" si="8"/>
        <v>GI</v>
      </c>
      <c r="N41" s="45">
        <f t="shared" si="4"/>
        <v>241</v>
      </c>
      <c r="O41" s="45" t="str">
        <f t="shared" si="9"/>
        <v>IG</v>
      </c>
      <c r="Q41" s="45">
        <f t="shared" si="5"/>
        <v>291</v>
      </c>
      <c r="R41" s="45" t="str">
        <f t="shared" si="10"/>
        <v>KE</v>
      </c>
      <c r="T41" s="45">
        <f t="shared" si="11"/>
        <v>341</v>
      </c>
      <c r="U41" s="45" t="str">
        <f t="shared" si="12"/>
        <v>MC</v>
      </c>
      <c r="W41" s="45">
        <f t="shared" si="13"/>
        <v>391</v>
      </c>
      <c r="X41" s="45" t="str">
        <f t="shared" si="14"/>
        <v>OA</v>
      </c>
    </row>
    <row r="42" spans="1:24" x14ac:dyDescent="0.2">
      <c r="A42" s="46"/>
      <c r="B42" s="46">
        <v>42</v>
      </c>
      <c r="C42" s="46" t="str">
        <f t="shared" si="6"/>
        <v>AP</v>
      </c>
      <c r="D42" s="46"/>
      <c r="E42" s="46">
        <f t="shared" si="7"/>
        <v>92</v>
      </c>
      <c r="F42" s="46" t="str">
        <f t="shared" si="0"/>
        <v>CN</v>
      </c>
      <c r="G42" s="46"/>
      <c r="H42" s="46">
        <f t="shared" si="1"/>
        <v>142</v>
      </c>
      <c r="I42" s="46" t="str">
        <f t="shared" si="2"/>
        <v>EL</v>
      </c>
      <c r="J42" s="46"/>
      <c r="K42" s="46">
        <f t="shared" si="3"/>
        <v>192</v>
      </c>
      <c r="L42" s="46" t="str">
        <f t="shared" si="8"/>
        <v>GJ</v>
      </c>
      <c r="M42" s="46"/>
      <c r="N42" s="46">
        <f t="shared" si="4"/>
        <v>242</v>
      </c>
      <c r="O42" s="46" t="str">
        <f t="shared" si="9"/>
        <v>IH</v>
      </c>
      <c r="P42" s="46"/>
      <c r="Q42" s="46">
        <f t="shared" si="5"/>
        <v>292</v>
      </c>
      <c r="R42" s="46" t="str">
        <f t="shared" si="10"/>
        <v>KF</v>
      </c>
      <c r="S42" s="46"/>
      <c r="T42" s="46">
        <f t="shared" si="11"/>
        <v>342</v>
      </c>
      <c r="U42" s="46" t="str">
        <f t="shared" si="12"/>
        <v>MD</v>
      </c>
      <c r="V42" s="46"/>
      <c r="W42" s="46">
        <f t="shared" si="13"/>
        <v>392</v>
      </c>
      <c r="X42" s="46" t="str">
        <f t="shared" si="14"/>
        <v>OB</v>
      </c>
    </row>
    <row r="43" spans="1:24" x14ac:dyDescent="0.2">
      <c r="B43" s="45">
        <v>43</v>
      </c>
      <c r="C43" s="45" t="str">
        <f t="shared" si="6"/>
        <v>AQ</v>
      </c>
      <c r="E43" s="45">
        <f t="shared" si="7"/>
        <v>93</v>
      </c>
      <c r="F43" s="45" t="str">
        <f t="shared" si="0"/>
        <v>CO</v>
      </c>
      <c r="H43" s="45">
        <f t="shared" si="1"/>
        <v>143</v>
      </c>
      <c r="I43" s="45" t="str">
        <f t="shared" si="2"/>
        <v>EM</v>
      </c>
      <c r="K43" s="45">
        <f t="shared" si="3"/>
        <v>193</v>
      </c>
      <c r="L43" s="45" t="str">
        <f t="shared" si="8"/>
        <v>GK</v>
      </c>
      <c r="N43" s="45">
        <f t="shared" si="4"/>
        <v>243</v>
      </c>
      <c r="O43" s="45" t="str">
        <f t="shared" si="9"/>
        <v>II</v>
      </c>
      <c r="Q43" s="45">
        <f t="shared" si="5"/>
        <v>293</v>
      </c>
      <c r="R43" s="45" t="str">
        <f t="shared" si="10"/>
        <v>KG</v>
      </c>
      <c r="T43" s="45">
        <f t="shared" si="11"/>
        <v>343</v>
      </c>
      <c r="U43" s="45" t="str">
        <f t="shared" si="12"/>
        <v>ME</v>
      </c>
      <c r="W43" s="45">
        <f t="shared" si="13"/>
        <v>393</v>
      </c>
      <c r="X43" s="45" t="str">
        <f t="shared" si="14"/>
        <v>OC</v>
      </c>
    </row>
    <row r="44" spans="1:24" x14ac:dyDescent="0.2">
      <c r="A44" s="46"/>
      <c r="B44" s="46">
        <v>44</v>
      </c>
      <c r="C44" s="46" t="str">
        <f t="shared" si="6"/>
        <v>AR</v>
      </c>
      <c r="D44" s="46"/>
      <c r="E44" s="46">
        <f t="shared" si="7"/>
        <v>94</v>
      </c>
      <c r="F44" s="46" t="str">
        <f t="shared" si="0"/>
        <v>CP</v>
      </c>
      <c r="G44" s="46"/>
      <c r="H44" s="46">
        <f t="shared" si="1"/>
        <v>144</v>
      </c>
      <c r="I44" s="46" t="str">
        <f t="shared" si="2"/>
        <v>EN</v>
      </c>
      <c r="J44" s="46"/>
      <c r="K44" s="46">
        <f t="shared" si="3"/>
        <v>194</v>
      </c>
      <c r="L44" s="46" t="str">
        <f t="shared" si="8"/>
        <v>GL</v>
      </c>
      <c r="M44" s="46"/>
      <c r="N44" s="46">
        <f t="shared" si="4"/>
        <v>244</v>
      </c>
      <c r="O44" s="46" t="str">
        <f t="shared" si="9"/>
        <v>IJ</v>
      </c>
      <c r="P44" s="46"/>
      <c r="Q44" s="46">
        <f t="shared" si="5"/>
        <v>294</v>
      </c>
      <c r="R44" s="46" t="str">
        <f t="shared" si="10"/>
        <v>KH</v>
      </c>
      <c r="S44" s="46"/>
      <c r="T44" s="46">
        <f t="shared" si="11"/>
        <v>344</v>
      </c>
      <c r="U44" s="46" t="str">
        <f t="shared" si="12"/>
        <v>MF</v>
      </c>
      <c r="V44" s="46"/>
      <c r="W44" s="46">
        <f t="shared" si="13"/>
        <v>394</v>
      </c>
      <c r="X44" s="46" t="str">
        <f t="shared" si="14"/>
        <v>OD</v>
      </c>
    </row>
    <row r="45" spans="1:24" x14ac:dyDescent="0.2">
      <c r="B45" s="45">
        <v>45</v>
      </c>
      <c r="C45" s="45" t="str">
        <f t="shared" si="6"/>
        <v>AS</v>
      </c>
      <c r="E45" s="45">
        <f t="shared" si="7"/>
        <v>95</v>
      </c>
      <c r="F45" s="45" t="str">
        <f t="shared" si="0"/>
        <v>CQ</v>
      </c>
      <c r="H45" s="45">
        <f t="shared" si="1"/>
        <v>145</v>
      </c>
      <c r="I45" s="45" t="str">
        <f t="shared" si="2"/>
        <v>EO</v>
      </c>
      <c r="K45" s="45">
        <f t="shared" si="3"/>
        <v>195</v>
      </c>
      <c r="L45" s="45" t="str">
        <f t="shared" si="8"/>
        <v>GM</v>
      </c>
      <c r="N45" s="45">
        <f t="shared" si="4"/>
        <v>245</v>
      </c>
      <c r="O45" s="45" t="str">
        <f t="shared" si="9"/>
        <v>IK</v>
      </c>
      <c r="Q45" s="45">
        <f t="shared" si="5"/>
        <v>295</v>
      </c>
      <c r="R45" s="45" t="str">
        <f t="shared" si="10"/>
        <v>KI</v>
      </c>
      <c r="T45" s="45">
        <f t="shared" si="11"/>
        <v>345</v>
      </c>
      <c r="U45" s="45" t="str">
        <f t="shared" si="12"/>
        <v>MG</v>
      </c>
      <c r="W45" s="45">
        <f t="shared" si="13"/>
        <v>395</v>
      </c>
      <c r="X45" s="45" t="str">
        <f t="shared" si="14"/>
        <v>OE</v>
      </c>
    </row>
    <row r="46" spans="1:24" x14ac:dyDescent="0.2">
      <c r="A46" s="46"/>
      <c r="B46" s="46">
        <v>46</v>
      </c>
      <c r="C46" s="46" t="str">
        <f t="shared" si="6"/>
        <v>AT</v>
      </c>
      <c r="D46" s="46"/>
      <c r="E46" s="46">
        <f t="shared" si="7"/>
        <v>96</v>
      </c>
      <c r="F46" s="46" t="str">
        <f t="shared" si="0"/>
        <v>CR</v>
      </c>
      <c r="G46" s="46"/>
      <c r="H46" s="46">
        <f t="shared" si="1"/>
        <v>146</v>
      </c>
      <c r="I46" s="46" t="str">
        <f t="shared" si="2"/>
        <v>EP</v>
      </c>
      <c r="J46" s="46"/>
      <c r="K46" s="46">
        <f t="shared" si="3"/>
        <v>196</v>
      </c>
      <c r="L46" s="46" t="str">
        <f t="shared" si="8"/>
        <v>GN</v>
      </c>
      <c r="M46" s="46"/>
      <c r="N46" s="46">
        <f t="shared" si="4"/>
        <v>246</v>
      </c>
      <c r="O46" s="46" t="str">
        <f t="shared" si="9"/>
        <v>IL</v>
      </c>
      <c r="P46" s="46"/>
      <c r="Q46" s="46">
        <f t="shared" si="5"/>
        <v>296</v>
      </c>
      <c r="R46" s="46" t="str">
        <f t="shared" si="10"/>
        <v>KJ</v>
      </c>
      <c r="S46" s="46"/>
      <c r="T46" s="46">
        <f t="shared" si="11"/>
        <v>346</v>
      </c>
      <c r="U46" s="46" t="str">
        <f t="shared" si="12"/>
        <v>MH</v>
      </c>
      <c r="V46" s="46"/>
      <c r="W46" s="46">
        <f t="shared" si="13"/>
        <v>396</v>
      </c>
      <c r="X46" s="46" t="str">
        <f t="shared" si="14"/>
        <v>OF</v>
      </c>
    </row>
    <row r="47" spans="1:24" x14ac:dyDescent="0.2">
      <c r="B47" s="45">
        <v>47</v>
      </c>
      <c r="C47" s="45" t="str">
        <f t="shared" si="6"/>
        <v>AU</v>
      </c>
      <c r="E47" s="45">
        <f t="shared" si="7"/>
        <v>97</v>
      </c>
      <c r="F47" s="45" t="str">
        <f t="shared" si="0"/>
        <v>CS</v>
      </c>
      <c r="H47" s="45">
        <f t="shared" si="1"/>
        <v>147</v>
      </c>
      <c r="I47" s="45" t="str">
        <f t="shared" si="2"/>
        <v>EQ</v>
      </c>
      <c r="K47" s="45">
        <f t="shared" si="3"/>
        <v>197</v>
      </c>
      <c r="L47" s="45" t="str">
        <f t="shared" si="8"/>
        <v>GO</v>
      </c>
      <c r="N47" s="45">
        <f t="shared" si="4"/>
        <v>247</v>
      </c>
      <c r="O47" s="45" t="str">
        <f t="shared" si="9"/>
        <v>IM</v>
      </c>
      <c r="Q47" s="45">
        <f t="shared" si="5"/>
        <v>297</v>
      </c>
      <c r="R47" s="45" t="str">
        <f t="shared" si="10"/>
        <v>KK</v>
      </c>
      <c r="T47" s="45">
        <f t="shared" si="11"/>
        <v>347</v>
      </c>
      <c r="U47" s="45" t="str">
        <f t="shared" si="12"/>
        <v>MI</v>
      </c>
      <c r="W47" s="45">
        <f t="shared" si="13"/>
        <v>397</v>
      </c>
      <c r="X47" s="45" t="str">
        <f t="shared" si="14"/>
        <v>OG</v>
      </c>
    </row>
    <row r="48" spans="1:24" x14ac:dyDescent="0.2">
      <c r="A48" s="46"/>
      <c r="B48" s="46">
        <v>48</v>
      </c>
      <c r="C48" s="46" t="str">
        <f t="shared" si="6"/>
        <v>AV</v>
      </c>
      <c r="D48" s="46"/>
      <c r="E48" s="46">
        <f t="shared" si="7"/>
        <v>98</v>
      </c>
      <c r="F48" s="46" t="str">
        <f t="shared" si="0"/>
        <v>CT</v>
      </c>
      <c r="G48" s="46"/>
      <c r="H48" s="46">
        <f t="shared" si="1"/>
        <v>148</v>
      </c>
      <c r="I48" s="46" t="str">
        <f t="shared" si="2"/>
        <v>ER</v>
      </c>
      <c r="J48" s="46"/>
      <c r="K48" s="46">
        <f t="shared" si="3"/>
        <v>198</v>
      </c>
      <c r="L48" s="46" t="str">
        <f t="shared" si="8"/>
        <v>GP</v>
      </c>
      <c r="M48" s="46"/>
      <c r="N48" s="46">
        <f t="shared" si="4"/>
        <v>248</v>
      </c>
      <c r="O48" s="46" t="str">
        <f t="shared" si="9"/>
        <v>IN</v>
      </c>
      <c r="P48" s="46"/>
      <c r="Q48" s="46">
        <f t="shared" si="5"/>
        <v>298</v>
      </c>
      <c r="R48" s="46" t="str">
        <f t="shared" si="10"/>
        <v>KL</v>
      </c>
      <c r="S48" s="46"/>
      <c r="T48" s="46">
        <f t="shared" si="11"/>
        <v>348</v>
      </c>
      <c r="U48" s="46" t="str">
        <f t="shared" si="12"/>
        <v>MJ</v>
      </c>
      <c r="V48" s="46"/>
      <c r="W48" s="46">
        <f t="shared" si="13"/>
        <v>398</v>
      </c>
      <c r="X48" s="46" t="str">
        <f t="shared" si="14"/>
        <v>OH</v>
      </c>
    </row>
    <row r="49" spans="1:24" x14ac:dyDescent="0.2">
      <c r="B49" s="45">
        <v>49</v>
      </c>
      <c r="C49" s="45" t="str">
        <f t="shared" si="6"/>
        <v>AW</v>
      </c>
      <c r="E49" s="45">
        <f t="shared" si="7"/>
        <v>99</v>
      </c>
      <c r="F49" s="45" t="str">
        <f t="shared" si="0"/>
        <v>CU</v>
      </c>
      <c r="H49" s="45">
        <f t="shared" si="1"/>
        <v>149</v>
      </c>
      <c r="I49" s="45" t="str">
        <f t="shared" si="2"/>
        <v>ES</v>
      </c>
      <c r="K49" s="45">
        <f t="shared" si="3"/>
        <v>199</v>
      </c>
      <c r="L49" s="45" t="str">
        <f t="shared" si="8"/>
        <v>GQ</v>
      </c>
      <c r="N49" s="45">
        <f t="shared" si="4"/>
        <v>249</v>
      </c>
      <c r="O49" s="45" t="str">
        <f t="shared" si="9"/>
        <v>IO</v>
      </c>
      <c r="Q49" s="45">
        <f t="shared" si="5"/>
        <v>299</v>
      </c>
      <c r="R49" s="45" t="str">
        <f t="shared" si="10"/>
        <v>KM</v>
      </c>
      <c r="T49" s="45">
        <f t="shared" si="11"/>
        <v>349</v>
      </c>
      <c r="U49" s="45" t="str">
        <f t="shared" si="12"/>
        <v>MK</v>
      </c>
      <c r="W49" s="45">
        <f t="shared" si="13"/>
        <v>399</v>
      </c>
      <c r="X49" s="45" t="str">
        <f t="shared" si="14"/>
        <v>OI</v>
      </c>
    </row>
    <row r="50" spans="1:24" x14ac:dyDescent="0.2">
      <c r="A50" s="46"/>
      <c r="B50" s="46">
        <v>50</v>
      </c>
      <c r="C50" s="46" t="str">
        <f t="shared" si="6"/>
        <v>AX</v>
      </c>
      <c r="D50" s="46"/>
      <c r="E50" s="46">
        <f t="shared" si="7"/>
        <v>100</v>
      </c>
      <c r="F50" s="46" t="str">
        <f t="shared" si="0"/>
        <v>CV</v>
      </c>
      <c r="G50" s="46"/>
      <c r="H50" s="46">
        <f t="shared" si="1"/>
        <v>150</v>
      </c>
      <c r="I50" s="46" t="str">
        <f t="shared" si="2"/>
        <v>ET</v>
      </c>
      <c r="J50" s="46"/>
      <c r="K50" s="46">
        <f t="shared" si="3"/>
        <v>200</v>
      </c>
      <c r="L50" s="46" t="str">
        <f t="shared" si="8"/>
        <v>GR</v>
      </c>
      <c r="M50" s="46"/>
      <c r="N50" s="46">
        <f t="shared" si="4"/>
        <v>250</v>
      </c>
      <c r="O50" s="46" t="str">
        <f t="shared" si="9"/>
        <v>IP</v>
      </c>
      <c r="P50" s="46"/>
      <c r="Q50" s="46">
        <f t="shared" si="5"/>
        <v>300</v>
      </c>
      <c r="R50" s="46" t="str">
        <f t="shared" si="10"/>
        <v>KN</v>
      </c>
      <c r="S50" s="46"/>
      <c r="T50" s="46">
        <f t="shared" si="11"/>
        <v>350</v>
      </c>
      <c r="U50" s="46" t="str">
        <f t="shared" si="12"/>
        <v>ML</v>
      </c>
      <c r="V50" s="46"/>
      <c r="W50" s="46">
        <f t="shared" si="13"/>
        <v>400</v>
      </c>
      <c r="X50" s="46" t="str">
        <f t="shared" si="14"/>
        <v>OJ</v>
      </c>
    </row>
  </sheetData>
  <phoneticPr fontId="9" type="noConversion"/>
  <printOptions verticalCentered="1"/>
  <pageMargins left="0.23622047244094491" right="0.23622047244094491" top="0.35433070866141736" bottom="0.35433070866141736" header="3.5433070866141736" footer="3.5433070866141736"/>
  <pageSetup paperSize="9" scale="92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rgb="FF00B0F0"/>
  </sheetPr>
  <dimension ref="A1:GW17"/>
  <sheetViews>
    <sheetView zoomScaleNormal="100" workbookViewId="0">
      <pane ySplit="1" topLeftCell="A2" activePane="bottomLeft" state="frozen"/>
      <selection activeCell="B215" sqref="B215"/>
      <selection pane="bottomLeft" activeCell="EH1" sqref="EH1"/>
    </sheetView>
  </sheetViews>
  <sheetFormatPr defaultColWidth="9.140625" defaultRowHeight="12" x14ac:dyDescent="0.2"/>
  <cols>
    <col min="1" max="1" width="69" style="61" customWidth="1"/>
    <col min="2" max="2" width="19" style="62" bestFit="1" customWidth="1"/>
    <col min="3" max="3" width="12.5703125" style="63" customWidth="1"/>
    <col min="4" max="4" width="13.42578125" style="63" customWidth="1"/>
    <col min="5" max="5" width="24.42578125" style="63" customWidth="1"/>
    <col min="6" max="6" width="4.28515625" style="63" hidden="1" customWidth="1"/>
    <col min="7" max="7" width="18.7109375" style="63" customWidth="1"/>
    <col min="8" max="8" width="4.28515625" style="63" hidden="1" customWidth="1"/>
    <col min="9" max="9" width="7.85546875" style="63" customWidth="1"/>
    <col min="10" max="10" width="15.140625" style="64" customWidth="1"/>
    <col min="11" max="11" width="6.28515625" style="64" customWidth="1"/>
    <col min="12" max="12" width="7.28515625" style="64" customWidth="1"/>
    <col min="13" max="13" width="5.85546875" style="63" customWidth="1"/>
    <col min="14" max="14" width="7.28515625" style="64" customWidth="1"/>
    <col min="15" max="15" width="18.7109375" style="60" customWidth="1"/>
    <col min="16" max="34" width="9.140625" style="60" customWidth="1"/>
    <col min="35" max="35" width="15" style="60" customWidth="1"/>
    <col min="36" max="44" width="9.140625" style="60" customWidth="1"/>
    <col min="45" max="60" width="9.140625" style="66" customWidth="1"/>
    <col min="61" max="61" width="9.140625" style="60" customWidth="1"/>
    <col min="62" max="62" width="10.7109375" style="60" customWidth="1"/>
    <col min="63" max="71" width="9.140625" style="60" customWidth="1"/>
    <col min="72" max="82" width="9.140625" style="66" customWidth="1"/>
    <col min="83" max="130" width="9.140625" style="60" customWidth="1"/>
    <col min="131" max="131" width="36.7109375" style="60" customWidth="1"/>
    <col min="132" max="132" width="33.42578125" style="60" customWidth="1"/>
    <col min="133" max="133" width="9.140625" style="65" customWidth="1"/>
    <col min="134" max="150" width="9.140625" style="60" customWidth="1"/>
    <col min="151" max="151" width="13" style="60" customWidth="1"/>
    <col min="152" max="157" width="9.140625" style="60" customWidth="1"/>
    <col min="158" max="159" width="8.5703125" style="67" customWidth="1"/>
    <col min="160" max="170" width="9.140625" style="60" customWidth="1"/>
    <col min="171" max="171" width="9.140625" style="65" customWidth="1"/>
    <col min="172" max="205" width="9.140625" style="60" customWidth="1"/>
    <col min="206" max="16384" width="9.140625" style="60"/>
  </cols>
  <sheetData>
    <row r="1" spans="1:205" ht="118.15" customHeight="1" x14ac:dyDescent="0.2">
      <c r="A1" s="47" t="s">
        <v>629</v>
      </c>
      <c r="B1" s="48" t="s">
        <v>1</v>
      </c>
      <c r="C1" s="48" t="s">
        <v>2</v>
      </c>
      <c r="D1" s="48" t="s">
        <v>630</v>
      </c>
      <c r="E1" s="48" t="s">
        <v>3</v>
      </c>
      <c r="F1" s="48" t="s">
        <v>4</v>
      </c>
      <c r="G1" s="48" t="s">
        <v>631</v>
      </c>
      <c r="H1" s="48" t="s">
        <v>5</v>
      </c>
      <c r="I1" s="48" t="s">
        <v>6</v>
      </c>
      <c r="J1" s="49" t="s">
        <v>632</v>
      </c>
      <c r="K1" s="49" t="s">
        <v>7</v>
      </c>
      <c r="L1" s="50" t="s">
        <v>633</v>
      </c>
      <c r="M1" s="48" t="s">
        <v>301</v>
      </c>
      <c r="N1" s="51" t="s">
        <v>308</v>
      </c>
      <c r="O1" s="52" t="s">
        <v>634</v>
      </c>
      <c r="P1" s="52" t="s">
        <v>635</v>
      </c>
      <c r="Q1" s="52" t="s">
        <v>636</v>
      </c>
      <c r="R1" s="52" t="s">
        <v>637</v>
      </c>
      <c r="S1" s="52" t="s">
        <v>638</v>
      </c>
      <c r="T1" s="52" t="s">
        <v>639</v>
      </c>
      <c r="U1" s="52" t="s">
        <v>640</v>
      </c>
      <c r="V1" s="52" t="s">
        <v>641</v>
      </c>
      <c r="W1" s="52" t="s">
        <v>642</v>
      </c>
      <c r="X1" s="52" t="s">
        <v>643</v>
      </c>
      <c r="Y1" s="52" t="s">
        <v>644</v>
      </c>
      <c r="Z1" s="52" t="s">
        <v>645</v>
      </c>
      <c r="AA1" s="52" t="s">
        <v>646</v>
      </c>
      <c r="AB1" s="52" t="s">
        <v>647</v>
      </c>
      <c r="AC1" s="53" t="s">
        <v>648</v>
      </c>
      <c r="AD1" s="53" t="s">
        <v>649</v>
      </c>
      <c r="AE1" s="53" t="s">
        <v>650</v>
      </c>
      <c r="AF1" s="53" t="s">
        <v>651</v>
      </c>
      <c r="AG1" s="53" t="s">
        <v>652</v>
      </c>
      <c r="AH1" s="53" t="s">
        <v>653</v>
      </c>
      <c r="AI1" s="52" t="s">
        <v>654</v>
      </c>
      <c r="AJ1" s="52" t="s">
        <v>655</v>
      </c>
      <c r="AK1" s="52" t="s">
        <v>656</v>
      </c>
      <c r="AL1" s="52" t="s">
        <v>657</v>
      </c>
      <c r="AM1" s="52" t="s">
        <v>658</v>
      </c>
      <c r="AN1" s="52" t="s">
        <v>659</v>
      </c>
      <c r="AO1" s="52" t="s">
        <v>660</v>
      </c>
      <c r="AP1" s="52" t="s">
        <v>661</v>
      </c>
      <c r="AQ1" s="52" t="s">
        <v>662</v>
      </c>
      <c r="AR1" s="53" t="s">
        <v>663</v>
      </c>
      <c r="AS1" s="53" t="s">
        <v>664</v>
      </c>
      <c r="AT1" s="53" t="s">
        <v>665</v>
      </c>
      <c r="AU1" s="53" t="s">
        <v>666</v>
      </c>
      <c r="AV1" s="53" t="s">
        <v>667</v>
      </c>
      <c r="AW1" s="53" t="s">
        <v>668</v>
      </c>
      <c r="AX1" s="53" t="s">
        <v>669</v>
      </c>
      <c r="AY1" s="53" t="s">
        <v>670</v>
      </c>
      <c r="AZ1" s="53" t="s">
        <v>671</v>
      </c>
      <c r="BA1" s="53" t="s">
        <v>672</v>
      </c>
      <c r="BB1" s="53" t="s">
        <v>673</v>
      </c>
      <c r="BC1" s="53" t="s">
        <v>674</v>
      </c>
      <c r="BD1" s="53" t="s">
        <v>675</v>
      </c>
      <c r="BE1" s="53" t="s">
        <v>676</v>
      </c>
      <c r="BF1" s="53" t="s">
        <v>677</v>
      </c>
      <c r="BG1" s="53" t="s">
        <v>678</v>
      </c>
      <c r="BH1" s="52" t="s">
        <v>679</v>
      </c>
      <c r="BI1" s="52" t="s">
        <v>680</v>
      </c>
      <c r="BJ1" s="52" t="s">
        <v>681</v>
      </c>
      <c r="BK1" s="52" t="s">
        <v>682</v>
      </c>
      <c r="BL1" s="52" t="s">
        <v>683</v>
      </c>
      <c r="BM1" s="52" t="s">
        <v>684</v>
      </c>
      <c r="BN1" s="52" t="s">
        <v>685</v>
      </c>
      <c r="BO1" s="52" t="s">
        <v>686</v>
      </c>
      <c r="BP1" s="52" t="s">
        <v>687</v>
      </c>
      <c r="BQ1" s="52" t="s">
        <v>688</v>
      </c>
      <c r="BR1" s="52" t="s">
        <v>689</v>
      </c>
      <c r="BS1" s="52" t="s">
        <v>690</v>
      </c>
      <c r="BT1" s="54" t="s">
        <v>691</v>
      </c>
      <c r="BU1" s="54" t="s">
        <v>692</v>
      </c>
      <c r="BV1" s="54" t="s">
        <v>693</v>
      </c>
      <c r="BW1" s="54" t="s">
        <v>694</v>
      </c>
      <c r="BX1" s="54" t="s">
        <v>695</v>
      </c>
      <c r="BY1" s="54" t="s">
        <v>696</v>
      </c>
      <c r="BZ1" s="54" t="s">
        <v>697</v>
      </c>
      <c r="CA1" s="54" t="s">
        <v>698</v>
      </c>
      <c r="CB1" s="54" t="s">
        <v>699</v>
      </c>
      <c r="CC1" s="54" t="s">
        <v>700</v>
      </c>
      <c r="CD1" s="54" t="s">
        <v>701</v>
      </c>
      <c r="CE1" s="54" t="s">
        <v>702</v>
      </c>
      <c r="CF1" s="52" t="s">
        <v>703</v>
      </c>
      <c r="CG1" s="52" t="s">
        <v>704</v>
      </c>
      <c r="CH1" s="52" t="s">
        <v>705</v>
      </c>
      <c r="CI1" s="52" t="s">
        <v>706</v>
      </c>
      <c r="CJ1" s="52" t="s">
        <v>707</v>
      </c>
      <c r="CK1" s="52" t="s">
        <v>708</v>
      </c>
      <c r="CL1" s="52" t="s">
        <v>709</v>
      </c>
      <c r="CM1" s="52" t="s">
        <v>710</v>
      </c>
      <c r="CN1" s="52" t="s">
        <v>711</v>
      </c>
      <c r="CO1" s="52" t="s">
        <v>712</v>
      </c>
      <c r="CP1" s="52" t="s">
        <v>713</v>
      </c>
      <c r="CQ1" s="52" t="s">
        <v>714</v>
      </c>
      <c r="CR1" s="54" t="s">
        <v>715</v>
      </c>
      <c r="CS1" s="54" t="s">
        <v>716</v>
      </c>
      <c r="CT1" s="54" t="s">
        <v>717</v>
      </c>
      <c r="CU1" s="54" t="s">
        <v>718</v>
      </c>
      <c r="CV1" s="54" t="s">
        <v>719</v>
      </c>
      <c r="CW1" s="54" t="s">
        <v>720</v>
      </c>
      <c r="CX1" s="54" t="s">
        <v>721</v>
      </c>
      <c r="CY1" s="54" t="s">
        <v>722</v>
      </c>
      <c r="CZ1" s="54" t="s">
        <v>723</v>
      </c>
      <c r="DA1" s="54" t="s">
        <v>724</v>
      </c>
      <c r="DB1" s="54" t="s">
        <v>725</v>
      </c>
      <c r="DC1" s="52" t="s">
        <v>726</v>
      </c>
      <c r="DD1" s="52" t="s">
        <v>727</v>
      </c>
      <c r="DE1" s="52" t="s">
        <v>728</v>
      </c>
      <c r="DF1" s="52" t="s">
        <v>729</v>
      </c>
      <c r="DG1" s="52" t="s">
        <v>730</v>
      </c>
      <c r="DH1" s="52" t="s">
        <v>731</v>
      </c>
      <c r="DI1" s="52" t="s">
        <v>732</v>
      </c>
      <c r="DJ1" s="54" t="s">
        <v>733</v>
      </c>
      <c r="DK1" s="54" t="s">
        <v>734</v>
      </c>
      <c r="DL1" s="54" t="s">
        <v>735</v>
      </c>
      <c r="DM1" s="54" t="s">
        <v>736</v>
      </c>
      <c r="DN1" s="54" t="s">
        <v>737</v>
      </c>
      <c r="DO1" s="54" t="s">
        <v>738</v>
      </c>
      <c r="DP1" s="54" t="s">
        <v>739</v>
      </c>
      <c r="DQ1" s="52" t="s">
        <v>740</v>
      </c>
      <c r="DR1" s="52" t="s">
        <v>741</v>
      </c>
      <c r="DS1" s="52" t="s">
        <v>742</v>
      </c>
      <c r="DT1" s="52" t="s">
        <v>743</v>
      </c>
      <c r="DU1" s="52" t="s">
        <v>744</v>
      </c>
      <c r="DV1" s="54" t="s">
        <v>745</v>
      </c>
      <c r="DW1" s="54" t="s">
        <v>746</v>
      </c>
      <c r="DX1" s="54" t="s">
        <v>747</v>
      </c>
      <c r="DY1" s="55" t="s">
        <v>748</v>
      </c>
      <c r="DZ1" s="56" t="s">
        <v>749</v>
      </c>
      <c r="EA1" s="57" t="s">
        <v>750</v>
      </c>
      <c r="EB1" s="54" t="s">
        <v>751</v>
      </c>
      <c r="EC1" s="54" t="s">
        <v>752</v>
      </c>
      <c r="ED1" s="54" t="s">
        <v>753</v>
      </c>
      <c r="EE1" s="54" t="s">
        <v>754</v>
      </c>
      <c r="EF1" s="54" t="s">
        <v>755</v>
      </c>
      <c r="EG1" s="54" t="s">
        <v>756</v>
      </c>
      <c r="EH1" s="54" t="s">
        <v>757</v>
      </c>
      <c r="EI1" s="54" t="s">
        <v>758</v>
      </c>
      <c r="EJ1" s="54" t="s">
        <v>759</v>
      </c>
      <c r="EK1" s="54" t="s">
        <v>760</v>
      </c>
      <c r="EL1" s="54" t="s">
        <v>761</v>
      </c>
      <c r="EM1" s="52" t="s">
        <v>762</v>
      </c>
      <c r="EN1" s="54" t="s">
        <v>763</v>
      </c>
      <c r="EO1" s="54" t="s">
        <v>764</v>
      </c>
      <c r="EP1" s="54" t="s">
        <v>765</v>
      </c>
      <c r="EQ1" s="54" t="s">
        <v>766</v>
      </c>
      <c r="ER1" s="54" t="s">
        <v>767</v>
      </c>
      <c r="ES1" s="54" t="s">
        <v>768</v>
      </c>
      <c r="ET1" s="54" t="s">
        <v>769</v>
      </c>
      <c r="EU1" s="54" t="s">
        <v>770</v>
      </c>
      <c r="EV1" s="54" t="s">
        <v>771</v>
      </c>
      <c r="EW1" s="54" t="s">
        <v>772</v>
      </c>
      <c r="EX1" s="54" t="s">
        <v>773</v>
      </c>
      <c r="EY1" s="54" t="s">
        <v>774</v>
      </c>
      <c r="EZ1" s="54" t="s">
        <v>775</v>
      </c>
      <c r="FA1" s="58" t="s">
        <v>776</v>
      </c>
      <c r="FB1" s="59" t="s">
        <v>777</v>
      </c>
      <c r="FC1" s="59" t="s">
        <v>778</v>
      </c>
      <c r="FD1" s="59" t="s">
        <v>779</v>
      </c>
      <c r="FE1" s="59" t="s">
        <v>780</v>
      </c>
      <c r="FF1" s="59" t="s">
        <v>781</v>
      </c>
      <c r="FG1" s="59" t="s">
        <v>782</v>
      </c>
      <c r="FH1" s="59" t="s">
        <v>783</v>
      </c>
      <c r="FI1" s="59" t="s">
        <v>784</v>
      </c>
      <c r="FJ1" s="59" t="s">
        <v>785</v>
      </c>
      <c r="FK1" s="59" t="s">
        <v>786</v>
      </c>
      <c r="FL1" s="59" t="s">
        <v>787</v>
      </c>
      <c r="FM1" s="59" t="s">
        <v>788</v>
      </c>
      <c r="FN1" s="59" t="s">
        <v>789</v>
      </c>
      <c r="FO1" s="59" t="s">
        <v>790</v>
      </c>
      <c r="FP1" s="59" t="s">
        <v>791</v>
      </c>
      <c r="FQ1" s="59" t="s">
        <v>792</v>
      </c>
      <c r="FR1" s="59" t="s">
        <v>793</v>
      </c>
      <c r="FS1" s="59" t="s">
        <v>794</v>
      </c>
      <c r="FT1" s="59" t="s">
        <v>795</v>
      </c>
      <c r="FU1" s="59" t="s">
        <v>796</v>
      </c>
      <c r="FV1" s="59" t="s">
        <v>797</v>
      </c>
      <c r="FW1" s="59" t="s">
        <v>798</v>
      </c>
      <c r="FX1" s="59" t="s">
        <v>799</v>
      </c>
      <c r="FY1" s="59" t="s">
        <v>800</v>
      </c>
      <c r="FZ1" s="59" t="s">
        <v>801</v>
      </c>
      <c r="GA1" s="59" t="s">
        <v>802</v>
      </c>
      <c r="GB1" s="59" t="s">
        <v>803</v>
      </c>
      <c r="GC1" s="59" t="s">
        <v>804</v>
      </c>
      <c r="GD1" s="59" t="s">
        <v>805</v>
      </c>
      <c r="GE1" s="59" t="s">
        <v>806</v>
      </c>
      <c r="GF1" s="59" t="s">
        <v>807</v>
      </c>
      <c r="GG1" s="59" t="s">
        <v>808</v>
      </c>
      <c r="GH1" s="59" t="s">
        <v>809</v>
      </c>
      <c r="GI1" s="59" t="s">
        <v>810</v>
      </c>
      <c r="GJ1" s="59" t="s">
        <v>811</v>
      </c>
      <c r="GK1" s="59" t="s">
        <v>812</v>
      </c>
      <c r="GL1" s="59" t="s">
        <v>813</v>
      </c>
      <c r="GM1" s="59" t="s">
        <v>814</v>
      </c>
      <c r="GN1" s="59" t="s">
        <v>815</v>
      </c>
      <c r="GO1" s="59" t="s">
        <v>816</v>
      </c>
      <c r="GP1" s="59" t="s">
        <v>817</v>
      </c>
      <c r="GQ1" s="59" t="s">
        <v>818</v>
      </c>
      <c r="GR1" s="59" t="s">
        <v>819</v>
      </c>
      <c r="GS1" s="59" t="s">
        <v>820</v>
      </c>
      <c r="GT1" s="59" t="s">
        <v>821</v>
      </c>
      <c r="GU1" s="59" t="s">
        <v>822</v>
      </c>
      <c r="GV1" s="59" t="s">
        <v>823</v>
      </c>
      <c r="GW1" s="59" t="s">
        <v>824</v>
      </c>
    </row>
    <row r="2" spans="1:205" x14ac:dyDescent="0.2">
      <c r="AS2" s="60"/>
      <c r="AT2" s="60"/>
      <c r="AU2" s="60"/>
      <c r="AV2" s="60"/>
      <c r="AW2" s="60"/>
      <c r="AX2" s="60"/>
      <c r="AY2" s="60"/>
      <c r="AZ2" s="60"/>
      <c r="BA2" s="60"/>
      <c r="BB2" s="60"/>
      <c r="BC2" s="60"/>
      <c r="BD2" s="60"/>
      <c r="BE2" s="60"/>
      <c r="BF2" s="60"/>
      <c r="BG2" s="60"/>
      <c r="BH2" s="60"/>
      <c r="BT2" s="60"/>
      <c r="BU2" s="60"/>
      <c r="BV2" s="60"/>
      <c r="BW2" s="60"/>
      <c r="BX2" s="60"/>
      <c r="BY2" s="60"/>
      <c r="BZ2" s="60"/>
      <c r="CA2" s="60"/>
      <c r="CB2" s="60"/>
      <c r="CC2" s="60"/>
      <c r="CD2" s="60"/>
      <c r="FB2" s="60"/>
      <c r="FC2" s="60"/>
      <c r="FO2" s="60"/>
    </row>
    <row r="4" spans="1:205" ht="12.75" customHeight="1" x14ac:dyDescent="0.2"/>
    <row r="5" spans="1:205" ht="12.75" customHeight="1" x14ac:dyDescent="0.2"/>
    <row r="6" spans="1:205" ht="12.75" customHeight="1" x14ac:dyDescent="0.2"/>
    <row r="7" spans="1:205" ht="12.75" customHeight="1" x14ac:dyDescent="0.2"/>
    <row r="8" spans="1:205" ht="12.75" customHeight="1" x14ac:dyDescent="0.2"/>
    <row r="9" spans="1:205" ht="12.75" customHeight="1" x14ac:dyDescent="0.2"/>
    <row r="10" spans="1:205" ht="12.75" customHeight="1" x14ac:dyDescent="0.2"/>
    <row r="11" spans="1:205" ht="12.75" customHeight="1" x14ac:dyDescent="0.2"/>
    <row r="12" spans="1:205" ht="12.75" customHeight="1" x14ac:dyDescent="0.2"/>
    <row r="13" spans="1:205" ht="12.75" customHeight="1" x14ac:dyDescent="0.2"/>
    <row r="14" spans="1:205" ht="12.75" customHeight="1" x14ac:dyDescent="0.2"/>
    <row r="15" spans="1:205" ht="12.75" customHeight="1" x14ac:dyDescent="0.2"/>
    <row r="16" spans="1:205" ht="12.75" customHeight="1" x14ac:dyDescent="0.2"/>
    <row r="17" ht="12.75" customHeight="1" x14ac:dyDescent="0.2"/>
  </sheetData>
  <phoneticPr fontId="9" type="noConversion"/>
  <dataValidations count="2">
    <dataValidation type="list" allowBlank="1" showInputMessage="1" showErrorMessage="1" sqref="K2:K17">
      <formula1>"A,B,C,D,E,F,G,H,I,J,K,L,M,N,O,P,"</formula1>
    </dataValidation>
    <dataValidation type="list" allowBlank="1" showInputMessage="1" showErrorMessage="1" sqref="J2:J17">
      <formula1>"Single-line &lt;2&gt;,"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A1:HG2"/>
  <sheetViews>
    <sheetView topLeftCell="EP1" workbookViewId="0">
      <pane ySplit="1" topLeftCell="A101" activePane="bottomLeft" state="frozen"/>
      <selection pane="bottomLeft" activeCell="EU1" sqref="EU1"/>
    </sheetView>
  </sheetViews>
  <sheetFormatPr defaultColWidth="9.140625" defaultRowHeight="12.75" x14ac:dyDescent="0.2"/>
  <cols>
    <col min="1" max="1" width="69" style="86" customWidth="1"/>
    <col min="2" max="2" width="23.7109375" style="87" customWidth="1"/>
    <col min="3" max="3" width="14.5703125" style="88" customWidth="1"/>
    <col min="4" max="4" width="6.42578125" style="88" customWidth="1"/>
    <col min="5" max="5" width="24.42578125" style="88" customWidth="1"/>
    <col min="6" max="6" width="4.28515625" style="88" hidden="1" customWidth="1"/>
    <col min="7" max="7" width="18.7109375" style="88" customWidth="1"/>
    <col min="8" max="8" width="4.28515625" style="88" hidden="1" customWidth="1"/>
    <col min="9" max="9" width="7.85546875" style="88" customWidth="1"/>
    <col min="10" max="10" width="15.140625" style="89" customWidth="1"/>
    <col min="11" max="11" width="6.28515625" style="89" customWidth="1"/>
    <col min="12" max="12" width="7.28515625" style="89" customWidth="1"/>
    <col min="13" max="13" width="5.85546875" style="88" customWidth="1"/>
    <col min="14" max="14" width="7.28515625" style="89" customWidth="1"/>
    <col min="15" max="15" width="19" style="85" customWidth="1"/>
    <col min="16" max="34" width="9.140625" style="85"/>
    <col min="35" max="35" width="13.140625" style="85" bestFit="1" customWidth="1"/>
    <col min="36" max="61" width="9.140625" style="85"/>
    <col min="62" max="62" width="18.5703125" style="85" customWidth="1"/>
    <col min="63" max="73" width="9.140625" style="85"/>
    <col min="74" max="74" width="14.5703125" style="85" customWidth="1"/>
    <col min="75" max="130" width="9.140625" style="85"/>
    <col min="131" max="131" width="31.140625" style="85" bestFit="1" customWidth="1"/>
    <col min="132" max="132" width="8.28515625" style="85" customWidth="1"/>
    <col min="133" max="145" width="9.140625" style="85"/>
    <col min="146" max="146" width="44" style="85" customWidth="1"/>
    <col min="147" max="150" width="9.140625" style="85"/>
    <col min="151" max="151" width="13" style="85" bestFit="1" customWidth="1"/>
    <col min="152" max="157" width="9.140625" style="85"/>
    <col min="158" max="159" width="8.5703125" style="90" customWidth="1"/>
    <col min="160" max="16384" width="9.140625" style="85"/>
  </cols>
  <sheetData>
    <row r="1" spans="1:215" ht="118.15" customHeight="1" x14ac:dyDescent="0.2">
      <c r="A1" s="68" t="s">
        <v>825</v>
      </c>
      <c r="B1" s="69" t="s">
        <v>1</v>
      </c>
      <c r="C1" s="69" t="s">
        <v>2</v>
      </c>
      <c r="D1" s="69" t="s">
        <v>630</v>
      </c>
      <c r="E1" s="69" t="s">
        <v>3</v>
      </c>
      <c r="F1" s="69" t="s">
        <v>4</v>
      </c>
      <c r="G1" s="69" t="s">
        <v>826</v>
      </c>
      <c r="H1" s="69" t="s">
        <v>5</v>
      </c>
      <c r="I1" s="69" t="s">
        <v>6</v>
      </c>
      <c r="J1" s="70" t="s">
        <v>827</v>
      </c>
      <c r="K1" s="70" t="s">
        <v>7</v>
      </c>
      <c r="L1" s="71" t="s">
        <v>828</v>
      </c>
      <c r="M1" s="69" t="s">
        <v>301</v>
      </c>
      <c r="N1" s="72" t="s">
        <v>308</v>
      </c>
      <c r="O1" s="73" t="s">
        <v>829</v>
      </c>
      <c r="P1" s="74" t="s">
        <v>635</v>
      </c>
      <c r="Q1" s="74" t="s">
        <v>636</v>
      </c>
      <c r="R1" s="74" t="s">
        <v>637</v>
      </c>
      <c r="S1" s="74" t="s">
        <v>638</v>
      </c>
      <c r="T1" s="74" t="s">
        <v>639</v>
      </c>
      <c r="U1" s="74" t="s">
        <v>640</v>
      </c>
      <c r="V1" s="74" t="s">
        <v>641</v>
      </c>
      <c r="W1" s="74" t="s">
        <v>642</v>
      </c>
      <c r="X1" s="74" t="s">
        <v>643</v>
      </c>
      <c r="Y1" s="74" t="s">
        <v>644</v>
      </c>
      <c r="Z1" s="74" t="s">
        <v>645</v>
      </c>
      <c r="AA1" s="75" t="s">
        <v>646</v>
      </c>
      <c r="AB1" s="76" t="s">
        <v>830</v>
      </c>
      <c r="AC1" s="77" t="s">
        <v>648</v>
      </c>
      <c r="AD1" s="78" t="s">
        <v>649</v>
      </c>
      <c r="AE1" s="78" t="s">
        <v>650</v>
      </c>
      <c r="AF1" s="78" t="s">
        <v>651</v>
      </c>
      <c r="AG1" s="78" t="s">
        <v>652</v>
      </c>
      <c r="AH1" s="78" t="s">
        <v>831</v>
      </c>
      <c r="AI1" s="74" t="s">
        <v>832</v>
      </c>
      <c r="AJ1" s="74" t="s">
        <v>655</v>
      </c>
      <c r="AK1" s="74" t="s">
        <v>656</v>
      </c>
      <c r="AL1" s="74" t="s">
        <v>833</v>
      </c>
      <c r="AM1" s="74" t="s">
        <v>658</v>
      </c>
      <c r="AN1" s="74" t="s">
        <v>659</v>
      </c>
      <c r="AO1" s="74" t="s">
        <v>660</v>
      </c>
      <c r="AP1" s="75" t="s">
        <v>834</v>
      </c>
      <c r="AQ1" s="76" t="s">
        <v>835</v>
      </c>
      <c r="AR1" s="77" t="s">
        <v>663</v>
      </c>
      <c r="AS1" s="78" t="s">
        <v>664</v>
      </c>
      <c r="AT1" s="78" t="s">
        <v>665</v>
      </c>
      <c r="AU1" s="78" t="s">
        <v>666</v>
      </c>
      <c r="AV1" s="78" t="s">
        <v>667</v>
      </c>
      <c r="AW1" s="78" t="s">
        <v>668</v>
      </c>
      <c r="AX1" s="78" t="s">
        <v>669</v>
      </c>
      <c r="AY1" s="78" t="s">
        <v>670</v>
      </c>
      <c r="AZ1" s="78" t="s">
        <v>671</v>
      </c>
      <c r="BA1" s="78" t="s">
        <v>672</v>
      </c>
      <c r="BB1" s="78" t="s">
        <v>673</v>
      </c>
      <c r="BC1" s="78" t="s">
        <v>674</v>
      </c>
      <c r="BD1" s="78" t="s">
        <v>675</v>
      </c>
      <c r="BE1" s="78" t="s">
        <v>676</v>
      </c>
      <c r="BF1" s="79" t="s">
        <v>677</v>
      </c>
      <c r="BG1" s="76" t="s">
        <v>836</v>
      </c>
      <c r="BH1" s="80" t="s">
        <v>679</v>
      </c>
      <c r="BI1" s="74" t="s">
        <v>680</v>
      </c>
      <c r="BJ1" s="74" t="s">
        <v>681</v>
      </c>
      <c r="BK1" s="74" t="s">
        <v>682</v>
      </c>
      <c r="BL1" s="74" t="s">
        <v>683</v>
      </c>
      <c r="BM1" s="74" t="s">
        <v>684</v>
      </c>
      <c r="BN1" s="74" t="s">
        <v>837</v>
      </c>
      <c r="BO1" s="74" t="s">
        <v>686</v>
      </c>
      <c r="BP1" s="74" t="s">
        <v>687</v>
      </c>
      <c r="BQ1" s="74" t="s">
        <v>688</v>
      </c>
      <c r="BR1" s="74" t="s">
        <v>689</v>
      </c>
      <c r="BS1" s="74" t="s">
        <v>838</v>
      </c>
      <c r="BT1" s="81" t="s">
        <v>691</v>
      </c>
      <c r="BU1" s="81" t="s">
        <v>692</v>
      </c>
      <c r="BV1" s="81" t="s">
        <v>693</v>
      </c>
      <c r="BW1" s="81" t="s">
        <v>839</v>
      </c>
      <c r="BX1" s="81" t="s">
        <v>695</v>
      </c>
      <c r="BY1" s="81" t="s">
        <v>696</v>
      </c>
      <c r="BZ1" s="81" t="s">
        <v>697</v>
      </c>
      <c r="CA1" s="81" t="s">
        <v>698</v>
      </c>
      <c r="CB1" s="81" t="s">
        <v>699</v>
      </c>
      <c r="CC1" s="81" t="s">
        <v>700</v>
      </c>
      <c r="CD1" s="82" t="s">
        <v>701</v>
      </c>
      <c r="CE1" s="76" t="s">
        <v>840</v>
      </c>
      <c r="CF1" s="80" t="s">
        <v>703</v>
      </c>
      <c r="CG1" s="74" t="s">
        <v>704</v>
      </c>
      <c r="CH1" s="74" t="s">
        <v>705</v>
      </c>
      <c r="CI1" s="74" t="s">
        <v>706</v>
      </c>
      <c r="CJ1" s="74" t="s">
        <v>707</v>
      </c>
      <c r="CK1" s="74" t="s">
        <v>708</v>
      </c>
      <c r="CL1" s="74" t="s">
        <v>709</v>
      </c>
      <c r="CM1" s="74" t="s">
        <v>710</v>
      </c>
      <c r="CN1" s="74" t="s">
        <v>711</v>
      </c>
      <c r="CO1" s="74" t="s">
        <v>712</v>
      </c>
      <c r="CP1" s="74" t="s">
        <v>713</v>
      </c>
      <c r="CQ1" s="74" t="s">
        <v>841</v>
      </c>
      <c r="CR1" s="81" t="s">
        <v>842</v>
      </c>
      <c r="CS1" s="81" t="s">
        <v>716</v>
      </c>
      <c r="CT1" s="81" t="s">
        <v>717</v>
      </c>
      <c r="CU1" s="81" t="s">
        <v>718</v>
      </c>
      <c r="CV1" s="81" t="s">
        <v>719</v>
      </c>
      <c r="CW1" s="81" t="s">
        <v>720</v>
      </c>
      <c r="CX1" s="81" t="s">
        <v>721</v>
      </c>
      <c r="CY1" s="81" t="s">
        <v>722</v>
      </c>
      <c r="CZ1" s="81" t="s">
        <v>723</v>
      </c>
      <c r="DA1" s="81" t="s">
        <v>724</v>
      </c>
      <c r="DB1" s="81" t="s">
        <v>725</v>
      </c>
      <c r="DC1" s="74" t="s">
        <v>726</v>
      </c>
      <c r="DD1" s="74" t="s">
        <v>727</v>
      </c>
      <c r="DE1" s="74" t="s">
        <v>728</v>
      </c>
      <c r="DF1" s="74" t="s">
        <v>729</v>
      </c>
      <c r="DG1" s="74" t="s">
        <v>730</v>
      </c>
      <c r="DH1" s="74" t="s">
        <v>731</v>
      </c>
      <c r="DI1" s="74" t="s">
        <v>732</v>
      </c>
      <c r="DJ1" s="81" t="s">
        <v>733</v>
      </c>
      <c r="DK1" s="81" t="s">
        <v>734</v>
      </c>
      <c r="DL1" s="81" t="s">
        <v>735</v>
      </c>
      <c r="DM1" s="81" t="s">
        <v>736</v>
      </c>
      <c r="DN1" s="81" t="s">
        <v>737</v>
      </c>
      <c r="DO1" s="81" t="s">
        <v>843</v>
      </c>
      <c r="DP1" s="81" t="s">
        <v>844</v>
      </c>
      <c r="DQ1" s="74" t="s">
        <v>740</v>
      </c>
      <c r="DR1" s="74" t="s">
        <v>741</v>
      </c>
      <c r="DS1" s="74" t="s">
        <v>742</v>
      </c>
      <c r="DT1" s="74" t="s">
        <v>743</v>
      </c>
      <c r="DU1" s="74" t="s">
        <v>744</v>
      </c>
      <c r="DV1" s="81" t="s">
        <v>745</v>
      </c>
      <c r="DW1" s="81" t="s">
        <v>746</v>
      </c>
      <c r="DX1" s="81" t="s">
        <v>747</v>
      </c>
      <c r="DY1" s="82" t="s">
        <v>748</v>
      </c>
      <c r="DZ1" s="76" t="s">
        <v>845</v>
      </c>
      <c r="EA1" s="83" t="s">
        <v>846</v>
      </c>
      <c r="EB1" s="81" t="s">
        <v>847</v>
      </c>
      <c r="EC1" s="81" t="s">
        <v>752</v>
      </c>
      <c r="ED1" s="81" t="s">
        <v>753</v>
      </c>
      <c r="EE1" s="81" t="s">
        <v>754</v>
      </c>
      <c r="EF1" s="81" t="s">
        <v>848</v>
      </c>
      <c r="EG1" s="81" t="s">
        <v>849</v>
      </c>
      <c r="EH1" s="81" t="s">
        <v>757</v>
      </c>
      <c r="EI1" s="81" t="s">
        <v>758</v>
      </c>
      <c r="EJ1" s="81" t="s">
        <v>759</v>
      </c>
      <c r="EK1" s="81" t="s">
        <v>760</v>
      </c>
      <c r="EL1" s="81" t="s">
        <v>761</v>
      </c>
      <c r="EM1" s="74" t="s">
        <v>850</v>
      </c>
      <c r="EN1" s="81" t="s">
        <v>851</v>
      </c>
      <c r="EO1" s="81" t="s">
        <v>852</v>
      </c>
      <c r="EP1" s="81" t="s">
        <v>853</v>
      </c>
      <c r="EQ1" s="81" t="s">
        <v>766</v>
      </c>
      <c r="ER1" s="81" t="s">
        <v>767</v>
      </c>
      <c r="ES1" s="81" t="s">
        <v>854</v>
      </c>
      <c r="ET1" s="81" t="s">
        <v>855</v>
      </c>
      <c r="EU1" s="81" t="s">
        <v>856</v>
      </c>
      <c r="EV1" s="81" t="s">
        <v>857</v>
      </c>
      <c r="EW1" s="81" t="s">
        <v>858</v>
      </c>
      <c r="EX1" s="81" t="s">
        <v>773</v>
      </c>
      <c r="EY1" s="81" t="s">
        <v>859</v>
      </c>
      <c r="EZ1" s="81" t="s">
        <v>860</v>
      </c>
      <c r="FA1" s="75" t="s">
        <v>776</v>
      </c>
      <c r="FB1" s="84" t="s">
        <v>861</v>
      </c>
      <c r="FC1" s="84" t="s">
        <v>862</v>
      </c>
      <c r="FD1" s="84" t="s">
        <v>779</v>
      </c>
      <c r="FE1" s="84" t="s">
        <v>863</v>
      </c>
      <c r="FF1" s="84" t="s">
        <v>781</v>
      </c>
      <c r="FG1" s="84" t="s">
        <v>782</v>
      </c>
      <c r="FH1" s="84" t="s">
        <v>864</v>
      </c>
      <c r="FI1" s="84" t="s">
        <v>784</v>
      </c>
      <c r="FJ1" s="84" t="s">
        <v>865</v>
      </c>
      <c r="FK1" s="84" t="s">
        <v>866</v>
      </c>
      <c r="FL1" s="84" t="s">
        <v>867</v>
      </c>
      <c r="FM1" s="84" t="s">
        <v>868</v>
      </c>
      <c r="FN1" s="84" t="s">
        <v>788</v>
      </c>
      <c r="FO1" s="84" t="s">
        <v>869</v>
      </c>
      <c r="FP1" s="84" t="s">
        <v>870</v>
      </c>
      <c r="FQ1" s="84" t="s">
        <v>871</v>
      </c>
      <c r="FR1" s="84" t="s">
        <v>872</v>
      </c>
      <c r="FS1" s="84" t="s">
        <v>873</v>
      </c>
      <c r="FT1" s="84" t="s">
        <v>874</v>
      </c>
      <c r="FU1" s="84" t="s">
        <v>875</v>
      </c>
      <c r="FV1" s="84" t="s">
        <v>876</v>
      </c>
      <c r="FW1" s="84" t="s">
        <v>877</v>
      </c>
      <c r="FX1" s="84" t="s">
        <v>878</v>
      </c>
      <c r="FY1" s="84" t="s">
        <v>879</v>
      </c>
      <c r="FZ1" s="84" t="s">
        <v>880</v>
      </c>
      <c r="GA1" s="84" t="s">
        <v>881</v>
      </c>
      <c r="GB1" s="84" t="s">
        <v>882</v>
      </c>
      <c r="GC1" s="84" t="s">
        <v>883</v>
      </c>
      <c r="GD1" s="84" t="s">
        <v>884</v>
      </c>
      <c r="GE1" s="84" t="s">
        <v>885</v>
      </c>
      <c r="GF1" s="84" t="s">
        <v>886</v>
      </c>
      <c r="GG1" s="84" t="s">
        <v>887</v>
      </c>
      <c r="GH1" s="84" t="s">
        <v>888</v>
      </c>
      <c r="GI1" s="84" t="s">
        <v>889</v>
      </c>
      <c r="GJ1" s="84" t="s">
        <v>890</v>
      </c>
      <c r="GK1" s="84" t="s">
        <v>891</v>
      </c>
      <c r="GL1" s="84" t="s">
        <v>892</v>
      </c>
      <c r="GM1" s="84" t="s">
        <v>893</v>
      </c>
      <c r="GN1" s="84" t="s">
        <v>894</v>
      </c>
      <c r="GO1" s="84" t="s">
        <v>895</v>
      </c>
      <c r="GP1" s="84" t="s">
        <v>896</v>
      </c>
      <c r="GQ1" s="84" t="s">
        <v>897</v>
      </c>
      <c r="GR1" s="84" t="s">
        <v>898</v>
      </c>
      <c r="GS1" s="84" t="s">
        <v>818</v>
      </c>
      <c r="GT1" s="84" t="s">
        <v>899</v>
      </c>
      <c r="GU1" s="84" t="s">
        <v>900</v>
      </c>
      <c r="GV1" s="84" t="s">
        <v>901</v>
      </c>
      <c r="GW1" s="84" t="s">
        <v>902</v>
      </c>
      <c r="GX1" s="84" t="s">
        <v>903</v>
      </c>
      <c r="GY1" s="84" t="s">
        <v>904</v>
      </c>
      <c r="GZ1" s="84" t="s">
        <v>905</v>
      </c>
      <c r="HA1" s="84" t="s">
        <v>906</v>
      </c>
      <c r="HB1" s="84" t="s">
        <v>907</v>
      </c>
      <c r="HC1" s="84" t="s">
        <v>908</v>
      </c>
      <c r="HD1" s="84" t="s">
        <v>909</v>
      </c>
      <c r="HE1" s="84" t="s">
        <v>910</v>
      </c>
      <c r="HF1" s="84" t="s">
        <v>911</v>
      </c>
      <c r="HG1" s="84" t="s">
        <v>912</v>
      </c>
    </row>
    <row r="2" spans="1:215" x14ac:dyDescent="0.2">
      <c r="FB2" s="85"/>
      <c r="FC2" s="85"/>
    </row>
  </sheetData>
  <phoneticPr fontId="9" type="noConversion"/>
  <dataValidations count="1">
    <dataValidation type="list" allowBlank="1" showInputMessage="1" showErrorMessage="1" sqref="K2:K112">
      <formula1>"A,"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92D050"/>
  </sheetPr>
  <dimension ref="A1:J102"/>
  <sheetViews>
    <sheetView workbookViewId="0">
      <selection activeCell="G31" sqref="G31"/>
    </sheetView>
  </sheetViews>
  <sheetFormatPr defaultColWidth="8.85546875" defaultRowHeight="12.75" x14ac:dyDescent="0.2"/>
  <cols>
    <col min="1" max="1" width="4.85546875" style="99" customWidth="1"/>
    <col min="2" max="2" width="54" style="99" customWidth="1"/>
    <col min="3" max="3" width="9.7109375" style="99" customWidth="1"/>
    <col min="4" max="4" width="33.28515625" style="99" bestFit="1" customWidth="1"/>
    <col min="5" max="5" width="3.140625" style="99" customWidth="1"/>
    <col min="6" max="6" width="8.85546875" style="99"/>
    <col min="7" max="7" width="22.7109375" style="99" customWidth="1"/>
    <col min="8" max="8" width="20.28515625" style="99" customWidth="1"/>
    <col min="9" max="11" width="8.85546875" style="99" customWidth="1"/>
    <col min="12" max="16384" width="8.85546875" style="99"/>
  </cols>
  <sheetData>
    <row r="1" spans="1:10" ht="16.899999999999999" customHeight="1" x14ac:dyDescent="0.2"/>
    <row r="2" spans="1:10" ht="36.75" customHeight="1" thickBot="1" x14ac:dyDescent="0.25">
      <c r="B2" s="132" t="s">
        <v>986</v>
      </c>
      <c r="C2" s="133"/>
      <c r="D2" s="134"/>
      <c r="H2" s="100" t="s">
        <v>987</v>
      </c>
      <c r="I2" s="100" t="s">
        <v>988</v>
      </c>
    </row>
    <row r="3" spans="1:10" ht="20.45" customHeight="1" thickBot="1" x14ac:dyDescent="0.25">
      <c r="A3" s="99">
        <v>1</v>
      </c>
      <c r="B3" s="101">
        <v>17</v>
      </c>
      <c r="C3" s="102" t="s">
        <v>989</v>
      </c>
      <c r="D3" s="101" t="s">
        <v>990</v>
      </c>
      <c r="G3" s="103" t="s">
        <v>991</v>
      </c>
      <c r="H3" s="104">
        <f>SUM(G4*30)</f>
        <v>3000</v>
      </c>
      <c r="I3" s="104">
        <f>SUM(G4*30)+2</f>
        <v>3002</v>
      </c>
      <c r="J3" s="99" t="s">
        <v>992</v>
      </c>
    </row>
    <row r="4" spans="1:10" ht="16.5" customHeight="1" thickBot="1" x14ac:dyDescent="0.25">
      <c r="A4" s="99">
        <v>2</v>
      </c>
      <c r="B4" s="101" t="s">
        <v>993</v>
      </c>
      <c r="C4" s="102" t="s">
        <v>994</v>
      </c>
      <c r="D4" s="101">
        <v>0</v>
      </c>
      <c r="G4" s="103">
        <v>100</v>
      </c>
      <c r="H4" s="105">
        <f>G4/16-1</f>
        <v>5.25</v>
      </c>
      <c r="I4" s="105">
        <f>SUM(G4/4)</f>
        <v>25</v>
      </c>
      <c r="J4" s="99" t="s">
        <v>995</v>
      </c>
    </row>
    <row r="5" spans="1:10" ht="16.5" customHeight="1" x14ac:dyDescent="0.2">
      <c r="A5" s="99">
        <v>3</v>
      </c>
      <c r="B5" s="101" t="s">
        <v>996</v>
      </c>
      <c r="C5" s="102" t="s">
        <v>997</v>
      </c>
      <c r="D5" s="101" t="s">
        <v>998</v>
      </c>
      <c r="H5" s="104">
        <f>G4+3</f>
        <v>103</v>
      </c>
      <c r="I5" s="104">
        <f>G4+3</f>
        <v>103</v>
      </c>
    </row>
    <row r="6" spans="1:10" ht="16.5" customHeight="1" x14ac:dyDescent="0.2">
      <c r="A6" s="99">
        <v>4</v>
      </c>
      <c r="B6" s="101" t="s">
        <v>999</v>
      </c>
      <c r="C6" s="102" t="s">
        <v>1000</v>
      </c>
      <c r="D6" s="106"/>
    </row>
    <row r="7" spans="1:10" ht="16.5" customHeight="1" x14ac:dyDescent="0.2">
      <c r="A7" s="99">
        <v>5</v>
      </c>
      <c r="B7" s="101" t="s">
        <v>1001</v>
      </c>
      <c r="C7" s="102" t="s">
        <v>1002</v>
      </c>
      <c r="D7" s="106"/>
    </row>
    <row r="8" spans="1:10" ht="16.5" customHeight="1" x14ac:dyDescent="0.2">
      <c r="A8" s="99">
        <v>6</v>
      </c>
      <c r="B8" s="101" t="s">
        <v>1003</v>
      </c>
      <c r="C8" s="102" t="s">
        <v>1004</v>
      </c>
      <c r="D8" s="106"/>
    </row>
    <row r="9" spans="1:10" ht="16.5" customHeight="1" x14ac:dyDescent="0.2">
      <c r="A9" s="99">
        <v>7</v>
      </c>
      <c r="B9" s="101" t="s">
        <v>1005</v>
      </c>
      <c r="C9" s="102" t="s">
        <v>1006</v>
      </c>
      <c r="D9" s="101"/>
    </row>
    <row r="10" spans="1:10" ht="16.5" customHeight="1" x14ac:dyDescent="0.2">
      <c r="A10" s="99">
        <v>8</v>
      </c>
      <c r="B10" s="101" t="s">
        <v>1007</v>
      </c>
      <c r="C10" s="102" t="s">
        <v>1008</v>
      </c>
      <c r="D10" s="101"/>
    </row>
    <row r="11" spans="1:10" ht="16.5" customHeight="1" x14ac:dyDescent="0.2">
      <c r="A11" s="99">
        <v>9</v>
      </c>
      <c r="B11" s="101" t="s">
        <v>1009</v>
      </c>
      <c r="C11" s="102" t="s">
        <v>1010</v>
      </c>
      <c r="D11" s="101">
        <v>0</v>
      </c>
    </row>
    <row r="12" spans="1:10" ht="16.5" customHeight="1" x14ac:dyDescent="0.2">
      <c r="A12" s="99">
        <v>10</v>
      </c>
      <c r="B12" s="101" t="s">
        <v>1011</v>
      </c>
      <c r="C12" s="102" t="s">
        <v>1012</v>
      </c>
      <c r="D12" s="107">
        <v>42017</v>
      </c>
    </row>
    <row r="13" spans="1:10" ht="16.5" customHeight="1" x14ac:dyDescent="0.2">
      <c r="A13" s="99">
        <v>11</v>
      </c>
      <c r="B13" s="101" t="s">
        <v>1013</v>
      </c>
      <c r="C13" s="102" t="s">
        <v>1014</v>
      </c>
      <c r="D13" s="101" t="s">
        <v>1015</v>
      </c>
    </row>
    <row r="14" spans="1:10" ht="16.5" customHeight="1" x14ac:dyDescent="0.2">
      <c r="A14" s="99">
        <v>12</v>
      </c>
      <c r="B14" s="101" t="s">
        <v>1016</v>
      </c>
      <c r="C14" s="102" t="s">
        <v>1017</v>
      </c>
      <c r="D14" s="106"/>
    </row>
    <row r="15" spans="1:10" ht="16.5" customHeight="1" x14ac:dyDescent="0.2">
      <c r="A15" s="99">
        <v>13</v>
      </c>
      <c r="B15" s="101" t="s">
        <v>1018</v>
      </c>
      <c r="C15" s="102" t="s">
        <v>1019</v>
      </c>
      <c r="D15" s="106"/>
    </row>
    <row r="16" spans="1:10" ht="16.5" customHeight="1" x14ac:dyDescent="0.2">
      <c r="A16" s="99">
        <v>14</v>
      </c>
      <c r="B16" s="101" t="s">
        <v>1020</v>
      </c>
      <c r="C16" s="102" t="s">
        <v>1021</v>
      </c>
      <c r="D16" s="106"/>
    </row>
    <row r="17" spans="1:4" ht="16.5" customHeight="1" x14ac:dyDescent="0.2">
      <c r="A17" s="99">
        <v>15</v>
      </c>
      <c r="B17" s="101" t="s">
        <v>1022</v>
      </c>
      <c r="C17" s="102" t="s">
        <v>1023</v>
      </c>
      <c r="D17" s="101"/>
    </row>
    <row r="18" spans="1:4" ht="16.5" customHeight="1" x14ac:dyDescent="0.2">
      <c r="A18" s="99">
        <v>16</v>
      </c>
      <c r="B18" s="101" t="s">
        <v>1024</v>
      </c>
      <c r="C18" s="102" t="s">
        <v>1025</v>
      </c>
      <c r="D18" s="101"/>
    </row>
    <row r="19" spans="1:4" ht="16.5" customHeight="1" x14ac:dyDescent="0.2">
      <c r="A19" s="99">
        <v>17</v>
      </c>
      <c r="B19" s="101" t="s">
        <v>1026</v>
      </c>
      <c r="C19" s="102" t="s">
        <v>1027</v>
      </c>
      <c r="D19" s="101"/>
    </row>
    <row r="20" spans="1:4" ht="16.5" customHeight="1" x14ac:dyDescent="0.2">
      <c r="A20" s="99">
        <v>18</v>
      </c>
      <c r="B20" s="101" t="s">
        <v>1028</v>
      </c>
      <c r="C20" s="102" t="s">
        <v>1029</v>
      </c>
      <c r="D20" s="101"/>
    </row>
    <row r="21" spans="1:4" ht="16.5" customHeight="1" x14ac:dyDescent="0.2">
      <c r="A21" s="99">
        <v>19</v>
      </c>
      <c r="B21" s="101" t="s">
        <v>1030</v>
      </c>
      <c r="C21" s="102" t="s">
        <v>1031</v>
      </c>
      <c r="D21" s="101"/>
    </row>
    <row r="22" spans="1:4" ht="16.5" customHeight="1" x14ac:dyDescent="0.2">
      <c r="A22" s="99">
        <v>20</v>
      </c>
      <c r="B22" s="101" t="s">
        <v>1032</v>
      </c>
      <c r="C22" s="102" t="s">
        <v>1033</v>
      </c>
      <c r="D22" s="101"/>
    </row>
    <row r="23" spans="1:4" ht="16.5" customHeight="1" x14ac:dyDescent="0.2">
      <c r="A23" s="99">
        <v>21</v>
      </c>
      <c r="B23" s="101" t="s">
        <v>1034</v>
      </c>
      <c r="C23" s="102" t="s">
        <v>1035</v>
      </c>
      <c r="D23" s="101"/>
    </row>
    <row r="24" spans="1:4" ht="16.5" customHeight="1" x14ac:dyDescent="0.2">
      <c r="A24" s="99">
        <v>22</v>
      </c>
      <c r="B24" s="101" t="s">
        <v>1036</v>
      </c>
      <c r="C24" s="102" t="s">
        <v>1037</v>
      </c>
      <c r="D24" s="101"/>
    </row>
    <row r="25" spans="1:4" ht="16.5" customHeight="1" x14ac:dyDescent="0.2">
      <c r="A25" s="99">
        <v>23</v>
      </c>
      <c r="B25" s="101" t="s">
        <v>1038</v>
      </c>
      <c r="C25" s="102" t="s">
        <v>1039</v>
      </c>
      <c r="D25" s="101"/>
    </row>
    <row r="26" spans="1:4" ht="16.5" customHeight="1" x14ac:dyDescent="0.2">
      <c r="A26" s="99">
        <v>24</v>
      </c>
      <c r="B26" s="101" t="s">
        <v>1040</v>
      </c>
      <c r="C26" s="102" t="s">
        <v>1041</v>
      </c>
      <c r="D26" s="101"/>
    </row>
    <row r="27" spans="1:4" ht="16.5" customHeight="1" x14ac:dyDescent="0.2">
      <c r="A27" s="99">
        <v>25</v>
      </c>
      <c r="B27" s="101" t="s">
        <v>1042</v>
      </c>
      <c r="C27" s="102" t="s">
        <v>1043</v>
      </c>
      <c r="D27" s="101"/>
    </row>
    <row r="28" spans="1:4" ht="16.5" customHeight="1" x14ac:dyDescent="0.2">
      <c r="A28" s="99">
        <v>26</v>
      </c>
      <c r="B28" s="101" t="s">
        <v>1044</v>
      </c>
      <c r="C28" s="102" t="s">
        <v>1045</v>
      </c>
      <c r="D28" s="101"/>
    </row>
    <row r="29" spans="1:4" ht="16.5" customHeight="1" x14ac:dyDescent="0.2">
      <c r="A29" s="99">
        <v>27</v>
      </c>
      <c r="B29" s="101" t="s">
        <v>1046</v>
      </c>
      <c r="C29" s="102" t="s">
        <v>1047</v>
      </c>
      <c r="D29" s="101"/>
    </row>
    <row r="30" spans="1:4" ht="16.5" customHeight="1" x14ac:dyDescent="0.2">
      <c r="A30" s="99">
        <v>28</v>
      </c>
      <c r="B30" s="101" t="s">
        <v>1048</v>
      </c>
      <c r="C30" s="102" t="s">
        <v>1049</v>
      </c>
      <c r="D30" s="101"/>
    </row>
    <row r="31" spans="1:4" ht="16.5" customHeight="1" x14ac:dyDescent="0.2">
      <c r="A31" s="99">
        <v>29</v>
      </c>
      <c r="B31" s="101" t="s">
        <v>1050</v>
      </c>
      <c r="C31" s="102" t="s">
        <v>1051</v>
      </c>
      <c r="D31" s="101"/>
    </row>
    <row r="32" spans="1:4" ht="16.5" customHeight="1" x14ac:dyDescent="0.2">
      <c r="A32" s="99">
        <v>30</v>
      </c>
      <c r="B32" s="101" t="s">
        <v>1052</v>
      </c>
      <c r="C32" s="102" t="s">
        <v>1053</v>
      </c>
      <c r="D32" s="101"/>
    </row>
    <row r="33" spans="1:4" ht="16.5" customHeight="1" x14ac:dyDescent="0.2">
      <c r="A33" s="99">
        <v>31</v>
      </c>
      <c r="B33" s="101" t="s">
        <v>1054</v>
      </c>
      <c r="C33" s="102" t="s">
        <v>1055</v>
      </c>
      <c r="D33" s="101"/>
    </row>
    <row r="34" spans="1:4" ht="16.5" customHeight="1" x14ac:dyDescent="0.2">
      <c r="A34" s="99">
        <v>32</v>
      </c>
      <c r="B34" s="101" t="s">
        <v>1056</v>
      </c>
      <c r="C34" s="102" t="s">
        <v>1057</v>
      </c>
      <c r="D34" s="101"/>
    </row>
    <row r="35" spans="1:4" ht="16.5" customHeight="1" x14ac:dyDescent="0.2">
      <c r="A35" s="99">
        <v>33</v>
      </c>
      <c r="B35" s="101" t="s">
        <v>1058</v>
      </c>
      <c r="C35" s="102" t="s">
        <v>1059</v>
      </c>
      <c r="D35" s="101"/>
    </row>
    <row r="36" spans="1:4" ht="16.5" customHeight="1" x14ac:dyDescent="0.2">
      <c r="A36" s="99">
        <v>34</v>
      </c>
      <c r="B36" s="101" t="s">
        <v>1060</v>
      </c>
      <c r="C36" s="102" t="s">
        <v>1061</v>
      </c>
      <c r="D36" s="101"/>
    </row>
    <row r="37" spans="1:4" x14ac:dyDescent="0.2">
      <c r="A37" s="99">
        <v>35</v>
      </c>
      <c r="B37" s="101" t="s">
        <v>1062</v>
      </c>
      <c r="C37" s="102" t="s">
        <v>1063</v>
      </c>
      <c r="D37" s="101"/>
    </row>
    <row r="38" spans="1:4" x14ac:dyDescent="0.2">
      <c r="A38" s="99">
        <v>36</v>
      </c>
      <c r="B38" s="101" t="s">
        <v>1064</v>
      </c>
      <c r="C38" s="102" t="s">
        <v>1065</v>
      </c>
      <c r="D38" s="101"/>
    </row>
    <row r="39" spans="1:4" x14ac:dyDescent="0.2">
      <c r="A39" s="99">
        <v>37</v>
      </c>
      <c r="B39" s="101" t="s">
        <v>1066</v>
      </c>
      <c r="C39" s="102" t="s">
        <v>1067</v>
      </c>
      <c r="D39" s="101"/>
    </row>
    <row r="40" spans="1:4" x14ac:dyDescent="0.2">
      <c r="A40" s="99">
        <v>38</v>
      </c>
      <c r="B40" s="101" t="s">
        <v>1068</v>
      </c>
      <c r="C40" s="102" t="s">
        <v>1069</v>
      </c>
      <c r="D40" s="101"/>
    </row>
    <row r="41" spans="1:4" x14ac:dyDescent="0.2">
      <c r="A41" s="99">
        <v>39</v>
      </c>
      <c r="B41" s="101" t="s">
        <v>1070</v>
      </c>
      <c r="C41" s="102" t="s">
        <v>1071</v>
      </c>
      <c r="D41" s="101" t="s">
        <v>1072</v>
      </c>
    </row>
    <row r="42" spans="1:4" x14ac:dyDescent="0.2">
      <c r="A42" s="99">
        <v>40</v>
      </c>
      <c r="B42" s="101" t="s">
        <v>1073</v>
      </c>
      <c r="C42" s="102" t="s">
        <v>1074</v>
      </c>
      <c r="D42" s="101" t="s">
        <v>1075</v>
      </c>
    </row>
    <row r="43" spans="1:4" x14ac:dyDescent="0.2">
      <c r="A43" s="99">
        <v>41</v>
      </c>
      <c r="B43" s="101" t="s">
        <v>1076</v>
      </c>
      <c r="C43" s="102" t="s">
        <v>1077</v>
      </c>
      <c r="D43" s="101">
        <v>1200</v>
      </c>
    </row>
    <row r="44" spans="1:4" x14ac:dyDescent="0.2">
      <c r="A44" s="99">
        <v>42</v>
      </c>
      <c r="B44" s="101" t="s">
        <v>1078</v>
      </c>
      <c r="C44" s="102" t="s">
        <v>1079</v>
      </c>
      <c r="D44" s="101">
        <v>2400</v>
      </c>
    </row>
    <row r="45" spans="1:4" x14ac:dyDescent="0.2">
      <c r="A45" s="99">
        <v>43</v>
      </c>
      <c r="B45" s="101" t="s">
        <v>1080</v>
      </c>
      <c r="C45" s="102" t="s">
        <v>1081</v>
      </c>
      <c r="D45" s="101">
        <v>43</v>
      </c>
    </row>
    <row r="46" spans="1:4" x14ac:dyDescent="0.2">
      <c r="A46" s="99">
        <v>44</v>
      </c>
      <c r="B46" s="101" t="s">
        <v>1082</v>
      </c>
      <c r="C46" s="102" t="s">
        <v>1083</v>
      </c>
      <c r="D46" s="101">
        <v>44</v>
      </c>
    </row>
    <row r="47" spans="1:4" x14ac:dyDescent="0.2">
      <c r="A47" s="99">
        <v>45</v>
      </c>
      <c r="B47" s="101" t="s">
        <v>1084</v>
      </c>
      <c r="C47" s="102" t="s">
        <v>1085</v>
      </c>
      <c r="D47" s="101">
        <v>45</v>
      </c>
    </row>
    <row r="48" spans="1:4" x14ac:dyDescent="0.2">
      <c r="A48" s="99">
        <v>46</v>
      </c>
      <c r="B48" s="101" t="s">
        <v>1086</v>
      </c>
      <c r="C48" s="102" t="s">
        <v>1087</v>
      </c>
      <c r="D48" s="101">
        <v>46</v>
      </c>
    </row>
    <row r="49" spans="1:4" x14ac:dyDescent="0.2">
      <c r="A49" s="99">
        <v>47</v>
      </c>
      <c r="B49" s="101" t="s">
        <v>1088</v>
      </c>
      <c r="C49" s="102" t="s">
        <v>1089</v>
      </c>
      <c r="D49" s="101">
        <v>47</v>
      </c>
    </row>
    <row r="50" spans="1:4" x14ac:dyDescent="0.2">
      <c r="A50" s="99">
        <v>48</v>
      </c>
      <c r="B50" s="101" t="s">
        <v>1090</v>
      </c>
      <c r="C50" s="102" t="s">
        <v>1091</v>
      </c>
      <c r="D50" s="101" t="s">
        <v>1092</v>
      </c>
    </row>
    <row r="51" spans="1:4" x14ac:dyDescent="0.2">
      <c r="A51" s="99">
        <v>49</v>
      </c>
      <c r="B51" s="101" t="s">
        <v>1093</v>
      </c>
      <c r="C51" s="102" t="s">
        <v>1094</v>
      </c>
      <c r="D51" s="101" t="s">
        <v>1095</v>
      </c>
    </row>
    <row r="52" spans="1:4" x14ac:dyDescent="0.2">
      <c r="A52" s="99">
        <v>50</v>
      </c>
      <c r="B52" s="101" t="s">
        <v>1096</v>
      </c>
      <c r="C52" s="102" t="s">
        <v>1097</v>
      </c>
      <c r="D52" s="101" t="s">
        <v>1098</v>
      </c>
    </row>
    <row r="53" spans="1:4" x14ac:dyDescent="0.2">
      <c r="A53" s="99">
        <v>51</v>
      </c>
      <c r="B53" s="101" t="s">
        <v>1099</v>
      </c>
      <c r="C53" s="102" t="s">
        <v>1100</v>
      </c>
      <c r="D53" s="101" t="s">
        <v>1098</v>
      </c>
    </row>
    <row r="54" spans="1:4" x14ac:dyDescent="0.2">
      <c r="A54" s="99">
        <v>52</v>
      </c>
      <c r="B54" s="101" t="s">
        <v>1101</v>
      </c>
      <c r="C54" s="102" t="s">
        <v>1102</v>
      </c>
      <c r="D54" s="101" t="s">
        <v>1095</v>
      </c>
    </row>
    <row r="55" spans="1:4" x14ac:dyDescent="0.2">
      <c r="A55" s="99">
        <v>53</v>
      </c>
      <c r="B55" s="101" t="s">
        <v>1103</v>
      </c>
      <c r="C55" s="102" t="s">
        <v>1104</v>
      </c>
      <c r="D55" s="101" t="s">
        <v>1098</v>
      </c>
    </row>
    <row r="56" spans="1:4" x14ac:dyDescent="0.2">
      <c r="A56" s="99">
        <v>54</v>
      </c>
      <c r="B56" s="101" t="s">
        <v>1105</v>
      </c>
      <c r="C56" s="108" t="s">
        <v>1106</v>
      </c>
      <c r="D56" s="101"/>
    </row>
    <row r="57" spans="1:4" x14ac:dyDescent="0.2">
      <c r="A57" s="99">
        <v>55</v>
      </c>
      <c r="B57" s="101" t="s">
        <v>1107</v>
      </c>
      <c r="C57" s="108" t="s">
        <v>1108</v>
      </c>
      <c r="D57" s="101"/>
    </row>
    <row r="58" spans="1:4" x14ac:dyDescent="0.2">
      <c r="A58" s="99">
        <v>56</v>
      </c>
      <c r="B58" s="101" t="s">
        <v>1109</v>
      </c>
      <c r="C58" s="108" t="s">
        <v>1110</v>
      </c>
      <c r="D58" s="101">
        <v>1</v>
      </c>
    </row>
    <row r="59" spans="1:4" x14ac:dyDescent="0.2">
      <c r="A59" s="99">
        <v>57</v>
      </c>
      <c r="B59" s="101" t="s">
        <v>1111</v>
      </c>
      <c r="C59" s="108" t="s">
        <v>1112</v>
      </c>
      <c r="D59" s="101">
        <v>1</v>
      </c>
    </row>
    <row r="60" spans="1:4" x14ac:dyDescent="0.2">
      <c r="A60" s="99">
        <v>58</v>
      </c>
      <c r="B60" s="101" t="s">
        <v>1113</v>
      </c>
      <c r="C60" s="108" t="s">
        <v>1114</v>
      </c>
      <c r="D60" s="101">
        <v>400</v>
      </c>
    </row>
    <row r="61" spans="1:4" x14ac:dyDescent="0.2">
      <c r="A61" s="99">
        <v>59</v>
      </c>
      <c r="B61" s="101" t="s">
        <v>1115</v>
      </c>
      <c r="C61" s="108" t="s">
        <v>1116</v>
      </c>
      <c r="D61" s="101">
        <v>200</v>
      </c>
    </row>
    <row r="62" spans="1:4" x14ac:dyDescent="0.2">
      <c r="A62" s="99">
        <v>60</v>
      </c>
      <c r="B62" s="101" t="s">
        <v>1117</v>
      </c>
      <c r="C62" s="108" t="s">
        <v>1118</v>
      </c>
      <c r="D62" s="101" t="s">
        <v>1119</v>
      </c>
    </row>
    <row r="63" spans="1:4" x14ac:dyDescent="0.2">
      <c r="A63" s="99">
        <v>61</v>
      </c>
      <c r="B63" s="101" t="s">
        <v>1120</v>
      </c>
      <c r="C63" s="108" t="s">
        <v>1121</v>
      </c>
      <c r="D63" s="101" t="s">
        <v>1119</v>
      </c>
    </row>
    <row r="64" spans="1:4" x14ac:dyDescent="0.2">
      <c r="A64" s="99">
        <v>62</v>
      </c>
      <c r="B64" s="101" t="s">
        <v>1122</v>
      </c>
      <c r="C64" s="108" t="s">
        <v>1123</v>
      </c>
      <c r="D64" s="101" t="s">
        <v>1119</v>
      </c>
    </row>
    <row r="65" spans="1:4" x14ac:dyDescent="0.2">
      <c r="A65" s="99">
        <v>63</v>
      </c>
      <c r="B65" s="101" t="s">
        <v>1124</v>
      </c>
      <c r="C65" s="108" t="s">
        <v>1125</v>
      </c>
      <c r="D65" s="101" t="s">
        <v>1126</v>
      </c>
    </row>
    <row r="66" spans="1:4" x14ac:dyDescent="0.2">
      <c r="A66" s="99">
        <v>64</v>
      </c>
      <c r="B66" s="101" t="s">
        <v>1127</v>
      </c>
      <c r="C66" s="108" t="s">
        <v>1128</v>
      </c>
      <c r="D66" s="101" t="s">
        <v>1129</v>
      </c>
    </row>
    <row r="67" spans="1:4" x14ac:dyDescent="0.2">
      <c r="A67" s="99">
        <v>65</v>
      </c>
      <c r="B67" s="101" t="s">
        <v>1130</v>
      </c>
      <c r="C67" s="108" t="s">
        <v>1131</v>
      </c>
      <c r="D67" s="101" t="s">
        <v>1132</v>
      </c>
    </row>
    <row r="68" spans="1:4" x14ac:dyDescent="0.2">
      <c r="A68" s="99">
        <v>66</v>
      </c>
      <c r="B68" s="101" t="s">
        <v>1133</v>
      </c>
      <c r="C68" s="108" t="s">
        <v>1134</v>
      </c>
      <c r="D68" s="101" t="s">
        <v>1132</v>
      </c>
    </row>
    <row r="69" spans="1:4" x14ac:dyDescent="0.2">
      <c r="A69" s="99">
        <v>67</v>
      </c>
      <c r="B69" s="101" t="s">
        <v>1135</v>
      </c>
      <c r="C69" s="108" t="s">
        <v>1136</v>
      </c>
      <c r="D69" s="101" t="s">
        <v>1129</v>
      </c>
    </row>
    <row r="70" spans="1:4" x14ac:dyDescent="0.2">
      <c r="A70" s="99">
        <v>68</v>
      </c>
      <c r="B70" s="101" t="s">
        <v>1137</v>
      </c>
      <c r="C70" s="108" t="s">
        <v>1138</v>
      </c>
      <c r="D70" s="101" t="s">
        <v>1132</v>
      </c>
    </row>
    <row r="71" spans="1:4" x14ac:dyDescent="0.2">
      <c r="A71" s="99">
        <v>69</v>
      </c>
      <c r="B71" s="101" t="s">
        <v>1139</v>
      </c>
      <c r="C71" s="108" t="s">
        <v>1140</v>
      </c>
      <c r="D71" s="101" t="s">
        <v>1132</v>
      </c>
    </row>
    <row r="72" spans="1:4" x14ac:dyDescent="0.2">
      <c r="A72" s="99">
        <v>70</v>
      </c>
      <c r="B72" s="101" t="s">
        <v>1141</v>
      </c>
      <c r="C72" s="108" t="s">
        <v>1142</v>
      </c>
      <c r="D72" s="101" t="s">
        <v>1143</v>
      </c>
    </row>
    <row r="73" spans="1:4" x14ac:dyDescent="0.2">
      <c r="A73" s="99">
        <v>71</v>
      </c>
      <c r="B73" s="101" t="s">
        <v>1144</v>
      </c>
      <c r="C73" s="108" t="s">
        <v>1145</v>
      </c>
      <c r="D73" s="101" t="s">
        <v>1143</v>
      </c>
    </row>
    <row r="74" spans="1:4" x14ac:dyDescent="0.2">
      <c r="A74" s="99">
        <v>72</v>
      </c>
      <c r="B74" s="101" t="s">
        <v>1146</v>
      </c>
      <c r="C74" s="108" t="s">
        <v>1147</v>
      </c>
      <c r="D74" s="101" t="s">
        <v>1129</v>
      </c>
    </row>
    <row r="75" spans="1:4" x14ac:dyDescent="0.2">
      <c r="A75" s="99">
        <v>73</v>
      </c>
      <c r="B75" s="101" t="s">
        <v>1148</v>
      </c>
      <c r="C75" s="108" t="s">
        <v>1149</v>
      </c>
      <c r="D75" s="101" t="s">
        <v>1132</v>
      </c>
    </row>
    <row r="76" spans="1:4" x14ac:dyDescent="0.2">
      <c r="A76" s="99">
        <v>74</v>
      </c>
      <c r="B76" s="101" t="s">
        <v>1150</v>
      </c>
      <c r="C76" s="108" t="s">
        <v>1151</v>
      </c>
      <c r="D76" s="101" t="s">
        <v>1132</v>
      </c>
    </row>
    <row r="77" spans="1:4" x14ac:dyDescent="0.2">
      <c r="A77" s="99">
        <v>75</v>
      </c>
      <c r="B77" s="101" t="s">
        <v>1152</v>
      </c>
      <c r="C77" s="108" t="s">
        <v>1153</v>
      </c>
      <c r="D77" s="101" t="s">
        <v>1143</v>
      </c>
    </row>
    <row r="78" spans="1:4" x14ac:dyDescent="0.2">
      <c r="A78" s="99">
        <v>76</v>
      </c>
      <c r="B78" s="101" t="s">
        <v>1154</v>
      </c>
      <c r="C78" s="108" t="s">
        <v>1155</v>
      </c>
      <c r="D78" s="101" t="s">
        <v>1132</v>
      </c>
    </row>
    <row r="79" spans="1:4" x14ac:dyDescent="0.2">
      <c r="A79" s="99">
        <v>77</v>
      </c>
      <c r="B79" s="101" t="s">
        <v>1156</v>
      </c>
      <c r="C79" s="108" t="s">
        <v>1157</v>
      </c>
      <c r="D79" s="101" t="s">
        <v>1129</v>
      </c>
    </row>
    <row r="80" spans="1:4" x14ac:dyDescent="0.2">
      <c r="A80" s="99">
        <v>78</v>
      </c>
      <c r="B80" s="101" t="s">
        <v>1158</v>
      </c>
      <c r="C80" s="108" t="s">
        <v>1159</v>
      </c>
      <c r="D80" s="101" t="s">
        <v>1160</v>
      </c>
    </row>
    <row r="81" spans="1:4" x14ac:dyDescent="0.2">
      <c r="A81" s="99">
        <v>79</v>
      </c>
      <c r="B81" s="101" t="s">
        <v>1161</v>
      </c>
      <c r="C81" s="108" t="s">
        <v>1162</v>
      </c>
      <c r="D81" s="101" t="s">
        <v>1163</v>
      </c>
    </row>
    <row r="82" spans="1:4" x14ac:dyDescent="0.2">
      <c r="A82" s="99">
        <v>80</v>
      </c>
      <c r="B82" s="101" t="s">
        <v>1164</v>
      </c>
      <c r="C82" s="108" t="s">
        <v>1165</v>
      </c>
      <c r="D82" s="101" t="s">
        <v>1160</v>
      </c>
    </row>
    <row r="83" spans="1:4" x14ac:dyDescent="0.2">
      <c r="A83" s="99">
        <v>81</v>
      </c>
      <c r="B83" s="101" t="s">
        <v>1166</v>
      </c>
      <c r="C83" s="108" t="s">
        <v>1167</v>
      </c>
      <c r="D83" s="101" t="s">
        <v>1168</v>
      </c>
    </row>
    <row r="84" spans="1:4" x14ac:dyDescent="0.2">
      <c r="A84" s="99">
        <v>82</v>
      </c>
      <c r="B84" s="101" t="s">
        <v>1169</v>
      </c>
      <c r="C84" s="108" t="s">
        <v>1170</v>
      </c>
      <c r="D84" s="101" t="s">
        <v>1163</v>
      </c>
    </row>
    <row r="85" spans="1:4" x14ac:dyDescent="0.2">
      <c r="A85" s="99">
        <v>83</v>
      </c>
      <c r="B85" s="101" t="s">
        <v>1171</v>
      </c>
      <c r="C85" s="108" t="s">
        <v>1172</v>
      </c>
      <c r="D85" s="101" t="s">
        <v>1173</v>
      </c>
    </row>
    <row r="86" spans="1:4" x14ac:dyDescent="0.2">
      <c r="A86" s="99">
        <v>84</v>
      </c>
      <c r="B86" s="101" t="s">
        <v>1174</v>
      </c>
      <c r="C86" s="108" t="s">
        <v>1175</v>
      </c>
      <c r="D86" s="101" t="s">
        <v>1176</v>
      </c>
    </row>
    <row r="87" spans="1:4" x14ac:dyDescent="0.2">
      <c r="A87" s="99">
        <v>85</v>
      </c>
      <c r="B87" s="101" t="s">
        <v>1177</v>
      </c>
      <c r="C87" s="108" t="s">
        <v>1178</v>
      </c>
      <c r="D87" s="101" t="s">
        <v>1176</v>
      </c>
    </row>
    <row r="88" spans="1:4" x14ac:dyDescent="0.2">
      <c r="A88" s="99">
        <v>86</v>
      </c>
      <c r="B88" s="101" t="s">
        <v>1179</v>
      </c>
      <c r="C88" s="108" t="s">
        <v>1180</v>
      </c>
      <c r="D88" s="101" t="s">
        <v>1181</v>
      </c>
    </row>
    <row r="89" spans="1:4" x14ac:dyDescent="0.2">
      <c r="A89" s="99">
        <v>87</v>
      </c>
      <c r="B89" s="101" t="s">
        <v>1182</v>
      </c>
      <c r="C89" s="108" t="s">
        <v>1183</v>
      </c>
      <c r="D89" s="101" t="s">
        <v>1173</v>
      </c>
    </row>
    <row r="90" spans="1:4" x14ac:dyDescent="0.2">
      <c r="A90" s="99">
        <v>88</v>
      </c>
      <c r="B90" s="101" t="s">
        <v>1184</v>
      </c>
      <c r="C90" s="108" t="s">
        <v>1185</v>
      </c>
      <c r="D90" s="101" t="s">
        <v>1186</v>
      </c>
    </row>
    <row r="91" spans="1:4" x14ac:dyDescent="0.2">
      <c r="A91" s="99">
        <v>89</v>
      </c>
      <c r="B91" s="101" t="s">
        <v>1187</v>
      </c>
      <c r="C91" s="108" t="s">
        <v>1188</v>
      </c>
      <c r="D91" s="101" t="s">
        <v>1186</v>
      </c>
    </row>
    <row r="92" spans="1:4" x14ac:dyDescent="0.2">
      <c r="A92" s="99">
        <v>90</v>
      </c>
      <c r="B92" s="101" t="s">
        <v>1189</v>
      </c>
      <c r="C92" s="108" t="s">
        <v>1190</v>
      </c>
      <c r="D92" s="101" t="s">
        <v>1186</v>
      </c>
    </row>
    <row r="93" spans="1:4" x14ac:dyDescent="0.2">
      <c r="A93" s="99">
        <v>91</v>
      </c>
      <c r="B93" s="101" t="s">
        <v>1191</v>
      </c>
      <c r="C93" s="108" t="s">
        <v>1192</v>
      </c>
      <c r="D93" s="101" t="s">
        <v>1181</v>
      </c>
    </row>
    <row r="94" spans="1:4" x14ac:dyDescent="0.2">
      <c r="A94" s="99">
        <v>92</v>
      </c>
      <c r="B94" s="101" t="s">
        <v>1193</v>
      </c>
      <c r="C94" s="108" t="s">
        <v>1194</v>
      </c>
      <c r="D94" s="101" t="s">
        <v>1186</v>
      </c>
    </row>
    <row r="95" spans="1:4" x14ac:dyDescent="0.2">
      <c r="A95" s="99">
        <v>93</v>
      </c>
      <c r="B95" s="101" t="s">
        <v>1195</v>
      </c>
      <c r="C95" s="108" t="s">
        <v>1196</v>
      </c>
      <c r="D95" s="101" t="s">
        <v>1186</v>
      </c>
    </row>
    <row r="96" spans="1:4" x14ac:dyDescent="0.2">
      <c r="A96" s="99">
        <v>94</v>
      </c>
      <c r="B96" s="101" t="s">
        <v>1197</v>
      </c>
      <c r="C96" s="108" t="s">
        <v>1198</v>
      </c>
      <c r="D96" s="101" t="s">
        <v>1186</v>
      </c>
    </row>
    <row r="97" spans="1:4" x14ac:dyDescent="0.2">
      <c r="A97" s="99">
        <v>95</v>
      </c>
      <c r="B97" s="101" t="s">
        <v>1199</v>
      </c>
      <c r="C97" s="108" t="s">
        <v>1200</v>
      </c>
      <c r="D97" s="101" t="s">
        <v>1186</v>
      </c>
    </row>
    <row r="98" spans="1:4" x14ac:dyDescent="0.2">
      <c r="A98" s="99">
        <v>96</v>
      </c>
      <c r="B98" s="101" t="s">
        <v>1201</v>
      </c>
      <c r="C98" s="108" t="s">
        <v>1202</v>
      </c>
      <c r="D98" s="101" t="s">
        <v>1181</v>
      </c>
    </row>
    <row r="99" spans="1:4" x14ac:dyDescent="0.2">
      <c r="A99" s="99">
        <v>97</v>
      </c>
      <c r="B99" s="101" t="s">
        <v>1203</v>
      </c>
      <c r="C99" s="108" t="s">
        <v>1204</v>
      </c>
      <c r="D99" s="101" t="s">
        <v>1173</v>
      </c>
    </row>
    <row r="100" spans="1:4" x14ac:dyDescent="0.2">
      <c r="A100" s="99">
        <v>98</v>
      </c>
      <c r="B100" s="101" t="s">
        <v>1205</v>
      </c>
      <c r="C100" s="108" t="s">
        <v>1206</v>
      </c>
      <c r="D100" s="101" t="s">
        <v>1207</v>
      </c>
    </row>
    <row r="101" spans="1:4" x14ac:dyDescent="0.2">
      <c r="A101" s="99">
        <v>99</v>
      </c>
      <c r="B101" s="101" t="s">
        <v>1208</v>
      </c>
      <c r="C101" s="108" t="s">
        <v>1209</v>
      </c>
      <c r="D101" s="101" t="s">
        <v>1210</v>
      </c>
    </row>
    <row r="102" spans="1:4" x14ac:dyDescent="0.2">
      <c r="A102" s="99">
        <v>100</v>
      </c>
      <c r="B102" s="101" t="s">
        <v>1211</v>
      </c>
      <c r="C102" s="108" t="s">
        <v>1212</v>
      </c>
      <c r="D102" s="109" t="s">
        <v>1213</v>
      </c>
    </row>
  </sheetData>
  <dataConsolidate/>
  <mergeCells count="1">
    <mergeCell ref="B2:D2"/>
  </mergeCells>
  <phoneticPr fontId="9" type="noConversion"/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Input">
              <controlPr defaultSize="0" print="0" autoFill="0" autoPict="0" macro="[0]!P8_Input">
                <anchor moveWithCells="1">
                  <from>
                    <xdr:col>3</xdr:col>
                    <xdr:colOff>95250</xdr:colOff>
                    <xdr:row>1</xdr:row>
                    <xdr:rowOff>47625</xdr:rowOff>
                  </from>
                  <to>
                    <xdr:col>4</xdr:col>
                    <xdr:colOff>0</xdr:colOff>
                    <xdr:row>1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B050"/>
  </sheetPr>
  <dimension ref="A1:CA4"/>
  <sheetViews>
    <sheetView workbookViewId="0">
      <selection activeCell="A16" sqref="A16"/>
    </sheetView>
  </sheetViews>
  <sheetFormatPr defaultColWidth="9.140625" defaultRowHeight="12.75" x14ac:dyDescent="0.2"/>
  <cols>
    <col min="1" max="1" width="69" style="86" customWidth="1"/>
    <col min="2" max="2" width="23.85546875" style="87" bestFit="1" customWidth="1"/>
    <col min="3" max="3" width="12.5703125" style="88" customWidth="1"/>
    <col min="4" max="4" width="9.5703125" style="88" customWidth="1"/>
    <col min="5" max="5" width="24.42578125" style="88" customWidth="1"/>
    <col min="6" max="6" width="4.28515625" style="88" customWidth="1"/>
    <col min="7" max="7" width="18.7109375" style="88" customWidth="1"/>
    <col min="8" max="8" width="4.28515625" style="88" customWidth="1"/>
    <col min="9" max="9" width="7.85546875" style="88" customWidth="1"/>
    <col min="10" max="10" width="15.140625" style="89" customWidth="1"/>
    <col min="11" max="11" width="6.28515625" style="89" customWidth="1"/>
    <col min="12" max="12" width="7.28515625" style="89" customWidth="1"/>
    <col min="13" max="13" width="5.85546875" style="88" customWidth="1"/>
    <col min="14" max="14" width="7.28515625" style="89" customWidth="1"/>
    <col min="15" max="15" width="28.7109375" style="85" bestFit="1" customWidth="1"/>
    <col min="16" max="16384" width="9.140625" style="85"/>
  </cols>
  <sheetData>
    <row r="1" spans="1:79" ht="118.15" customHeight="1" x14ac:dyDescent="0.2">
      <c r="A1" s="68" t="s">
        <v>962</v>
      </c>
      <c r="B1" s="69" t="s">
        <v>1</v>
      </c>
      <c r="C1" s="69" t="s">
        <v>2</v>
      </c>
      <c r="D1" s="69" t="s">
        <v>630</v>
      </c>
      <c r="E1" s="69" t="s">
        <v>3</v>
      </c>
      <c r="F1" s="69" t="s">
        <v>4</v>
      </c>
      <c r="G1" s="69" t="s">
        <v>963</v>
      </c>
      <c r="H1" s="69" t="s">
        <v>5</v>
      </c>
      <c r="I1" s="69" t="s">
        <v>6</v>
      </c>
      <c r="J1" s="72" t="s">
        <v>913</v>
      </c>
      <c r="K1" s="72" t="s">
        <v>7</v>
      </c>
      <c r="L1" s="71" t="s">
        <v>964</v>
      </c>
      <c r="M1" s="69" t="s">
        <v>301</v>
      </c>
      <c r="N1" s="72" t="s">
        <v>308</v>
      </c>
      <c r="O1" s="76" t="s">
        <v>965</v>
      </c>
      <c r="P1" s="92" t="s">
        <v>916</v>
      </c>
      <c r="Q1" s="75" t="s">
        <v>917</v>
      </c>
      <c r="R1" s="75" t="s">
        <v>919</v>
      </c>
      <c r="S1" s="75" t="s">
        <v>918</v>
      </c>
      <c r="T1" s="75" t="s">
        <v>914</v>
      </c>
      <c r="U1" s="75" t="s">
        <v>920</v>
      </c>
      <c r="V1" s="75" t="s">
        <v>915</v>
      </c>
      <c r="W1" s="75" t="s">
        <v>925</v>
      </c>
      <c r="X1" s="75" t="s">
        <v>921</v>
      </c>
      <c r="Y1" s="75" t="s">
        <v>922</v>
      </c>
      <c r="Z1" s="75" t="s">
        <v>923</v>
      </c>
      <c r="AA1" s="75" t="s">
        <v>924</v>
      </c>
      <c r="AB1" s="75" t="s">
        <v>926</v>
      </c>
      <c r="AC1" s="75" t="s">
        <v>927</v>
      </c>
      <c r="AD1" s="75" t="s">
        <v>928</v>
      </c>
      <c r="AE1" s="75" t="s">
        <v>929</v>
      </c>
      <c r="AF1" s="75" t="s">
        <v>930</v>
      </c>
      <c r="AG1" s="75" t="s">
        <v>931</v>
      </c>
      <c r="AH1" s="75" t="s">
        <v>933</v>
      </c>
      <c r="AI1" s="75" t="s">
        <v>932</v>
      </c>
      <c r="AJ1" s="75" t="s">
        <v>934</v>
      </c>
      <c r="AK1" s="75" t="s">
        <v>935</v>
      </c>
      <c r="AL1" s="75" t="s">
        <v>936</v>
      </c>
      <c r="AM1" s="75" t="s">
        <v>937</v>
      </c>
      <c r="AN1" s="75" t="s">
        <v>938</v>
      </c>
      <c r="AO1" s="75" t="s">
        <v>939</v>
      </c>
      <c r="AP1" s="75" t="s">
        <v>942</v>
      </c>
      <c r="AQ1" s="75" t="s">
        <v>943</v>
      </c>
      <c r="AR1" s="75" t="s">
        <v>940</v>
      </c>
      <c r="AS1" s="75" t="s">
        <v>941</v>
      </c>
      <c r="AT1" s="75" t="s">
        <v>944</v>
      </c>
      <c r="AU1" s="75" t="s">
        <v>945</v>
      </c>
      <c r="AV1" s="75" t="s">
        <v>946</v>
      </c>
      <c r="AW1" s="75" t="s">
        <v>947</v>
      </c>
      <c r="AX1" s="75" t="s">
        <v>948</v>
      </c>
      <c r="AY1" s="75" t="s">
        <v>949</v>
      </c>
      <c r="AZ1" s="75" t="s">
        <v>950</v>
      </c>
      <c r="BA1" s="75" t="s">
        <v>951</v>
      </c>
      <c r="BB1" s="75" t="s">
        <v>952</v>
      </c>
      <c r="BC1" s="75" t="s">
        <v>953</v>
      </c>
      <c r="BD1" s="75" t="s">
        <v>954</v>
      </c>
      <c r="BE1" s="75" t="s">
        <v>955</v>
      </c>
      <c r="BF1" s="75" t="s">
        <v>956</v>
      </c>
      <c r="BG1" s="75" t="s">
        <v>957</v>
      </c>
      <c r="BH1" s="75" t="s">
        <v>958</v>
      </c>
      <c r="BI1" s="75" t="s">
        <v>959</v>
      </c>
      <c r="BJ1" s="75" t="s">
        <v>960</v>
      </c>
      <c r="BK1" s="75" t="s">
        <v>961</v>
      </c>
      <c r="BL1" s="75" t="s">
        <v>966</v>
      </c>
      <c r="BM1" s="75" t="s">
        <v>967</v>
      </c>
      <c r="BN1" s="75" t="s">
        <v>968</v>
      </c>
      <c r="BO1" s="75" t="s">
        <v>969</v>
      </c>
      <c r="BP1" s="75" t="s">
        <v>970</v>
      </c>
      <c r="BQ1" s="75" t="s">
        <v>971</v>
      </c>
      <c r="BR1" s="75" t="s">
        <v>972</v>
      </c>
      <c r="BS1" s="75" t="s">
        <v>973</v>
      </c>
      <c r="BT1" s="75" t="s">
        <v>974</v>
      </c>
      <c r="BU1" s="75" t="s">
        <v>975</v>
      </c>
      <c r="BV1" s="75" t="s">
        <v>976</v>
      </c>
      <c r="BW1" s="75" t="s">
        <v>977</v>
      </c>
      <c r="BX1" s="75" t="s">
        <v>978</v>
      </c>
      <c r="BY1" s="75" t="s">
        <v>979</v>
      </c>
      <c r="BZ1" s="75" t="s">
        <v>980</v>
      </c>
      <c r="CA1" s="75" t="s">
        <v>981</v>
      </c>
    </row>
    <row r="2" spans="1:79" x14ac:dyDescent="0.2">
      <c r="O2" s="93"/>
    </row>
    <row r="3" spans="1:79" x14ac:dyDescent="0.2">
      <c r="O3" s="93"/>
    </row>
    <row r="4" spans="1:79" x14ac:dyDescent="0.2">
      <c r="A4" s="94" t="s">
        <v>982</v>
      </c>
      <c r="B4" s="87" t="s">
        <v>71</v>
      </c>
      <c r="C4" s="88" t="s">
        <v>983</v>
      </c>
      <c r="D4" s="88" t="s">
        <v>984</v>
      </c>
      <c r="E4" s="88" t="s">
        <v>985</v>
      </c>
      <c r="I4" s="88">
        <v>1</v>
      </c>
      <c r="L4" s="95"/>
      <c r="M4" s="96"/>
      <c r="N4" s="95"/>
      <c r="O4" s="97" t="s">
        <v>17</v>
      </c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  <c r="AC4" s="98"/>
      <c r="AD4" s="98"/>
      <c r="AE4" s="98"/>
      <c r="AF4" s="98"/>
      <c r="AG4" s="98"/>
      <c r="AH4" s="98"/>
      <c r="AI4" s="98"/>
      <c r="AJ4" s="98"/>
      <c r="AK4" s="98"/>
      <c r="AL4" s="98"/>
      <c r="AM4" s="98"/>
      <c r="AN4" s="98"/>
      <c r="AO4" s="98"/>
      <c r="AP4" s="98"/>
      <c r="AQ4" s="98"/>
      <c r="AR4" s="98"/>
      <c r="AS4" s="98"/>
      <c r="AT4" s="98"/>
      <c r="AU4" s="98"/>
      <c r="AV4" s="98"/>
      <c r="AW4" s="98"/>
      <c r="AX4" s="98"/>
      <c r="AY4" s="98"/>
      <c r="AZ4" s="98"/>
      <c r="BA4" s="98"/>
      <c r="BB4" s="98"/>
      <c r="BC4" s="98"/>
      <c r="BD4" s="98"/>
      <c r="BE4" s="98"/>
      <c r="BF4" s="98"/>
      <c r="BG4" s="98"/>
      <c r="BH4" s="98"/>
      <c r="BI4" s="98"/>
      <c r="BJ4" s="98"/>
      <c r="BK4" s="98"/>
      <c r="BL4" s="98"/>
      <c r="BM4" s="98"/>
      <c r="BN4" s="98"/>
      <c r="BO4" s="98"/>
      <c r="BP4" s="98"/>
      <c r="BQ4" s="98"/>
      <c r="BR4" s="98"/>
      <c r="BS4" s="98"/>
      <c r="BT4" s="98"/>
      <c r="BU4" s="98"/>
      <c r="BV4" s="98"/>
      <c r="BW4" s="98"/>
      <c r="BX4" s="98"/>
      <c r="BY4" s="98"/>
      <c r="BZ4" s="98"/>
      <c r="CA4" s="98"/>
    </row>
  </sheetData>
  <phoneticPr fontId="9" type="noConversion"/>
  <dataValidations count="3">
    <dataValidation type="list" allowBlank="1" showInputMessage="1" showErrorMessage="1" sqref="J72:K72 J69:K69 J4:K4">
      <formula1>","</formula1>
    </dataValidation>
    <dataValidation type="list" allowBlank="1" showInputMessage="1" showErrorMessage="1" sqref="J28:J64">
      <formula1>"Multi-line &lt;1&gt;,"</formula1>
    </dataValidation>
    <dataValidation type="list" allowBlank="1" showInputMessage="1" showErrorMessage="1" sqref="K28:K64">
      <formula1>"A,"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Panel_Layout_Click">
                <anchor moveWithCells="1">
                  <from>
                    <xdr:col>0</xdr:col>
                    <xdr:colOff>2981325</xdr:colOff>
                    <xdr:row>0</xdr:row>
                    <xdr:rowOff>180975</xdr:rowOff>
                  </from>
                  <to>
                    <xdr:col>0</xdr:col>
                    <xdr:colOff>4448175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J17:J18"/>
  <sheetViews>
    <sheetView tabSelected="1" workbookViewId="0">
      <selection activeCell="D25" sqref="D25"/>
    </sheetView>
  </sheetViews>
  <sheetFormatPr defaultRowHeight="16.5" x14ac:dyDescent="0.2"/>
  <cols>
    <col min="1" max="16384" width="9.140625" style="45"/>
  </cols>
  <sheetData>
    <row r="17" spans="10:10" x14ac:dyDescent="0.2">
      <c r="J17" s="91"/>
    </row>
    <row r="18" spans="10:10" x14ac:dyDescent="0.2">
      <c r="J18" s="91"/>
    </row>
  </sheetData>
  <phoneticPr fontId="9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ExecuteWiring">
                <anchor moveWithCells="1">
                  <from>
                    <xdr:col>1</xdr:col>
                    <xdr:colOff>85725</xdr:colOff>
                    <xdr:row>1</xdr:row>
                    <xdr:rowOff>38100</xdr:rowOff>
                  </from>
                  <to>
                    <xdr:col>3</xdr:col>
                    <xdr:colOff>152400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ExecuteTotalLoop">
                <anchor moveWithCells="1">
                  <from>
                    <xdr:col>4</xdr:col>
                    <xdr:colOff>342900</xdr:colOff>
                    <xdr:row>1</xdr:row>
                    <xdr:rowOff>57150</xdr:rowOff>
                  </from>
                  <to>
                    <xdr:col>6</xdr:col>
                    <xdr:colOff>409575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ksHidden_ESG_Typical_Params"/>
  <dimension ref="B2:C2"/>
  <sheetViews>
    <sheetView workbookViewId="0">
      <selection activeCell="D47" sqref="D47"/>
    </sheetView>
  </sheetViews>
  <sheetFormatPr defaultColWidth="9.140625" defaultRowHeight="12.75" x14ac:dyDescent="0.2"/>
  <cols>
    <col min="1" max="1" width="9.140625" customWidth="1"/>
    <col min="2" max="2" width="15" bestFit="1" customWidth="1"/>
    <col min="3" max="3" width="44.5703125" customWidth="1"/>
  </cols>
  <sheetData>
    <row r="2" spans="2:3" x14ac:dyDescent="0.2">
      <c r="B2" s="1" t="s">
        <v>0</v>
      </c>
      <c r="C2" t="s">
        <v>8</v>
      </c>
    </row>
  </sheetData>
  <dataConsolidate/>
  <phoneticPr fontId="3" type="noConversion"/>
  <pageMargins left="0.78740157499999996" right="0.78740157499999996" top="0.984251969" bottom="0.984251969" header="0.5" footer="0.5"/>
  <headerFooter alignWithMargins="0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Hidden_ESG_Rules_Calculation"/>
  <dimension ref="A1"/>
  <sheetViews>
    <sheetView workbookViewId="0">
      <selection sqref="A1:XFD1048576"/>
    </sheetView>
  </sheetViews>
  <sheetFormatPr defaultColWidth="9.140625" defaultRowHeight="12.75" x14ac:dyDescent="0.2"/>
  <sheetData/>
  <phoneticPr fontId="3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Data1</vt:lpstr>
      <vt:lpstr>Data2</vt:lpstr>
      <vt:lpstr>Data3</vt:lpstr>
      <vt:lpstr>ColumnLetter</vt:lpstr>
      <vt:lpstr>Wiring@Template</vt:lpstr>
      <vt:lpstr>TotalLoop@Template</vt:lpstr>
      <vt:lpstr>Project properties</vt:lpstr>
      <vt:lpstr>PANEL@LAYOUT</vt:lpstr>
      <vt:lpstr>실행 버튼</vt:lpstr>
    </vt:vector>
  </TitlesOfParts>
  <Company>Eplan Software &amp; Service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Skora, Dawid</dc:creator>
  <cp:lastModifiedBy>Windows 사용자</cp:lastModifiedBy>
  <dcterms:created xsi:type="dcterms:W3CDTF">2007-07-16T15:38:27Z</dcterms:created>
  <dcterms:modified xsi:type="dcterms:W3CDTF">2017-09-17T06:55:59Z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ECONE_TYPICAL">
    <vt:lpwstr>EPLAN Engineering Center One</vt:lpwstr>
  </property>
  <property fmtid="{D5CDD505-2E9C-101B-9397-08002B2CF9AE}" pid="3" name="EECONE_TYPICAL_VERSION">
    <vt:lpwstr>2.3.5</vt:lpwstr>
  </property>
</Properties>
</file>